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Özet" sheetId="1" state="visible" r:id="rId1"/>
    <sheet name="Teslimat" sheetId="2" state="visible" r:id="rId2"/>
    <sheet name="Şehir" sheetId="3" state="visible" r:id="rId3"/>
    <sheet name="Konular" sheetId="4" state="visible" r:id="rId4"/>
    <sheet name="Yanıtlar" sheetId="5" state="visible" r:id="rId5"/>
    <sheet name="Mekânlar" sheetId="6" state="visible" r:id="rId6"/>
    <sheet name="Mahalleler" sheetId="7" state="visible" r:id="rId7"/>
    <sheet name="Bağlantılar" sheetId="8" state="visible" r:id="rId8"/>
    <sheet name="Rotalar" sheetId="9" state="visible" r:id="rId9"/>
    <sheet name="Sözlük" sheetId="10" state="visible" r:id="rId10"/>
    <sheet name="Adımlar" sheetId="11" state="visible" r:id="rId11"/>
    <sheet name="Kaynaklar" sheetId="12" state="visible" r:id="rId12"/>
    <sheet name="Fotoğraflar" sheetId="13" state="visible" r:id="rId13"/>
    <sheet name="Kanıtlar" sheetId="14" state="visible" r:id="rId14"/>
    <sheet name="SayfaAlanları" sheetId="15" state="visible" r:id="rId15"/>
    <sheet name="EkDetaylar" sheetId="16" state="visible" r:id="rId16"/>
    <sheet name="FotoğrafKaynakları" sheetId="17" state="visible" r:id="rId17"/>
  </sheets>
  <definedNames/>
</workbook>
</file>

<file path=xl/styles.xml><?xml version="1.0" encoding="utf-8"?>
<styleSheet xmlns="http://schemas.openxmlformats.org/spreadsheetml/2006/main">
  <numFmts count="2">
    <numFmt numFmtId="164" formatCode="yyyy-mm-dd"/>
    <numFmt numFmtId="165" formatCode="0.000000"/>
  </numFmts>
  <fonts count="8">
    <font>
      <name val="Carlito"/>
      <sz val="11"/>
    </font>
    <font>
      <name val="Arial"/>
      <color rgb="FF17382F"/>
      <sz val="11"/>
    </font>
    <font>
      <name val="Arial"/>
      <b val="1"/>
      <color rgb="FF173B31"/>
      <sz val="16"/>
    </font>
    <font>
      <name val="Arial"/>
      <b val="1"/>
      <color rgb="FFFFFFFF"/>
      <sz val="11"/>
    </font>
    <font>
      <name val="Arial"/>
      <b val="1"/>
      <color rgb="FF17382F"/>
      <sz val="11"/>
    </font>
    <font>
      <name val="Arial"/>
      <color rgb="FF6B7B73"/>
      <sz val="10"/>
    </font>
    <font>
      <name val="Arial"/>
      <color rgb="FFFFFFFF"/>
      <sz val="10"/>
    </font>
    <font>
      <name val="Arial"/>
      <b val="1"/>
      <color rgb="FF173B31"/>
      <sz val="17"/>
    </font>
  </fonts>
  <fills count="10">
    <fill>
      <patternFill/>
    </fill>
    <fill>
      <patternFill patternType="gray125"/>
    </fill>
    <fill>
      <patternFill patternType="solid">
        <fgColor rgb="FFFFFFFF"/>
      </patternFill>
    </fill>
    <fill>
      <patternFill patternType="solid">
        <fgColor rgb="FF173B31"/>
      </patternFill>
    </fill>
    <fill>
      <patternFill patternType="solid">
        <fgColor rgb="FFF5F6F2"/>
      </patternFill>
    </fill>
    <fill>
      <patternFill patternType="solid">
        <fgColor rgb="FFFFF4D7"/>
      </patternFill>
    </fill>
    <fill>
      <patternFill patternType="solid">
        <fgColor rgb="FFE7EDDF"/>
      </patternFill>
    </fill>
    <fill>
      <patternFill patternType="solid">
        <fgColor rgb="FFE7EDDF"/>
      </patternFill>
    </fill>
    <fill>
      <patternFill patternType="solid">
        <fgColor rgb="FF173B31"/>
      </patternFill>
    </fill>
    <fill>
      <patternFill patternType="solid">
        <fgColor rgb="FFFFF4D7"/>
      </patternFill>
    </fill>
  </fills>
  <borders count="2">
    <border>
      <left/>
      <right/>
      <top/>
      <bottom/>
      <diagonal/>
    </border>
    <border>
      <left/>
      <right/>
      <top/>
      <bottom style="thin">
        <color rgb="FFF66C4E"/>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vertical="center"/>
    </xf>
    <xf numFmtId="0" fontId="1" fillId="2" borderId="1" applyAlignment="1" pivotButton="0" quotePrefix="0" xfId="0">
      <alignment vertical="center"/>
    </xf>
    <xf numFmtId="0" fontId="1" fillId="3" borderId="0" applyAlignment="1" pivotButton="0" quotePrefix="0" xfId="0">
      <alignment vertical="center"/>
    </xf>
    <xf numFmtId="0" fontId="3" fillId="3" borderId="0" applyAlignment="1" pivotButton="0" quotePrefix="0" xfId="0">
      <alignment vertical="center"/>
    </xf>
    <xf numFmtId="0" fontId="3" fillId="3" borderId="0" applyAlignment="1" pivotButton="0" quotePrefix="0" xfId="0">
      <alignment vertical="center" wrapText="1"/>
    </xf>
    <xf numFmtId="0" fontId="3" fillId="3" borderId="0" applyAlignment="1" pivotButton="0" quotePrefix="0" xfId="0">
      <alignment horizontal="center" vertical="center" wrapText="1"/>
    </xf>
    <xf numFmtId="0" fontId="1" fillId="4" borderId="0" applyAlignment="1" pivotButton="0" quotePrefix="0" xfId="0">
      <alignment vertical="center"/>
    </xf>
    <xf numFmtId="3" fontId="1" fillId="4" borderId="0" applyAlignment="1" pivotButton="0" quotePrefix="0" xfId="0">
      <alignment vertical="center"/>
    </xf>
    <xf numFmtId="3" fontId="1" fillId="2" borderId="0" applyAlignment="1" pivotButton="0" quotePrefix="0" xfId="0">
      <alignment vertical="center"/>
    </xf>
    <xf numFmtId="0" fontId="4" fillId="2" borderId="0" applyAlignment="1" pivotButton="0" quotePrefix="0" xfId="0">
      <alignment vertical="center"/>
    </xf>
    <xf numFmtId="0" fontId="1" fillId="2" borderId="0" applyAlignment="1" pivotButton="0" quotePrefix="0" xfId="0">
      <alignment vertical="center" wrapText="1"/>
    </xf>
    <xf numFmtId="0" fontId="1" fillId="5" borderId="0" applyAlignment="1" pivotButton="0" quotePrefix="0" xfId="0">
      <alignment vertical="center"/>
    </xf>
    <xf numFmtId="0" fontId="1" fillId="5" borderId="0" applyAlignment="1" pivotButton="0" quotePrefix="0" xfId="0">
      <alignment vertical="center" wrapText="1"/>
    </xf>
    <xf numFmtId="0" fontId="1" fillId="6" borderId="0" applyAlignment="1" pivotButton="0" quotePrefix="0" xfId="0">
      <alignment vertical="center"/>
    </xf>
    <xf numFmtId="0" fontId="1" fillId="6" borderId="0"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vertical="center" wrapText="1"/>
    </xf>
    <xf numFmtId="0" fontId="1" fillId="0" borderId="1" applyAlignment="1" pivotButton="0" quotePrefix="0" xfId="0">
      <alignment vertical="center"/>
    </xf>
    <xf numFmtId="0" fontId="5" fillId="0" borderId="0" applyAlignment="1" pivotButton="0" quotePrefix="0" xfId="0">
      <alignment vertical="center"/>
    </xf>
    <xf numFmtId="0" fontId="4" fillId="6" borderId="0" applyAlignment="1" pivotButton="0" quotePrefix="0" xfId="0">
      <alignment vertical="center"/>
    </xf>
    <xf numFmtId="0" fontId="4" fillId="6" borderId="0" applyAlignment="1" pivotButton="0" quotePrefix="0" xfId="0">
      <alignment vertical="center" wrapText="1"/>
    </xf>
    <xf numFmtId="0" fontId="4" fillId="6" borderId="0" applyAlignment="1" pivotButton="0" quotePrefix="0" xfId="0">
      <alignment horizontal="center" vertical="center" wrapText="1"/>
    </xf>
    <xf numFmtId="0" fontId="6" fillId="3" borderId="0" applyAlignment="1" pivotButton="0" quotePrefix="0" xfId="0">
      <alignment vertical="center"/>
    </xf>
    <xf numFmtId="0" fontId="6" fillId="3" borderId="0" applyAlignment="1" pivotButton="0" quotePrefix="0" xfId="0">
      <alignment vertical="center" wrapText="1"/>
    </xf>
    <xf numFmtId="0" fontId="6" fillId="3" borderId="0" applyAlignment="1" pivotButton="0" quotePrefix="0" xfId="0">
      <alignment horizontal="center" vertical="center" wrapText="1"/>
    </xf>
    <xf numFmtId="0" fontId="1" fillId="5" borderId="0" applyAlignment="1" pivotButton="0" quotePrefix="0" xfId="0">
      <alignment vertical="top" wrapText="1"/>
    </xf>
    <xf numFmtId="164" fontId="1" fillId="5" borderId="0" applyAlignment="1" pivotButton="0" quotePrefix="0" xfId="0">
      <alignment vertical="top" wrapText="1"/>
    </xf>
    <xf numFmtId="164" fontId="1" fillId="5" borderId="0" applyAlignment="1" pivotButton="0" quotePrefix="0" xfId="0">
      <alignment horizontal="right" vertical="top" wrapText="1"/>
    </xf>
    <xf numFmtId="165" fontId="1" fillId="5" borderId="0" applyAlignment="1" pivotButton="0" quotePrefix="0" xfId="0">
      <alignment vertical="top" wrapText="1"/>
    </xf>
    <xf numFmtId="165" fontId="1" fillId="5" borderId="0" applyAlignment="1" pivotButton="0" quotePrefix="0" xfId="0">
      <alignment horizontal="right" vertical="top" wrapText="1"/>
    </xf>
    <xf numFmtId="1" fontId="1" fillId="5" borderId="0" applyAlignment="1" pivotButton="0" quotePrefix="0" xfId="0">
      <alignmen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0" fontId="1" fillId="0" borderId="0" applyAlignment="1" pivotButton="0" quotePrefix="0" xfId="0">
      <alignment wrapText="1"/>
    </xf>
    <xf numFmtId="0" fontId="1" fillId="0" borderId="0" applyAlignment="1" pivotButton="0" quotePrefix="0" xfId="0">
      <alignment vertical="top" wrapText="1"/>
    </xf>
    <xf numFmtId="0" fontId="7" fillId="0" borderId="0" applyAlignment="1" pivotButton="0" quotePrefix="0" xfId="0">
      <alignment vertical="top" wrapText="1"/>
    </xf>
    <xf numFmtId="0" fontId="1" fillId="7" borderId="0" applyAlignment="1" pivotButton="0" quotePrefix="0" xfId="0">
      <alignment vertical="top" wrapText="1"/>
    </xf>
    <xf numFmtId="0" fontId="4" fillId="7" borderId="0" applyAlignment="1" pivotButton="0" quotePrefix="0" xfId="0">
      <alignment vertical="top" wrapText="1"/>
    </xf>
    <xf numFmtId="0" fontId="1" fillId="8" borderId="0" applyAlignment="1" pivotButton="0" quotePrefix="0" xfId="0">
      <alignment vertical="top" wrapText="1"/>
    </xf>
    <xf numFmtId="0" fontId="6" fillId="8" borderId="0" applyAlignment="1" pivotButton="0" quotePrefix="0" xfId="0">
      <alignment vertical="top" wrapText="1"/>
    </xf>
    <xf numFmtId="0" fontId="1" fillId="9" borderId="0" applyAlignment="1" pivotButton="0" quotePrefix="0" xfId="0">
      <alignment vertical="top" wrapText="1"/>
    </xf>
    <xf numFmtId="0" fontId="1" fillId="7" borderId="0" applyAlignment="1" pivotButton="0" quotePrefix="0" xfId="0">
      <alignment vertical="center"/>
    </xf>
    <xf numFmtId="0" fontId="1" fillId="7" borderId="0" applyAlignment="1" pivotButton="0" quotePrefix="0" xfId="0">
      <alignment vertical="center" wrapText="1"/>
    </xf>
    <xf numFmtId="3" fontId="1" fillId="4" borderId="0" applyAlignment="1" pivotButton="0" quotePrefix="0" xfId="0">
      <alignment vertical="center"/>
    </xf>
    <xf numFmtId="3" fontId="1" fillId="2" borderId="0" applyAlignment="1" pivotButton="0" quotePrefix="0" xfId="0">
      <alignment vertical="center"/>
    </xf>
    <xf numFmtId="164" fontId="1" fillId="5" borderId="0" applyAlignment="1" pivotButton="0" quotePrefix="0" xfId="0">
      <alignment horizontal="right" vertical="top" wrapText="1"/>
    </xf>
    <xf numFmtId="165" fontId="1" fillId="5" borderId="0" applyAlignment="1" pivotButton="0" quotePrefix="0" xfId="0">
      <alignment horizontal="righ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164" fontId="1" fillId="9" borderId="0" applyAlignment="1" pivotButton="0" quotePrefix="0" xfId="0">
      <alignment vertical="top" wrapText="1"/>
    </xf>
  </cellXfs>
  <cellStyles count="1">
    <cellStyle name="Normal" xfId="0"/>
  </cellStyles>
  <dxfs count="157">
    <dxf>
      <font>
        <color rgb="FFA3412D"/>
      </font>
      <fill>
        <patternFill>
          <bgColor rgb="FFFFF0E9"/>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ables/table1.xml><?xml version="1.0" encoding="utf-8"?>
<table xmlns="http://schemas.openxmlformats.org/spreadsheetml/2006/main" id="1" name="CT_metadata" displayName="CT_metadata" ref="A7:I8" headerRowCount="1" totalsRowCount="0" totalsRowShown="0">
  <autoFilter ref="A7:I8"/>
  <tableColumns count="9">
    <tableColumn id="1" name="schema_version"/>
    <tableColumn id="2" name="delivery_id"/>
    <tableColumn id="3" name="city_id"/>
    <tableColumn id="4" name="editor"/>
    <tableColumn id="5" name="reviewer"/>
    <tableColumn id="6" name="scope"/>
    <tableColumn id="7" name="updated_on"/>
    <tableColumn id="8" name="editorial_status"/>
    <tableColumn id="9" name="notes"/>
  </tableColumns>
  <tableStyleInfo name="TableStyleMedium2" showFirstColumn="0" showLastColumn="0" showRowStripes="1" showColumnStripes="0"/>
</table>
</file>

<file path=xl/tables/table2.xml><?xml version="1.0" encoding="utf-8"?>
<table xmlns="http://schemas.openxmlformats.org/spreadsheetml/2006/main" id="2" name="CT_city" displayName="CT_city" ref="A7:AG8" headerRowCount="1" totalsRowCount="0" totalsRowShown="0">
  <autoFilter ref="A7:AG8"/>
  <tableColumns count="33">
    <tableColumn id="1" name="city_id"/>
    <tableColumn id="2" name="name"/>
    <tableColumn id="3" name="country"/>
    <tableColumn id="4" name="country_code"/>
    <tableColumn id="5" name="region"/>
    <tableColumn id="6" name="kind"/>
    <tableColumn id="7" name="title"/>
    <tableColumn id="8" name="intro"/>
    <tableColumn id="9" name="currency"/>
    <tableColumn id="10" name="currency_symbol"/>
    <tableColumn id="11" name="currency_label"/>
    <tableColumn id="12" name="language"/>
    <tableColumn id="13" name="timezone"/>
    <tableColumn id="14" name="latitude"/>
    <tableColumn id="15" name="longitude"/>
    <tableColumn id="16" name="coordinate_source_url"/>
    <tableColumn id="17" name="coordinate_checked_on"/>
    <tableColumn id="18" name="coordinate_note"/>
    <tableColumn id="19" name="source_url"/>
    <tableColumn id="20" name="source_checked_on"/>
    <tableColumn id="21" name="source_position"/>
    <tableColumn id="22" name="reviewed_on"/>
    <tableColumn id="23" name="priority"/>
    <tableColumn id="24" name="aliases"/>
    <tableColumn id="25" name="locality"/>
    <tableColumn id="26" name="tagline"/>
    <tableColumn id="27" name="directory_order"/>
    <tableColumn id="28" name="forecast_url"/>
    <tableColumn id="29" name="provider_url"/>
    <tableColumn id="30" name="forecast_label"/>
    <tableColumn id="31" name="hero_photo_id"/>
    <tableColumn id="32" name="editorial_notes"/>
    <tableColumn id="33" name="editorial_status"/>
  </tableColumns>
  <tableStyleInfo name="TableStyleMedium2" showFirstColumn="0" showLastColumn="0" showRowStripes="1" showColumnStripes="0"/>
</table>
</file>

<file path=xl/tables/table3.xml><?xml version="1.0" encoding="utf-8"?>
<table xmlns="http://schemas.openxmlformats.org/spreadsheetml/2006/main" id="3" name="CT_topics" displayName="CT_topics" ref="A7:H37" headerRowCount="1" totalsRowCount="0" totalsRowShown="0">
  <autoFilter ref="A7:H37"/>
  <tableColumns count="8">
    <tableColumn id="1" name="topic_id"/>
    <tableColumn id="2" name="city_id"/>
    <tableColumn id="3" name="slug"/>
    <tableColumn id="4" name="title"/>
    <tableColumn id="5" name="description"/>
    <tableColumn id="6" name="icon"/>
    <tableColumn id="7" name="order"/>
    <tableColumn id="8" name="used_count"/>
  </tableColumns>
  <tableStyleInfo name="TableStyleMedium2" showFirstColumn="0" showLastColumn="0" showRowStripes="1" showColumnStripes="0"/>
</table>
</file>

<file path=xl/tables/table4.xml><?xml version="1.0" encoding="utf-8"?>
<table xmlns="http://schemas.openxmlformats.org/spreadsheetml/2006/main" id="4" name="CT_answers" displayName="CT_answers" ref="A7:T307" headerRowCount="1" totalsRowCount="0" totalsRowShown="0">
  <autoFilter ref="A7:T307"/>
  <tableColumns count="20">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topic_id"/>
    <tableColumn id="15" name="steps"/>
    <tableColumn id="16" name="documents"/>
    <tableColumn id="17" name="timing"/>
    <tableColumn id="18" name="cost"/>
    <tableColumn id="19" name="note"/>
    <tableColumn id="20" name="visual_json"/>
  </tableColumns>
  <tableStyleInfo name="TableStyleMedium2" showFirstColumn="0" showLastColumn="0" showRowStripes="1" showColumnStripes="0"/>
</table>
</file>

<file path=xl/tables/table5.xml><?xml version="1.0" encoding="utf-8"?>
<table xmlns="http://schemas.openxmlformats.org/spreadsheetml/2006/main" id="5" name="CT_places" displayName="CT_places" ref="A7:W187" headerRowCount="1" totalsRowCount="0" totalsRowShown="0">
  <autoFilter ref="A7:W187"/>
  <tableColumns count="23">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group"/>
    <tableColumn id="15" name="district"/>
    <tableColumn id="16" name="setting"/>
    <tableColumn id="17" name="location"/>
    <tableColumn id="18" name="latitude"/>
    <tableColumn id="19" name="longitude"/>
    <tableColumn id="20" name="visit_status"/>
    <tableColumn id="21" name="note"/>
    <tableColumn id="22" name="collection"/>
    <tableColumn id="23" name="media_key"/>
  </tableColumns>
  <tableStyleInfo name="TableStyleMedium2" showFirstColumn="0" showLastColumn="0" showRowStripes="1" showColumnStripes="0"/>
</table>
</file>

<file path=xl/tables/table6.xml><?xml version="1.0" encoding="utf-8"?>
<table xmlns="http://schemas.openxmlformats.org/spreadsheetml/2006/main" id="6" name="CT_neighborhoods" displayName="CT_neighborhoods" ref="A7:R47" headerRowCount="1" totalsRowCount="0" totalsRowShown="0">
  <autoFilter ref="A7:R47"/>
  <tableColumns count="18">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location"/>
    <tableColumn id="15" name="tags"/>
    <tableColumn id="16" name="compare_json"/>
    <tableColumn id="17" name="note"/>
    <tableColumn id="18" name="media_key"/>
  </tableColumns>
  <tableStyleInfo name="TableStyleMedium2" showFirstColumn="0" showLastColumn="0" showRowStripes="1" showColumnStripes="0"/>
</table>
</file>

<file path=xl/tables/table7.xml><?xml version="1.0" encoding="utf-8"?>
<table xmlns="http://schemas.openxmlformats.org/spreadsheetml/2006/main" id="7" name="CT_actions" displayName="CT_actions" ref="A7:G807" headerRowCount="1" totalsRowCount="0" totalsRowShown="0">
  <autoFilter ref="A7:G807"/>
  <tableColumns count="7">
    <tableColumn id="1" name="action_id"/>
    <tableColumn id="2" name="city_id"/>
    <tableColumn id="3" name="entry_id"/>
    <tableColumn id="4" name="label"/>
    <tableColumn id="5" name="url"/>
    <tableColumn id="6" name="checked_on"/>
    <tableColumn id="7" name="order"/>
  </tableColumns>
  <tableStyleInfo name="TableStyleMedium2" showFirstColumn="0" showLastColumn="0" showRowStripes="1" showColumnStripes="0"/>
</table>
</file>

<file path=xl/tables/table8.xml><?xml version="1.0" encoding="utf-8"?>
<table xmlns="http://schemas.openxmlformats.org/spreadsheetml/2006/main" id="8" name="CT_routes" displayName="CT_routes" ref="A7:L37" headerRowCount="1" totalsRowCount="0" totalsRowShown="0">
  <autoFilter ref="A7:L37"/>
  <tableColumns count="12">
    <tableColumn id="1" name="route_id"/>
    <tableColumn id="2" name="city_id"/>
    <tableColumn id="3" name="title"/>
    <tableColumn id="4" name="tag"/>
    <tableColumn id="5" name="stops"/>
    <tableColumn id="6" name="stop_entry_ids"/>
    <tableColumn id="7" name="entry_id"/>
    <tableColumn id="8" name="note"/>
    <tableColumn id="9" name="reviewed_on"/>
    <tableColumn id="10" name="source_ids"/>
    <tableColumn id="11" name="order"/>
    <tableColumn id="12" name="editorial_status"/>
  </tableColumns>
  <tableStyleInfo name="TableStyleMedium2" showFirstColumn="0" showLastColumn="0" showRowStripes="1" showColumnStripes="0"/>
</table>
</file>

<file path=xl/tables/table9.xml><?xml version="1.0" encoding="utf-8"?>
<table xmlns="http://schemas.openxmlformats.org/spreadsheetml/2006/main" id="9" name="CT_glossary" displayName="CT_glossary" ref="A7:H107" headerRowCount="1" totalsRowCount="0" totalsRowShown="0">
  <autoFilter ref="A7:H107"/>
  <tableColumns count="8">
    <tableColumn id="1" name="term_id"/>
    <tableColumn id="2" name="city_id"/>
    <tableColumn id="3" name="term"/>
    <tableColumn id="4" name="definition"/>
    <tableColumn id="5" name="source_ids"/>
    <tableColumn id="6" name="reviewed_on"/>
    <tableColumn id="7" name="order"/>
    <tableColumn id="8" name="editorial_status"/>
  </tableColumns>
  <tableStyleInfo name="TableStyleMedium2" showFirstColumn="0" showLastColumn="0" showRowStripes="1" showColumnStripes="0"/>
</table>
</file>

<file path=xl/tables/table10.xml><?xml version="1.0" encoding="utf-8"?>
<table xmlns="http://schemas.openxmlformats.org/spreadsheetml/2006/main" id="10" name="CT_journey_steps" displayName="CT_journey_steps" ref="A7:G47" headerRowCount="1" totalsRowCount="0" totalsRowShown="0">
  <autoFilter ref="A7:G47"/>
  <tableColumns count="7">
    <tableColumn id="1" name="step_id"/>
    <tableColumn id="2" name="city_id"/>
    <tableColumn id="3" name="entry_id"/>
    <tableColumn id="4" name="title"/>
    <tableColumn id="5" name="when"/>
    <tableColumn id="6" name="description"/>
    <tableColumn id="7" name="order"/>
  </tableColumns>
  <tableStyleInfo name="TableStyleMedium2" showFirstColumn="0" showLastColumn="0" showRowStripes="1" showColumnStripes="0"/>
</table>
</file>

<file path=xl/tables/table11.xml><?xml version="1.0" encoding="utf-8"?>
<table xmlns="http://schemas.openxmlformats.org/spreadsheetml/2006/main" id="11" name="CT_sources" displayName="CT_sources" ref="A7:K507" headerRowCount="1" totalsRowCount="0" totalsRowShown="0">
  <autoFilter ref="A7:K507"/>
  <tableColumns count="11">
    <tableColumn id="1" name="source_id"/>
    <tableColumn id="2" name="city_id"/>
    <tableColumn id="3" name="title"/>
    <tableColumn id="4" name="publisher"/>
    <tableColumn id="5" name="url"/>
    <tableColumn id="6" name="checked_on"/>
    <tableColumn id="7" name="topic"/>
    <tableColumn id="8" name="summary"/>
    <tableColumn id="9" name="verified"/>
    <tableColumn id="10" name="snapshot_file"/>
    <tableColumn id="11" name="snapshot_sha256"/>
  </tableColumns>
  <tableStyleInfo name="TableStyleMedium2" showFirstColumn="0" showLastColumn="0" showRowStripes="1" showColumnStripes="0"/>
</table>
</file>

<file path=xl/tables/table12.xml><?xml version="1.0" encoding="utf-8"?>
<table xmlns="http://schemas.openxmlformats.org/spreadsheetml/2006/main" id="12" name="CT_photos" displayName="CT_photos" ref="A7:T357" headerRowCount="1" totalsRowCount="0" totalsRowShown="0">
  <autoFilter ref="A7:T357"/>
  <tableColumns count="20">
    <tableColumn id="1" name="photo_id"/>
    <tableColumn id="2" name="city_id"/>
    <tableColumn id="3" name="role"/>
    <tableColumn id="4" name="entry_id"/>
    <tableColumn id="5" name="file"/>
    <tableColumn id="6" name="sha256"/>
    <tableColumn id="7" name="caption"/>
    <tableColumn id="8" name="author"/>
    <tableColumn id="9" name="license"/>
    <tableColumn id="10" name="license_url"/>
    <tableColumn id="11" name="source_url"/>
    <tableColumn id="12" name="capture_date"/>
    <tableColumn id="13" name="source_checked_on"/>
    <tableColumn id="14" name="modifications"/>
    <tableColumn id="15" name="evidence_id"/>
    <tableColumn id="16" name="completion_credit"/>
    <tableColumn id="17" name="order"/>
    <tableColumn id="18" name="editorial_status"/>
    <tableColumn id="19" name="unique_venue_count"/>
    <tableColumn id="20" name="unique_hero_count"/>
  </tableColumns>
  <tableStyleInfo name="TableStyleMedium2" showFirstColumn="0" showLastColumn="0" showRowStripes="1" showColumnStripes="0"/>
</table>
</file>

<file path=xl/tables/table13.xml><?xml version="1.0" encoding="utf-8"?>
<table xmlns="http://schemas.openxmlformats.org/spreadsheetml/2006/main" id="13" name="CT_evidence" displayName="CT_evidence" ref="A7:W357" headerRowCount="1" totalsRowCount="0" totalsRowShown="0">
  <autoFilter ref="A7:W357"/>
  <tableColumns count="23">
    <tableColumn id="1" name="evidence_id"/>
    <tableColumn id="2" name="city_id"/>
    <tableColumn id="3" name="photo_id"/>
    <tableColumn id="4" name="source_url"/>
    <tableColumn id="5" name="source_title"/>
    <tableColumn id="6" name="author"/>
    <tableColumn id="7" name="license"/>
    <tableColumn id="8" name="license_url"/>
    <tableColumn id="9" name="usage_terms"/>
    <tableColumn id="10" name="attribution"/>
    <tableColumn id="11" name="restrictions"/>
    <tableColumn id="12" name="checked_on"/>
    <tableColumn id="13" name="metadata_review_status"/>
    <tableColumn id="14" name="pixel_review_status"/>
    <tableColumn id="15" name="pixel_review_file"/>
    <tableColumn id="16" name="pixel_review_note"/>
    <tableColumn id="17" name="rights_status"/>
    <tableColumn id="18" name="rights_basis"/>
    <tableColumn id="19" name="source_snapshot_file"/>
    <tableColumn id="20" name="source_snapshot_sha256"/>
    <tableColumn id="21" name="license_snapshot_file"/>
    <tableColumn id="22" name="license_snapshot_sha256"/>
    <tableColumn id="23" name="source_evidence_json"/>
  </tableColumns>
  <tableStyleInfo name="TableStyleMedium2" showFirstColumn="0" showLastColumn="0" showRowStripes="1" showColumnStripes="0"/>
</table>
</file>

<file path=xl/tables/table14.xml><?xml version="1.0" encoding="utf-8"?>
<table xmlns="http://schemas.openxmlformats.org/spreadsheetml/2006/main" id="14" name="CT_page_fields" displayName="CT_page_fields" ref="A7:G127" headerRowCount="1" totalsRowCount="0" totalsRowShown="0">
  <autoFilter ref="A7:G127"/>
  <tableColumns count="7">
    <tableColumn id="1" name="field_id"/>
    <tableColumn id="2" name="city_id"/>
    <tableColumn id="3" name="key"/>
    <tableColumn id="4" name="label"/>
    <tableColumn id="5" name="value_type"/>
    <tableColumn id="6" name="value"/>
    <tableColumn id="7" name="reviewed_on"/>
  </tableColumns>
  <tableStyleInfo name="TableStyleMedium2" showFirstColumn="0" showLastColumn="0" showRowStripes="1" showColumnStripes="0"/>
</table>
</file>

<file path=xl/tables/table15.xml><?xml version="1.0" encoding="utf-8"?>
<table xmlns="http://schemas.openxmlformats.org/spreadsheetml/2006/main" id="15" name="CT_entry_details" displayName="CT_entry_details" ref="A7:G207" headerRowCount="1" totalsRowCount="0" totalsRowShown="0">
  <autoFilter ref="A7:G207"/>
  <tableColumns count="7">
    <tableColumn id="1" name="detail_id"/>
    <tableColumn id="2" name="city_id"/>
    <tableColumn id="3" name="entry_id"/>
    <tableColumn id="4" name="key"/>
    <tableColumn id="5" name="label"/>
    <tableColumn id="6" name="value_type"/>
    <tableColumn id="7" name="value"/>
  </tableColumns>
  <tableStyleInfo name="TableStyleMedium2" showFirstColumn="0" showLastColumn="0" showRowStripes="1" showColumnStripes="0"/>
</table>
</file>

<file path=xl/tables/table16.xml><?xml version="1.0" encoding="utf-8"?>
<table xmlns="http://schemas.openxmlformats.org/spreadsheetml/2006/main" id="16" name="CT_photo_provenance" displayName="CT_photo_provenance" ref="A7:O607" headerRowCount="1" totalsRowCount="0" totalsRowShown="0">
  <autoFilter ref="A7:O607"/>
  <tableColumns count="15">
    <tableColumn id="1" name="photo_id"/>
    <tableColumn id="2" name="author_url"/>
    <tableColumn id="3" name="attribution_url"/>
    <tableColumn id="4" name="original_file_url"/>
    <tableColumn id="5" name="downloaded_file_url"/>
    <tableColumn id="6" name="downloaded_on"/>
    <tableColumn id="7" name="original_file"/>
    <tableColumn id="8" name="original_sha256"/>
    <tableColumn id="9" name="web_file"/>
    <tableColumn id="10" name="web_sha256"/>
    <tableColumn id="11" name="web_width"/>
    <tableColumn id="12" name="web_height"/>
    <tableColumn id="13" name="derivation"/>
    <tableColumn id="14" name="provenance_status"/>
    <tableColumn id="15" name="provenance_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sheet1.xml><?xml version="1.0" encoding="utf-8"?>
<worksheet xmlns="http://schemas.openxmlformats.org/spreadsheetml/2006/main">
  <sheetPr>
    <tabColor rgb="FF173B31"/>
    <outlinePr summaryBelow="1" summaryRight="1"/>
    <pageSetUpPr/>
  </sheetPr>
  <dimension ref="A1:I39"/>
  <sheetViews>
    <sheetView showGridLines="0" workbookViewId="0">
      <selection activeCell="A1" sqref="A1"/>
    </sheetView>
  </sheetViews>
  <sheetFormatPr baseColWidth="8" defaultRowHeight="15"/>
  <cols>
    <col width="31"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0" customHeight="1">
      <c r="A1" s="3" t="n"/>
      <c r="B1" s="3" t="n"/>
      <c r="C1" s="3" t="n"/>
      <c r="D1" s="3" t="n"/>
      <c r="E1" s="3" t="n"/>
      <c r="F1" s="3" t="n"/>
      <c r="G1" s="3" t="n"/>
      <c r="H1" s="3" t="n"/>
      <c r="I1" s="3" t="n"/>
    </row>
    <row r="2" ht="30" customHeight="1">
      <c r="A2" s="4" t="inlineStr">
        <is>
          <t>Corteqs · Şehir içerik teslimi</t>
        </is>
      </c>
      <c r="B2" s="3" t="n"/>
      <c r="C2" s="3" t="n"/>
      <c r="D2" s="3" t="n"/>
      <c r="E2" s="3" t="n"/>
      <c r="F2" s="3" t="n"/>
      <c r="G2" s="3" t="n"/>
      <c r="H2" s="3" t="n"/>
      <c r="I2" s="3" t="n"/>
    </row>
    <row r="3" ht="30" customHeight="1">
      <c r="A3" s="5" t="inlineStr">
        <is>
          <t>Eindhoven · Hollanda · CITY-039</t>
        </is>
      </c>
      <c r="B3" s="5" t="n"/>
      <c r="C3" s="5" t="n"/>
      <c r="D3" s="5" t="n"/>
      <c r="E3" s="5" t="n"/>
      <c r="F3" s="5" t="n"/>
      <c r="G3" s="5" t="n"/>
      <c r="H3" s="5" t="n"/>
      <c r="I3" s="5" t="n"/>
    </row>
    <row r="4" ht="30" customHeight="1">
      <c r="A4" s="3" t="n"/>
      <c r="B4" s="3" t="n"/>
      <c r="C4" s="3" t="n"/>
      <c r="D4" s="3" t="n"/>
      <c r="E4" s="3" t="n"/>
      <c r="F4" s="3" t="n"/>
      <c r="G4" s="3" t="n"/>
      <c r="H4" s="3" t="n"/>
      <c r="I4" s="3" t="n"/>
    </row>
    <row r="5" ht="34" customHeight="1">
      <c r="A5" s="9" t="inlineStr">
        <is>
          <t>İçerik türü</t>
        </is>
      </c>
      <c r="B5" s="9" t="inlineStr">
        <is>
          <t>Dosyada</t>
        </is>
      </c>
      <c r="C5" s="9" t="inlineStr">
        <is>
          <t>Asgari</t>
        </is>
      </c>
      <c r="D5" s="9" t="inlineStr">
        <is>
          <t>Hedef</t>
        </is>
      </c>
      <c r="E5" s="9" t="inlineStr">
        <is>
          <t>Asgariye kalan</t>
        </is>
      </c>
      <c r="F5" s="9" t="inlineStr">
        <is>
          <t>Hedefe kalan</t>
        </is>
      </c>
      <c r="G5" s="3" t="n"/>
      <c r="H5" s="3" t="n"/>
      <c r="I5" s="3" t="n"/>
    </row>
    <row r="6" ht="30" customHeight="1">
      <c r="A6" s="10" t="inlineStr">
        <is>
          <t>Pratik yaşam yanıtı</t>
        </is>
      </c>
      <c r="B6" s="47">
        <f>COUNTA('Yanıtlar'!$A$8:$A$307)</f>
        <v/>
      </c>
      <c r="C6" s="47" t="n">
        <v>212</v>
      </c>
      <c r="D6" s="47" t="n">
        <v>240</v>
      </c>
      <c r="E6" s="47">
        <f>MAX(C6-B6,0)</f>
        <v/>
      </c>
      <c r="F6" s="47">
        <f>MAX(D6-B6,0)</f>
        <v/>
      </c>
      <c r="G6" s="3" t="n"/>
      <c r="H6" s="3" t="n"/>
      <c r="I6" s="3" t="n"/>
    </row>
    <row r="7" ht="30" customHeight="1">
      <c r="A7" s="3" t="inlineStr">
        <is>
          <t>Keşif noktası</t>
        </is>
      </c>
      <c r="B7" s="48">
        <f>COUNTA('Mekânlar'!$A$8:$A$187)</f>
        <v/>
      </c>
      <c r="C7" s="48" t="n">
        <v>92</v>
      </c>
      <c r="D7" s="48" t="n">
        <v>120</v>
      </c>
      <c r="E7" s="48">
        <f>MAX(C7-B7,0)</f>
        <v/>
      </c>
      <c r="F7" s="48">
        <f>MAX(D7-B7,0)</f>
        <v/>
      </c>
      <c r="G7" s="3" t="n"/>
      <c r="H7" s="3" t="n"/>
      <c r="I7" s="3" t="n"/>
    </row>
    <row r="8" ht="30" customHeight="1">
      <c r="A8" s="10" t="inlineStr">
        <is>
          <t>Mahalle / yerel bölge</t>
        </is>
      </c>
      <c r="B8" s="47">
        <f>COUNTA('Mahalleler'!$A$8:$A$47)</f>
        <v/>
      </c>
      <c r="C8" s="47" t="n">
        <v>12</v>
      </c>
      <c r="D8" s="47" t="n">
        <v>16</v>
      </c>
      <c r="E8" s="47">
        <f>MAX(C8-B8,0)</f>
        <v/>
      </c>
      <c r="F8" s="47">
        <f>MAX(D8-B8,0)</f>
        <v/>
      </c>
      <c r="G8" s="3" t="n"/>
      <c r="H8" s="3" t="n"/>
      <c r="I8" s="3" t="n"/>
    </row>
    <row r="9" ht="30" customHeight="1">
      <c r="A9" s="3" t="inlineStr">
        <is>
          <t>Yanıt içeren konu</t>
        </is>
      </c>
      <c r="B9" s="48">
        <f>SUM('Konular'!$H$8:$H$37)</f>
        <v/>
      </c>
      <c r="C9" s="48" t="n">
        <v>12</v>
      </c>
      <c r="D9" s="48" t="n">
        <v>12</v>
      </c>
      <c r="E9" s="48">
        <f>MAX(C9-B9,0)</f>
        <v/>
      </c>
      <c r="F9" s="48">
        <f>MAX(D9-B9,0)</f>
        <v/>
      </c>
      <c r="G9" s="3" t="n"/>
      <c r="H9" s="3" t="n"/>
      <c r="I9" s="3" t="n"/>
    </row>
    <row r="10" ht="30" customHeight="1">
      <c r="A10" s="10" t="inlineStr">
        <is>
          <t>Farklı mekân fotoğrafı</t>
        </is>
      </c>
      <c r="B10" s="47">
        <f>SUM('Fotoğraflar'!$S$8:$S$607)</f>
        <v/>
      </c>
      <c r="C10" s="47" t="n">
        <v>187</v>
      </c>
      <c r="D10" s="47" t="n">
        <v>250</v>
      </c>
      <c r="E10" s="47">
        <f>MAX(C10-B10,0)</f>
        <v/>
      </c>
      <c r="F10" s="47">
        <f>MAX(D10-B10,0)</f>
        <v/>
      </c>
      <c r="G10" s="3" t="n"/>
      <c r="H10" s="3" t="n"/>
      <c r="I10" s="3" t="n"/>
    </row>
    <row r="11" ht="30" customHeight="1">
      <c r="A11" s="3" t="inlineStr">
        <is>
          <t>Farklı kapak fotoğrafı</t>
        </is>
      </c>
      <c r="B11" s="48">
        <f>SUM('Fotoğraflar'!$T$8:$T$607)</f>
        <v/>
      </c>
      <c r="C11" s="48" t="n">
        <v>6</v>
      </c>
      <c r="D11" s="48" t="n">
        <v>8</v>
      </c>
      <c r="E11" s="48">
        <f>MAX(C11-B11,0)</f>
        <v/>
      </c>
      <c r="F11" s="48">
        <f>MAX(D11-B11,0)</f>
        <v/>
      </c>
      <c r="G11" s="3" t="n"/>
      <c r="H11" s="3" t="n"/>
      <c r="I11" s="3" t="n"/>
    </row>
    <row r="12" ht="30" customHeight="1">
      <c r="A12" s="10" t="inlineStr">
        <is>
          <t>Rota</t>
        </is>
      </c>
      <c r="B12" s="47">
        <f>COUNTA('Rotalar'!$A$8:$A$37)</f>
        <v/>
      </c>
      <c r="C12" s="47" t="n">
        <v>9</v>
      </c>
      <c r="D12" s="47" t="n">
        <v>12</v>
      </c>
      <c r="E12" s="47">
        <f>MAX(C12-B12,0)</f>
        <v/>
      </c>
      <c r="F12" s="47">
        <f>MAX(D12-B12,0)</f>
        <v/>
      </c>
      <c r="G12" s="3" t="n"/>
      <c r="H12" s="3" t="n"/>
      <c r="I12" s="3" t="n"/>
    </row>
    <row r="13" ht="30" customHeight="1">
      <c r="A13" s="3" t="inlineStr">
        <is>
          <t>Sözlük terimi</t>
        </is>
      </c>
      <c r="B13" s="48">
        <f>COUNTA('Sözlük'!$A$8:$A$107)</f>
        <v/>
      </c>
      <c r="C13" s="48" t="n">
        <v>48</v>
      </c>
      <c r="D13" s="48" t="n">
        <v>60</v>
      </c>
      <c r="E13" s="48">
        <f>MAX(C13-B13,0)</f>
        <v/>
      </c>
      <c r="F13" s="48">
        <f>MAX(D13-B13,0)</f>
        <v/>
      </c>
      <c r="G13" s="3" t="n"/>
      <c r="H13" s="3" t="n"/>
      <c r="I13" s="3" t="n"/>
    </row>
    <row r="14" ht="68" customHeight="1">
      <c r="A14" s="46" t="inlineStr">
        <is>
          <t>v7 · Kaynak zinciri: FotoğrafKaynakları. Miktar, onay değildir.</t>
        </is>
      </c>
      <c r="B14" s="46" t="n"/>
      <c r="C14" s="46" t="n"/>
      <c r="D14" s="46" t="n"/>
      <c r="E14" s="46" t="n"/>
      <c r="F14" s="46" t="n"/>
      <c r="G14" s="3" t="n"/>
      <c r="H14" s="3" t="n"/>
      <c r="I14" s="3" t="n"/>
    </row>
    <row r="15" ht="30" customHeight="1">
      <c r="A15" s="3" t="n"/>
      <c r="B15" s="3" t="n"/>
      <c r="C15" s="3" t="n"/>
      <c r="D15" s="3" t="n"/>
      <c r="E15" s="3" t="n"/>
      <c r="F15" s="3" t="n"/>
      <c r="G15" s="3" t="n"/>
      <c r="H15" s="3" t="n"/>
      <c r="I15" s="3" t="n"/>
    </row>
    <row r="16" ht="30" customHeight="1">
      <c r="A16" s="13" t="inlineStr">
        <is>
          <t>Dosyayı doldurma sırası</t>
        </is>
      </c>
      <c r="B16" s="3" t="n"/>
      <c r="C16" s="3" t="n"/>
      <c r="D16" s="3" t="n"/>
      <c r="E16" s="3" t="n"/>
      <c r="F16" s="3" t="n"/>
      <c r="G16" s="3" t="n"/>
      <c r="H16" s="3" t="n"/>
      <c r="I16" s="3" t="n"/>
    </row>
    <row r="17" ht="30" customHeight="1">
      <c r="A17" s="3" t="n"/>
      <c r="B17" s="3" t="n"/>
      <c r="C17" s="3" t="n"/>
      <c r="D17" s="3" t="n"/>
      <c r="E17" s="3" t="n"/>
      <c r="F17" s="3" t="n"/>
      <c r="G17" s="3" t="n"/>
      <c r="H17" s="3" t="n"/>
      <c r="I17" s="3" t="n"/>
    </row>
    <row r="18" ht="32" customHeight="1">
      <c r="A18" s="14" t="inlineStr">
        <is>
          <t>1. Teslimat ve Şehir alanlarını doldurun; şehir kimliğini tüm sayfalarda aynı kullanın.</t>
        </is>
      </c>
    </row>
    <row r="19" ht="32" customHeight="1">
      <c r="A19" s="14" t="inlineStr">
        <is>
          <t>2. Kaynaklar ve Konular kaydını açın. Yanıt, mekân ve mahalle satırlarını bu kimliklere bağlayın.</t>
        </is>
      </c>
    </row>
    <row r="20" ht="32" customHeight="1">
      <c r="A20" s="14" t="inlineStr">
        <is>
          <t>3. Bağlantılar, Fotoğraflar ve Kanıtlar satırlarını tamamlayın; rota ve sözlük kaynaklarını ekleyin.</t>
        </is>
      </c>
    </row>
    <row r="21" ht="32" customHeight="1">
      <c r="A21" s="14" t="inlineStr">
        <is>
          <t>4. Kaynak kontrol tarihini yazın. Çekim tarihi bilinmiyorsa boş bırakın; tarih uydurmayın.</t>
        </is>
      </c>
    </row>
    <row r="22" ht="54" customHeight="1">
      <c r="A22" s="14" t="inlineStr">
        <is>
          <t>5. Paketin tamamı insan editör tarafından incelenir; tek paket kararı yönetim ekranında verilir. Excel’de satır satır onay işaretlemek gerekmez.</t>
        </is>
      </c>
    </row>
    <row r="23" ht="30" customHeight="1">
      <c r="A23" s="3" t="n"/>
      <c r="B23" s="3" t="n"/>
      <c r="C23" s="3" t="n"/>
      <c r="D23" s="3" t="n"/>
      <c r="E23" s="3" t="n"/>
      <c r="F23" s="3" t="n"/>
      <c r="G23" s="3" t="n"/>
      <c r="H23" s="3" t="n"/>
      <c r="I23" s="3" t="n"/>
    </row>
    <row r="24" ht="30" customHeight="1">
      <c r="A24" s="3" t="n"/>
      <c r="B24" s="3" t="n"/>
      <c r="C24" s="3" t="n"/>
      <c r="D24" s="3" t="n"/>
      <c r="E24" s="3" t="n"/>
      <c r="F24" s="3" t="n"/>
      <c r="G24" s="3" t="n"/>
      <c r="H24" s="3" t="n"/>
      <c r="I24" s="3" t="n"/>
    </row>
    <row r="25" ht="29" customHeight="1">
      <c r="A25" s="16" t="inlineStr">
        <is>
          <t>Sarı alanlar düzenlenebilir. Koyu satırdaki makine sütun adları (7. satır) ve sayfa adları değişmez. Veri 8. satırdan başlar. Kimlik listelerinde ; kullanın; işlem, belge ve durakları hücre içinde ayrı satırlara yazın.</t>
        </is>
      </c>
    </row>
    <row r="26" ht="29" customHeight="1"/>
    <row r="27" ht="30" customHeight="1">
      <c r="A27" s="3" t="n"/>
      <c r="B27" s="3" t="n"/>
      <c r="C27" s="3" t="n"/>
      <c r="D27" s="3" t="n"/>
      <c r="E27" s="3" t="n"/>
      <c r="F27" s="3" t="n"/>
      <c r="G27" s="3" t="n"/>
      <c r="H27" s="3" t="n"/>
      <c r="I27" s="3" t="n"/>
    </row>
    <row r="28" ht="29" customHeight="1">
      <c r="A28" s="18" t="inlineStr">
        <is>
          <t>Fotoğraf miktarı dosya SHA-256 özeti ve rolüyle ölçülür; aynı kareye ait türevler ayrıca ayıklanır. Sayımda kullanılabilir eski alanı korunur, insan onayı yerine geçmez. Paket kararı yönetim ekranındadır.</t>
        </is>
      </c>
    </row>
    <row r="29" ht="29" customHeight="1"/>
    <row r="30" ht="30" customHeight="1">
      <c r="A30" s="3" t="n"/>
      <c r="B30" s="3" t="n"/>
      <c r="C30" s="3" t="n"/>
      <c r="D30" s="3" t="n"/>
      <c r="E30" s="3" t="n"/>
      <c r="F30" s="3" t="n"/>
      <c r="G30" s="3" t="n"/>
      <c r="H30" s="3" t="n"/>
      <c r="I30" s="3" t="n"/>
    </row>
    <row r="31" ht="29" customHeight="1">
      <c r="A31" s="14" t="inlineStr">
        <is>
          <t>Asgari eşikler: 212 yanıt, 92 mekân, 12 mahalle, 12 konu, 187 farklı mekân fotoğrafı, 6 kapak, 9 rota, 48 terim. Hedefler: 240 / 120 / 16 / 12 / 250 / 8 / 12 / 60. Bu dosya uygulamaya veya veritabanına içerik yayımlamaz.</t>
        </is>
      </c>
    </row>
    <row r="32" ht="29" customHeight="1"/>
    <row r="33" ht="30" customHeight="1">
      <c r="A33" s="3" t="n"/>
      <c r="B33" s="3" t="n"/>
      <c r="C33" s="3" t="n"/>
      <c r="D33" s="3" t="n"/>
      <c r="E33" s="3" t="n"/>
      <c r="F33" s="3" t="n"/>
      <c r="G33" s="3" t="n"/>
      <c r="H33" s="3" t="n"/>
      <c r="I33" s="3" t="n"/>
    </row>
    <row r="34" ht="30" customHeight="1">
      <c r="A34" s="3" t="n"/>
      <c r="B34" s="3" t="n"/>
      <c r="C34" s="3" t="n"/>
      <c r="D34" s="3" t="n"/>
      <c r="E34" s="3" t="n"/>
      <c r="F34" s="3" t="n"/>
      <c r="G34" s="3" t="n"/>
      <c r="H34" s="3" t="n"/>
      <c r="I34" s="3" t="n"/>
    </row>
    <row r="35" ht="30" customHeight="1">
      <c r="A35" s="3" t="n"/>
      <c r="B35" s="3" t="n"/>
      <c r="C35" s="3" t="n"/>
      <c r="D35" s="3" t="n"/>
      <c r="E35" s="3" t="n"/>
      <c r="F35" s="3" t="n"/>
      <c r="G35" s="3" t="n"/>
      <c r="H35" s="3" t="n"/>
      <c r="I35" s="3" t="n"/>
    </row>
    <row r="36" ht="30" customHeight="1">
      <c r="A36" s="3" t="n"/>
      <c r="B36" s="3" t="n"/>
      <c r="C36" s="3" t="n"/>
      <c r="D36" s="3" t="n"/>
      <c r="E36" s="3" t="n"/>
      <c r="F36" s="3" t="n"/>
      <c r="G36" s="3" t="n"/>
      <c r="H36" s="3" t="n"/>
      <c r="I36" s="3" t="n"/>
    </row>
    <row r="37" ht="30" customHeight="1">
      <c r="A37" s="3" t="n"/>
      <c r="B37" s="3" t="n"/>
      <c r="C37" s="3" t="n"/>
      <c r="D37" s="3" t="n"/>
      <c r="E37" s="3" t="n"/>
      <c r="F37" s="3" t="n"/>
      <c r="G37" s="3" t="n"/>
      <c r="H37" s="3" t="n"/>
      <c r="I37" s="3" t="n"/>
    </row>
    <row r="38" ht="30" customHeight="1">
      <c r="A38" s="3" t="n"/>
      <c r="B38" s="3" t="n"/>
      <c r="C38" s="3" t="n"/>
      <c r="D38" s="3" t="n"/>
      <c r="E38" s="3" t="n"/>
      <c r="F38" s="3" t="n"/>
      <c r="G38" s="3" t="n"/>
      <c r="H38" s="3" t="n"/>
      <c r="I38" s="3" t="n"/>
    </row>
    <row r="39" ht="30" customHeight="1">
      <c r="A39" s="3" t="n"/>
      <c r="B39" s="3" t="n"/>
      <c r="C39" s="3" t="n"/>
      <c r="D39" s="3" t="n"/>
      <c r="E39" s="3" t="n"/>
      <c r="F39" s="3" t="n"/>
      <c r="G39" s="3" t="n"/>
      <c r="H39" s="3" t="n"/>
      <c r="I39" s="3" t="n"/>
    </row>
  </sheetData>
  <mergeCells count="8">
    <mergeCell ref="A19:I19"/>
    <mergeCell ref="A31:I32"/>
    <mergeCell ref="A21:I21"/>
    <mergeCell ref="A18:I18"/>
    <mergeCell ref="A25:I26"/>
    <mergeCell ref="A22:I22"/>
    <mergeCell ref="A20:I20"/>
    <mergeCell ref="A28:I29"/>
  </mergeCells>
  <conditionalFormatting sqref="E6:F13">
    <cfRule type="cellIs" priority="1" operator="greaterThan" dxfId="0">
      <formula>0</formula>
    </cfRule>
  </conditionalFormatting>
  <pageMargins left="0.7" right="0.7" top="0.75" bottom="0.75" header="0.3" footer="0.3"/>
</worksheet>
</file>

<file path=xl/worksheets/sheet2.xml><?xml version="1.0" encoding="utf-8"?>
<worksheet xmlns="http://schemas.openxmlformats.org/spreadsheetml/2006/main">
  <sheetPr>
    <tabColor rgb="FFF66C4E"/>
    <outlinePr summaryBelow="1" summaryRight="1"/>
    <pageSetUpPr/>
  </sheetPr>
  <dimension ref="A1:I8"/>
  <sheetViews>
    <sheetView showGridLines="0" workbookViewId="0">
      <pane xSplit="2" ySplit="7" topLeftCell="C8" activePane="bottomRight" state="frozen"/>
      <selection activeCell="A1" sqref="A1"/>
    </sheetView>
  </sheetViews>
  <sheetFormatPr baseColWidth="8" defaultRowHeight="15"/>
  <cols>
    <col width="28" customWidth="1" min="1" max="1"/>
    <col width="32" customWidth="1" min="2" max="2"/>
    <col width="32" customWidth="1" min="3" max="3"/>
    <col width="28" customWidth="1" min="4" max="4"/>
    <col width="28" customWidth="1" min="5" max="5"/>
    <col width="28" customWidth="1" min="6" max="6"/>
    <col width="20" customWidth="1" min="7" max="7"/>
    <col width="28" customWidth="1" min="8" max="8"/>
    <col width="58" customWidth="1" min="9" max="9"/>
  </cols>
  <sheetData>
    <row r="1" ht="30" customHeight="1">
      <c r="A1" s="2" t="n"/>
      <c r="B1" s="2" t="n"/>
      <c r="C1" s="2" t="n"/>
      <c r="D1" s="2" t="n"/>
      <c r="E1" s="2" t="n"/>
      <c r="F1" s="2" t="n"/>
      <c r="G1" s="2" t="n"/>
      <c r="H1" s="2" t="n"/>
      <c r="I1" s="2" t="n"/>
    </row>
    <row r="2" ht="30" customHeight="1">
      <c r="A2" s="19" t="inlineStr">
        <is>
          <t>Corteqs · Teslimat bilgileri</t>
        </is>
      </c>
      <c r="B2" s="2" t="n"/>
      <c r="C2" s="2" t="n"/>
      <c r="D2" s="2" t="n"/>
      <c r="E2" s="2" t="n"/>
      <c r="F2" s="2" t="n"/>
      <c r="G2" s="2" t="n"/>
      <c r="H2" s="2" t="n"/>
      <c r="I2" s="2" t="n"/>
    </row>
    <row r="3" ht="36" customHeight="1">
      <c r="A3" s="20" t="inlineStr">
        <is>
          <t>Türkçe başlığı okuyun; veriyi 8. satırdan yazın. 7. satırdaki alan adını ve sayfa adını değiştirmeyin.</t>
        </is>
      </c>
      <c r="I3" s="2" t="n"/>
    </row>
    <row r="4" ht="30" customHeight="1">
      <c r="A4" s="21" t="n"/>
      <c r="B4" s="21" t="n"/>
      <c r="C4" s="21" t="n"/>
      <c r="D4" s="21" t="n"/>
      <c r="E4" s="21" t="n"/>
      <c r="F4" s="21" t="n"/>
      <c r="G4" s="21" t="n"/>
      <c r="H4" s="21" t="n"/>
      <c r="I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Zorunlu · tarih</t>
        </is>
      </c>
      <c r="H5" s="22" t="inlineStr">
        <is>
          <t>Zorunlu</t>
        </is>
      </c>
      <c r="I5" s="22" t="inlineStr">
        <is>
          <t>İsteğe bağlı</t>
        </is>
      </c>
    </row>
    <row r="6" ht="44" customHeight="1">
      <c r="A6" s="25" t="inlineStr">
        <is>
          <t>Şema sürümü</t>
        </is>
      </c>
      <c r="B6" s="25" t="inlineStr">
        <is>
          <t>Teslimat kimliği</t>
        </is>
      </c>
      <c r="C6" s="25" t="inlineStr">
        <is>
          <t>Şehir kimliği</t>
        </is>
      </c>
      <c r="D6" s="25" t="inlineStr">
        <is>
          <t>Hazırlayan</t>
        </is>
      </c>
      <c r="E6" s="25" t="inlineStr">
        <is>
          <t>İnceleyen</t>
        </is>
      </c>
      <c r="F6" s="25" t="inlineStr">
        <is>
          <t>Dosya kapsamı</t>
        </is>
      </c>
      <c r="G6" s="25" t="inlineStr">
        <is>
          <t>Dosya güncelleme tarihi</t>
        </is>
      </c>
      <c r="H6" s="25" t="inlineStr">
        <is>
          <t>Editör durumu</t>
        </is>
      </c>
      <c r="I6" s="25" t="inlineStr">
        <is>
          <t>Teslim notu</t>
        </is>
      </c>
    </row>
    <row r="7" ht="32" customHeight="1">
      <c r="A7" s="28" t="inlineStr">
        <is>
          <t>schema_version</t>
        </is>
      </c>
      <c r="B7" s="28" t="inlineStr">
        <is>
          <t>delivery_id</t>
        </is>
      </c>
      <c r="C7" s="28" t="inlineStr">
        <is>
          <t>city_id</t>
        </is>
      </c>
      <c r="D7" s="28" t="inlineStr">
        <is>
          <t>editor</t>
        </is>
      </c>
      <c r="E7" s="28" t="inlineStr">
        <is>
          <t>reviewer</t>
        </is>
      </c>
      <c r="F7" s="28" t="inlineStr">
        <is>
          <t>scope</t>
        </is>
      </c>
      <c r="G7" s="28" t="inlineStr">
        <is>
          <t>updated_on</t>
        </is>
      </c>
      <c r="H7" s="28" t="inlineStr">
        <is>
          <t>editorial_status</t>
        </is>
      </c>
      <c r="I7" s="28" t="inlineStr">
        <is>
          <t>notes</t>
        </is>
      </c>
    </row>
    <row r="8" ht="54" customHeight="1">
      <c r="A8" s="29" t="inlineStr">
        <is>
          <t>1.0</t>
        </is>
      </c>
      <c r="B8" s="29" t="inlineStr">
        <is>
          <t>city-039-v001</t>
        </is>
      </c>
      <c r="C8" s="29" t="inlineStr">
        <is>
          <t>eindhoven</t>
        </is>
      </c>
      <c r="D8" s="29" t="inlineStr">
        <is>
          <t>Atınç</t>
        </is>
      </c>
      <c r="E8" s="29" t="n"/>
      <c r="F8" s="29" t="inlineStr">
        <is>
          <t>Tam teslim</t>
        </is>
      </c>
      <c r="G8" s="49" t="n">
        <v>46317</v>
      </c>
      <c r="H8" s="29" t="inlineStr">
        <is>
          <t>Taslak</t>
        </is>
      </c>
      <c r="I8" s="29" t="inlineStr">
        <is>
          <t>Claude Code city-pack pilot üretimi (22 Ekim 2026). YEREL DENEME - Drive'a yüklenmedi. İnsan yayın onayı yok; inceleme alanları Bekliyor. Açık konular: Teslimler/ACIK_KONULAR.txt.</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F8">
    <cfRule type="expression" priority="5" dxfId="1">
      <formula>AND($A8&lt;&gt;"",ISBLANK(F8))</formula>
    </cfRule>
  </conditionalFormatting>
  <conditionalFormatting sqref="G8">
    <cfRule type="expression" priority="6" dxfId="1">
      <formula>AND($A8&lt;&gt;"",ISBLANK(G8))</formula>
    </cfRule>
  </conditionalFormatting>
  <conditionalFormatting sqref="H8">
    <cfRule type="expression" priority="7" dxfId="1">
      <formula>AND($A8&lt;&gt;"",ISBLANK(H8))</formula>
    </cfRule>
  </conditionalFormatting>
  <dataValidations count="2">
    <dataValidation sqref="F8" showDropDown="0" showInputMessage="0" showErrorMessage="0" allowBlank="0" type="list">
      <formula1>"Tam teslim,Kısmi örnek"</formula1>
    </dataValidation>
    <dataValidation sqref="H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G8"/>
  <sheetViews>
    <sheetView showGridLines="0" workbookViewId="0">
      <pane xSplit="2" ySplit="7" topLeftCell="C8" activePane="bottomRight" state="frozen"/>
      <selection activeCell="A1" sqref="A1"/>
    </sheetView>
  </sheetViews>
  <sheetFormatPr baseColWidth="8" defaultRowHeight="15"/>
  <cols>
    <col width="32"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48" customWidth="1" min="16" max="16"/>
    <col width="20" customWidth="1" min="17" max="17"/>
    <col width="28" customWidth="1" min="18" max="18"/>
    <col width="48" customWidth="1" min="19" max="19"/>
    <col width="20" customWidth="1" min="20" max="20"/>
    <col width="28" customWidth="1" min="21" max="21"/>
    <col width="20" customWidth="1" min="22" max="22"/>
    <col width="28" customWidth="1" min="23" max="23"/>
    <col width="28" customWidth="1" min="24" max="24"/>
    <col width="28" customWidth="1" min="25" max="25"/>
    <col width="28" customWidth="1" min="26" max="26"/>
    <col width="28" customWidth="1" min="27" max="27"/>
    <col width="48" customWidth="1" min="28" max="28"/>
    <col width="48" customWidth="1" min="29" max="29"/>
    <col width="28" customWidth="1" min="30" max="30"/>
    <col width="32" customWidth="1" min="31" max="31"/>
    <col width="28" customWidth="1" min="32" max="32"/>
    <col width="28" customWidth="1" min="33" max="3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30" customHeight="1">
      <c r="A2" s="19" t="inlineStr">
        <is>
          <t>Corteqs · Şehir profili</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t>
        </is>
      </c>
      <c r="M5" s="22" t="inlineStr">
        <is>
          <t>Zorunlu</t>
        </is>
      </c>
      <c r="N5" s="22" t="inlineStr">
        <is>
          <t>Zorunlu</t>
        </is>
      </c>
      <c r="O5" s="22" t="inlineStr">
        <is>
          <t>Zorunlu</t>
        </is>
      </c>
      <c r="P5" s="22" t="inlineStr">
        <is>
          <t>Zorunlu</t>
        </is>
      </c>
      <c r="Q5" s="22" t="inlineStr">
        <is>
          <t>Zorunlu · tarih</t>
        </is>
      </c>
      <c r="R5" s="22" t="inlineStr">
        <is>
          <t>İsteğe bağlı</t>
        </is>
      </c>
      <c r="S5" s="22" t="inlineStr">
        <is>
          <t>Zorunlu</t>
        </is>
      </c>
      <c r="T5" s="22" t="inlineStr">
        <is>
          <t>Zorunlu · tarih</t>
        </is>
      </c>
      <c r="U5" s="22" t="inlineStr">
        <is>
          <t>Zorunlu</t>
        </is>
      </c>
      <c r="V5" s="22" t="inlineStr">
        <is>
          <t>Zorunlu · tarih</t>
        </is>
      </c>
      <c r="W5" s="22" t="inlineStr">
        <is>
          <t>Zorunlu</t>
        </is>
      </c>
      <c r="X5" s="22" t="inlineStr">
        <is>
          <t>İsteğe bağlı</t>
        </is>
      </c>
      <c r="Y5" s="22" t="inlineStr">
        <is>
          <t>İsteğe bağlı</t>
        </is>
      </c>
      <c r="Z5" s="22" t="inlineStr">
        <is>
          <t>İsteğe bağlı</t>
        </is>
      </c>
      <c r="AA5" s="22" t="inlineStr">
        <is>
          <t>İsteğe bağlı</t>
        </is>
      </c>
      <c r="AB5" s="22" t="inlineStr">
        <is>
          <t>İsteğe bağlı</t>
        </is>
      </c>
      <c r="AC5" s="22" t="inlineStr">
        <is>
          <t>İsteğe bağlı</t>
        </is>
      </c>
      <c r="AD5" s="22" t="inlineStr">
        <is>
          <t>İsteğe bağlı</t>
        </is>
      </c>
      <c r="AE5" s="22" t="inlineStr">
        <is>
          <t>İsteğe bağlı</t>
        </is>
      </c>
      <c r="AF5" s="22" t="inlineStr">
        <is>
          <t>İsteğe bağlı</t>
        </is>
      </c>
      <c r="AG5" s="22" t="inlineStr">
        <is>
          <t>Zorunlu</t>
        </is>
      </c>
    </row>
    <row r="6" ht="44" customHeight="1">
      <c r="A6" s="25" t="inlineStr">
        <is>
          <t>Şehir kimliği</t>
        </is>
      </c>
      <c r="B6" s="25" t="inlineStr">
        <is>
          <t>Şehir adı</t>
        </is>
      </c>
      <c r="C6" s="25" t="inlineStr">
        <is>
          <t>Ülke</t>
        </is>
      </c>
      <c r="D6" s="25" t="inlineStr">
        <is>
          <t>Ülke kodu</t>
        </is>
      </c>
      <c r="E6" s="25" t="inlineStr">
        <is>
          <t>Dünya bölgesi</t>
        </is>
      </c>
      <c r="F6" s="25" t="inlineStr">
        <is>
          <t>Coğrafi kapsam</t>
        </is>
      </c>
      <c r="G6" s="25" t="inlineStr">
        <is>
          <t>Rehber başlığı</t>
        </is>
      </c>
      <c r="H6" s="25" t="inlineStr">
        <is>
          <t>Rehber giriş metni</t>
        </is>
      </c>
      <c r="I6" s="25" t="inlineStr">
        <is>
          <t>Para birimi kodu</t>
        </is>
      </c>
      <c r="J6" s="25" t="inlineStr">
        <is>
          <t>Para simgesi</t>
        </is>
      </c>
      <c r="K6" s="25" t="inlineStr">
        <is>
          <t>Para birimi adı</t>
        </is>
      </c>
      <c r="L6" s="25" t="inlineStr">
        <is>
          <t>Yerel dil</t>
        </is>
      </c>
      <c r="M6" s="25" t="inlineStr">
        <is>
          <t>Saat dilimi</t>
        </is>
      </c>
      <c r="N6" s="25" t="inlineStr">
        <is>
          <t>Enlem</t>
        </is>
      </c>
      <c r="O6" s="25" t="inlineStr">
        <is>
          <t>Boylam</t>
        </is>
      </c>
      <c r="P6" s="25" t="inlineStr">
        <is>
          <t>Konum kaynağı</t>
        </is>
      </c>
      <c r="Q6" s="25" t="inlineStr">
        <is>
          <t>Konum kontrol tarihi</t>
        </is>
      </c>
      <c r="R6" s="25" t="inlineStr">
        <is>
          <t>Konum açıklaması</t>
        </is>
      </c>
      <c r="S6" s="25" t="inlineStr">
        <is>
          <t>Kapsam kaynağı</t>
        </is>
      </c>
      <c r="T6" s="25" t="inlineStr">
        <is>
          <t>Kapsam kontrol tarihi</t>
        </is>
      </c>
      <c r="U6" s="25" t="inlineStr">
        <is>
          <t>Katalog sıra numarası</t>
        </is>
      </c>
      <c r="V6" s="25" t="inlineStr">
        <is>
          <t>Rehber kontrol tarihi</t>
        </is>
      </c>
      <c r="W6" s="25" t="inlineStr">
        <is>
          <t>Öncelik</t>
        </is>
      </c>
      <c r="X6" s="25" t="inlineStr">
        <is>
          <t>Diğer adlar</t>
        </is>
      </c>
      <c r="Y6" s="25" t="inlineStr">
        <is>
          <t>Yerel ad</t>
        </is>
      </c>
      <c r="Z6" s="25" t="inlineStr">
        <is>
          <t>Şehir cümlesi</t>
        </is>
      </c>
      <c r="AA6" s="25" t="inlineStr">
        <is>
          <t>Şehir dizini sırası</t>
        </is>
      </c>
      <c r="AB6" s="25" t="inlineStr">
        <is>
          <t>Hava tahmini bağlantısı</t>
        </is>
      </c>
      <c r="AC6" s="25" t="inlineStr">
        <is>
          <t>Hava veri sağlayıcısı</t>
        </is>
      </c>
      <c r="AD6" s="25" t="inlineStr">
        <is>
          <t>Tahmin bağlantı metni</t>
        </is>
      </c>
      <c r="AE6" s="25" t="inlineStr">
        <is>
          <t>Ana kapak kimliği</t>
        </is>
      </c>
      <c r="AF6" s="25" t="inlineStr">
        <is>
          <t>Editoryal şehir notları</t>
        </is>
      </c>
      <c r="AG6" s="25" t="inlineStr">
        <is>
          <t>Editör durumu</t>
        </is>
      </c>
    </row>
    <row r="7" ht="32" customHeight="1">
      <c r="A7" s="28" t="inlineStr">
        <is>
          <t>city_id</t>
        </is>
      </c>
      <c r="B7" s="28" t="inlineStr">
        <is>
          <t>name</t>
        </is>
      </c>
      <c r="C7" s="28" t="inlineStr">
        <is>
          <t>country</t>
        </is>
      </c>
      <c r="D7" s="28" t="inlineStr">
        <is>
          <t>country_code</t>
        </is>
      </c>
      <c r="E7" s="28" t="inlineStr">
        <is>
          <t>region</t>
        </is>
      </c>
      <c r="F7" s="28" t="inlineStr">
        <is>
          <t>kind</t>
        </is>
      </c>
      <c r="G7" s="28" t="inlineStr">
        <is>
          <t>title</t>
        </is>
      </c>
      <c r="H7" s="28" t="inlineStr">
        <is>
          <t>intro</t>
        </is>
      </c>
      <c r="I7" s="28" t="inlineStr">
        <is>
          <t>currency</t>
        </is>
      </c>
      <c r="J7" s="28" t="inlineStr">
        <is>
          <t>currency_symbol</t>
        </is>
      </c>
      <c r="K7" s="28" t="inlineStr">
        <is>
          <t>currency_label</t>
        </is>
      </c>
      <c r="L7" s="28" t="inlineStr">
        <is>
          <t>language</t>
        </is>
      </c>
      <c r="M7" s="28" t="inlineStr">
        <is>
          <t>timezone</t>
        </is>
      </c>
      <c r="N7" s="28" t="inlineStr">
        <is>
          <t>latitude</t>
        </is>
      </c>
      <c r="O7" s="28" t="inlineStr">
        <is>
          <t>longitude</t>
        </is>
      </c>
      <c r="P7" s="28" t="inlineStr">
        <is>
          <t>coordinate_source_url</t>
        </is>
      </c>
      <c r="Q7" s="28" t="inlineStr">
        <is>
          <t>coordinate_checked_on</t>
        </is>
      </c>
      <c r="R7" s="28" t="inlineStr">
        <is>
          <t>coordinate_note</t>
        </is>
      </c>
      <c r="S7" s="28" t="inlineStr">
        <is>
          <t>source_url</t>
        </is>
      </c>
      <c r="T7" s="28" t="inlineStr">
        <is>
          <t>source_checked_on</t>
        </is>
      </c>
      <c r="U7" s="28" t="inlineStr">
        <is>
          <t>source_position</t>
        </is>
      </c>
      <c r="V7" s="28" t="inlineStr">
        <is>
          <t>reviewed_on</t>
        </is>
      </c>
      <c r="W7" s="28" t="inlineStr">
        <is>
          <t>priority</t>
        </is>
      </c>
      <c r="X7" s="28" t="inlineStr">
        <is>
          <t>aliases</t>
        </is>
      </c>
      <c r="Y7" s="28" t="inlineStr">
        <is>
          <t>locality</t>
        </is>
      </c>
      <c r="Z7" s="28" t="inlineStr">
        <is>
          <t>tagline</t>
        </is>
      </c>
      <c r="AA7" s="28" t="inlineStr">
        <is>
          <t>directory_order</t>
        </is>
      </c>
      <c r="AB7" s="28" t="inlineStr">
        <is>
          <t>forecast_url</t>
        </is>
      </c>
      <c r="AC7" s="28" t="inlineStr">
        <is>
          <t>provider_url</t>
        </is>
      </c>
      <c r="AD7" s="28" t="inlineStr">
        <is>
          <t>forecast_label</t>
        </is>
      </c>
      <c r="AE7" s="28" t="inlineStr">
        <is>
          <t>hero_photo_id</t>
        </is>
      </c>
      <c r="AF7" s="28" t="inlineStr">
        <is>
          <t>editorial_notes</t>
        </is>
      </c>
      <c r="AG7" s="28" t="inlineStr">
        <is>
          <t>editorial_status</t>
        </is>
      </c>
    </row>
    <row r="8" ht="54" customHeight="1">
      <c r="A8" s="29" t="inlineStr">
        <is>
          <t>eindhoven</t>
        </is>
      </c>
      <c r="B8" s="29" t="inlineStr">
        <is>
          <t>Eindhoven</t>
        </is>
      </c>
      <c r="C8" s="29" t="inlineStr">
        <is>
          <t>Hollanda</t>
        </is>
      </c>
      <c r="D8" s="29" t="inlineStr">
        <is>
          <t>NL</t>
        </is>
      </c>
      <c r="E8" s="29" t="inlineStr">
        <is>
          <t>EU</t>
        </is>
      </c>
      <c r="F8" s="29" t="inlineStr">
        <is>
          <t>city</t>
        </is>
      </c>
      <c r="G8" s="29" t="inlineStr">
        <is>
          <t>Eindhoven.</t>
        </is>
      </c>
      <c r="H8" s="29" t="inlineStr">
        <is>
          <t>Eindhoven'a yeni gelen biri için ilk haftaların rehberi: oturum izni ve belediye kaydından ev aramaya, sağlık sigortasından toplu taşımaya adım adım bilgiler. Hightech yeniliğe ve tasarıma düşkün bu şehrin müzelerini ve parklarını da keşfet.</t>
        </is>
      </c>
      <c r="I8" s="29" t="inlineStr">
        <is>
          <t>EUR</t>
        </is>
      </c>
      <c r="J8" s="29" t="inlineStr">
        <is>
          <t>€</t>
        </is>
      </c>
      <c r="K8" s="29" t="inlineStr">
        <is>
          <t>Euro</t>
        </is>
      </c>
      <c r="L8" s="29" t="inlineStr">
        <is>
          <t>Felemenkçe</t>
        </is>
      </c>
      <c r="M8" s="29" t="inlineStr">
        <is>
          <t>Europe/Amsterdam</t>
        </is>
      </c>
      <c r="N8" s="50" t="n">
        <v>51.429973</v>
      </c>
      <c r="O8" s="50" t="n">
        <v>5.500015</v>
      </c>
      <c r="P8" s="29" t="inlineStr">
        <is>
          <t>https://www.naturalearthdata.com/downloads/10m-cultural-vectors/10m-populated-places/</t>
        </is>
      </c>
      <c r="Q8" s="49" t="n">
        <v>46305</v>
      </c>
      <c r="R8" s="29" t="n"/>
      <c r="S8" s="29" t="inlineStr">
        <is>
          <t>https://www.internations.org/all-internations-cities/</t>
        </is>
      </c>
      <c r="T8" s="49" t="n">
        <v>46305</v>
      </c>
      <c r="U8" s="51" t="n">
        <v>39</v>
      </c>
      <c r="V8" s="49" t="n">
        <v>46317</v>
      </c>
      <c r="W8" s="51" t="n">
        <v>3</v>
      </c>
      <c r="X8" s="29" t="inlineStr">
        <is>
          <t>Eindhoven</t>
        </is>
      </c>
      <c r="Y8" s="29" t="inlineStr">
        <is>
          <t>Eindhoven</t>
        </is>
      </c>
      <c r="Z8" s="29" t="inlineStr">
        <is>
          <t>Hightech ve tasarımın şehri.</t>
        </is>
      </c>
      <c r="AA8" s="51" t="n"/>
      <c r="AB8" s="29" t="inlineStr">
        <is>
          <t>https://www.knmi.nl/nederland-nu/weer/verwachtingen</t>
        </is>
      </c>
      <c r="AC8" s="29" t="inlineStr">
        <is>
          <t>https://www.knmi.nl/</t>
        </is>
      </c>
      <c r="AD8" s="29" t="inlineStr">
        <is>
          <t>KNMI hava tahmini</t>
        </is>
      </c>
      <c r="AE8" s="29" t="inlineStr">
        <is>
          <t>eindhoven:photo:kapak-01</t>
        </is>
      </c>
      <c r="AF8" s="29" t="n"/>
      <c r="AG8" s="29" t="inlineStr">
        <is>
          <t>Taslak</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E8">
    <cfRule type="expression" priority="5" dxfId="1">
      <formula>AND($A8&lt;&gt;"",ISBLANK(E8))</formula>
    </cfRule>
  </conditionalFormatting>
  <conditionalFormatting sqref="F8">
    <cfRule type="expression" priority="6" dxfId="1">
      <formula>AND($A8&lt;&gt;"",ISBLANK(F8))</formula>
    </cfRule>
  </conditionalFormatting>
  <conditionalFormatting sqref="G8">
    <cfRule type="expression" priority="7" dxfId="1">
      <formula>AND($A8&lt;&gt;"",ISBLANK(G8))</formula>
    </cfRule>
  </conditionalFormatting>
  <conditionalFormatting sqref="H8">
    <cfRule type="expression" priority="8" dxfId="1">
      <formula>AND($A8&lt;&gt;"",ISBLANK(H8))</formula>
    </cfRule>
  </conditionalFormatting>
  <conditionalFormatting sqref="I8">
    <cfRule type="expression" priority="9" dxfId="1">
      <formula>AND($A8&lt;&gt;"",ISBLANK(I8))</formula>
    </cfRule>
  </conditionalFormatting>
  <conditionalFormatting sqref="L8">
    <cfRule type="expression" priority="10" dxfId="1">
      <formula>AND($A8&lt;&gt;"",ISBLANK(L8))</formula>
    </cfRule>
  </conditionalFormatting>
  <conditionalFormatting sqref="M8">
    <cfRule type="expression" priority="11" dxfId="1">
      <formula>AND($A8&lt;&gt;"",ISBLANK(M8))</formula>
    </cfRule>
  </conditionalFormatting>
  <conditionalFormatting sqref="N8">
    <cfRule type="expression" priority="12" dxfId="1">
      <formula>AND($A8&lt;&gt;"",ISBLANK(N8))</formula>
    </cfRule>
  </conditionalFormatting>
  <conditionalFormatting sqref="O8">
    <cfRule type="expression" priority="13" dxfId="1">
      <formula>AND($A8&lt;&gt;"",ISBLANK(O8))</formula>
    </cfRule>
  </conditionalFormatting>
  <conditionalFormatting sqref="P8">
    <cfRule type="expression" priority="14" dxfId="1">
      <formula>AND($A8&lt;&gt;"",ISBLANK(P8))</formula>
    </cfRule>
  </conditionalFormatting>
  <conditionalFormatting sqref="Q8">
    <cfRule type="expression" priority="15" dxfId="1">
      <formula>AND($A8&lt;&gt;"",ISBLANK(Q8))</formula>
    </cfRule>
  </conditionalFormatting>
  <conditionalFormatting sqref="S8">
    <cfRule type="expression" priority="16" dxfId="1">
      <formula>AND($A8&lt;&gt;"",ISBLANK(S8))</formula>
    </cfRule>
  </conditionalFormatting>
  <conditionalFormatting sqref="T8">
    <cfRule type="expression" priority="17" dxfId="1">
      <formula>AND($A8&lt;&gt;"",ISBLANK(T8))</formula>
    </cfRule>
  </conditionalFormatting>
  <conditionalFormatting sqref="U8">
    <cfRule type="expression" priority="18" dxfId="1">
      <formula>AND($A8&lt;&gt;"",ISBLANK(U8))</formula>
    </cfRule>
  </conditionalFormatting>
  <conditionalFormatting sqref="V8">
    <cfRule type="expression" priority="19" dxfId="1">
      <formula>AND($A8&lt;&gt;"",ISBLANK(V8))</formula>
    </cfRule>
  </conditionalFormatting>
  <conditionalFormatting sqref="W8">
    <cfRule type="expression" priority="20" dxfId="1">
      <formula>AND($A8&lt;&gt;"",ISBLANK(W8))</formula>
    </cfRule>
  </conditionalFormatting>
  <conditionalFormatting sqref="AG8">
    <cfRule type="expression" priority="21" dxfId="1">
      <formula>AND($A8&lt;&gt;"",ISBLANK(AG8))</formula>
    </cfRule>
  </conditionalFormatting>
  <dataValidations count="3">
    <dataValidation sqref="E8" showDropDown="0" showInputMessage="0" showErrorMessage="0" allowBlank="0" type="list">
      <formula1>"EU,AS,AF,NA,SA,OC"</formula1>
    </dataValidation>
    <dataValidation sqref="F8" showDropDown="0" showInputMessage="0" showErrorMessage="0" allowBlank="0" type="list">
      <formula1>"city,region,island,country"</formula1>
    </dataValidation>
    <dataValidation sqref="AG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58" customWidth="1" min="5" max="5"/>
    <col width="28" customWidth="1" min="6" max="6"/>
    <col width="28" customWidth="1" min="7" max="7"/>
    <col width="26" customWidth="1" min="8" max="8"/>
  </cols>
  <sheetData>
    <row r="1" ht="30" customHeight="1">
      <c r="A1" s="2" t="n"/>
      <c r="B1" s="2" t="n"/>
      <c r="C1" s="2" t="n"/>
      <c r="D1" s="2" t="n"/>
      <c r="E1" s="2" t="n"/>
      <c r="F1" s="2" t="n"/>
      <c r="G1" s="2" t="n"/>
      <c r="H1" s="2" t="n"/>
    </row>
    <row r="2" ht="30" customHeight="1">
      <c r="A2" s="19" t="inlineStr">
        <is>
          <t>Corteqs · Pratik yaşam konuları</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Hesap · değiştirmeyin</t>
        </is>
      </c>
    </row>
    <row r="6" ht="44" customHeight="1">
      <c r="A6" s="25" t="inlineStr">
        <is>
          <t>Konu kimliği</t>
        </is>
      </c>
      <c r="B6" s="25" t="inlineStr">
        <is>
          <t>Şehir kimliği</t>
        </is>
      </c>
      <c r="C6" s="25" t="inlineStr">
        <is>
          <t>Konu adres adı</t>
        </is>
      </c>
      <c r="D6" s="25" t="inlineStr">
        <is>
          <t>Konu başlığı</t>
        </is>
      </c>
      <c r="E6" s="25" t="inlineStr">
        <is>
          <t>Açıklama</t>
        </is>
      </c>
      <c r="F6" s="25" t="inlineStr">
        <is>
          <t>Simge anahtarı</t>
        </is>
      </c>
      <c r="G6" s="25" t="inlineStr">
        <is>
          <t>Sıra</t>
        </is>
      </c>
      <c r="H6" s="25" t="inlineStr">
        <is>
          <t>Yanıt içeren konu (hesap)</t>
        </is>
      </c>
    </row>
    <row r="7" ht="32" customHeight="1">
      <c r="A7" s="28" t="inlineStr">
        <is>
          <t>topic_id</t>
        </is>
      </c>
      <c r="B7" s="28" t="inlineStr">
        <is>
          <t>city_id</t>
        </is>
      </c>
      <c r="C7" s="28" t="inlineStr">
        <is>
          <t>slug</t>
        </is>
      </c>
      <c r="D7" s="28" t="inlineStr">
        <is>
          <t>title</t>
        </is>
      </c>
      <c r="E7" s="28" t="inlineStr">
        <is>
          <t>description</t>
        </is>
      </c>
      <c r="F7" s="28" t="inlineStr">
        <is>
          <t>icon</t>
        </is>
      </c>
      <c r="G7" s="28" t="inlineStr">
        <is>
          <t>order</t>
        </is>
      </c>
      <c r="H7" s="28" t="inlineStr">
        <is>
          <t>used_count</t>
        </is>
      </c>
    </row>
    <row r="8" ht="54" customHeight="1">
      <c r="A8" s="29" t="inlineStr">
        <is>
          <t>eindhoven:planlama</t>
        </is>
      </c>
      <c r="B8" s="29" t="inlineStr">
        <is>
          <t>eindhoven</t>
        </is>
      </c>
      <c r="C8" s="29" t="inlineStr">
        <is>
          <t>planlama</t>
        </is>
      </c>
      <c r="D8" s="29" t="inlineStr">
        <is>
          <t>Taşınmadan önce plan</t>
        </is>
      </c>
      <c r="E8" s="29" t="inlineStr">
        <is>
          <t>Eindhoven'a gelmeden önce hazırlanacak belgeler, ilk haftanın sırası ve yeni gelenlere resmî destek veren yerler.</t>
        </is>
      </c>
      <c r="F8" s="29" t="inlineStr">
        <is>
          <t>book</t>
        </is>
      </c>
      <c r="G8" s="51" t="n">
        <v>1</v>
      </c>
      <c r="H8" s="52">
        <f>IF(A8="",0,IF(COUNTIFS('Yanıtlar'!$N$8:$N$307,A8)&gt;0,1,0))</f>
        <v/>
      </c>
    </row>
    <row r="9" ht="54" customHeight="1">
      <c r="A9" s="29" t="inlineStr">
        <is>
          <t>eindhoven:oturum</t>
        </is>
      </c>
      <c r="B9" s="29" t="inlineStr">
        <is>
          <t>eindhoven</t>
        </is>
      </c>
      <c r="C9" s="29" t="inlineStr">
        <is>
          <t>oturum</t>
        </is>
      </c>
      <c r="D9" s="29" t="inlineStr">
        <is>
          <t>Vize, oturum ve çalışma hakkı</t>
        </is>
      </c>
      <c r="E9" s="29" t="inlineStr">
        <is>
          <t>IND başvuruları, bilgi göçmeni ve aile birleşimi yolları, Türk vatandaşlarına özel kurallar ve çalışma izni.</t>
        </is>
      </c>
      <c r="F9" s="29" t="inlineStr">
        <is>
          <t>plane</t>
        </is>
      </c>
      <c r="G9" s="51" t="n">
        <v>2</v>
      </c>
      <c r="H9" s="52">
        <f>IF(A9="",0,IF(COUNTIFS('Yanıtlar'!$N$8:$N$307,A9)&gt;0,1,0))</f>
        <v/>
      </c>
    </row>
    <row r="10" ht="54" customHeight="1">
      <c r="A10" s="29" t="inlineStr">
        <is>
          <t>eindhoven:resmi</t>
        </is>
      </c>
      <c r="B10" s="29" t="inlineStr">
        <is>
          <t>eindhoven</t>
        </is>
      </c>
      <c r="C10" s="29" t="inlineStr">
        <is>
          <t>resmi</t>
        </is>
      </c>
      <c r="D10" s="29" t="inlineStr">
        <is>
          <t>Kayıt ve resmî işlemler</t>
        </is>
      </c>
      <c r="E10" s="29" t="inlineStr">
        <is>
          <t>Belediyeye kayıt, BSN, DigiD, adres değişikliği, yabancı belgeler ve konsolosluk işlemleri.</t>
        </is>
      </c>
      <c r="F10" s="29" t="inlineStr">
        <is>
          <t>shield</t>
        </is>
      </c>
      <c r="G10" s="51" t="n">
        <v>3</v>
      </c>
      <c r="H10" s="52">
        <f>IF(A10="",0,IF(COUNTIFS('Yanıtlar'!$N$8:$N$307,A10)&gt;0,1,0))</f>
        <v/>
      </c>
    </row>
    <row r="11" ht="54" customHeight="1">
      <c r="A11" s="29" t="inlineStr">
        <is>
          <t>eindhoven:ev</t>
        </is>
      </c>
      <c r="B11" s="29" t="inlineStr">
        <is>
          <t>eindhoven</t>
        </is>
      </c>
      <c r="C11" s="29" t="inlineStr">
        <is>
          <t>ev</t>
        </is>
      </c>
      <c r="D11" s="29" t="inlineStr">
        <is>
          <t>Ev ve yerleşim</t>
        </is>
      </c>
      <c r="E11" s="29" t="inlineStr">
        <is>
          <t>Eindhoven'da kiralık ve sosyal konut, kira hakları, kira desteği ve ev satın almanın temel kuralları.</t>
        </is>
      </c>
      <c r="F11" s="29" t="inlineStr">
        <is>
          <t>home</t>
        </is>
      </c>
      <c r="G11" s="51" t="n">
        <v>4</v>
      </c>
      <c r="H11" s="52">
        <f>IF(A11="",0,IF(COUNTIFS('Yanıtlar'!$N$8:$N$307,A11)&gt;0,1,0))</f>
        <v/>
      </c>
    </row>
    <row r="12" ht="54" customHeight="1">
      <c r="A12" s="29" t="inlineStr">
        <is>
          <t>eindhoven:fatura</t>
        </is>
      </c>
      <c r="B12" s="29" t="inlineStr">
        <is>
          <t>eindhoven</t>
        </is>
      </c>
      <c r="C12" s="29" t="inlineStr">
        <is>
          <t>fatura</t>
        </is>
      </c>
      <c r="D12" s="29" t="inlineStr">
        <is>
          <t>Elektrik, su, ısınma ve internet</t>
        </is>
      </c>
      <c r="E12" s="29" t="inlineStr">
        <is>
          <t>Enerji ve su aboneliği, sağlayıcı değiştirme, internet sözleşmeleri ve belediye vergileri.</t>
        </is>
      </c>
      <c r="F12" s="29" t="inlineStr">
        <is>
          <t>bolt</t>
        </is>
      </c>
      <c r="G12" s="51" t="n">
        <v>5</v>
      </c>
      <c r="H12" s="52">
        <f>IF(A12="",0,IF(COUNTIFS('Yanıtlar'!$N$8:$N$307,A12)&gt;0,1,0))</f>
        <v/>
      </c>
    </row>
    <row r="13" ht="54" customHeight="1">
      <c r="A13" s="29" t="inlineStr">
        <is>
          <t>eindhoven:para</t>
        </is>
      </c>
      <c r="B13" s="29" t="inlineStr">
        <is>
          <t>eindhoven</t>
        </is>
      </c>
      <c r="C13" s="29" t="inlineStr">
        <is>
          <t>para</t>
        </is>
      </c>
      <c r="D13" s="29" t="inlineStr">
        <is>
          <t>Banka, vergi, sigorta ve destekler</t>
        </is>
      </c>
      <c r="E13" s="29" t="inlineStr">
        <is>
          <t>Banka hesabı, gelir vergisi beyanı, %30 kuralı, devlet destekleri ve mali zorlukta başvurulacak yerler.</t>
        </is>
      </c>
      <c r="F13" s="29" t="inlineStr">
        <is>
          <t>transfer</t>
        </is>
      </c>
      <c r="G13" s="51" t="n">
        <v>6</v>
      </c>
      <c r="H13" s="52">
        <f>IF(A13="",0,IF(COUNTIFS('Yanıtlar'!$N$8:$N$307,A13)&gt;0,1,0))</f>
        <v/>
      </c>
    </row>
    <row r="14" ht="54" customHeight="1">
      <c r="A14" s="29" t="inlineStr">
        <is>
          <t>eindhoven:saglik</t>
        </is>
      </c>
      <c r="B14" s="29" t="inlineStr">
        <is>
          <t>eindhoven</t>
        </is>
      </c>
      <c r="C14" s="29" t="inlineStr">
        <is>
          <t>saglik</t>
        </is>
      </c>
      <c r="D14" s="29" t="inlineStr">
        <is>
          <t>Sağlık ve bakım</t>
        </is>
      </c>
      <c r="E14" s="29" t="inlineStr">
        <is>
          <t>Zorunlu sağlık sigortası, aile hekimi kaydı, gece ve hafta sonu nöbetçi hekim, hastaneler ve acil durum.</t>
        </is>
      </c>
      <c r="F14" s="29" t="inlineStr">
        <is>
          <t>heart</t>
        </is>
      </c>
      <c r="G14" s="51" t="n">
        <v>7</v>
      </c>
      <c r="H14" s="52">
        <f>IF(A14="",0,IF(COUNTIFS('Yanıtlar'!$N$8:$N$307,A14)&gt;0,1,0))</f>
        <v/>
      </c>
    </row>
    <row r="15" ht="54" customHeight="1">
      <c r="A15" s="29" t="inlineStr">
        <is>
          <t>eindhoven:is</t>
        </is>
      </c>
      <c r="B15" s="29" t="inlineStr">
        <is>
          <t>eindhoven</t>
        </is>
      </c>
      <c r="C15" s="29" t="inlineStr">
        <is>
          <t>is</t>
        </is>
      </c>
      <c r="D15" s="29" t="inlineStr">
        <is>
          <t>İş ve kariyer</t>
        </is>
      </c>
      <c r="E15" s="29" t="inlineStr">
        <is>
          <t>İş arama, çalışan hakları, işsizlik ödeneği, serbest çalışma kaydı ve yabancı diploma tanıma.</t>
        </is>
      </c>
      <c r="F15" s="29" t="inlineStr">
        <is>
          <t>briefcase</t>
        </is>
      </c>
      <c r="G15" s="51" t="n">
        <v>8</v>
      </c>
      <c r="H15" s="52">
        <f>IF(A15="",0,IF(COUNTIFS('Yanıtlar'!$N$8:$N$307,A15)&gt;0,1,0))</f>
        <v/>
      </c>
    </row>
    <row r="16" ht="54" customHeight="1">
      <c r="A16" s="29" t="inlineStr">
        <is>
          <t>eindhoven:aile</t>
        </is>
      </c>
      <c r="B16" s="29" t="inlineStr">
        <is>
          <t>eindhoven</t>
        </is>
      </c>
      <c r="C16" s="29" t="inlineStr">
        <is>
          <t>aile</t>
        </is>
      </c>
      <c r="D16" s="29" t="inlineStr">
        <is>
          <t>Aile, eğitim ve çocuk</t>
        </is>
      </c>
      <c r="E16" s="29" t="inlineStr">
        <is>
          <t>Okul kaydı ve zorunlu eğitim, çocuk yardımı, çocuk bakımı desteği, doğum kaydı ve uluslararası okullar.</t>
        </is>
      </c>
      <c r="F16" s="29" t="inlineStr">
        <is>
          <t>family</t>
        </is>
      </c>
      <c r="G16" s="51" t="n">
        <v>9</v>
      </c>
      <c r="H16" s="52">
        <f>IF(A16="",0,IF(COUNTIFS('Yanıtlar'!$N$8:$N$307,A16)&gt;0,1,0))</f>
        <v/>
      </c>
    </row>
    <row r="17" ht="54" customHeight="1">
      <c r="A17" s="29" t="inlineStr">
        <is>
          <t>eindhoven:ulasim</t>
        </is>
      </c>
      <c r="B17" s="29" t="inlineStr">
        <is>
          <t>eindhoven</t>
        </is>
      </c>
      <c r="C17" s="29" t="inlineStr">
        <is>
          <t>ulasim</t>
        </is>
      </c>
      <c r="D17" s="29" t="inlineStr">
        <is>
          <t>Ulaşım</t>
        </is>
      </c>
      <c r="E17" s="29" t="inlineStr">
        <is>
          <t>Toplu taşıma kartları ve biletler, tren ve otobüs, bisiklet, ehliyet değişimi, park izni ve havalimanı.</t>
        </is>
      </c>
      <c r="F17" s="29" t="inlineStr">
        <is>
          <t>train</t>
        </is>
      </c>
      <c r="G17" s="51" t="n">
        <v>10</v>
      </c>
      <c r="H17" s="52">
        <f>IF(A17="",0,IF(COUNTIFS('Yanıtlar'!$N$8:$N$307,A17)&gt;0,1,0))</f>
        <v/>
      </c>
    </row>
    <row r="18" ht="54" customHeight="1">
      <c r="A18" s="29" t="inlineStr">
        <is>
          <t>eindhoven:gunluk</t>
        </is>
      </c>
      <c r="B18" s="29" t="inlineStr">
        <is>
          <t>eindhoven</t>
        </is>
      </c>
      <c r="C18" s="29" t="inlineStr">
        <is>
          <t>gunluk</t>
        </is>
      </c>
      <c r="D18" s="29" t="inlineStr">
        <is>
          <t>Günlük yaşam ve topluluk</t>
        </is>
      </c>
      <c r="E18" s="29" t="inlineStr">
        <is>
          <t>Atık ayrıştırma, pazarlar ve alışveriş, kütüphane, dil kursları, polis ve acil numaralar.</t>
        </is>
      </c>
      <c r="F18" s="29" t="inlineStr">
        <is>
          <t>bag</t>
        </is>
      </c>
      <c r="G18" s="51" t="n">
        <v>11</v>
      </c>
      <c r="H18" s="52">
        <f>IF(A18="",0,IF(COUNTIFS('Yanıtlar'!$N$8:$N$307,A18)&gt;0,1,0))</f>
        <v/>
      </c>
    </row>
    <row r="19" ht="54" customHeight="1">
      <c r="A19" s="29" t="inlineStr">
        <is>
          <t>eindhoven:kesif</t>
        </is>
      </c>
      <c r="B19" s="29" t="inlineStr">
        <is>
          <t>eindhoven</t>
        </is>
      </c>
      <c r="C19" s="29" t="inlineStr">
        <is>
          <t>kesif</t>
        </is>
      </c>
      <c r="D19" s="29" t="inlineStr">
        <is>
          <t>Keşif, kültür, sanat ve spor</t>
        </is>
      </c>
      <c r="E19" s="29" t="inlineStr">
        <is>
          <t>Müzeler ve indirimli kartlar, tasarım ve ışık festivalleri, spor tesisleri, parklar ve şehir etkinlikleri.</t>
        </is>
      </c>
      <c r="F19" s="29" t="inlineStr">
        <is>
          <t>people</t>
        </is>
      </c>
      <c r="G19" s="51" t="n">
        <v>12</v>
      </c>
      <c r="H19" s="52">
        <f>IF(A19="",0,IF(COUNTIFS('Yanıtlar'!$N$8:$N$307,A19)&gt;0,1,0))</f>
        <v/>
      </c>
    </row>
    <row r="20" ht="54" customHeight="1">
      <c r="A20" s="29" t="n"/>
      <c r="B20" s="29" t="n"/>
      <c r="C20" s="29" t="n"/>
      <c r="D20" s="29" t="n"/>
      <c r="E20" s="29" t="n"/>
      <c r="F20" s="29" t="n"/>
      <c r="G20" s="51" t="n"/>
      <c r="H20" s="52">
        <f>IF(A20="",0,IF(COUNTIFS('Yanıtlar'!$N$8:$N$307,A20)&gt;0,1,0))</f>
        <v/>
      </c>
    </row>
    <row r="21" ht="54" customHeight="1">
      <c r="A21" s="29" t="n"/>
      <c r="B21" s="29" t="n"/>
      <c r="C21" s="29" t="n"/>
      <c r="D21" s="29" t="n"/>
      <c r="E21" s="29" t="n"/>
      <c r="F21" s="29" t="n"/>
      <c r="G21" s="51" t="n"/>
      <c r="H21" s="52">
        <f>IF(A21="",0,IF(COUNTIFS('Yanıtlar'!$N$8:$N$307,A21)&gt;0,1,0))</f>
        <v/>
      </c>
    </row>
    <row r="22" ht="54" customHeight="1">
      <c r="A22" s="29" t="n"/>
      <c r="B22" s="29" t="n"/>
      <c r="C22" s="29" t="n"/>
      <c r="D22" s="29" t="n"/>
      <c r="E22" s="29" t="n"/>
      <c r="F22" s="29" t="n"/>
      <c r="G22" s="51" t="n"/>
      <c r="H22" s="52">
        <f>IF(A22="",0,IF(COUNTIFS('Yanıtlar'!$N$8:$N$307,A22)&gt;0,1,0))</f>
        <v/>
      </c>
    </row>
    <row r="23" ht="54" customHeight="1">
      <c r="A23" s="29" t="n"/>
      <c r="B23" s="29" t="n"/>
      <c r="C23" s="29" t="n"/>
      <c r="D23" s="29" t="n"/>
      <c r="E23" s="29" t="n"/>
      <c r="F23" s="29" t="n"/>
      <c r="G23" s="51" t="n"/>
      <c r="H23" s="52">
        <f>IF(A23="",0,IF(COUNTIFS('Yanıtlar'!$N$8:$N$307,A23)&gt;0,1,0))</f>
        <v/>
      </c>
    </row>
    <row r="24" ht="54" customHeight="1">
      <c r="A24" s="29" t="n"/>
      <c r="B24" s="29" t="n"/>
      <c r="C24" s="29" t="n"/>
      <c r="D24" s="29" t="n"/>
      <c r="E24" s="29" t="n"/>
      <c r="F24" s="29" t="n"/>
      <c r="G24" s="51" t="n"/>
      <c r="H24" s="52">
        <f>IF(A24="",0,IF(COUNTIFS('Yanıtlar'!$N$8:$N$307,A24)&gt;0,1,0))</f>
        <v/>
      </c>
    </row>
    <row r="25" ht="54" customHeight="1">
      <c r="A25" s="29" t="n"/>
      <c r="B25" s="29" t="n"/>
      <c r="C25" s="29" t="n"/>
      <c r="D25" s="29" t="n"/>
      <c r="E25" s="29" t="n"/>
      <c r="F25" s="29" t="n"/>
      <c r="G25" s="51" t="n"/>
      <c r="H25" s="52">
        <f>IF(A25="",0,IF(COUNTIFS('Yanıtlar'!$N$8:$N$307,A25)&gt;0,1,0))</f>
        <v/>
      </c>
    </row>
    <row r="26" ht="54" customHeight="1">
      <c r="A26" s="29" t="n"/>
      <c r="B26" s="29" t="n"/>
      <c r="C26" s="29" t="n"/>
      <c r="D26" s="29" t="n"/>
      <c r="E26" s="29" t="n"/>
      <c r="F26" s="29" t="n"/>
      <c r="G26" s="51" t="n"/>
      <c r="H26" s="52">
        <f>IF(A26="",0,IF(COUNTIFS('Yanıtlar'!$N$8:$N$307,A26)&gt;0,1,0))</f>
        <v/>
      </c>
    </row>
    <row r="27" ht="54" customHeight="1">
      <c r="A27" s="29" t="n"/>
      <c r="B27" s="29" t="n"/>
      <c r="C27" s="29" t="n"/>
      <c r="D27" s="29" t="n"/>
      <c r="E27" s="29" t="n"/>
      <c r="F27" s="29" t="n"/>
      <c r="G27" s="51" t="n"/>
      <c r="H27" s="52">
        <f>IF(A27="",0,IF(COUNTIFS('Yanıtlar'!$N$8:$N$307,A27)&gt;0,1,0))</f>
        <v/>
      </c>
    </row>
    <row r="28" ht="54" customHeight="1">
      <c r="A28" s="29" t="n"/>
      <c r="B28" s="29" t="n"/>
      <c r="C28" s="29" t="n"/>
      <c r="D28" s="29" t="n"/>
      <c r="E28" s="29" t="n"/>
      <c r="F28" s="29" t="n"/>
      <c r="G28" s="51" t="n"/>
      <c r="H28" s="52">
        <f>IF(A28="",0,IF(COUNTIFS('Yanıtlar'!$N$8:$N$307,A28)&gt;0,1,0))</f>
        <v/>
      </c>
    </row>
    <row r="29" ht="54" customHeight="1">
      <c r="A29" s="29" t="n"/>
      <c r="B29" s="29" t="n"/>
      <c r="C29" s="29" t="n"/>
      <c r="D29" s="29" t="n"/>
      <c r="E29" s="29" t="n"/>
      <c r="F29" s="29" t="n"/>
      <c r="G29" s="51" t="n"/>
      <c r="H29" s="52">
        <f>IF(A29="",0,IF(COUNTIFS('Yanıtlar'!$N$8:$N$307,A29)&gt;0,1,0))</f>
        <v/>
      </c>
    </row>
    <row r="30" ht="54" customHeight="1">
      <c r="A30" s="29" t="n"/>
      <c r="B30" s="29" t="n"/>
      <c r="C30" s="29" t="n"/>
      <c r="D30" s="29" t="n"/>
      <c r="E30" s="29" t="n"/>
      <c r="F30" s="29" t="n"/>
      <c r="G30" s="51" t="n"/>
      <c r="H30" s="52">
        <f>IF(A30="",0,IF(COUNTIFS('Yanıtlar'!$N$8:$N$307,A30)&gt;0,1,0))</f>
        <v/>
      </c>
    </row>
    <row r="31" ht="54" customHeight="1">
      <c r="A31" s="29" t="n"/>
      <c r="B31" s="29" t="n"/>
      <c r="C31" s="29" t="n"/>
      <c r="D31" s="29" t="n"/>
      <c r="E31" s="29" t="n"/>
      <c r="F31" s="29" t="n"/>
      <c r="G31" s="51" t="n"/>
      <c r="H31" s="52">
        <f>IF(A31="",0,IF(COUNTIFS('Yanıtlar'!$N$8:$N$307,A31)&gt;0,1,0))</f>
        <v/>
      </c>
    </row>
    <row r="32" ht="54" customHeight="1">
      <c r="A32" s="29" t="n"/>
      <c r="B32" s="29" t="n"/>
      <c r="C32" s="29" t="n"/>
      <c r="D32" s="29" t="n"/>
      <c r="E32" s="29" t="n"/>
      <c r="F32" s="29" t="n"/>
      <c r="G32" s="51" t="n"/>
      <c r="H32" s="52">
        <f>IF(A32="",0,IF(COUNTIFS('Yanıtlar'!$N$8:$N$307,A32)&gt;0,1,0))</f>
        <v/>
      </c>
    </row>
    <row r="33" ht="54" customHeight="1">
      <c r="A33" s="29" t="n"/>
      <c r="B33" s="29" t="n"/>
      <c r="C33" s="29" t="n"/>
      <c r="D33" s="29" t="n"/>
      <c r="E33" s="29" t="n"/>
      <c r="F33" s="29" t="n"/>
      <c r="G33" s="51" t="n"/>
      <c r="H33" s="52">
        <f>IF(A33="",0,IF(COUNTIFS('Yanıtlar'!$N$8:$N$307,A33)&gt;0,1,0))</f>
        <v/>
      </c>
    </row>
    <row r="34" ht="54" customHeight="1">
      <c r="A34" s="29" t="n"/>
      <c r="B34" s="29" t="n"/>
      <c r="C34" s="29" t="n"/>
      <c r="D34" s="29" t="n"/>
      <c r="E34" s="29" t="n"/>
      <c r="F34" s="29" t="n"/>
      <c r="G34" s="51" t="n"/>
      <c r="H34" s="52">
        <f>IF(A34="",0,IF(COUNTIFS('Yanıtlar'!$N$8:$N$307,A34)&gt;0,1,0))</f>
        <v/>
      </c>
    </row>
    <row r="35" ht="54" customHeight="1">
      <c r="A35" s="29" t="n"/>
      <c r="B35" s="29" t="n"/>
      <c r="C35" s="29" t="n"/>
      <c r="D35" s="29" t="n"/>
      <c r="E35" s="29" t="n"/>
      <c r="F35" s="29" t="n"/>
      <c r="G35" s="51" t="n"/>
      <c r="H35" s="52">
        <f>IF(A35="",0,IF(COUNTIFS('Yanıtlar'!$N$8:$N$307,A35)&gt;0,1,0))</f>
        <v/>
      </c>
    </row>
    <row r="36" ht="54" customHeight="1">
      <c r="A36" s="29" t="n"/>
      <c r="B36" s="29" t="n"/>
      <c r="C36" s="29" t="n"/>
      <c r="D36" s="29" t="n"/>
      <c r="E36" s="29" t="n"/>
      <c r="F36" s="29" t="n"/>
      <c r="G36" s="51" t="n"/>
      <c r="H36" s="52">
        <f>IF(A36="",0,IF(COUNTIFS('Yanıtlar'!$N$8:$N$307,A36)&gt;0,1,0))</f>
        <v/>
      </c>
    </row>
    <row r="37" ht="54" customHeight="1">
      <c r="A37" s="29" t="n"/>
      <c r="B37" s="29" t="n"/>
      <c r="C37" s="29" t="n"/>
      <c r="D37" s="29" t="n"/>
      <c r="E37" s="29" t="n"/>
      <c r="F37" s="29" t="n"/>
      <c r="G37" s="51" t="n"/>
      <c r="H37" s="52">
        <f>IF(A37="",0,IF(COUNTIFS('Yanıtlar'!$N$8:$N$307,A37)&gt;0,1,0))</f>
        <v/>
      </c>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F8:F37">
    <cfRule type="expression" priority="6" dxfId="1">
      <formula>AND($A8&lt;&gt;"",ISBLANK(F8))</formula>
    </cfRule>
  </conditionalFormatting>
  <conditionalFormatting sqref="G8:G3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3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32" customWidth="1" min="14" max="14"/>
    <col width="58" customWidth="1" min="15" max="15"/>
    <col width="58" customWidth="1" min="16" max="16"/>
    <col width="28" customWidth="1" min="17" max="17"/>
    <col width="28" customWidth="1" min="18" max="18"/>
    <col width="58" customWidth="1" min="19" max="19"/>
    <col width="48"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Pratik yaşam yanıtları</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 · alt satır</t>
        </is>
      </c>
      <c r="P5" s="22" t="inlineStr">
        <is>
          <t>İsteğe bağlı · alt satır</t>
        </is>
      </c>
      <c r="Q5" s="22" t="inlineStr">
        <is>
          <t>İsteğe bağlı</t>
        </is>
      </c>
      <c r="R5" s="22" t="inlineStr">
        <is>
          <t>İsteğe bağlı</t>
        </is>
      </c>
      <c r="S5" s="22" t="inlineStr">
        <is>
          <t>İsteğe bağlı</t>
        </is>
      </c>
      <c r="T5" s="22" t="inlineStr">
        <is>
          <t>İsteğe bağlı · JSON</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Konu kimliği</t>
        </is>
      </c>
      <c r="O6" s="25" t="inlineStr">
        <is>
          <t>İşlem adımları</t>
        </is>
      </c>
      <c r="P6" s="25" t="inlineStr">
        <is>
          <t>Gereken belgeler</t>
        </is>
      </c>
      <c r="Q6" s="25" t="inlineStr">
        <is>
          <t>Süre / son tarih</t>
        </is>
      </c>
      <c r="R6" s="25" t="inlineStr">
        <is>
          <t>Ücret / maliyet</t>
        </is>
      </c>
      <c r="S6" s="25" t="inlineStr">
        <is>
          <t>İstisna ve dikkat notu</t>
        </is>
      </c>
      <c r="T6" s="25" t="inlineStr">
        <is>
          <t>Görsel açıklama yapısı (JSON)</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topic_id</t>
        </is>
      </c>
      <c r="O7" s="28" t="inlineStr">
        <is>
          <t>steps</t>
        </is>
      </c>
      <c r="P7" s="28" t="inlineStr">
        <is>
          <t>documents</t>
        </is>
      </c>
      <c r="Q7" s="28" t="inlineStr">
        <is>
          <t>timing</t>
        </is>
      </c>
      <c r="R7" s="28" t="inlineStr">
        <is>
          <t>cost</t>
        </is>
      </c>
      <c r="S7" s="28" t="inlineStr">
        <is>
          <t>note</t>
        </is>
      </c>
      <c r="T7" s="28" t="inlineStr">
        <is>
          <t>visual_json</t>
        </is>
      </c>
    </row>
    <row r="8" ht="54" customHeight="1">
      <c r="A8" s="29" t="inlineStr">
        <is>
          <t>eindhoven:kinderopvangtoeslag-sartlari</t>
        </is>
      </c>
      <c r="B8" s="29" t="inlineStr">
        <is>
          <t>eindhoven</t>
        </is>
      </c>
      <c r="C8" s="29" t="inlineStr">
        <is>
          <t>kinderopvangtoeslag-sartlari</t>
        </is>
      </c>
      <c r="D8" s="29" t="inlineStr">
        <is>
          <t>Kinderopvangtoeslag (çocuk bakım yardımı) kimlere verilir?</t>
        </is>
      </c>
      <c r="E8" s="29" t="inlineStr">
        <is>
          <t>Kreş veya okul sonrası bakım masrafına devletin katkısı</t>
        </is>
      </c>
      <c r="F8" s="29" t="inlineStr">
        <is>
          <t>Kinderopvangtoeslag, çocuğunuz bir kreşe ya da buitenschoolse opvang'a (BSO, okul sonrası bakım) gidiyorsa bakım masrafına devletin yaptığı katkıdır. Siz ve varsa toeslagpartner'inizin (yardım ortağı) ikinizin de ücretli bir işte çalışıyor ya da bir yeniden entegrasyon programına, uyum kursuna veya eğitime katılıyor olmanız gerekir. Yarı zamanlı çalışmak yeterlidir, gönüllü çalışma yeterli değildir.</t>
        </is>
      </c>
      <c r="G8" s="29" t="inlineStr">
        <is>
          <t>kinderopvangtoeslag, çocuk bakım yardımı, kreş, BSO, toeslagen, Dienst Toeslagen</t>
        </is>
      </c>
      <c r="H8" s="29" t="inlineStr">
        <is>
          <t>new;settled</t>
        </is>
      </c>
      <c r="I8" s="29" t="inlineStr">
        <is>
          <t>eindhoven:kaynak:135;eindhoven:kaynak:134</t>
        </is>
      </c>
      <c r="J8" s="49" t="n">
        <v>46317</v>
      </c>
      <c r="K8" s="51" t="n">
        <v>901</v>
      </c>
      <c r="L8" s="29" t="inlineStr">
        <is>
          <t>Hayır</t>
        </is>
      </c>
      <c r="M8" s="29" t="inlineStr">
        <is>
          <t>Taslak</t>
        </is>
      </c>
      <c r="N8" s="29" t="inlineStr">
        <is>
          <t>eindhoven:aile</t>
        </is>
      </c>
      <c r="O8" s="29" t="inlineStr">
        <is>
          <t>Siz ve varsa toeslagpartner'inizin her ikinizin de ücretli çalıştığını ya da bir yeniden entegrasyon, uyum kursu veya eğitim programına katıldığını kontrol edin.
Kreşin ya da bakıcı kuruluşunun kayıtlı olduğundan emin olun; çocuk bakıcısı kullanacaksanız bakıcının da kayıtlı olması gerekir.
Sizin ve çocuğun aynı evde yaşadığını ve ikinizin de bu adreste belediyeye kayıtlı olduğunu kontrol edin.
Kreş veya bakıcı kuruluşuyla sözleşme imzalayın ve bakım masraflarını kendiniz ödeyin.
Şartların hepsi tamamsa Mijn toeslagen üzerinden başvurun.</t>
        </is>
      </c>
      <c r="P8" s="29" t="n"/>
      <c r="Q8" s="29" t="n"/>
      <c r="R8" s="29" t="n"/>
      <c r="S8" s="29" t="inlineStr">
        <is>
          <t>Doktora öğrencisiyseniz (PhD) ya üniversiteniz tarafından çalıştırılıyor olmanız ya da aldığınız bursu vergi beyannamenizde göstermeniz gerekir. Uyruk ve oturum izni şartları ayrıdır: 'Kinderopvangtoeslag için oturum izni veya uyruk şartı var mı?' kartına bakın.</t>
        </is>
      </c>
      <c r="T8" s="29" t="n"/>
    </row>
    <row r="9" ht="54" customHeight="1">
      <c r="A9" s="29" t="inlineStr">
        <is>
          <t>eindhoven:kinderopvangtoeslag-basvurusu</t>
        </is>
      </c>
      <c r="B9" s="29" t="inlineStr">
        <is>
          <t>eindhoven</t>
        </is>
      </c>
      <c r="C9" s="29" t="inlineStr">
        <is>
          <t>kinderopvangtoeslag-basvurusu</t>
        </is>
      </c>
      <c r="D9" s="29" t="inlineStr">
        <is>
          <t>Kinderopvangtoeslag nasıl başvurulur?</t>
        </is>
      </c>
      <c r="E9" s="29" t="inlineStr">
        <is>
          <t>Mijn toeslagen üzerinden, kreş sözleşmesini imzalar imzalamaz</t>
        </is>
      </c>
      <c r="F9" s="29" t="inlineStr">
        <is>
          <t>Kinderopvangtoeslag otomatik verilmez; Mijn toeslagen (Dienst Toeslagen'in kişisel hesabı) üzerinden kendiniz başvurursunuz. Kreşle sözleşmeyi imzalar imzalamaz başvurabilirsiniz, ama çocuk doğmuş olmalı ve burgerservicenummer'ı (BSN) olmalı. Bakım başladıktan sonra en geç 3 ay içinde başvurmazsanız para kaybedersiniz. Cevap genelde başvurudan sonraki 5 hafta içinde mektupla ve Berichtenbox'a gelir.</t>
        </is>
      </c>
      <c r="G9" s="29" t="inlineStr">
        <is>
          <t>kinderopvangtoeslag başvuru, Mijn toeslagen, kreş yardımı, Berichtenbox, LRK, toeslag</t>
        </is>
      </c>
      <c r="H9" s="29" t="inlineStr">
        <is>
          <t>new;settled</t>
        </is>
      </c>
      <c r="I9" s="29" t="inlineStr">
        <is>
          <t>eindhoven:kaynak:136;eindhoven:kaynak:134</t>
        </is>
      </c>
      <c r="J9" s="49" t="n">
        <v>46317</v>
      </c>
      <c r="K9" s="51" t="n">
        <v>902</v>
      </c>
      <c r="L9" s="29" t="inlineStr">
        <is>
          <t>Evet</t>
        </is>
      </c>
      <c r="M9" s="29" t="inlineStr">
        <is>
          <t>Taslak</t>
        </is>
      </c>
      <c r="N9" s="29" t="inlineStr">
        <is>
          <t>eindhoven:aile</t>
        </is>
      </c>
      <c r="O9" s="29" t="inlineStr">
        <is>
          <t>Toeslagen sitesinde kinderopvangtoeslag hakkınız olup olmadığına bakın.
Kreş sözleşmesini ya da bir faturayı hazırlayın: kreşin adı ve adresi, LRK kayıt numarası, aylık bakım saati ve saat ücreti gerekir.
Sizin ve varsa toeslagpartner'inizin yıllık gelir bilgisini hazırlayın.
MijnOverheid'de Berichtenbox'ınızı etkinleştirin; başvurunuzla ilgili posta gelince e-posta alırsınız.
Mijn toeslagen'e giriş yapın ve 'Kinderopvangtoeslag' bölümünde 'Aanvragen' (başvur) seçeneğini seçin.
Soruları cevaplayıp başvuruyu gönderin; bazı bilgiler sizin için önceden doldurulmuş gelir.</t>
        </is>
      </c>
      <c r="P9" s="29" t="inlineStr">
        <is>
          <t>Kreşle yapılan sözleşme (ya da bir fatura)
Kreşin Landelijk Register Kinderopvang (LRK) kayıt numarası
Sizin ve toeslagpartner'inizin yıllık gelir bilgisi</t>
        </is>
      </c>
      <c r="Q9" s="29" t="inlineStr">
        <is>
          <t>Sözleşme imzalanır imzalanmaz başvurulabilir; en geç bakım başladıktan 3 ay sonra. Cevap genelde 5 hafta içinde gelir.</t>
        </is>
      </c>
      <c r="R9" s="29" t="n"/>
      <c r="S9" s="29" t="inlineStr">
        <is>
          <t>Yalnızca ilk çocuğunuz için başvurursunuz; kardeşi de kreşe giderse yeni başvuru yerine değişiklik bildirirsiniz. Genelde başvuruyu gönderince alacağınız tutarı hemen görürsünüz.</t>
        </is>
      </c>
      <c r="T9" s="29" t="n"/>
    </row>
    <row r="10" ht="54" customHeight="1">
      <c r="A10" s="29" t="inlineStr">
        <is>
          <t>eindhoven:kinderopvangtoeslag-oturum-izni-uyruk</t>
        </is>
      </c>
      <c r="B10" s="29" t="inlineStr">
        <is>
          <t>eindhoven</t>
        </is>
      </c>
      <c r="C10" s="29" t="inlineStr">
        <is>
          <t>kinderopvangtoeslag-oturum-izni-uyruk</t>
        </is>
      </c>
      <c r="D10" s="29" t="inlineStr">
        <is>
          <t>Kinderopvangtoeslag için oturum izni veya uyruk şartı var mı?</t>
        </is>
      </c>
      <c r="E10" s="29" t="inlineStr">
        <is>
          <t>AB vatandaşları, diğer ülkelerin vatandaşları ve yurt dışında yaşayan partner</t>
        </is>
      </c>
      <c r="F10" s="29" t="inlineStr">
        <is>
          <t>AB ülkesi, Liechtenstein, Norveç, İzlanda veya İsviçre vatandaşıysanız geçerli bir oturum izni gerekmez, ama ikamet hakkınız olmalıdır; bu bilgiyi Dienst Toeslagen belediyenizden alır. Başka bir ülkenin vatandaşıysanız yardım hakkı veren geçerli bir oturum izniniz olmalıdır. Partneriniz bu ülkelerin dışında yaşıyorsa 4 Mart 2022'den beri, ikiniz de şartları sağlarsanız yine hak doğabilir.</t>
        </is>
      </c>
      <c r="G10" s="29" t="inlineStr">
        <is>
          <t>kinderopvangtoeslag oturum izni, verblijfsvergunning, IND, AB vatandaşı, toeslagen şartları</t>
        </is>
      </c>
      <c r="H10" s="29" t="inlineStr">
        <is>
          <t>new;settled</t>
        </is>
      </c>
      <c r="I10" s="29" t="inlineStr">
        <is>
          <t>eindhoven:kaynak:135</t>
        </is>
      </c>
      <c r="J10" s="49" t="n">
        <v>46317</v>
      </c>
      <c r="K10" s="51" t="n">
        <v>903</v>
      </c>
      <c r="L10" s="29" t="inlineStr">
        <is>
          <t>Hayır</t>
        </is>
      </c>
      <c r="M10" s="29" t="inlineStr">
        <is>
          <t>Taslak</t>
        </is>
      </c>
      <c r="N10" s="29" t="inlineStr">
        <is>
          <t>eindhoven:aile</t>
        </is>
      </c>
      <c r="O10" s="29" t="inlineStr">
        <is>
          <t>AB, Liechtenstein, Norveç, İzlanda veya İsviçre vatandaşıysanız ikamet hakkınızı IND sitesinden kontrol edin.
Başka bir ülkenin vatandaşıysanız oturum izninizin yardım hakkı verip vermediğini IND sitesinden kontrol edin.
Yurt dışındaki bir kreş kullanacaksanız onun da kayıtlı olması gerekir; Register buitenlandse kinderopvang (yurt dışı kinderopvang sicili) içinde arayın.
Partneriniz bu ülkelerin dışında yaşıyorsa sizin ve partnerinizin diğer şartların hepsini sağladığını kontrol edin.</t>
        </is>
      </c>
      <c r="P10" s="29" t="n"/>
      <c r="Q10" s="29" t="n"/>
      <c r="R10" s="29" t="n"/>
      <c r="S10" s="29" t="inlineStr">
        <is>
          <t>Türkiye yukarıdaki ülke listesinde yok; Türk vatandaşları 'başka bir ülke' kuralına girer ve yardım hakkı veren geçerli bir oturum izni gerekir.</t>
        </is>
      </c>
      <c r="T10" s="29" t="n"/>
    </row>
    <row r="11" ht="54" customHeight="1">
      <c r="A11" s="29" t="inlineStr">
        <is>
          <t>eindhoven:kinderopvangtoeslag-saat-siniri-ve-degisiklik</t>
        </is>
      </c>
      <c r="B11" s="29" t="inlineStr">
        <is>
          <t>eindhoven</t>
        </is>
      </c>
      <c r="C11" s="29" t="inlineStr">
        <is>
          <t>kinderopvangtoeslag-saat-siniri-ve-degisiklik</t>
        </is>
      </c>
      <c r="D11" s="29" t="inlineStr">
        <is>
          <t>Kinderopvangtoeslag kaç saati karşılar, değişiklikler nasıl bildirilir?</t>
        </is>
      </c>
      <c r="E11" s="29" t="inlineStr">
        <is>
          <t>Çocuk başına aylık saat sınırı ve toeslag bilgilerindeki değişiklikler</t>
        </is>
      </c>
      <c r="F11" s="29" t="inlineStr">
        <is>
          <t>Hak sahibiyseniz çocuk başına ayda en çok 230 saat için kinderopvangtoeslag alırsınız. Bu sınır hak sahibi herkes için aynıdır; kaç saat çalıştığınız ve çalışıyor mu yoksa eğitim mi görüyorsunuz, fark etmez. Toeslag'ın hesaplanmasında kullanılan bilgilerden herhangi biri değişirse, örneğin geliriniz ya da bakım saati sayısı, bunu bildirmeniz gerekir.</t>
        </is>
      </c>
      <c r="G11" s="29" t="inlineStr">
        <is>
          <t>kinderopvangtoeslag 230 saat, wijziging doorgeven, gelir değişikliği, bakım saati, Mijn toeslagen</t>
        </is>
      </c>
      <c r="H11" s="29" t="inlineStr">
        <is>
          <t>new;settled</t>
        </is>
      </c>
      <c r="I11" s="29" t="inlineStr">
        <is>
          <t>eindhoven:kaynak:135;eindhoven:kaynak:136</t>
        </is>
      </c>
      <c r="J11" s="49" t="n">
        <v>46317</v>
      </c>
      <c r="K11" s="51" t="n">
        <v>904</v>
      </c>
      <c r="L11" s="29" t="inlineStr">
        <is>
          <t>Hayır</t>
        </is>
      </c>
      <c r="M11" s="29" t="inlineStr">
        <is>
          <t>Taslak</t>
        </is>
      </c>
      <c r="N11" s="29" t="inlineStr">
        <is>
          <t>eindhoven:aile</t>
        </is>
      </c>
      <c r="O11" s="29" t="inlineStr">
        <is>
          <t>Mijn toeslagen'e giriş yapın; bilgilerinize istediğiniz zaman tekrar bakabilirsiniz.
Toeslag hesabında kullanılan herhangi bir bilgi değiştiğinde (örneğin geliriniz ya da aylık bakım saati) bunu Dienst Toeslagen'e bildirin.
Bir kardeş de kreşe başlıyorsa yeni başvuru yapmayın, wijziging (değişiklik) olarak bildirin.</t>
        </is>
      </c>
      <c r="P11" s="29" t="n"/>
      <c r="Q11" s="29" t="n"/>
      <c r="R11" s="29" t="n"/>
      <c r="S11" s="29" t="inlineStr">
        <is>
          <t>Kreşinizin sizin doğru kişisel bilgilerinize sahip olması, doğru tutarı alabilmeniz için önemlidir.</t>
        </is>
      </c>
      <c r="T11" s="29" t="n"/>
    </row>
    <row r="12" ht="54" customHeight="1">
      <c r="A12" s="29" t="inlineStr">
        <is>
          <t>eindhoven:kinderopvang-lrk-kayit-kontrolu</t>
        </is>
      </c>
      <c r="B12" s="29" t="inlineStr">
        <is>
          <t>eindhoven</t>
        </is>
      </c>
      <c r="C12" s="29" t="inlineStr">
        <is>
          <t>kinderopvang-lrk-kayit-kontrolu</t>
        </is>
      </c>
      <c r="D12" s="29" t="inlineStr">
        <is>
          <t>Kreşin veya çocuk bakıcısının kayıtlı olup olmadığı nasıl kontrol edilir?</t>
        </is>
      </c>
      <c r="E12" s="29" t="inlineStr">
        <is>
          <t>Landelijk Register Kinderopvang (LRK) araması</t>
        </is>
      </c>
      <c r="F12" s="29" t="inlineStr">
        <is>
          <t>Kinderopvangtoeslag yalnızca Landelijk Register Kinderopvang'da (LRK, ulusal kinderopvang sicili) kayıtlı bir kreşe ya da bakıcıya giden çocuklar için ödenir. Kayıtlı olmak, kuruluşun belediye ve GGD (bölgesel halk sağlığı kurumu) tarafından onaylanmış olması demektir. Sicilde kuruluşun adı veya yer adıyla, kayıt numarasıyla ya da işletmenin ticari adı ve Ticaret Odası numarasıyla arama yapabilirsiniz.</t>
        </is>
      </c>
      <c r="G12" s="29" t="inlineStr">
        <is>
          <t>LRK, Landelijk Register Kinderopvang, kreş kaydı, kinderopvang sicili, GGD, kinderdagverblijf</t>
        </is>
      </c>
      <c r="H12" s="29" t="inlineStr">
        <is>
          <t>planning;new</t>
        </is>
      </c>
      <c r="I12" s="29" t="inlineStr">
        <is>
          <t>eindhoven:kaynak:137;eindhoven:kaynak:136;eindhoven:kaynak:135</t>
        </is>
      </c>
      <c r="J12" s="49" t="n">
        <v>46317</v>
      </c>
      <c r="K12" s="51" t="n">
        <v>905</v>
      </c>
      <c r="L12" s="29" t="inlineStr">
        <is>
          <t>Hayır</t>
        </is>
      </c>
      <c r="M12" s="29" t="inlineStr">
        <is>
          <t>Taslak</t>
        </is>
      </c>
      <c r="N12" s="29" t="inlineStr">
        <is>
          <t>eindhoven:aile</t>
        </is>
      </c>
      <c r="O12" s="29" t="inlineStr">
        <is>
          <t>Landelijk Register Kinderopvang'da kuruluşu arayın; arayüz Felemenkçedir.
Kuruluşun adını veya yer adını, kayıt numarasını ya da işletmenin ticari adı ile Ticaret Odası numarasını girin.
Kuruluşun LRK kayıt numarasını not edin; kinderopvangtoeslag başvurusunda istenir.
Kuruluş sicilde yoksa, o kuruluşa giden çocuk için toeslag alamayacağınızı hesaba katın.</t>
        </is>
      </c>
      <c r="P12" s="29" t="n"/>
      <c r="Q12" s="29" t="n"/>
      <c r="R12" s="29" t="n"/>
      <c r="S12" s="29" t="inlineStr">
        <is>
          <t>Yurt dışındaki kreşler için ayrı bir sicil var: Register buitenlandse kinderopvang.</t>
        </is>
      </c>
      <c r="T12" s="29" t="n"/>
    </row>
    <row r="13" ht="54" customHeight="1">
      <c r="A13" s="29" t="inlineStr">
        <is>
          <t>eindhoven:kindgebonden-budget-hak-ve-basvuru</t>
        </is>
      </c>
      <c r="B13" s="29" t="inlineStr">
        <is>
          <t>eindhoven</t>
        </is>
      </c>
      <c r="C13" s="29" t="inlineStr">
        <is>
          <t>kindgebonden-budget-hak-ve-basvuru</t>
        </is>
      </c>
      <c r="D13" s="29" t="inlineStr">
        <is>
          <t>Kindgebonden budget (çocuk bütçesi) kimlere verilir, nasıl istenir?</t>
        </is>
      </c>
      <c r="E13" s="29" t="inlineStr">
        <is>
          <t>18 yaşından küçük çocuklar için gelire bağlı ek yardım</t>
        </is>
      </c>
      <c r="F13" s="29" t="inlineStr">
        <is>
          <t>Kindgebonden budget, 18 yaşından küçük çocukların masraflarına katkıdır ve kinderbijslag'a (çocuk parası) ek olarak ödenir. Kinderbijslag'ı SVB'de (Sociale Verzekeringsbank) adına kayıtlı olan ebeveynin hakkı vardır; tutar gelirinize, çocuk sayınıza ve yaşlarına göre değişir. 1 Ocak 2026'da servetiniz (vermogen) 146.011 euroyu, toeslagpartner'iniz varsa ikinizin toplam servetiniz 184.633 euroyu geçmemelidir. Kinderopvangtoeslag, huurtoeslag veya zorgtoeslag alıyorsanız ayrıca başvurmanız gerekmez.</t>
        </is>
      </c>
      <c r="G13" s="29" t="inlineStr">
        <is>
          <t>kindgebonden budget, çocuk bütçesi, kinderbijslag, SVB, toeslagen, vermogen</t>
        </is>
      </c>
      <c r="H13" s="29" t="inlineStr">
        <is>
          <t>new;settled</t>
        </is>
      </c>
      <c r="I13" s="29" t="inlineStr">
        <is>
          <t>eindhoven:kaynak:140;eindhoven:kaynak:139</t>
        </is>
      </c>
      <c r="J13" s="49" t="n">
        <v>46317</v>
      </c>
      <c r="K13" s="51" t="n">
        <v>906</v>
      </c>
      <c r="L13" s="29" t="inlineStr">
        <is>
          <t>Hayır</t>
        </is>
      </c>
      <c r="M13" s="29" t="inlineStr">
        <is>
          <t>Taslak</t>
        </is>
      </c>
      <c r="N13" s="29" t="inlineStr">
        <is>
          <t>eindhoven:aile</t>
        </is>
      </c>
      <c r="O13" s="29" t="inlineStr">
        <is>
          <t>Kinderbijslag'ın SVB'de adınıza kayıtlı olduğunu kontrol edin; kindgebonden budget bu ebeveynin hakkıdır.
Toeslagen sitesinde proefberekening (deneme hesabı) yapın; gelirinizin çok yüksek olup olmadığını ve alabileceğiniz tutarı görürsünüz.
Servetinizin 1 Ocak 2026 sınırlarının altında kaldığını kontrol edin.
Kinderopvangtoeslag, huurtoeslag veya zorgtoeslag alıyorsanız beklemeniz yeterli; hakkınız varsa Dienst Toeslagen size kendiliğinden haber verir.
Haber almadığınız halde hakkınız olduğunu düşünüyorsanız Mijn toeslagen üzerinden kendiniz başvurun.</t>
        </is>
      </c>
      <c r="P13" s="29" t="n"/>
      <c r="Q13" s="29" t="n"/>
      <c r="R13" s="29" t="n"/>
      <c r="S13" s="29" t="inlineStr">
        <is>
          <t>Ayrı yaşayan ortak ebeveynler (co-ouders), okula gitmeyen 16-17 yaşında çocuğu olanlar ve yurt dışında yaşayanlar için ayrı kurallar var; Dienst Toeslagen sitesindeki koşullar sayfasına bakın.</t>
        </is>
      </c>
      <c r="T13" s="29" t="n"/>
    </row>
    <row r="14" ht="54" customHeight="1">
      <c r="A14" s="29" t="inlineStr">
        <is>
          <t>eindhoven:dogumdan-sonra-kinderbijslag-ve-toeslaglar</t>
        </is>
      </c>
      <c r="B14" s="29" t="inlineStr">
        <is>
          <t>eindhoven</t>
        </is>
      </c>
      <c r="C14" s="29" t="inlineStr">
        <is>
          <t>dogumdan-sonra-kinderbijslag-ve-toeslaglar</t>
        </is>
      </c>
      <c r="D14" s="29" t="inlineStr">
        <is>
          <t>Çocuk doğunca kinderbijslag ve mevcut toeslag'lar nasıl etkilenir?</t>
        </is>
      </c>
      <c r="E14" s="29" t="inlineStr">
        <is>
          <t>SVB mektubu, kindgebonden budget ve toeslag değişikliği</t>
        </is>
      </c>
      <c r="F14" s="29" t="inlineStr">
        <is>
          <t>Çocuk belediyeye bildirildikten sonra Sociale Verzekeringsbank (SVB) size bir mektup gönderir; mektupta kinderbijslag'ın (çocuk parası) nasıl isteneceği yazar. Zaten zorgtoeslag (sağlık sigortası yardımı) veya huurtoeslag (kira yardımı) alıyorsanız hakkınız varsa kindgebonden budget kendiliğinden gelir. Çocuğun gelişi mevcut toeslag'larınızı değiştirebilir; toeslagen.nl'de kontrol edebilir ya da Belastingtelefoon'u arayabilirsiniz.</t>
        </is>
      </c>
      <c r="G14" s="29" t="inlineStr">
        <is>
          <t>kinderbijslag, SVB, çocuk parası, doğum sonrası toeslag, zorgtoeslag, huurtoeslag, kindgebonden budget</t>
        </is>
      </c>
      <c r="H14" s="29" t="inlineStr">
        <is>
          <t>new</t>
        </is>
      </c>
      <c r="I14" s="29" t="inlineStr">
        <is>
          <t>eindhoven:kaynak:149;eindhoven:kaynak:140</t>
        </is>
      </c>
      <c r="J14" s="49" t="n">
        <v>46317</v>
      </c>
      <c r="K14" s="51" t="n">
        <v>907</v>
      </c>
      <c r="L14" s="29" t="inlineStr">
        <is>
          <t>Hayır</t>
        </is>
      </c>
      <c r="M14" s="29" t="inlineStr">
        <is>
          <t>Taslak</t>
        </is>
      </c>
      <c r="N14" s="29" t="inlineStr">
        <is>
          <t>eindhoven:aile</t>
        </is>
      </c>
      <c r="O14" s="29" t="inlineStr">
        <is>
          <t>Çocuk belediyeye bildirildikten sonra SVB'den gelecek mektubu bekleyin; kinderbijslag başvurusunun nasıl yapılacağı orada yazar.
Zaten zorgtoeslag veya huurtoeslag alıyorsanız kindgebonden budget için ayrıca başvurmayın; hakkınız varsa kendiliğinden gelir.
toeslagen.nl'de mevcut toeslag'larınızın çocuğun gelişiyle değişip değişmediğine bakın.
Soru sormak için Belastingtelefoon'u arayın.</t>
        </is>
      </c>
      <c r="P14" s="29" t="n"/>
      <c r="Q14" s="29" t="n"/>
      <c r="R14" s="29" t="n"/>
      <c r="S14" s="29" t="inlineStr">
        <is>
          <t>Kinderbijslag'ı SVB'de adına kayıtlı olan ebeveyn, kindgebonden budget hakkına da sahip olan ebeveyndir.</t>
        </is>
      </c>
      <c r="T14" s="29" t="n"/>
    </row>
    <row r="15" ht="54" customHeight="1">
      <c r="A15" s="29" t="inlineStr">
        <is>
          <t>eindhoven:basisschool-yas-ve-wendagen</t>
        </is>
      </c>
      <c r="B15" s="29" t="inlineStr">
        <is>
          <t>eindhoven</t>
        </is>
      </c>
      <c r="C15" s="29" t="inlineStr">
        <is>
          <t>basisschool-yas-ve-wendagen</t>
        </is>
      </c>
      <c r="D15" s="29" t="inlineStr">
        <is>
          <t>Çocuk kaç yaşında ilkokula (basisschool) başlar?</t>
        </is>
      </c>
      <c r="E15" s="29" t="inlineStr">
        <is>
          <t>Kayıt, alışma günleri (wendagen) ve zorunlu eğitimin başlangıcı</t>
        </is>
      </c>
      <c r="F15" s="29" t="inlineStr">
        <is>
          <t>Çocuğunuzu 3 yaşındayken basisschool'a (ilkokul) kaydettirebilirsiniz. 3 yıl 10 aydan itibaren çoğu okulda çocuk, en çok 5 gün süren wendagen'e (alışma günleri) gidebilir. Çocuk 4 yaşından itibaren okula gidebilir; zorunlu eğitim (leerplicht) 5 yaşını doldurduğu ayı izleyen ayın 1. günü başlar.</t>
        </is>
      </c>
      <c r="G15" s="29" t="inlineStr">
        <is>
          <t>basisschool, ilkokul, wendagen, aanmelden, okula kayıt, leerplicht, kaç yaşında</t>
        </is>
      </c>
      <c r="H15" s="29" t="inlineStr">
        <is>
          <t>planning;new</t>
        </is>
      </c>
      <c r="I15" s="29" t="inlineStr">
        <is>
          <t>eindhoven:kaynak:141;eindhoven:kaynak:142</t>
        </is>
      </c>
      <c r="J15" s="49" t="n">
        <v>46317</v>
      </c>
      <c r="K15" s="51" t="n">
        <v>908</v>
      </c>
      <c r="L15" s="29" t="inlineStr">
        <is>
          <t>Evet</t>
        </is>
      </c>
      <c r="M15" s="29" t="inlineStr">
        <is>
          <t>Taslak</t>
        </is>
      </c>
      <c r="N15" s="29" t="inlineStr">
        <is>
          <t>eindhoven:aile</t>
        </is>
      </c>
      <c r="O15" s="29" t="inlineStr">
        <is>
          <t>Çocuğunuz 3 yaşına geldiğinde okula kayıt (aanmelden) yaptırın.
Okulun wendagen uygulayıp uygulamadığını okula sorun; her okulda yoktur.
Çocuk 3 yıl 10 aya geldiğinde (yarım) günler halinde alışma günlerine gidebilir; bu günler en çok 5 gün sürer.
Çocuk 4 yaşından itibaren okula devam edebilir.
Çocuk 5 yaşını doldurduğu ayı izleyen ayın 1. gününden itibaren okula gitmek zorundadır.</t>
        </is>
      </c>
      <c r="P15" s="29" t="n"/>
      <c r="Q15" s="29" t="inlineStr">
        <is>
          <t>Kayıt 3 yaşında, alışma günleri 3 yıl 10 aydan, okul 4 yaşından, zorunluluk 5 yaşını doldurduğu ayı izleyen ayın 1. gününden başlar.</t>
        </is>
      </c>
      <c r="R15" s="29" t="n"/>
      <c r="S15" s="29" t="inlineStr">
        <is>
          <t>Hollanda'da çoğu çocuk 4 yaşında okula başlar; zorunlu eğitim 5 yaşından sonra başlasa da bu yaşı beklemek gerekmez.</t>
        </is>
      </c>
      <c r="T15" s="29" t="n"/>
    </row>
    <row r="16" ht="54" customHeight="1">
      <c r="A16" s="29" t="inlineStr">
        <is>
          <t>eindhoven:basisschool-kayit-ve-okul-secimi</t>
        </is>
      </c>
      <c r="B16" s="29" t="inlineStr">
        <is>
          <t>eindhoven</t>
        </is>
      </c>
      <c r="C16" s="29" t="inlineStr">
        <is>
          <t>basisschool-kayit-ve-okul-secimi</t>
        </is>
      </c>
      <c r="D16" s="29" t="inlineStr">
        <is>
          <t>Çocuğumu hangi ilkokula, nasıl kaydettiririm?</t>
        </is>
      </c>
      <c r="E16" s="29" t="inlineStr">
        <is>
          <t>Okul seçimi, kura, bekleme listesi ve birden fazla okula kayıt</t>
        </is>
      </c>
      <c r="F16" s="29" t="inlineStr">
        <is>
          <t>Kaydı çocuk 3 yaşına geldiğinde yaptırabilirsiniz; çocuk 4 yaşından itibaren okula başlayabilir. Önce belediyenizin sitesine bakın ya da okula sorun: okulu kendiniz seçip seçemeyeceğinizi öğrenin. Bazı belediyelerde okullar çocukların dağılımı konusunda anlaşma yapmıştır; çocuk bazen kendi mahallesindeki okula gitmek zorundadır, bazen kura çekilir, bazen kardeşlerin aynı okula gitmesi sağlanır. Okulda yer olmayabilir ya da bekleme listesi olabilir; çocuğu birden fazla okula kaydettirebilirsiniz. Eindhoven'daki ilkokulların listesi scholenopdekaart.nl'de.</t>
        </is>
      </c>
      <c r="G16" s="29" t="inlineStr">
        <is>
          <t>ilkokul kayıt, basisschool aanmelden, okul seçimi, kura, wachtlijst, scholenopdekaart, Eindhoven</t>
        </is>
      </c>
      <c r="H16" s="29" t="inlineStr">
        <is>
          <t>planning;new</t>
        </is>
      </c>
      <c r="I16" s="29" t="inlineStr">
        <is>
          <t>eindhoven:kaynak:141;eindhoven:kaynak:142</t>
        </is>
      </c>
      <c r="J16" s="49" t="n">
        <v>46317</v>
      </c>
      <c r="K16" s="51" t="n">
        <v>909</v>
      </c>
      <c r="L16" s="29" t="inlineStr">
        <is>
          <t>Hayır</t>
        </is>
      </c>
      <c r="M16" s="29" t="inlineStr">
        <is>
          <t>Taslak</t>
        </is>
      </c>
      <c r="N16" s="29" t="inlineStr">
        <is>
          <t>eindhoven:aile</t>
        </is>
      </c>
      <c r="O16" s="29" t="inlineStr">
        <is>
          <t>Belediyenin sitesine bakın ya da okula sorun: okulu kendiniz seçebiliyor musunuz?
Bölgede okulların çocukları nasıl dağıttığını öğrenin: mahalle şartı, kura veya kardeş önceliği olabilir.
Eindhoven'daki ilkokullara scholenopdekaart.nl listesinden bakın.
Çocuğunuz 3 yaşına geldiğinde onu okula kendiniz kaydettirin; yer olmayabileceği veya bekleme listesi olabileceği için birden fazla okula kayıt yaptırabilirsiniz.</t>
        </is>
      </c>
      <c r="P16" s="29" t="n"/>
      <c r="Q16" s="29" t="inlineStr">
        <is>
          <t>Kayıt: çocuk 3 yaşına geldiğinde. Okula başlama: 4 yaşından itibaren.</t>
        </is>
      </c>
      <c r="R16" s="29" t="n"/>
      <c r="S16" s="29" t="inlineStr">
        <is>
          <t>Çocuğu bir okula kaydettirmek ve okula gitmesini sağlamak ebeveynin sorumluluğudur.</t>
        </is>
      </c>
      <c r="T16" s="29" t="n"/>
    </row>
    <row r="17" ht="54" customHeight="1">
      <c r="A17" s="29" t="inlineStr">
        <is>
          <t>eindhoven:leerplicht-eindhoven</t>
        </is>
      </c>
      <c r="B17" s="29" t="inlineStr">
        <is>
          <t>eindhoven</t>
        </is>
      </c>
      <c r="C17" s="29" t="inlineStr">
        <is>
          <t>leerplicht-eindhoven</t>
        </is>
      </c>
      <c r="D17" s="29" t="inlineStr">
        <is>
          <t>Hollanda'da zorunlu eğitim (leerplicht) kaç yaşta başlar, kaç yaşta biter?</t>
        </is>
      </c>
      <c r="E17" s="29" t="inlineStr">
        <is>
          <t>Eindhoven belediyesinin leerplicht kuralları ve iletişim</t>
        </is>
      </c>
      <c r="F17" s="29" t="inlineStr">
        <is>
          <t>Leerplichtwet Hollanda'daki tüm çocuk ve gençler için geçerlidir. Zorunlu eğitim, çocuğun 5 yaşını doldurduğu ayı izleyen ayın ilk günü başlar ve çocuğun 16 yaşına girdiği okul yılının sonunda biter. Startkwalificatie'si (en az havo veya mbo niveau 2 diploması) olmayan 16-17 yaşındaki gençler için kwalificatieplicht geçerlidir ve bu gençler 18. doğum günlerine kadar okula gitmek zorundadır. Çocuğu bir okula kaydettirmek ve okula gitmesini sağlamak ebeveynin işidir; 12 yaşından sonra çocuk da kendi okula gitmekten sorumlu olur.</t>
        </is>
      </c>
      <c r="G17" s="29" t="inlineStr">
        <is>
          <t>leerplicht, zorunlu eğitim, leerplichtambtenaar, okul zorunluluğu, Eindhoven, 14 040</t>
        </is>
      </c>
      <c r="H17" s="29" t="inlineStr">
        <is>
          <t>new;settled</t>
        </is>
      </c>
      <c r="I17" s="29" t="inlineStr">
        <is>
          <t>eindhoven:kaynak:142;eindhoven:kaynak:141</t>
        </is>
      </c>
      <c r="J17" s="49" t="n">
        <v>46317</v>
      </c>
      <c r="K17" s="51" t="n">
        <v>910</v>
      </c>
      <c r="L17" s="29" t="inlineStr">
        <is>
          <t>Hayır</t>
        </is>
      </c>
      <c r="M17" s="29" t="inlineStr">
        <is>
          <t>Taslak</t>
        </is>
      </c>
      <c r="N17" s="29" t="inlineStr">
        <is>
          <t>eindhoven:aile</t>
        </is>
      </c>
      <c r="O17" s="29" t="inlineStr">
        <is>
          <t>Çocuğunuz için bir okul bulun ve onu kendiniz kaydettirin.
Çocuğunuzun okula gittiğinden emin olun.
Çocuğunuza hangi leerplichtambtenaar'ın (zorunlu eğitim görevlisi) baktığını öğrenmek için 14 040'ı arayıp Leerplicht bölümünü isteyin.</t>
        </is>
      </c>
      <c r="P17" s="29" t="n"/>
      <c r="Q17" s="29" t="inlineStr">
        <is>
          <t>Başlangıç: 5 yaşını doldurduğu ayı izleyen ayın 1. günü. Bitiş: 16 yaşına girdiği okul yılının sonu; startkwalificatie'si olmayan gençlerde 18. doğum gününe kadar.</t>
        </is>
      </c>
      <c r="R17" s="29" t="n"/>
      <c r="S17" s="29" t="inlineStr">
        <is>
          <t>Sorularınızı leerplichtrmc@eindhoven.nl adresine e-postayla da gönderebilirsiniz.</t>
        </is>
      </c>
      <c r="T17" s="29" t="n"/>
    </row>
    <row r="18" ht="54" customHeight="1">
      <c r="A18" s="29" t="inlineStr">
        <is>
          <t>eindhoven:kwalificatieplicht-16-17-yas</t>
        </is>
      </c>
      <c r="B18" s="29" t="inlineStr">
        <is>
          <t>eindhoven</t>
        </is>
      </c>
      <c r="C18" s="29" t="inlineStr">
        <is>
          <t>kwalificatieplicht-16-17-yas</t>
        </is>
      </c>
      <c r="D18" s="29" t="inlineStr">
        <is>
          <t>16-17 yaşındaki gençler için kwalificatieplicht nedir?</t>
        </is>
      </c>
      <c r="E18" s="29" t="inlineStr">
        <is>
          <t>Startkwalificatie yoksa 18 yaşına kadar okula devam</t>
        </is>
      </c>
      <c r="F18" s="29" t="inlineStr">
        <is>
          <t>16 ve 17 yaşındaki gençler için kwalificatieplicht (nitelik zorunluluğu) geçerlidir. Startkwalificatie'si yani en az havo diploması veya mbo seviye 2 diploması olmayan gençler 18. doğum günlerine kadar okula gitmek zorundadır. Bu dönemde leerplicht'teki kuralların aynısı uygulanır.</t>
        </is>
      </c>
      <c r="G18" s="29" t="inlineStr">
        <is>
          <t>kwalificatieplicht, startkwalificatie, havo, mbo niveau 2, 16 17 yaş, okul zorunluluğu</t>
        </is>
      </c>
      <c r="H18" s="29" t="inlineStr">
        <is>
          <t>new;settled</t>
        </is>
      </c>
      <c r="I18" s="29" t="inlineStr">
        <is>
          <t>eindhoven:kaynak:142</t>
        </is>
      </c>
      <c r="J18" s="49" t="n">
        <v>46317</v>
      </c>
      <c r="K18" s="51" t="n">
        <v>911</v>
      </c>
      <c r="L18" s="29" t="inlineStr">
        <is>
          <t>Hayır</t>
        </is>
      </c>
      <c r="M18" s="29" t="inlineStr">
        <is>
          <t>Taslak</t>
        </is>
      </c>
      <c r="N18" s="29" t="inlineStr">
        <is>
          <t>eindhoven:aile</t>
        </is>
      </c>
      <c r="O18" s="29" t="inlineStr">
        <is>
          <t>Çocuğunuz 16-17 yaşındaysa startkwalificatie'si (en az havo ya da mbo niveau 2 diploması) olup olmadığına bakın.
Diploması yoksa 18. doğum gününe kadar okula devam etmesini sağlayın.
Muafiyet kapsamına girip girmediğinizi kontrol edin.</t>
        </is>
      </c>
      <c r="P18" s="29" t="n"/>
      <c r="Q18" s="29" t="inlineStr">
        <is>
          <t>16 ve 17 yaşında, 18. doğum gününe kadar.</t>
        </is>
      </c>
      <c r="R18" s="29" t="n"/>
      <c r="S18" s="29" t="inlineStr">
        <is>
          <t>Praktijkonderwijs diploması olanlar ile voortgezet speciaal onderwijs'te iş piyasasına yönelik çıkış profilini ya da dagbesteding (gündüz bakım) çıkış profilini izleyenler kapsam dışındadır.</t>
        </is>
      </c>
      <c r="T18" s="29" t="n"/>
    </row>
    <row r="19" ht="54" customHeight="1">
      <c r="A19" s="29" t="inlineStr">
        <is>
          <t>eindhoven:okula-gitmeme-ve-hastalik-devamsizligi</t>
        </is>
      </c>
      <c r="B19" s="29" t="inlineStr">
        <is>
          <t>eindhoven</t>
        </is>
      </c>
      <c r="C19" s="29" t="inlineStr">
        <is>
          <t>okula-gitmeme-ve-hastalik-devamsizligi</t>
        </is>
      </c>
      <c r="D19" s="29" t="inlineStr">
        <is>
          <t>Çocuk okula gitmezse veya hastalanırsa ne olur?</t>
        </is>
      </c>
      <c r="E19" s="29" t="inlineStr">
        <is>
          <t>Verzuim (devamsızlık), hastalık ve GGD doktoru</t>
        </is>
      </c>
      <c r="F19" s="29" t="inlineStr">
        <is>
          <t>Okula devamsızlık (verzuim) olduğunda belediye önce sizinle ve çocukla konuşup nedeni bulmaya çalışır. Hastalık nedeniyle okula gidememek geoorloofd verzuim (izinli devamsızlık) sayılır. Hastalık devamsızlığı sık olursa ya da çocuğun hasta olduğu açıklamasından şüphe duyulursa okul GGD doktorunu devreye sokabilir; doktor devamsızlığı hastalıkla yeterince açıklayamazsa okul bunu izinsiz devamsızlık olarak leerplichtambtenaar'a bildirir ve leerplichtambtenaar (cezai) bir soruşturma açar.</t>
        </is>
      </c>
      <c r="G19" s="29" t="inlineStr">
        <is>
          <t>verzuim, okul devamsızlığı, hastalık, GGD doktoru, leerplichtambtenaar, geoorloofd verzuim</t>
        </is>
      </c>
      <c r="H19" s="29" t="inlineStr">
        <is>
          <t>new;settled</t>
        </is>
      </c>
      <c r="I19" s="29" t="inlineStr">
        <is>
          <t>eindhoven:kaynak:142</t>
        </is>
      </c>
      <c r="J19" s="49" t="n">
        <v>46317</v>
      </c>
      <c r="K19" s="51" t="n">
        <v>912</v>
      </c>
      <c r="L19" s="29" t="inlineStr">
        <is>
          <t>Hayır</t>
        </is>
      </c>
      <c r="M19" s="29" t="inlineStr">
        <is>
          <t>Taslak</t>
        </is>
      </c>
      <c r="N19" s="29" t="inlineStr">
        <is>
          <t>eindhoven:aile</t>
        </is>
      </c>
      <c r="O19" s="29" t="inlineStr">
        <is>
          <t>Çocuğunuz hastalık yüzünden okula gidemiyorsa bunun izinli devamsızlık sayıldığını bilin.
Çocuğunuz sık sık hastalık nedeniyle okula gidemezse ya da hasta olduğu açıklamasından şüphe duyulursa okulun GGD doktorunu devreye sokabileceğini hesaba katın.
Belediye devamsızlık nedeniyle sizi ve çocuğu görüşmeye çağırırsa nedeni birlikte konuşun.
Sorunuz için Eindhoven Klantcontactcentrum'u 14 040'tan arayıp Leerplicht bölümünü isteyin.</t>
        </is>
      </c>
      <c r="P19" s="29" t="n"/>
      <c r="Q19" s="29" t="n"/>
      <c r="R19" s="29" t="n"/>
      <c r="S19" s="29" t="inlineStr">
        <is>
          <t>Bazı durumlarda ebeveyn ve/veya 12 yaşından itibaren çocuk, okul devamsızlığı nedeniyle ceza hukuku kapsamında sorumlu tutulur ve leerplichtambtenaar yaptırım uygular.</t>
        </is>
      </c>
      <c r="T19" s="29" t="n"/>
    </row>
    <row r="20" ht="54" customHeight="1">
      <c r="A20" s="29" t="inlineStr">
        <is>
          <t>eindhoven:okul-zamani-tatil-ve-ozel-izin</t>
        </is>
      </c>
      <c r="B20" s="29" t="inlineStr">
        <is>
          <t>eindhoven</t>
        </is>
      </c>
      <c r="C20" s="29" t="inlineStr">
        <is>
          <t>okul-zamani-tatil-ve-ozel-izin</t>
        </is>
      </c>
      <c r="D20" s="29" t="inlineStr">
        <is>
          <t>Okul zamanında tatile gitmek veya özel izin (bijzonder verlof) almak mümkün mü?</t>
        </is>
      </c>
      <c r="E20" s="29" t="inlineStr">
        <is>
          <t>Müdür izni, 10 gün sınırı ve leerplichtambtenaar</t>
        </is>
      </c>
      <c r="F20" s="29" t="inlineStr">
        <is>
          <t>Okul müdürünün izni olmadan okul tatilleri dışında çocuğu tatile götürmek luxe verzuim (lüks devamsızlık) sayılır. Okul zamanı tatil, yalnızca ebeveynlerden birinin mesleğinin özelliği yüzünden çocuk hiçbir okul tatilinde tatile çıkamıyorsa mümkündür; müdür bu izni okul yılı başına bir kez, en çok 10 gün ve okul yılının ilk iki haftası dışında verebilir. Düğün veya cenaze gibi durumlarda bijzonder verlof (özel izin) alınabilir.</t>
        </is>
      </c>
      <c r="G20" s="29" t="inlineStr">
        <is>
          <t>bijzonder verlof, özel izin, luxe verzuim, okul tatili, vakantie onder schooltijd, müdür izni</t>
        </is>
      </c>
      <c r="H20" s="29" t="inlineStr">
        <is>
          <t>new;settled</t>
        </is>
      </c>
      <c r="I20" s="29" t="inlineStr">
        <is>
          <t>eindhoven:kaynak:142</t>
        </is>
      </c>
      <c r="J20" s="49" t="n">
        <v>46317</v>
      </c>
      <c r="K20" s="51" t="n">
        <v>913</v>
      </c>
      <c r="L20" s="29" t="inlineStr">
        <is>
          <t>Hayır</t>
        </is>
      </c>
      <c r="M20" s="29" t="inlineStr">
        <is>
          <t>Taslak</t>
        </is>
      </c>
      <c r="N20" s="29" t="inlineStr">
        <is>
          <t>eindhoven:aile</t>
        </is>
      </c>
      <c r="O20" s="29" t="inlineStr">
        <is>
          <t>Tatil planınızı okul tatillerine göre yapın; izinsiz götürürseniz bu devamsızlık sayılır.
Mesleğiniz yüzünden hiçbir okul tatilinde tatile çıkamıyorsanız okul müdürüne başvurun.
10 okul günü veya daha kısa bir özel izin için okul müdürlüğüne başvurun.
10 okul gününden uzun özel izin için okula bağlı leerplichtambtenaar'a başvurun; yönergeler ve başvuru formu Eindhoven belediyesinin 'Aanvragen Bijzonder Verlof' sayfasındadır.</t>
        </is>
      </c>
      <c r="P20" s="29" t="n"/>
      <c r="Q20" s="29" t="inlineStr">
        <is>
          <t>Meslek nedeniyle tatil izni: okul yılı başına bir kez, en çok 10 gün, okul yılının ilk iki haftası dışında.</t>
        </is>
      </c>
      <c r="R20" s="29" t="n"/>
      <c r="S20" s="29" t="inlineStr">
        <is>
          <t>Özel izne örnek olarak düğün veya cenazeye katılmak verilmiştir.</t>
        </is>
      </c>
      <c r="T20" s="29" t="n"/>
    </row>
    <row r="21" ht="54" customHeight="1">
      <c r="A21" s="29" t="inlineStr">
        <is>
          <t>eindhoven:leerplicht-vrijstelling-basvurusu</t>
        </is>
      </c>
      <c r="B21" s="29" t="inlineStr">
        <is>
          <t>eindhoven</t>
        </is>
      </c>
      <c r="C21" s="29" t="inlineStr">
        <is>
          <t>leerplicht-vrijstelling-basvurusu</t>
        </is>
      </c>
      <c r="D21" s="29" t="inlineStr">
        <is>
          <t>Çocuk okula kaydolmaktan muaf tutulabilir mi? (vrijstelling)</t>
        </is>
      </c>
      <c r="E21" s="29" t="inlineStr">
        <is>
          <t>Üç muafiyet gerekçesi, yıllık bildirim ve 1 Temmuz tarihi</t>
        </is>
      </c>
      <c r="F21" s="29" t="inlineStr">
        <is>
          <t>Üç durumda ebeveyn okula kayıt zorunluluğundan muafiyet (vrijstelling) isteyebilir: çocuk ruhsal veya tıbbi nedenlerle bir okula kabul edilemiyorsa, ebeveyn olarak 'richting van het onderwijs' (eğitimin yönü, yönelimi) hakkında ciddi itirazlarınız varsa ya da çocuğun yurt dışında bir okul kaydı varsa. Eindhoven belediyesinin sayfası 'richting' terimini açıklamıyor ve öğretim yöntemi ya da kalite itirazını bu gerekçe olarak saymıyor; itirazınızın bu gerekçeye girip girmediğini başvurmadan önce Leerplicht bölümüne (14 040) sorun. Muafiyet genelde bir okul yılı geçerlidir ve her yıl 1 Temmuz'dan önce burgemeester en wethouders'a (belediye yönetimi) bildirilir.</t>
        </is>
      </c>
      <c r="G21" s="29" t="inlineStr">
        <is>
          <t>vrijstelling, okul muafiyeti, leerplicht muafiyet, yurt dışı okul kaydı, 1 Temmuz, leerplichtambtenaar</t>
        </is>
      </c>
      <c r="H21" s="29" t="inlineStr">
        <is>
          <t>new;settled</t>
        </is>
      </c>
      <c r="I21" s="29" t="inlineStr">
        <is>
          <t>eindhoven:kaynak:142</t>
        </is>
      </c>
      <c r="J21" s="49" t="n">
        <v>46317</v>
      </c>
      <c r="K21" s="51" t="n">
        <v>914</v>
      </c>
      <c r="L21" s="29" t="inlineStr">
        <is>
          <t>Hayır</t>
        </is>
      </c>
      <c r="M21" s="29" t="inlineStr">
        <is>
          <t>Taslak</t>
        </is>
      </c>
      <c r="N21" s="29" t="inlineStr">
        <is>
          <t>eindhoven:aile</t>
        </is>
      </c>
      <c r="O21" s="29" t="inlineStr">
        <is>
          <t>Üç gerekçeden biri size uyuyorsa Eindhoven belediyesinin dijital formunu doldurun ya da Klantcontactcentrum'u 14 040'tan arayıp Leerplicht bölümünü isteyin.
Tıbbi veya ruhsal gerekçede leerplichtambtenaar bağımsız bir doktordan görüş ister; sürece katılın.
Muafiyeti her yıl 1 Temmuz'dan önce yeniden bildirin.</t>
        </is>
      </c>
      <c r="P21" s="29" t="n"/>
      <c r="Q21" s="29" t="inlineStr">
        <is>
          <t>Genelde bir okul yılı geçerli; her yıl 1 Temmuz'dan önce yeniden bildirilir.</t>
        </is>
      </c>
      <c r="R21" s="29" t="n"/>
      <c r="S21" s="29" t="inlineStr">
        <is>
          <t>Muafiyet hakkınız yoksa çocuk okula gitmediğinde leerplichtambtenaar ceza yoluyla yaptırım uygulayabilir.</t>
        </is>
      </c>
      <c r="T21" s="29" t="n"/>
    </row>
    <row r="22" ht="54" customHeight="1">
      <c r="A22" s="29" t="inlineStr">
        <is>
          <t>eindhoven:vervangende-leerplicht-ve-maatwerk-programi</t>
        </is>
      </c>
      <c r="B22" s="29" t="inlineStr">
        <is>
          <t>eindhoven</t>
        </is>
      </c>
      <c r="C22" s="29" t="inlineStr">
        <is>
          <t>vervangende-leerplicht-ve-maatwerk-programi</t>
        </is>
      </c>
      <c r="D22" s="29" t="inlineStr">
        <is>
          <t>14 yaşından itibaren gençler için vervangende leerplicht ve geçici okula gidememe durumu</t>
        </is>
      </c>
      <c r="E22" s="29" t="inlineStr">
        <is>
          <t>Alternatif zorunlu eğitim ve Variawet ile maatwerktraject</t>
        </is>
      </c>
      <c r="F22" s="29" t="inlineStr">
        <is>
          <t>14 yaşından itibaren bir genç gerçekten okula gidemiyorsa, leerplichtambtenaar okulla görüştükten sonra bunu saptarsa, normal eğitim yerine başka bir şey yapabilir; buna vervangende leerplicht (alternatif zorunlu eğitim) denir, örneğin genç için hazırlanmış özel bir rehberlik programı. Çocuk bedensel veya ruhsal nedenlerle geçici olarak okula hiç ya da tam gidemiyorsa Variawet sayesinde bakım ve eğitim birleştirilebilir; buna maatwerktraject (kişiye özel program) denir.</t>
        </is>
      </c>
      <c r="G22" s="29" t="inlineStr">
        <is>
          <t>vervangende leerplicht, maatwerktraject, Variawet, okula gidememe, 14 yaş, rehberlik programı</t>
        </is>
      </c>
      <c r="H22" s="29" t="inlineStr">
        <is>
          <t>new;settled</t>
        </is>
      </c>
      <c r="I22" s="29" t="inlineStr">
        <is>
          <t>eindhoven:kaynak:142</t>
        </is>
      </c>
      <c r="J22" s="49" t="n">
        <v>46317</v>
      </c>
      <c r="K22" s="51" t="n">
        <v>915</v>
      </c>
      <c r="L22" s="29" t="inlineStr">
        <is>
          <t>Hayır</t>
        </is>
      </c>
      <c r="M22" s="29" t="inlineStr">
        <is>
          <t>Taslak</t>
        </is>
      </c>
      <c r="N22" s="29" t="inlineStr">
        <is>
          <t>eindhoven:aile</t>
        </is>
      </c>
      <c r="O22" s="29" t="inlineStr">
        <is>
          <t>Gencin gerçekten okula gidemediğini okula ve leerplichtambtenaar'a anlatın.
Leerplichtambtenaar okulla görüşüp durumu saptadıktan sonra vervangende leerplicht için dijital formu doldurun.
Bedensel veya ruhsal nedenle geçici bir durum varsa okuldan maatwerktraject isteyin; okul bu süreçte önemli rol oynar.</t>
        </is>
      </c>
      <c r="P22" s="29" t="n"/>
      <c r="Q22" s="29" t="n"/>
      <c r="R22" s="29" t="n"/>
      <c r="S22" s="29" t="inlineStr">
        <is>
          <t>Maatwerktraject için izin veya muafiyet gerekmez, ama leerplichtambtenaar genelde sürece dahil olur.</t>
        </is>
      </c>
      <c r="T22" s="29" t="n"/>
    </row>
    <row r="23" ht="54" customHeight="1">
      <c r="A23" s="29" t="inlineStr">
        <is>
          <t>eindhoven:newcomer-ilkokul-secenekleri</t>
        </is>
      </c>
      <c r="B23" s="29" t="inlineStr">
        <is>
          <t>eindhoven</t>
        </is>
      </c>
      <c r="C23" s="29" t="inlineStr">
        <is>
          <t>newcomer-ilkokul-secenekleri</t>
        </is>
      </c>
      <c r="D23" s="29" t="inlineStr">
        <is>
          <t>Felemenkçe bilmeyen ilkokul çocuğu için newcomer okul ve sınıflar</t>
        </is>
      </c>
      <c r="E23" s="29" t="inlineStr">
        <is>
          <t>Yeni gelenler için üç ilkokul modeli ve Wereldwijzer örneği</t>
        </is>
      </c>
      <c r="F23" s="29" t="inlineStr">
        <is>
          <t>Hollanda'ya yeni gelmiş ve az Felemenkçe bilen çocuklar için ilkokulda üç seçenek var: yalnızca yeni gelenlere eğitim veren okullar, normal gruplara ek olarak newcomer sınıfı olan okullar ve çocukları baştan normal gruplara alan okullar. İlk iki modelde çocuk genelde 12-18 ay sonra normal eğitime geçer. Eindhoven'da Wereldwijzer okulu yurt dışından gelen 4-12 yaş çocukları alır; öğrenciler okul yılı içinde her zaman başlayabilir ve 40-60 haftada Felemenkçeyi öğrenerek normal eğitime geçer.</t>
        </is>
      </c>
      <c r="G23" s="29" t="inlineStr">
        <is>
          <t>newcomer okul, Felemenkçe bilmeyen çocuk, Wereldwijzer, De Groene Vlinder, yeni gelen çocuk, ilkokul</t>
        </is>
      </c>
      <c r="H23" s="29" t="inlineStr">
        <is>
          <t>new</t>
        </is>
      </c>
      <c r="I23" s="29" t="inlineStr">
        <is>
          <t>eindhoven:kaynak:144</t>
        </is>
      </c>
      <c r="J23" s="49" t="n">
        <v>46317</v>
      </c>
      <c r="K23" s="51" t="n">
        <v>916</v>
      </c>
      <c r="L23" s="29" t="inlineStr">
        <is>
          <t>Hayır</t>
        </is>
      </c>
      <c r="M23" s="29" t="inlineStr">
        <is>
          <t>Taslak</t>
        </is>
      </c>
      <c r="N23" s="29" t="inlineStr">
        <is>
          <t>eindhoven:aile</t>
        </is>
      </c>
      <c r="O23" s="29" t="inlineStr">
        <is>
          <t>Çocuğunuza uygun modeli seçin: yalnız newcomer okulu, newcomer sınıfı olan normal okul ya da baştan normal gruba katılım.
4-12 yaş arası çocuk için Eindhoven'daki Wereldwijzer'e başvurmayı düşünün; öğrenciler yıl içinde her zaman başlayabilir.
Çocuğun baştan normal sınıfa alınıp ek destek (özel dil sınıfı ya da bireysel plan) alacağı model için De Groene Vlinder gibi okullara sorun.
Brabant bölgesinde birçok ilkokulun newcomer sınıfı olduğunu göz önünde tutun.</t>
        </is>
      </c>
      <c r="P23" s="29" t="n"/>
      <c r="Q23" s="29" t="inlineStr">
        <is>
          <t>İlk iki modelde genelde 12-18 ay; Wereldwijzer'de 40-60 hafta sonra normal eğitime geçilir.</t>
        </is>
      </c>
      <c r="R23" s="29" t="n"/>
      <c r="S23" s="29" t="inlineStr">
        <is>
          <t>Baştan normal gruba alan okullarda çocuklar genelde özel bir dil sınıfı ya da bireysel bir plan şeklinde ek destek alır. Örneğin Eindhoven'daki De Groene Vlinder'de çocuk ilk günden normal sınıfa yerleşir; Felemenkçe konuşan sınıf arkadaşlarıyla tanışması dili daha hızlı öğrenmesine yardım eder ve ayrıca deneyimli bir öğretmenin ders verdiği özel dil sınıfına gider.</t>
        </is>
      </c>
      <c r="T23" s="29" t="n"/>
    </row>
    <row r="24" ht="54" customHeight="1">
      <c r="A24" s="29" t="inlineStr">
        <is>
          <t>eindhoven:newcomer-ortaokul-eoa-isk</t>
        </is>
      </c>
      <c r="B24" s="29" t="inlineStr">
        <is>
          <t>eindhoven</t>
        </is>
      </c>
      <c r="C24" s="29" t="inlineStr">
        <is>
          <t>newcomer-ortaokul-eoa-isk</t>
        </is>
      </c>
      <c r="D24" s="29" t="inlineStr">
        <is>
          <t>12-18 yaş arası yeni gelenler için ISK ve EOA okulları</t>
        </is>
      </c>
      <c r="E24" s="29" t="inlineStr">
        <is>
          <t>Eindhoven çevresinde ortaöğretimde Felemenkçe hazırlık okulları</t>
        </is>
      </c>
      <c r="F24" s="29" t="inlineStr">
        <is>
          <t>12-18 yaş arası yeni gelenler için ortaöğretimde Internationale Schakelklas (ISK, uluslararası geçiş sınıfı) ve Eerste Opvang van Anderstaligen (EOA, anadili Felemenkçe olmayanlar için ilk kabul) okulları var. Program yaklaşık iki yıl sürer. 12-16 yaşındakiler sonra VMBO, HAVO veya VWO'ya; 16 yaş üstü gençler genelde MBO'ya (bazen HBO'ya, yetişkin eğitimine veya çalışma hayatına) geçer. Eindhoven, Best, Nuenen ve Son en Breugel'de oturanlar için Global College Eindhoven (12-16 yaş) ve Summa - VOAT (15,5-18 yaş) var.</t>
        </is>
      </c>
      <c r="G24" s="29" t="inlineStr">
        <is>
          <t>ISK, EOA, Global College Eindhoven, Summa VOAT, yeni gelen ortaokul, taalklas, NT2</t>
        </is>
      </c>
      <c r="H24" s="29" t="inlineStr">
        <is>
          <t>new</t>
        </is>
      </c>
      <c r="I24" s="29" t="inlineStr">
        <is>
          <t>eindhoven:kaynak:144</t>
        </is>
      </c>
      <c r="J24" s="49" t="n">
        <v>46317</v>
      </c>
      <c r="K24" s="51" t="n">
        <v>917</v>
      </c>
      <c r="L24" s="29" t="inlineStr">
        <is>
          <t>Hayır</t>
        </is>
      </c>
      <c r="M24" s="29" t="inlineStr">
        <is>
          <t>Taslak</t>
        </is>
      </c>
      <c r="N24" s="29" t="inlineStr">
        <is>
          <t>eindhoven:aile</t>
        </is>
      </c>
      <c r="O24" s="29" t="inlineStr">
        <is>
          <t>Oturduğunuz belediyeye göre okulu belirleyin: Eindhoven, Best, Nuenen veya Son en Breugel'de oturuyorsanız Global College Eindhoven (12-16 yaş) ya da Summa - VOAT (15,5-18 yaş).
Diğer Brabant bölgelerindeki EOA/ISK okulları için LOWAN sitesindeki haritaya bakın.
Alternatif olarak ek Felemenkçe dersi (NT2 / taalklas) veren normal okullara, örneğin Stedelijk College Eindhoven ve Sondervick College'a bakın; bu okullarda genelde bir miktar Felemenkçe bilgisi hâlâ istenir.
Bu normal okulları listeleyen merkezi bir veri tabanı yok; her okulun ya da okul grubunun sitesine ayrı ayrı bakın.</t>
        </is>
      </c>
      <c r="P24" s="29" t="n"/>
      <c r="Q24" s="29" t="inlineStr">
        <is>
          <t>Program yaklaşık iki yıl sürer.</t>
        </is>
      </c>
      <c r="R24" s="29" t="n"/>
      <c r="S24" s="29" t="inlineStr">
        <is>
          <t>Brainport bölgesinde şu an 4 EOA var. PIUS X: 12-18 yaş, Bergeijk, Bladel, Cranendonck, Eersel, Heeze-Leende, Oirschot, Reusel-De Mierden, Valkenswaard, Veldhoven veya Waalre'de oturanlar. Jan van Brabant College - Gasthuisstraat: 12-18 yaş, Helmond, Deurne, Asten, Someren, Geldrop-Mierlo, Gemert-Bakel veya Laarbeek'te oturanlar.</t>
        </is>
      </c>
      <c r="T24" s="29" t="n"/>
    </row>
    <row r="25" ht="54" customHeight="1">
      <c r="A25" s="29" t="inlineStr">
        <is>
          <t>eindhoven:schooladvies-ortaokula-gecis</t>
        </is>
      </c>
      <c r="B25" s="29" t="inlineStr">
        <is>
          <t>eindhoven</t>
        </is>
      </c>
      <c r="C25" s="29" t="inlineStr">
        <is>
          <t>schooladvies-ortaokula-gecis</t>
        </is>
      </c>
      <c r="D25" s="29" t="inlineStr">
        <is>
          <t>Ortaokula geçişte schooladvies nedir, VMBO, HAVO ve VWO nasıl belirlenir?</t>
        </is>
      </c>
      <c r="E25" s="29" t="inlineStr">
        <is>
          <t>Groep 8 tavsiyesi, doorstroomtoets ve itiraz yolu</t>
        </is>
      </c>
      <c r="F25" s="29" t="inlineStr">
        <is>
          <t>Hollanda'da çocuklar ilkokulun groep 8'inde, ortaokula kabul için gereken schooladvies'i (okul tavsiyesi) alır. Okul önce bir ön tavsiye (voorlopig advies) verir; çocuk doorstroomtoets'e girer, sonuçtan toetsadvies çıkar ve çocuk kesin (definitief) tavsiyeyle ortaokula başvurur. Tavsiye tek veya iki okul türü için olabilir: praktijkonderwijs, VMBO türleri, havo, vwo ve aralarındaki birleşimler. Test sonucu ön tavsiyeden yüksekse okul tavsiyeyi test düzeyine yükseltir; yalnızca bunu çocuğun yararına bulmazsa, nedenini açıklayarak tavsiyeyi aynı bırakabilir. Tavsiyeye katılmıyorsanız önce öğretmen veya müdürle konuşur, memnun kalmazsanız okulun şikayet komisyonuna başvurursunuz.</t>
        </is>
      </c>
      <c r="G25" s="29" t="inlineStr">
        <is>
          <t>schooladvies, doorstroomtoets, groep 8, VMBO, HAVO, VWO, ortaokula geçiş, praktijkonderwijs</t>
        </is>
      </c>
      <c r="H25" s="29" t="inlineStr">
        <is>
          <t>planning;settled</t>
        </is>
      </c>
      <c r="I25" s="29" t="inlineStr">
        <is>
          <t>eindhoven:kaynak:218</t>
        </is>
      </c>
      <c r="J25" s="49" t="n">
        <v>46317</v>
      </c>
      <c r="K25" s="51" t="n">
        <v>918</v>
      </c>
      <c r="L25" s="29" t="inlineStr">
        <is>
          <t>Hayır</t>
        </is>
      </c>
      <c r="M25" s="29" t="inlineStr">
        <is>
          <t>Taslak</t>
        </is>
      </c>
      <c r="N25" s="29" t="inlineStr">
        <is>
          <t>eindhoven:aile</t>
        </is>
      </c>
      <c r="O25" s="29" t="inlineStr">
        <is>
          <t>Groep 8'de okulun verdiği ön tavsiyeyi (voorlopig advies) öğrenin; çocuğunuz bundan sonra doorstroomtoets'e girer.
Test sonucundan çıkan toetsadvies ön tavsiyeden yüksekse okulun tavsiyeyi yükseltmesini bekleyin; yükseltmezse nedenini açıklaması gerekir.
Kesin tavsiyeyle ortaokula başvurun; ortaokul çocuğu bu tavsiyeye göre yerleştirir, örneğin havo tavsiyesi alan çocuğu en az havo düzeyine yerleştirir.
Tavsiyeye katılmıyorsanız önce öğretmen veya müdürle konuşun; sonuç sizi memnun etmezse okulun şikayet komisyonuna şikayet edin. Prosedür okul rehberinde (schoolgids) yazar.
Praktijkonderwijs tavsiyesi aldıysanız bunun otomatik kabul olmadığını bilin; kabul için ayrıca samenwerkingsverband'ın toelaatbaarheidsverklaring'ı gerekir.</t>
        </is>
      </c>
      <c r="P25" s="29" t="n"/>
      <c r="Q25" s="29" t="inlineStr">
        <is>
          <t>Groep 8 döneminde: önce ön tavsiye, sonra doorstroomtoets, sonra kesin tavsiye ve ortaokula başvuru</t>
        </is>
      </c>
      <c r="R25" s="29" t="n"/>
      <c r="S25" s="29" t="inlineStr">
        <is>
          <t>Ortaokul, kabul sırasında çocuğa ek test yaptıramaz ve test puanını düşük bulduğu için reddedemez; iki dilli eğitim veya Topsport Talentenschool gibi özel beceri isteyen okullar yalnızca bu becerileri ölçmek için ek test yapabilir. Çocuk ek desteğe ihtiyaç duyuyorsa ve ortaokul bunu kendisi sağlayamıyorsa okul başka bir okul bulmak ve çocuğa uygun bir yer sağlamak zorundadır (zorgplicht).</t>
        </is>
      </c>
      <c r="T25" s="29" t="n"/>
    </row>
    <row r="26" ht="54" customHeight="1">
      <c r="A26" s="29" t="inlineStr">
        <is>
          <t>eindhoven:international-school-eindhoven-ise</t>
        </is>
      </c>
      <c r="B26" s="29" t="inlineStr">
        <is>
          <t>eindhoven</t>
        </is>
      </c>
      <c r="C26" s="29" t="inlineStr">
        <is>
          <t>international-school-eindhoven-ise</t>
        </is>
      </c>
      <c r="D26" s="29" t="inlineStr">
        <is>
          <t>International School Eindhoven (ISE) hangi bölümleri sunuyor?</t>
        </is>
      </c>
      <c r="E26" s="29" t="inlineStr">
        <is>
          <t>Primary International, Primary Dutch Bilingual ve Secondary</t>
        </is>
      </c>
      <c r="F26" s="29" t="inlineStr">
        <is>
          <t>ISE, Eindhoven bölgesinde ilk ve orta öğretim veren, iki yerleşkede tek okul olarak çalışan bir Hollanda uluslararası okuludur. Üç bölümü var: Primary International (4-11 yaş, İngiltere ulusal ilkokul müfredatı), Primary Dutch Bilingual (4-12 yaş, Hollanda hedefleri ve güçlü İngilizce programı; derslerin %30'u İngilizce) ve Secondary (11-18 yaş, International Baccalaureate - IB). Okul Council of International Schools tarafından akredite edilmiştir.</t>
        </is>
      </c>
      <c r="G26" s="29" t="inlineStr">
        <is>
          <t>International School Eindhoven, ISE, IB, uluslararası okul, Dutch Bilingual, SILFO</t>
        </is>
      </c>
      <c r="H26" s="29" t="inlineStr">
        <is>
          <t>planning;new</t>
        </is>
      </c>
      <c r="I26" s="29" t="inlineStr">
        <is>
          <t>eindhoven:kaynak:145;eindhoven:kaynak:146</t>
        </is>
      </c>
      <c r="J26" s="49" t="n">
        <v>46317</v>
      </c>
      <c r="K26" s="51" t="n">
        <v>919</v>
      </c>
      <c r="L26" s="29" t="inlineStr">
        <is>
          <t>Hayır</t>
        </is>
      </c>
      <c r="M26" s="29" t="inlineStr">
        <is>
          <t>Taslak</t>
        </is>
      </c>
      <c r="N26" s="29" t="inlineStr">
        <is>
          <t>eindhoven:aile</t>
        </is>
      </c>
      <c r="O26" s="29" t="inlineStr">
        <is>
          <t>Çocuğunuzun yaşına ve Hollanda'da ne kadar kalacağınıza göre bölümü seçin: ilkokul çağındaki çocuk için geçici kalacaksanız (ya da yurt dışından dönen veya yurt dışına taşınacak bir Hollanda vatandaşıysanız) Primary International; uzun süreli ya da kalıcı kalacaksanız veya yerel sakin olup uluslararası ve iki dilli eğitim istiyorsanız Primary Dutch Bilingual.
11-18 yaş arası çocuk için Secondary bölümünü (International Baccalaureate) inceleyin; Secondary, Hollanda'da geçici kalacak uluslararası ailelerin çocuklarına ve yurt dışından dönen ya da yurt dışına taşınmayı planlayan Hollanda vatandaşlarına yöneliktir.
Bölümün programını okulun sitesi isecampus.nl'den inceleyin.
Okulun veli bilgi oturumlarına kaydolun ve sorularınızı orada sorun.</t>
        </is>
      </c>
      <c r="P26" s="29" t="n"/>
      <c r="Q26" s="29" t="n"/>
      <c r="R26" s="29" t="n"/>
      <c r="S26" s="29" t="inlineStr">
        <is>
          <t>Primary International ve Secondary: Oirschotsedijk 14B, 5651 GC Eindhoven. Primary Dutch Bilingual: Jan Luikenstraat 49, 5615 JL Eindhoven. Telefon: +31 (0) 40 251 94 37.</t>
        </is>
      </c>
      <c r="T26" s="29" t="n"/>
    </row>
    <row r="27" ht="54" customHeight="1">
      <c r="A27" s="29" t="inlineStr">
        <is>
          <t>eindhoven:ise-kayit-ve-bilgi-oturumlari</t>
        </is>
      </c>
      <c r="B27" s="29" t="inlineStr">
        <is>
          <t>eindhoven</t>
        </is>
      </c>
      <c r="C27" s="29" t="inlineStr">
        <is>
          <t>ise-kayit-ve-bilgi-oturumlari</t>
        </is>
      </c>
      <c r="D27" s="29" t="inlineStr">
        <is>
          <t>ISE'ye kayıt öncesi veli bilgi oturumları ne zaman?</t>
        </is>
      </c>
      <c r="E27" s="29" t="inlineStr">
        <is>
          <t>Üç bölüm için sıradaki oturum tarihleri (2026)</t>
        </is>
      </c>
      <c r="F27" s="29" t="inlineStr">
        <is>
          <t>International School Eindhoven, kayıt düşünen ailelere bölüm bazında tanıtım oturumları düzenler; bölümünüzü ve ayı seçerek okulun sitesinden kaydolursunuz. Sıradaki oturumlar: Primary Dutch Bilingual için 29 Ekim 2026 Perşembe 14:00-15:00 (Jan Luikenstraat 49), Primary International için 13 Kasım 2026 Cuma 13:30-14:30 (ISE Campus), Secondary için 11 Aralık 2026 Cuma 14:30-15:30 (çevrimiçi).</t>
        </is>
      </c>
      <c r="G27" s="29" t="inlineStr">
        <is>
          <t>ISE kayıt, International School Eindhoven bilgi oturumu, veli toplantısı, Parents' Introduction Sessions</t>
        </is>
      </c>
      <c r="H27" s="29" t="inlineStr">
        <is>
          <t>planning;new</t>
        </is>
      </c>
      <c r="I27" s="29" t="inlineStr">
        <is>
          <t>eindhoven:kaynak:146</t>
        </is>
      </c>
      <c r="J27" s="49" t="n">
        <v>46317</v>
      </c>
      <c r="K27" s="51" t="n">
        <v>920</v>
      </c>
      <c r="L27" s="29" t="inlineStr">
        <is>
          <t>Hayır</t>
        </is>
      </c>
      <c r="M27" s="29" t="inlineStr">
        <is>
          <t>Taslak</t>
        </is>
      </c>
      <c r="N27" s="29" t="inlineStr">
        <is>
          <t>eindhoven:aile</t>
        </is>
      </c>
      <c r="O27" s="29" t="inlineStr">
        <is>
          <t>Çocuğunuzun bölümünü seçin: Primary International, Primary Dutch Bilingual veya Secondary.
Okulun sitesinde o bölümün bilgi oturumu bağlantısından kaydolun.
Oturuma tarihinde katılın; Secondary oturumu çevrimiçi, diğerleri okulda yapılır.
Başka sorularınız için okulu +31 (0) 40 251 94 37 numarasından arayın.</t>
        </is>
      </c>
      <c r="P27" s="29" t="n"/>
      <c r="Q27" s="29" t="inlineStr">
        <is>
          <t>Primary Dutch Bilingual: 29 Ekim 2026. Primary International: 13 Kasım 2026. Secondary: 11 Aralık 2026.</t>
        </is>
      </c>
      <c r="R27" s="29" t="n"/>
      <c r="S27" s="29" t="inlineStr">
        <is>
          <t>ISE Campus Oirschotsedijk 14B, 5651 GC Eindhoven adresindedir; Primary Dutch Bilingual oturumu Jan Luikenstraat 49, 5615 JL Eindhoven'da yapılır.</t>
        </is>
      </c>
      <c r="T27" s="29" t="n"/>
    </row>
    <row r="28" ht="54" customHeight="1">
      <c r="A28" s="29" t="inlineStr">
        <is>
          <t>eindhoven:cocugu-tanima-erkenning</t>
        </is>
      </c>
      <c r="B28" s="29" t="inlineStr">
        <is>
          <t>eindhoven</t>
        </is>
      </c>
      <c r="C28" s="29" t="inlineStr">
        <is>
          <t>cocugu-tanima-erkenning</t>
        </is>
      </c>
      <c r="D28" s="29" t="inlineStr">
        <is>
          <t>Evli olmayan ebeveyn çocuğu nasıl tanır? (erkenning)</t>
        </is>
      </c>
      <c r="E28" s="29" t="inlineStr">
        <is>
          <t>Eindhoven'da Inwonersplein randevusu, ücret ve belgeler</t>
        </is>
      </c>
      <c r="F28" s="29" t="inlineStr">
        <is>
          <t>Evli değilseniz ve kayıtlı ortaklığınız yoksa (ya da duo-moeder iseniz) baba ya da çocuğu doğurmamış anne çocuğu erkennen ederek (resmen tanıyarak) ebeveynliği üstlenebilir. Tanıma Inwonersplein'da randevuyla yapılır: iki ebeveyn de Hollanda vatandaşıysa online, Hollandalı olmayan bir ebeveyn varsa 14 040'ı arayarak randevu alırsınız. Tanıma ücretsizdir. 1 Ocak 2023'ten beri tanımayla ortak velayet (gezag) ayrıca istenmeden gelir; istisnalar: anne bunu istemiyorsa tanıma için bizzat gelmelidir, 1 Ocak 2023'ten önce tanınıp bu tarihten sonra doğan çocuklarda ebeveynler velayeti hâlâ kendileri istemelidir. Soyadı seçimi (naamskeuze) yalnızca çocuk Hollanda vatandaşıysa ve ebeveynlerden en az biri Hollanda vatandaşıysa yapılabilir.</t>
        </is>
      </c>
      <c r="G28" s="29" t="inlineStr">
        <is>
          <t>erkenning, çocuğu tanıma, babalık, Inwonersplein, gezag, soyadı seçimi, duo-moeder</t>
        </is>
      </c>
      <c r="H28" s="29" t="inlineStr">
        <is>
          <t>new;settled</t>
        </is>
      </c>
      <c r="I28" s="29" t="inlineStr">
        <is>
          <t>eindhoven:kaynak:147;eindhoven:kaynak:149</t>
        </is>
      </c>
      <c r="J28" s="49" t="n">
        <v>46317</v>
      </c>
      <c r="K28" s="51" t="n">
        <v>921</v>
      </c>
      <c r="L28" s="29" t="inlineStr">
        <is>
          <t>Hayır</t>
        </is>
      </c>
      <c r="M28" s="29" t="inlineStr">
        <is>
          <t>Taslak</t>
        </is>
      </c>
      <c r="N28" s="29" t="inlineStr">
        <is>
          <t>eindhoven:aile</t>
        </is>
      </c>
      <c r="O28" s="29" t="inlineStr">
        <is>
          <t>Online (iki ebeveyn de Hollandalıysa) ya da 14 040'ı arayarak Inwonersplein için randevu alın; Hollandalı olmayan ebeveyn varsa yalnızca telefonla randevu alınır.
Doğumdan önce, doğum bildirimi sırasında veya doğumdan sonra tanıma yapabileceğinizi bilin ve zamanı seçin.
Gerekli belgelerle randevuya gelin; ilk çocuğu tanıyorsanız tanıyan kişi ve anne bizzat gelmelidir.
Anne, tanıyanın velayeti otomatik almasını istemiyorsa tanıma için bizzat gişeye gelmelidir.
İlk çocuğunuzu tanıyorsanız ve soyadı seçimi şartlarını (çocuk ve ebeveynlerden en az biri Hollanda vatandaşı) sağlıyorsanız aynı randevuda soyadını da seçin.
Memur bir erkenningsakte (tanıma belgesi) düzenler.
Çocuk 1 Ocak 2023'ten önce tanınıp bu tarihten sonra doğduysa velayeti ayrıca kendiniz isteyin.</t>
        </is>
      </c>
      <c r="P28" s="29" t="inlineStr">
        <is>
          <t>Tanıyanın ve annenin geçerli pasaportu veya kimlik kartı
Sonraki çocuklarda anne gelmeyecekse: online formun doldurulmuş, yazdırılmış ve annenin imzaladığı hali
Anne gelmeyecekse annenin kimlik belgesinin (kopyası)
Ebeveyn yabancı uyruklu, yurt dışı doğumlu veya yurt dışında yaşamışsa: randevudan önce 14 040'tan öğrenilecek ek belgeler</t>
        </is>
      </c>
      <c r="Q28" s="29" t="inlineStr">
        <is>
          <t>Doğumdan önce, doğum bildirimi sırasında veya doğumdan sonra yapılabilir.</t>
        </is>
      </c>
      <c r="R28" s="29" t="inlineStr">
        <is>
          <t>Tanıma ücretsizdir; soyadı seçimi de ücretsizdir (şartları sağlayanlar için)</t>
        </is>
      </c>
      <c r="S28" s="29" t="inlineStr">
        <is>
          <t>Ebeveynlerden biri Hollanda vatandaşı değilse (Türk vatandaşları dahil) önce 14 040'ı arayıp sorularınızı cevaplatın ve randevuyu telefonla alın; çocuk yurt dışında doğduysa da randevudan önce 14 040'ı arayın. İki ebeveyn de Türk vatandaşıysa soyadı seçimi şartı (ebeveynlerden en az biri Hollanda vatandaşı) karşılanmaz; bu adımın size uygulanıp uygulanmayacağını randevudan önce 14 040'a sorun. İlk çocukta soyadı seçimi yapılmazsa bu çocuk ve aynı ilişkiden doğan diğer çocuklar annenin soyadını alır. Yabancı belgeler legalizasyon, apostil veya yeminli tercüme gerektirebilir. Çocuk 12 yaşında veya daha büyükse çocuğun ve annenin, 16 yaşında veya daha büyükse yalnızca çocuğun izni gerekir ve çocuk da randevuya gelir.</t>
        </is>
      </c>
      <c r="T28" s="29" t="n"/>
    </row>
    <row r="29" ht="54" customHeight="1">
      <c r="A29" s="29" t="inlineStr">
        <is>
          <t>eindhoven:ouderschapsverlof-basvurusu</t>
        </is>
      </c>
      <c r="B29" s="29" t="inlineStr">
        <is>
          <t>eindhoven</t>
        </is>
      </c>
      <c r="C29" s="29" t="inlineStr">
        <is>
          <t>ouderschapsverlof-basvurusu</t>
        </is>
      </c>
      <c r="D29" s="29" t="inlineStr">
        <is>
          <t>Ouderschapsverlof (ebeveyn izni) işverenden nasıl istenir?</t>
        </is>
      </c>
      <c r="E29" s="29" t="inlineStr">
        <is>
          <t>2 ay önceden yazılı talep; işveren yalnız saat dağılımını reddedebilir</t>
        </is>
      </c>
      <c r="F29" s="29" t="inlineStr">
        <is>
          <t>Ouderschapsverlof'u işvereninize en az 2 ay önceden yazılı olarak istersiniz; işveren talebi reddedemez. İzni nasıl ve ne zaman kullanacağınızı kendiniz belirler, talebinizde bunu yazarsınız. İşveren yalnızca çalışma saatlerinizin dağılımını reddedebilir, o da izin şirketi ciddi şekilde zora sokuyorsa.</t>
        </is>
      </c>
      <c r="G29" s="29" t="inlineStr">
        <is>
          <t>ouderschapsverlof, ebeveyn izni, işveren, verlof aanvragen, arbeidstijdpatroon, doğum sonrası izin</t>
        </is>
      </c>
      <c r="H29" s="29" t="inlineStr">
        <is>
          <t>new;settled</t>
        </is>
      </c>
      <c r="I29" s="29" t="inlineStr">
        <is>
          <t>eindhoven:kaynak:148</t>
        </is>
      </c>
      <c r="J29" s="49" t="n">
        <v>46317</v>
      </c>
      <c r="K29" s="51" t="n">
        <v>922</v>
      </c>
      <c r="L29" s="29" t="inlineStr">
        <is>
          <t>Hayır</t>
        </is>
      </c>
      <c r="M29" s="29" t="inlineStr">
        <is>
          <t>Taslak</t>
        </is>
      </c>
      <c r="N29" s="29" t="inlineStr">
        <is>
          <t>eindhoven:aile</t>
        </is>
      </c>
      <c r="O29" s="29" t="inlineStr">
        <is>
          <t>İzin başlamadan en az 2 ay önce işvereninize yazılı talepte bulunun; izin doğum tarihine bağlıysa bunu belirtebilirsiniz.
Talebinizde izni nasıl kullanmak istediğinizi de yazın.
İşveren saat dağılımını reddederse, izin başlamadan 4 haftaya kadar sizinle başka bir dağılım için görüşür; anlaşamazsanız konuyu hakime götürebilirsiniz.
İzin bitince eski çalışma saatlerinize dönersiniz; saatleri geçici olarak 1 yıl değiştirmek isterseniz bunu izin bitmeden 3 ay önce işvereninizden isteyin.
İşveren, izin bitiminden en geç 4 hafta önce bu geçici saat talebine cevap verir ve talebi reddedebilir.</t>
        </is>
      </c>
      <c r="P29" s="29" t="n"/>
      <c r="Q29" s="29" t="inlineStr">
        <is>
          <t>Talep: izinden en az 2 ay önce. Geçici saat değişikliği talebi: izin bitmeden 3 ay önce.</t>
        </is>
      </c>
      <c r="R29" s="29" t="n"/>
      <c r="S29" s="29" t="inlineStr">
        <is>
          <t>Geçici saat değişikliğinde çalıştığınız saat sayısı aynı kalır; işveren isterse süre 1 yıldan uzun olabilir.</t>
        </is>
      </c>
      <c r="T29" s="29" t="n"/>
    </row>
    <row r="30" ht="54" customHeight="1">
      <c r="A30" s="29" t="inlineStr">
        <is>
          <t>eindhoven:bebek-dogunca-izin-saglik-sigortasi-consultatiebureau</t>
        </is>
      </c>
      <c r="B30" s="29" t="inlineStr">
        <is>
          <t>eindhoven</t>
        </is>
      </c>
      <c r="C30" s="29" t="inlineStr">
        <is>
          <t>bebek-dogunca-izin-saglik-sigortasi-consultatiebureau</t>
        </is>
      </c>
      <c r="D30" s="29" t="inlineStr">
        <is>
          <t>Bebek doğunca doğum izni, sağlık sigortası ve consultatiebureau işleri</t>
        </is>
      </c>
      <c r="E30" s="29" t="inlineStr">
        <is>
          <t>Anne ve partner izni, 4 aylık sigorta süresi ve aşı davetleri</t>
        </is>
      </c>
      <c r="F30" s="29" t="inlineStr">
        <is>
          <t>Bir işverenle çalışan anne, doğum çevresinde en az 16 hafta izin hakkına sahiptir: zwangerschapsverlof (hamilelik izni) ve en az 10 hafta bevallingsverlof (doğum izni). İzni işverene tahmini doğum tarihinden (uitgerekende bevallingsdatum) en az 7 hafta önce bildirmelisiniz. Annenin partneri de bir işverenle çalışıyorsa 1 çalışma haftası geboorteverlof (kraamverlof, partnerverlof) alır; işveren maaşı öder ve izin doğumdan sonraki 4 hafta içinde kullanılır. Doğumu doğumdan sonra 3 iş günü içinde belediyeye bildirirsiniz; bebeği 4 ay içinde sağlık sigortanıza bildirirseniz sigorta doğum tarihinden itibaren geçerli olur.</t>
        </is>
      </c>
      <c r="G30" s="29" t="inlineStr">
        <is>
          <t>doğum izni, bevallingsverlof, geboorteverlof, kraamverlof, zorgverzekering, consultatiebureau, aşı</t>
        </is>
      </c>
      <c r="H30" s="29" t="inlineStr">
        <is>
          <t>new</t>
        </is>
      </c>
      <c r="I30" s="29" t="inlineStr">
        <is>
          <t>eindhoven:kaynak:149</t>
        </is>
      </c>
      <c r="J30" s="49" t="n">
        <v>46317</v>
      </c>
      <c r="K30" s="51" t="n">
        <v>923</v>
      </c>
      <c r="L30" s="29" t="inlineStr">
        <is>
          <t>Hayır</t>
        </is>
      </c>
      <c r="M30" s="29" t="inlineStr">
        <is>
          <t>Taslak</t>
        </is>
      </c>
      <c r="N30" s="29" t="inlineStr">
        <is>
          <t>eindhoven:aile</t>
        </is>
      </c>
      <c r="O30" s="29" t="inlineStr">
        <is>
          <t>Anneyseniz izni tahmini doğum tarihinden en az 7 hafta önce işvereninize bildirin.
Annenin partneriyseniz ve bir işverenle çalışıyorsanız geboorteverlof'u doğumdan sonra mümkün olan en kısa sürede işverenden isteyin ve doğumdan sonraki 4 hafta içinde kullanın.
Bebeği doğumdan sonra 3 iş günü içinde (doğum günü sayılmaz) doğduğu yerin belediyesine bildirin; bebek nüfus kaydına yazılır ve BSN alır.
Bebeği 4 ay içinde sağlık sigortanıza (zorgverzekering) bildirin.
Consultatiebureau'dan (çocuk sağlığı danışma merkezi) gelecek daveti bekleyin; aşı için ve beslenme, bakım, eğitim sorularınız için oraya gidebilirsiniz.
Durumunuza özel yapılacaklar listesi için rijksoverheid.nl/kindkrijgen adresinde kişisel bir özet oluşturun ya da 1400'ü arayın.</t>
        </is>
      </c>
      <c r="P30" s="29" t="n"/>
      <c r="Q30" s="29" t="inlineStr">
        <is>
          <t>Anne izni: tahmini doğum tarihinden en az 7 hafta önce istenir. Doğum bildirimi: doğumdan sonra 3 iş günü içinde. Partner izni: doğumdan sonra 4 hafta içinde kullanılır. Sigorta: doğumdan sonra 4 ay içinde bildirilir.</t>
        </is>
      </c>
      <c r="R30" s="29" t="n"/>
      <c r="S30" s="29" t="inlineStr">
        <is>
          <t>Bevallingsverlof doğumdan sonraki gün başlar. Bebek tahmin edilen tarihten geç doğarsa izin süresi 16 haftadan uzun olabilir. Sayfadaki video metni kişisel liste için rijksoverheid.nl/kindkrijgen adresini veriyor; sayfanın 'Meer informatie' bölümü ise 'Een kind krijgen' soru listesi için rijksoverheid.nl/kinderkennen adresini gösteriyor ve bu adres aynı sayfada tanıma ve velayet (erkenning en gezag) listesi için de geçiyor. kindkrijgen ile başlayın; doğru listeye ulaşamazsanız 1400'ü arayın.</t>
        </is>
      </c>
      <c r="T30" s="29" t="n"/>
    </row>
    <row r="31" ht="54" customHeight="1">
      <c r="A31" s="29" t="inlineStr">
        <is>
          <t>eindhoven:sosyal-kiralik-konut-arama-yollari</t>
        </is>
      </c>
      <c r="B31" s="29" t="inlineStr">
        <is>
          <t>eindhoven</t>
        </is>
      </c>
      <c r="C31" s="29" t="inlineStr">
        <is>
          <t>sosyal-kiralik-konut-arama-yollari</t>
        </is>
      </c>
      <c r="D31" s="29" t="inlineStr">
        <is>
          <t>Eindhoven'da sosyal kiralık konut nereden aranır?</t>
        </is>
      </c>
      <c r="E31" s="29" t="inlineStr">
        <is>
          <t>Dört konut şirketi (woningcorporatie) ve wooniezie.nl</t>
        </is>
      </c>
      <c r="F31" s="29" t="inlineStr">
        <is>
          <t>Eindhoven belediyesi sosyal kiralık konut için dört konut şirketini sayıyor: Thuis, Trudo, Woonbedrijf ve Wooninc. Bunlara ek olarak wooniezie.nl sitesine bakılabiliyor. Metropool Regio Eindhoven'da wooniezie.nl'de woningzoekende (konut arayan) olarak ücretsiz kayıt oluyorsun; kayıt için 18 yaşında veya daha büyük olmak, Hollanda'da oturma hakkına sahip olmak (Hollanda pasaportu ya da geçerli oturma izni) ve bir e-posta adresi gerekiyor. Kayıttan sonra ilanlara herkes başvurabiliyor ve şans buluyor. Öğrenci odası arayanlar için belediyenin ayrı bir öğrenci konutu sayfası var.</t>
        </is>
      </c>
      <c r="G31" s="29" t="inlineStr">
        <is>
          <t>sosyal konut, sociale huur, woningcorporatie, Thuis, Trudo, Woonbedrijf, Wooninc, wooniezie</t>
        </is>
      </c>
      <c r="H31" s="29" t="inlineStr">
        <is>
          <t>planning;new</t>
        </is>
      </c>
      <c r="I31" s="29" t="inlineStr">
        <is>
          <t>eindhoven:kaynak:056;eindhoven:kaynak:058;eindhoven:kaynak:057</t>
        </is>
      </c>
      <c r="J31" s="49" t="n">
        <v>46317</v>
      </c>
      <c r="K31" s="51" t="n">
        <v>401</v>
      </c>
      <c r="L31" s="29" t="inlineStr">
        <is>
          <t>Hayır</t>
        </is>
      </c>
      <c r="M31" s="29" t="inlineStr">
        <is>
          <t>Taslak</t>
        </is>
      </c>
      <c r="N31" s="29" t="inlineStr">
        <is>
          <t>eindhoven:ev</t>
        </is>
      </c>
      <c r="O31" s="29" t="inlineStr">
        <is>
          <t>Belediyenin saydığı konut şirketlerinin sitelerine bak: mijn-thuis.nl, trudo.nl, woonbedrijf.com, wooninc.nl.
wooniezie.nl'de konut arayan (woningzoekende) olarak ücretsiz kayıt ol; 18 yaşını doldurmuş olman, Hollanda pasaportun ya da geçerli oturma iznin ve bir e-posta adresin olmalı.
Uygun bir konut ilanı görünce hemen başvur (reageren); aktif başvuracaksan Belastingdienst'ten inkomensverklaring (gelir belgesi) indirip kaydına ekle.
Öğrenciysen ve oda arıyorsan belediyenin Woonruimte voor studenten (öğrenciler için konut) sayfasına bak.</t>
        </is>
      </c>
      <c r="P31" s="29" t="n"/>
      <c r="Q31" s="29" t="n"/>
      <c r="R31" s="29" t="n"/>
      <c r="S31" s="29" t="inlineStr">
        <is>
          <t>Trudo'nun ana görevi düşük gelirli kişileri sosyal kiralık konutlara yerleştirmek. Trudo, Metropool Regio Eindhoven'da kiralık konut arayanları kayıt ve konut araması için wooniezie.nl'e yönlendiriyor.</t>
        </is>
      </c>
      <c r="T31" s="29" t="n"/>
    </row>
    <row r="32" ht="54" customHeight="1">
      <c r="A32" s="29" t="inlineStr">
        <is>
          <t>eindhoven:wooniezie-kaydi-sartlari</t>
        </is>
      </c>
      <c r="B32" s="29" t="inlineStr">
        <is>
          <t>eindhoven</t>
        </is>
      </c>
      <c r="C32" s="29" t="inlineStr">
        <is>
          <t>wooniezie-kaydi-sartlari</t>
        </is>
      </c>
      <c r="D32" s="29" t="inlineStr">
        <is>
          <t>Wooniezie'ye sosyal konut için nasıl kayıt olunur?</t>
        </is>
      </c>
      <c r="E32" s="29" t="inlineStr">
        <is>
          <t>Ücretsiz kayıt; 18 yaş, oturma hakkı ve e-posta şart; her yıl yenilenir</t>
        </is>
      </c>
      <c r="F32" s="29" t="inlineStr">
        <is>
          <t>Eindhoven ve Helmond bölgesinde kiralık konut için wooniezie.nl'de konut arayan olarak kayıt oluyorsun ve kayıt ücretsiz. Üç şart var: 18 yaş veya üstü olmak, Hollanda'da oturma hakkına sahip olmak (Hollanda pasaportu veya geçerli Hollanda oturma izni) ve bir e-posta adresi. Kayıt sitede 10 dakika içinde bitiyor; ardından gelirini de eklemen isteniyor. Kayıt tüm bölge için geçerli ama her yıl yenilenmesi gerekiyor; yenileme de ücretsiz.</t>
        </is>
      </c>
      <c r="G32" s="29" t="inlineStr">
        <is>
          <t>Wooniezie, inschrijven, sosyal konut, woningzoekende, zoekprofiel, inkomensverklaring, oturma izni</t>
        </is>
      </c>
      <c r="H32" s="29" t="inlineStr">
        <is>
          <t>new</t>
        </is>
      </c>
      <c r="I32" s="29" t="inlineStr">
        <is>
          <t>eindhoven:kaynak:057;eindhoven:kaynak:215</t>
        </is>
      </c>
      <c r="J32" s="49" t="n">
        <v>46317</v>
      </c>
      <c r="K32" s="51" t="n">
        <v>402</v>
      </c>
      <c r="L32" s="29" t="inlineStr">
        <is>
          <t>Evet</t>
        </is>
      </c>
      <c r="M32" s="29" t="inlineStr">
        <is>
          <t>Taslak</t>
        </is>
      </c>
      <c r="N32" s="29" t="inlineStr">
        <is>
          <t>eindhoven:ev</t>
        </is>
      </c>
      <c r="O32" s="29" t="inlineStr">
        <is>
          <t>Üç şartı kontrol et: 18 yaş ve üstü olmak, Hollanda pasaportu veya geçerli oturma iznine sahip olmak, e-posta adresin olmak.
Start inschrijven (kaydı başlat) düğmesiyle kaydı başlat, bilgilerini gir ve bir arama profili (zoekprofiel) oluştur.
Tipberichten'i (ipucu bildirimleri) aç; yeni uygun konut çıkınca haberin olur.
Kayıttan hemen sonra gelirini ekle.
İlanlara aktif başvuracaksan Belastingdienst'ten inkomensverklaring (gelir belgesi) indirip kaydına ekle.
Kaydı her yıl yenile; Wooniezie yenilemeden bir ay önce haber veriyor. Bilgilerini güncel tut: bir ilana başvurduğunda bilgilerin yanlışsa konut şirketi sana konut öneremez.</t>
        </is>
      </c>
      <c r="P32" s="29" t="inlineStr">
        <is>
          <t>Hollanda pasaportu veya geçerli Hollanda oturma izni
E-posta adresi
Belastingdienst'ten inkomensverklaring (gelir belgesi)</t>
        </is>
      </c>
      <c r="Q32" s="29" t="inlineStr">
        <is>
          <t>Kayıt yaklaşık 10 dakikada tamamlanıyor. Kaydı her yıl yenilemen gerekiyor; Wooniezie yenilemeden bir ay önce haber veriyor.</t>
        </is>
      </c>
      <c r="R32" s="29" t="inlineStr">
        <is>
          <t>Kayıt ve yıllık yenileme ücretsiz.</t>
        </is>
      </c>
      <c r="S32" s="29" t="inlineStr">
        <is>
          <t>Orta kira (middenhuur) veya serbest sektör konutu arıyorsan kayıt gerekmiyor; bazı satılık konutlar ve iş yerleri için de gerekmiyor, bunun için ilandaki şartlar okunmalı. Bölge dışında sosyal konut aramak istiyorsan socialehuurwoning.nl'de başka hangi bölgelere kayıt olunabildiği görülüyor. Wooniezie'nin 28 Ocak 2022 tarihli haberi bir yerde yenileme için bildirim geleceğini ve kendi işlem yapmana gerek olmadığını, başka yerde ise kaydı her yıl yenilemeni söylüyor: bildirim gelince wooniezie.nl'e giriş yapıp kaydının güncel ve yenilenmiş olduğunu kontrol et.</t>
        </is>
      </c>
      <c r="T32" s="29" t="n"/>
    </row>
    <row r="33" ht="54" customHeight="1">
      <c r="A33" s="29" t="inlineStr">
        <is>
          <t>eindhoven:sosyal-konut-kira-ve-gelir-sinirlari-2026</t>
        </is>
      </c>
      <c r="B33" s="29" t="inlineStr">
        <is>
          <t>eindhoven</t>
        </is>
      </c>
      <c r="C33" s="29" t="inlineStr">
        <is>
          <t>sosyal-konut-kira-ve-gelir-sinirlari-2026</t>
        </is>
      </c>
      <c r="D33" s="29" t="inlineStr">
        <is>
          <t>Sosyal kiralık konutun kira ve gelir sınırları 2026'da nedir?</t>
        </is>
      </c>
      <c r="E33" s="29" t="inlineStr">
        <is>
          <t>Sosyal konut kirası 932,93 euronun altında; gelir sınırı tek kişide 51.537, çok kişide 56.910 euro</t>
        </is>
      </c>
      <c r="F33" s="29" t="inlineStr">
        <is>
          <t>Sosyal kiralık konut, kira sözleşmesinin başladığı tarihteki orta segment kira sınırının altında bir ilk aylık kirası olan konuttur; 2026'da başlayan sözleşmelerde bu sınır 932,93 euro. Konut şirketleri (woningcorporatie) boşalan sosyal konutların %92,5'ini geliri tek kişilik hanede en çok 51.537 euro, çok kişilik hanede en çok 56.910 euro olanlara vermek zorunda; daha yüksek gelirlilere en çok %7,5 ayrılabiliyor (2026). Konut açığının çok yüksek olduğu bölgelerde konut şirketi belediye ve kiracı derneğiyle anlaşıp bu serbest payı yerelde en çok %15'e çıkarabiliyor. 2026'da başlayan sözleşmelerde ilk kira 1.228,07 euronun üstündeyse sözleşme serbest sektör sayılıyor.</t>
        </is>
      </c>
      <c r="G33" s="29" t="inlineStr">
        <is>
          <t>sosyal konut, sociale huur, gelir sınırı, kira sınırı, 932,93, 51.537, woningcorporatie</t>
        </is>
      </c>
      <c r="H33" s="29" t="inlineStr">
        <is>
          <t>planning;new</t>
        </is>
      </c>
      <c r="I33" s="29" t="inlineStr">
        <is>
          <t>eindhoven:kaynak:205;eindhoven:kaynak:057</t>
        </is>
      </c>
      <c r="J33" s="49" t="n">
        <v>46317</v>
      </c>
      <c r="K33" s="51" t="n">
        <v>403</v>
      </c>
      <c r="L33" s="29" t="inlineStr">
        <is>
          <t>Hayır</t>
        </is>
      </c>
      <c r="M33" s="29" t="inlineStr">
        <is>
          <t>Taslak</t>
        </is>
      </c>
      <c r="N33" s="29" t="inlineStr">
        <is>
          <t>eindhoven:ev</t>
        </is>
      </c>
      <c r="O33" s="29" t="inlineStr">
        <is>
          <t>İlandaki başlangıç kirasına bak: 2026'da başlayacak sözleşmede 932,93 euronun altındaysa sosyal konut.
Hane gelirini sınırla karşılaştır: tek kişilik hane için 51.537 euro, çok kişilik hane için 56.910 euro.
Gelirin sınırın altındaysa sosyal konutların %92,5'lik ana payı için değerlendirilirsin; üstündeyse yüksek gelirliler için ayrılan en çok %7,5'lik (yerelde en çok %15'lik) paya bakıyorsun.
Wooniezie'ye kayıt ol (şartlar: 18 yaş ve üstü, Hollanda'da oturma hakkı yani Hollanda pasaportu veya geçerli oturma izni, e-posta adresi), Belastingdienst'ten indirdiğin inkomensverklaring'i (gelir belgesi) kaydına ekle ve sosyal konut ilanlarına başvur.</t>
        </is>
      </c>
      <c r="P33" s="29" t="n"/>
      <c r="Q33" s="29" t="inlineStr">
        <is>
          <t>Sınırlar 2026'da başlayan kira sözleşmeleri ve 2026 yılı konut ataması için geçerli.</t>
        </is>
      </c>
      <c r="R33" s="29" t="inlineStr">
        <is>
          <t>Sosyal konut kira sınırı: 932,93 euro. Serbest sektör kira sınırı: 1.228,07 euro. İkisi de 2026'da başlayan sözleşmeler için.</t>
        </is>
      </c>
      <c r="S33" s="29" t="inlineStr">
        <is>
          <t>Orta kira (middenhuur) veya serbest sektör konutu için Wooniezie kaydı gerekmiyor; bunun için ilandaki şartlara bak.</t>
        </is>
      </c>
      <c r="T33" s="29" t="n"/>
    </row>
    <row r="34" ht="54" customHeight="1">
      <c r="A34" s="29" t="inlineStr">
        <is>
          <t>eindhoven:acil-konut-urgentie-onceligi</t>
        </is>
      </c>
      <c r="B34" s="29" t="inlineStr">
        <is>
          <t>eindhoven</t>
        </is>
      </c>
      <c r="C34" s="29" t="inlineStr">
        <is>
          <t>acil-konut-urgentie-onceligi</t>
        </is>
      </c>
      <c r="D34" s="29" t="inlineStr">
        <is>
          <t>Acil konut ihtiyacında urgentie (öncelik) nasıl istenir?</t>
        </is>
      </c>
      <c r="E34" s="29" t="inlineStr">
        <is>
          <t>Stedelijk gebied Eindhoven (SGE) için tek düzenleme</t>
        </is>
      </c>
      <c r="F34" s="29" t="inlineStr">
        <is>
          <t>Bir acil durum yüzünden evinde kalamıyorsan, durum gerçekten acilse ve başka çözüm yoksa urgentie isteyebilirsin. Urgentie, sosyal kiralık konut tahsisinde sana öncelik sağlıyor. Best, Eindhoven, Geldrop-Mierlo, Helmond, Nuenen, Oirschot, Son en Breugel, Veldhoven ve Waalre için tek bir urgentie düzenlemesi geçerli (Stedelijk gebied Eindhoven, SGE). Koşullar stedelijkgebiedeindhoven.nl sitesinde duruyor.</t>
        </is>
      </c>
      <c r="G34" s="29" t="inlineStr">
        <is>
          <t>urgentie, acil konut, noodsituatie, SGE, sociale huurwoning, öncelik</t>
        </is>
      </c>
      <c r="H34" s="29" t="inlineStr">
        <is>
          <t>new;settled</t>
        </is>
      </c>
      <c r="I34" s="29" t="inlineStr">
        <is>
          <t>eindhoven:kaynak:056;eindhoven:kaynak:058</t>
        </is>
      </c>
      <c r="J34" s="49" t="n">
        <v>46317</v>
      </c>
      <c r="K34" s="51" t="n">
        <v>404</v>
      </c>
      <c r="L34" s="29" t="inlineStr">
        <is>
          <t>Hayır</t>
        </is>
      </c>
      <c r="M34" s="29" t="inlineStr">
        <is>
          <t>Taslak</t>
        </is>
      </c>
      <c r="N34" s="29" t="inlineStr">
        <is>
          <t>eindhoven:ev</t>
        </is>
      </c>
      <c r="O34" s="29" t="inlineStr">
        <is>
          <t>Bir acil durum yüzünden evinde kalamadığını netleştir.
Durumun gerçekten acil olduğundan ve başka çözümün bulunmadığından emin ol.
Urgentie başvurusunu yap; tüm SGE bölgesi için tek bir düzenleme geçerli.
Geçerli koşulları stedelijkgebiedeindhoven.nl sitesinde oku.</t>
        </is>
      </c>
      <c r="P34" s="29" t="n"/>
      <c r="Q34" s="29" t="n"/>
      <c r="R34" s="29" t="n"/>
      <c r="S34" s="29" t="inlineStr">
        <is>
          <t>Trudo da kendi sayfasında acil durumda (noodsituatie) konut tahsisinde öncelik alınabildiğini yazıyor.</t>
        </is>
      </c>
      <c r="T34" s="29" t="n"/>
    </row>
    <row r="35" ht="54" customHeight="1">
      <c r="A35" s="29" t="inlineStr">
        <is>
          <t>eindhoven:trudo-atama-kurallari-ve-inplaatsing</t>
        </is>
      </c>
      <c r="B35" s="29" t="inlineStr">
        <is>
          <t>eindhoven</t>
        </is>
      </c>
      <c r="C35" s="29" t="inlineStr">
        <is>
          <t>trudo-atama-kurallari-ve-inplaatsing</t>
        </is>
      </c>
      <c r="D35" s="29" t="inlineStr">
        <is>
          <t>Trudo'dan kiralık konut: atama kuralları ve Woensel-West'te inplaatsing</t>
        </is>
      </c>
      <c r="E35" s="29" t="inlineStr">
        <is>
          <t>Düşük gelirliler için sosyal konut; urgentie dışında hızlı yol</t>
        </is>
      </c>
      <c r="F35" s="29" t="inlineStr">
        <is>
          <t>Trudo'nun ana görevi düşük gelirlileri sosyal kiralık konutlara yerleştirmek. Trudo, Metropool Regio Eindhoven'da kiralık konut arayanları wooniezie.nl'e yönlendiriyor: orada konut arayan (woningzoekende) olarak kayıt olup ilanları arıyorsun; herkes başvurabiliyor ve şans buluyor. Wooniezie kaydı ücretsiz; 18 yaşında veya daha büyük olmak, Hollanda'da oturma hakkı (Hollanda pasaportu veya geçerli oturma izni) ve e-posta adresi şart. Geliri huurtoeslag (kira yardımı) sınırının altında olanlar için 1 Ocak 2016'dan beri konut atamasında bir dizi yeni kural geçerli.</t>
        </is>
      </c>
      <c r="G35" s="29" t="inlineStr">
        <is>
          <t>Trudo, toewijzing, inplaatsing, Woensel-West, sosyal konut, düşük gelir</t>
        </is>
      </c>
      <c r="H35" s="29" t="inlineStr">
        <is>
          <t>planning;new</t>
        </is>
      </c>
      <c r="I35" s="29" t="inlineStr">
        <is>
          <t>eindhoven:kaynak:058;eindhoven:kaynak:057</t>
        </is>
      </c>
      <c r="J35" s="49" t="n">
        <v>46317</v>
      </c>
      <c r="K35" s="51" t="n">
        <v>405</v>
      </c>
      <c r="L35" s="29" t="inlineStr">
        <is>
          <t>Hayır</t>
        </is>
      </c>
      <c r="M35" s="29" t="inlineStr">
        <is>
          <t>Taslak</t>
        </is>
      </c>
      <c r="N35" s="29" t="inlineStr">
        <is>
          <t>eindhoven:ev</t>
        </is>
      </c>
      <c r="O35" s="29" t="inlineStr">
        <is>
          <t>wooniezie.nl'de konut arayan olarak kayıt ol: 18 yaşında veya daha büyük olman, Hollanda'da oturma hakkın (pasaport veya geçerli oturma izni) ve e-posta adresin olması gerekiyor; ilanlara aktif başvuracaksan Belastingdienst'ten inkomensverklaring'ini (gelir belgesi) de kaydına ekle.
İlgilendiğin bir konut ilanı çıkınca hemen başvur.
Gelirin huurtoeslag sınırının altındaysa Trudo'nun Toewijzing sociale huurwoningen (sosyal kiralık konut ataması) sayfasındaki kuralları oku.
Acil durumdaysan Trudo'nun urgentie sayfasına bak.
Woensel-West'te yaşamak istiyorsan inplaatsing sayfasını oku.</t>
        </is>
      </c>
      <c r="P35" s="29" t="n"/>
      <c r="Q35" s="29" t="n"/>
      <c r="R35" s="29" t="n"/>
      <c r="S35" s="29" t="inlineStr">
        <is>
          <t>Urgentie dışında daha hızlı konut bulmanın bir yolu daha var: Woensel-West'te, mahalleyi desteklemeye gönüllü olanlar öncelikle yerleştirilebiliyor (inplaatsing).</t>
        </is>
      </c>
      <c r="T35" s="29" t="n"/>
    </row>
    <row r="36" ht="54" customHeight="1">
      <c r="A36" s="29" t="inlineStr">
        <is>
          <t>eindhoven:ozel-sektorde-kiralik-konut-bulma</t>
        </is>
      </c>
      <c r="B36" s="29" t="inlineStr">
        <is>
          <t>eindhoven</t>
        </is>
      </c>
      <c r="C36" s="29" t="inlineStr">
        <is>
          <t>ozel-sektorde-kiralik-konut-bulma</t>
        </is>
      </c>
      <c r="D36" s="29" t="inlineStr">
        <is>
          <t>Özel sektörde (particuliere sector) kiralık konut nasıl bulunur?</t>
        </is>
      </c>
      <c r="E36" s="29" t="inlineStr">
        <is>
          <t>Woningbouwkaart, emlakçılar, Funda ve aracı ücretleri</t>
        </is>
      </c>
      <c r="F36" s="29" t="inlineStr">
        <is>
          <t>Özel piyasada kiralık konut için belediye üç yol gösteriyor: yeni yapı projeleri için woningbouwkaart (konut yapı haritası), geliştirici ve onaylı emlakçı (makelaar) siteleri ve Funda gibi aracı siteler. Talep yüksek olduğu için aracının güvenilirliğine ve istediği ücretin makul olup olmadığına dikkat etmek gerekiyor. ACM ConsuWijzer sitesi, konut ararken alınan ücretler hakkında bilgi veriyor.</t>
        </is>
      </c>
      <c r="G36" s="29" t="inlineStr">
        <is>
          <t>particuliere huur, Funda, makelaar, woningbouwkaart, bemiddelingskosten, ACM ConsuWijzer, kiralık ev</t>
        </is>
      </c>
      <c r="H36" s="29" t="inlineStr">
        <is>
          <t>planning;new</t>
        </is>
      </c>
      <c r="I36" s="29" t="inlineStr">
        <is>
          <t>eindhoven:kaynak:056</t>
        </is>
      </c>
      <c r="J36" s="49" t="n">
        <v>46317</v>
      </c>
      <c r="K36" s="51" t="n">
        <v>406</v>
      </c>
      <c r="L36" s="29" t="inlineStr">
        <is>
          <t>Hayır</t>
        </is>
      </c>
      <c r="M36" s="29" t="inlineStr">
        <is>
          <t>Taslak</t>
        </is>
      </c>
      <c r="N36" s="29" t="inlineStr">
        <is>
          <t>eindhoven:ev</t>
        </is>
      </c>
      <c r="O36" s="29" t="inlineStr">
        <is>
          <t>Eindhoven'daki yeni yapı projeleri için woningbouwkaart'ı aç, yakınlaştır ve kiralık konut yapan geliştiricileri gör.
Çeşitli geliştiricilerin ve onaylı emlakçıların sitelerinde kiralık konut ilanlarına bak.
Funda gibi aracı sitelerdeki kiralık ilanlara bak.
Aracı site veya kişinin vaat ettiğini yapıp yapmadığını önceden araştır.
İstenen ücretin makul olduğunu kontrol et; ücretler için ACM ConsuWijzer sitesine bak.</t>
        </is>
      </c>
      <c r="P36" s="29" t="n"/>
      <c r="Q36" s="29" t="n"/>
      <c r="R36" s="29" t="n"/>
      <c r="S36" s="29" t="inlineStr">
        <is>
          <t>Belediyeye göre aracılık yapan taraflar ücret alıyor ve çoğu zaman sorun çıkmıyor; yine de bu sitelerin ve kişilerin güvenilirliğini baştan kontrol etmek gerekiyor.</t>
        </is>
      </c>
      <c r="T36" s="29" t="n"/>
    </row>
    <row r="37" ht="54" customHeight="1">
      <c r="A37" s="29" t="inlineStr">
        <is>
          <t>eindhoven:kiralik-ev-dolandiriciligindan-korunma</t>
        </is>
      </c>
      <c r="B37" s="29" t="inlineStr">
        <is>
          <t>eindhoven</t>
        </is>
      </c>
      <c r="C37" s="29" t="inlineStr">
        <is>
          <t>kiralik-ev-dolandiriciligindan-korunma</t>
        </is>
      </c>
      <c r="D37" s="29" t="inlineStr">
        <is>
          <t>Kiralık ev ilanlarında dolandırıcılıktan nasıl korunulur?</t>
        </is>
      </c>
      <c r="E37" s="29" t="inlineStr">
        <is>
          <t>Eindhoven belediyesinin kontrol listesi</t>
        </is>
      </c>
      <c r="F37" s="29" t="inlineStr">
        <is>
          <t>Belediye, fazla iyi görünen tekliflere karşı dikkatli olmayı öneriyor: ev sahibinden iş veya ikamet adresini ve kimlik belgesini iste, kimliğini ve kişiyi internette kontrol et. Şüphede Kadaster'den 2,95 euro karşılığında evin gerçek sahibi sorgulanabiliyor. Adrese kayıt olup olamayacağını sormak da bir ölçü: cevap hayırsa bir terslik var demektir. Acele ettirilip imzaya zorlanmak ve banka dışı ödeme istenmesi de uyarı işareti.</t>
        </is>
      </c>
      <c r="G37" s="29" t="inlineStr">
        <is>
          <t>dolandırıcılık, oplichting, Kadaster, inschrijven, huurwoning, ödeme, sahte ilan</t>
        </is>
      </c>
      <c r="H37" s="29" t="inlineStr">
        <is>
          <t>planning;new</t>
        </is>
      </c>
      <c r="I37" s="29" t="inlineStr">
        <is>
          <t>eindhoven:kaynak:056</t>
        </is>
      </c>
      <c r="J37" s="49" t="n">
        <v>46317</v>
      </c>
      <c r="K37" s="51" t="n">
        <v>407</v>
      </c>
      <c r="L37" s="29" t="inlineStr">
        <is>
          <t>Hayır</t>
        </is>
      </c>
      <c r="M37" s="29" t="inlineStr">
        <is>
          <t>Taslak</t>
        </is>
      </c>
      <c r="N37" s="29" t="inlineStr">
        <is>
          <t>eindhoven:ev</t>
        </is>
      </c>
      <c r="O37" s="29" t="inlineStr">
        <is>
          <t>Ev sahibinden zaken- veya woonadres (iş ya da ikamet adresi) ve kimlik belgesi iste; kontrol et ve kişiyi ya da şirketi internette ara.
Şüphen varsa kadaster.nl'den 2,95 euroya evin sahibini sorgula.
Ev sahibi ile mal sahibi farklıysa açıklama iste; gerekirse ev sahibinin mal sahibi adına hareket ettiğine dair yazılı onay iste.
Ev sahibine o adrese kayıt (inschrijven) olabilip olamayacağını sor; cevap hayırsa bu bir uyarı işaretidir.
Acele ettirilmene izin verme; sözleşmeyi ve evi incelemek için yeterli zaman iste.
Ödemeyi tercihen bankadan yap; nakit öderken imzalı makbuz al ya da onay e-postası iste.
Evin kiraya verilmesine izin olup olmadığını Opkoopbescherming (satın alma koruması) sayfasından kontrol et.</t>
        </is>
      </c>
      <c r="P37" s="29" t="n"/>
      <c r="Q37" s="29" t="n"/>
      <c r="R37" s="29" t="inlineStr">
        <is>
          <t>Kadaster'den ev sahibi sorgusu: 2,95 euro.</t>
        </is>
      </c>
      <c r="S37" s="29" t="inlineStr">
        <is>
          <t>Western Union, Airbnb gibi şirketler üzerinden transfer ya da özellikle makbuzsuz nakit ödeme istenmesi bir şeylerin ters olduğunun işareti sayılıyor.</t>
        </is>
      </c>
      <c r="T37" s="29" t="n"/>
    </row>
    <row r="38" ht="54" customHeight="1">
      <c r="A38" s="29" t="inlineStr">
        <is>
          <t>eindhoven:kira-sozlesmesi-turleri-sureli-ve-suresiz</t>
        </is>
      </c>
      <c r="B38" s="29" t="inlineStr">
        <is>
          <t>eindhoven</t>
        </is>
      </c>
      <c r="C38" s="29" t="inlineStr">
        <is>
          <t>kira-sozlesmesi-turleri-sureli-ve-suresiz</t>
        </is>
      </c>
      <c r="D38" s="29" t="inlineStr">
        <is>
          <t>Kira sözleşmesi süreli mi süresiz mi, hangisi ne zaman biter?</t>
        </is>
      </c>
      <c r="E38" s="29" t="inlineStr">
        <is>
          <t>2 yıla kadar süreli sözleşme kendiliğinden biter; 2 yıldan uzun olan erken bitmez</t>
        </is>
      </c>
      <c r="F38" s="29" t="inlineStr">
        <is>
          <t>Hollanda'da bir konut kira sözleşmesiyle kiralanır; sözleşme kira bedelini ve sürenin belirli ya da belirsiz olduğunu gösterir. Sözleşmede her yıl kira artışının yapılacağı tarih, bakım anlaşmaları, ev kuralları ve kiracı ile ev sahibinin imzaları yer almalı. Sözlü sözleşme de geçerli ama ispatı zor; 1 Temmuz 2023'ten beri ev sahiplerinin yalnız yazılı sözleşme yapması bekleniyor. 1 Temmuz 2024 veya sonrasında yapılan, 2 yıla kadar süreli bir sözleşme (örneğin uluslararası öğrenci) bitiş tarihinde kendiliğinden biter; 2 yıldan uzun süreli sözleşme ise öyle bitmez ve taraflar anlaşmadıkça bitiş tarihinden önce sona erdirilemez.</t>
        </is>
      </c>
      <c r="G38" s="29" t="inlineStr">
        <is>
          <t>kira sözleşmesi, huurovereenkomst, süreli sözleşme, süresiz sözleşme, bepaalde tijd, onbepaalde tijd, tijdelijk huurcontract</t>
        </is>
      </c>
      <c r="H38" s="29" t="inlineStr">
        <is>
          <t>new;settled</t>
        </is>
      </c>
      <c r="I38" s="29" t="inlineStr">
        <is>
          <t>eindhoven:kaynak:205</t>
        </is>
      </c>
      <c r="J38" s="49" t="n">
        <v>46317</v>
      </c>
      <c r="K38" s="51" t="n">
        <v>408</v>
      </c>
      <c r="L38" s="29" t="inlineStr">
        <is>
          <t>Hayır</t>
        </is>
      </c>
      <c r="M38" s="29" t="inlineStr">
        <is>
          <t>Taslak</t>
        </is>
      </c>
      <c r="N38" s="29" t="inlineStr">
        <is>
          <t>eindhoven:ev</t>
        </is>
      </c>
      <c r="O38" s="29" t="inlineStr">
        <is>
          <t>Sözleşmende sürenin belirli (bitiş tarihli) mi, belirsiz mi olduğunu bul.
Sözleşmede kira artışının yapılacağı yıllık tarih, bakım anlaşmaları, ev kuralları ve iki tarafın imzası olduğunu kontrol et.
Sözleşme yazılı değilse yazılı hale getirilmesini iste; sözlü anlaşma geçerli ama ispatı zor.
Sözleşmen 2 yıla kadar süreliyse (1 Temmuz 2024 veya sonrası) ev sahibinin bitiş tarihinden en az 1, en çok 3 ay önce yazılı bildirim yapmasını bekle; sen bitiş tarihinden önce de çıkabilirsin.
Sözleşmen 2 yıldan uzun süreliyse taraflar anlaşmadıkça bitiş tarihinden önce çıkamayacağını bil; fesih yazılı ve taahhütlü postayla yapılıyor.</t>
        </is>
      </c>
      <c r="P38" s="29" t="n"/>
      <c r="Q38" s="29" t="inlineStr">
        <is>
          <t>2 yıla kadar süreli sözleşme (1 Temmuz 2024 veya sonrası) bitiş tarihinde kendiliğinden biter; ev sahibi bitişten en az 1, en çok 3 ay önce yazılı bildirir.</t>
        </is>
      </c>
      <c r="R38" s="29" t="n"/>
      <c r="S38" s="29" t="inlineStr">
        <is>
          <t>Kaynak, 1 Temmuz 2024'ten önce yapılan 2 yıla kadar süreli sözleşmeler için kendiliğinden bitme kuralını belirtmiyor; sözleşme tarihine dikkat et. Fesih ve ihbar süreleri için kiracı ve ev sahibi fesih kartlarına bak.</t>
        </is>
      </c>
      <c r="T38" s="29" t="n"/>
    </row>
    <row r="39" ht="54" customHeight="1">
      <c r="A39" s="29" t="inlineStr">
        <is>
          <t>eindhoven:ev-sahibinin-yasal-yukumlulukleri</t>
        </is>
      </c>
      <c r="B39" s="29" t="inlineStr">
        <is>
          <t>eindhoven</t>
        </is>
      </c>
      <c r="C39" s="29" t="inlineStr">
        <is>
          <t>ev-sahibinin-yasal-yukumlulukleri</t>
        </is>
      </c>
      <c r="D39" s="29" t="inlineStr">
        <is>
          <t>Ev sahibi kiracıya karşı hangi temel kurallara uymak zorunda?</t>
        </is>
      </c>
      <c r="E39" s="29" t="inlineStr">
        <is>
          <t>Wet Goed Verhuurderschap temel normları</t>
        </is>
      </c>
      <c r="F39" s="29" t="inlineStr">
        <is>
          <t>1 Temmuz 2023'ten beri geçerli Wet Goed Verhuurderschap (iyi ev sahipliği yasası), ev sahipleri ve kiracı aracıları için ülke çapında bir temel norm koyuyor. Kurallar kira sürecinin tamamı için geçerli ve işçi göçmenlere (arbeidsmigranten) konut kiralanmasını da kapsıyor. Irk, inanç, siyasi görüş, cinsiyet, uyruk, cinsel yönelim, medeni hal, engellilik veya kronik hastalık nedeniyle ayrım yapmak yasak; taciz de yasak. Kira sözleşmesi sözlü yapılsa bile yazılı kaydedilmek zorunda.</t>
        </is>
      </c>
      <c r="G39" s="29" t="inlineStr">
        <is>
          <t>Wet Goed Verhuurderschap, ayrımcılık, taciz, kira sözleşmesi, servicekosten, bemiddelingskosten, ev sahibi</t>
        </is>
      </c>
      <c r="H39" s="29" t="inlineStr">
        <is>
          <t>new;settled</t>
        </is>
      </c>
      <c r="I39" s="29" t="inlineStr">
        <is>
          <t>eindhoven:kaynak:068</t>
        </is>
      </c>
      <c r="J39" s="49" t="n">
        <v>46317</v>
      </c>
      <c r="K39" s="51" t="n">
        <v>409</v>
      </c>
      <c r="L39" s="29" t="inlineStr">
        <is>
          <t>Hayır</t>
        </is>
      </c>
      <c r="M39" s="29" t="inlineStr">
        <is>
          <t>Taslak</t>
        </is>
      </c>
      <c r="N39" s="29" t="inlineStr">
        <is>
          <t>eindhoven:ev</t>
        </is>
      </c>
      <c r="O39" s="29" t="inlineStr">
        <is>
          <t>Kira sözleşmesinin yazılı olduğunu kontrol et; sözlü anlaşmanın bile yazılı kaydedilmesi gerekiyor.
Ev sahibinden veya aracıdan haklarını ve yükümlülüklerini yazılı, açık ve anlaşılır biçimde sana bildirmesini bekle.
Aracı hem sen hem ev sahibinden aracılık ücreti alamaz; contract veya administratiekosten adıyla alınanlar da buna dahil.
Servis giderlerinin (servicekosten) yıllık yazılı dökümünü ev sahibinden al.
İhlal olursa Meldpunt Goed Verhuurderschap Eindhoven'a bildir.</t>
        </is>
      </c>
      <c r="P39" s="29" t="n"/>
      <c r="Q39" s="29" t="n"/>
      <c r="R39" s="29" t="n"/>
      <c r="S39" s="29" t="inlineStr">
        <is>
          <t>İşçi göçmenlerde iş sözleşmesi ile kira sözleşmesi birbirinden ayrı yapılmak zorunda.</t>
        </is>
      </c>
      <c r="T39" s="29" t="n"/>
    </row>
    <row r="40" ht="54" customHeight="1">
      <c r="A40" s="29" t="inlineStr">
        <is>
          <t>eindhoven:depozito-waarborgsom-ust-siniri</t>
        </is>
      </c>
      <c r="B40" s="29" t="inlineStr">
        <is>
          <t>eindhoven</t>
        </is>
      </c>
      <c r="C40" s="29" t="inlineStr">
        <is>
          <t>depozito-waarborgsom-ust-siniri</t>
        </is>
      </c>
      <c r="D40" s="29" t="inlineStr">
        <is>
          <t>Depozito (waarborgsom) en fazla ne kadar olabilir?</t>
        </is>
      </c>
      <c r="E40" s="29" t="inlineStr">
        <is>
          <t>1 Temmuz 2023 sonrası sözleşmelerde en fazla 2 aylık temel kira</t>
        </is>
      </c>
      <c r="F40" s="29" t="inlineStr">
        <is>
          <t>1 Temmuz 2023 ve sonrasında yapılan kira sözleşmelerinde depozito en fazla 2 aylık temel kira (kale huur) olabilir; bu tarihten önceki sözleşmelerde sınır 3 aydı. Temel kira, servis giderleri, enerji-su gibi hizmet bedelleri, mobilya ve diğer hizmetler hariç kira bedeli demek. Depozitoyu makbuz alarak veya banka havalesiyle öde; böylece sonradan hem ödediğini hem tutarını kanıtlayabilirsin.</t>
        </is>
      </c>
      <c r="G40" s="29" t="inlineStr">
        <is>
          <t>depozito, waarborgsom, borg, kale huur, kira, kwitantie, Juridisch Loket</t>
        </is>
      </c>
      <c r="H40" s="29" t="inlineStr">
        <is>
          <t>new</t>
        </is>
      </c>
      <c r="I40" s="29" t="inlineStr">
        <is>
          <t>eindhoven:kaynak:062;eindhoven:kaynak:068</t>
        </is>
      </c>
      <c r="J40" s="49" t="n">
        <v>46317</v>
      </c>
      <c r="K40" s="51" t="n">
        <v>410</v>
      </c>
      <c r="L40" s="29" t="inlineStr">
        <is>
          <t>Hayır</t>
        </is>
      </c>
      <c r="M40" s="29" t="inlineStr">
        <is>
          <t>Taslak</t>
        </is>
      </c>
      <c r="N40" s="29" t="inlineStr">
        <is>
          <t>eindhoven:ev</t>
        </is>
      </c>
      <c r="O40" s="29" t="inlineStr">
        <is>
          <t>Sözleşme tarihine bak: 1 Temmuz 2023 ve sonrasında sınır 2 aylık temel kira, öncesinde 3 aydı.
Depozito için kwitantie (makbuz) veya ödeme kanıtı iste ya da banka havalesiyle öde.
Ev sahibi sınırın üstünde depozito isterse birinci yol: ödemeyi reddet; bu durumda evi alamama riskini göze alıyorsun.
İkinci yol: öde ve sonradan belediyeye bildir; belediye ev sahibine para cezası verebilir ama fazla ödediğin tutarın geri geleceği kesin değil.
Üçüncü yol: öde ve sonradan hâkimden depozitonun düşürülmesini iste; hâkim düşürürse ev sahibi fazla ödemeyi iade eder.</t>
        </is>
      </c>
      <c r="P40" s="29" t="inlineStr">
        <is>
          <t>Depozito ödeme makbuzu (kwitantie) veya banka dekontu</t>
        </is>
      </c>
      <c r="Q40" s="29" t="n"/>
      <c r="R40" s="29" t="inlineStr">
        <is>
          <t>En fazla 2 aylık temel kira (1 Temmuz 2023 ve sonrası sözleşmeler); önceki sözleşmelerde en fazla 3 aylık temel kira.</t>
        </is>
      </c>
      <c r="S40" s="29" t="inlineStr">
        <is>
          <t>Temel kira (kale huur) servis giderleri, enerji-su gibi hizmet bedelleri, mobilya ve diğer hizmetleri içermiyor.</t>
        </is>
      </c>
      <c r="T40" s="29" t="n"/>
    </row>
    <row r="41" ht="54" customHeight="1">
      <c r="A41" s="29" t="inlineStr">
        <is>
          <t>eindhoven:betaalbare-huur-yasasi-kira-ve-zam-siniri</t>
        </is>
      </c>
      <c r="B41" s="29" t="inlineStr">
        <is>
          <t>eindhoven</t>
        </is>
      </c>
      <c r="C41" s="29" t="inlineStr">
        <is>
          <t>betaalbare-huur-yasasi-kira-ve-zam-siniri</t>
        </is>
      </c>
      <c r="D41" s="29" t="inlineStr">
        <is>
          <t>Betaalbare Huur yasası: kira bedeli ve kira artışı nasıl sınırlanıyor?</t>
        </is>
      </c>
      <c r="E41" s="29" t="inlineStr">
        <is>
          <t>Sosyal ve orta segmentte puan sistemi azami kirayı belirliyor; serbest sektörde azami kira yok, yıllık artış sınırlı</t>
        </is>
      </c>
      <c r="F41" s="29" t="inlineStr">
        <is>
          <t>Wet Goed Verhuurderschap 1 Temmuz 2024'ten beri Wet Betaalbare Huur ile genişletildi ve kiracıyı fazla yüksek kiraya karşı koruyor. Eindhoven belediyesine göre ev sahibi kirayı ülke çapındaki puan sistemine (woningwaarderingsstelsel) göre belirlemek zorunda, puandan çıkan kira bağlayıcı ve yeni sözleşmelerde ev sahibi puan hesabını kiracıya vermek zorunda. Government.nl ise puana bağlı azami kirayı sosyal ve orta segment (liberalize olmayan) sözleşmeler ile odalar için veriyor; 2026'da başlayan ve ilk aylık kirası 1.228,07 euronun üstünde olan serbest sektör sözleşmelerinde kira puan sistemine bağlı değil ve azami kira yok. Yıllık kira artışı için Eindhoven belediyesi sınırı CAO ücret gelişimi artı %1 diye özetliyor; government.nl ise serbest sektör sözleşmeleri için sınırı enflasyon artı %1 olarak veriyor (ücret gelişimi enflasyondan düşükse ücret gelişimi artı %1). 1 Ocak 2025'ten beri belediye azami kirayı, azami artışı ve bilgilendirme yükümlülüğünü denetleyebiliyor.</t>
        </is>
      </c>
      <c r="G41" s="29" t="inlineStr">
        <is>
          <t>Wet betaalbare huur, puan sistemi, woningwaarderingsstelsel, kira artışı, azami kira, huurprijscheck, vrije sector</t>
        </is>
      </c>
      <c r="H41" s="29" t="inlineStr">
        <is>
          <t>new;settled</t>
        </is>
      </c>
      <c r="I41" s="29" t="inlineStr">
        <is>
          <t>eindhoven:kaynak:068;eindhoven:kaynak:060;eindhoven:kaynak:205</t>
        </is>
      </c>
      <c r="J41" s="49" t="n">
        <v>46317</v>
      </c>
      <c r="K41" s="51" t="n">
        <v>411</v>
      </c>
      <c r="L41" s="29" t="inlineStr">
        <is>
          <t>Hayır</t>
        </is>
      </c>
      <c r="M41" s="29" t="inlineStr">
        <is>
          <t>Taslak</t>
        </is>
      </c>
      <c r="N41" s="29" t="inlineStr">
        <is>
          <t>eindhoven:ev</t>
        </is>
      </c>
      <c r="O41" s="29" t="inlineStr">
        <is>
          <t>Sözleşmenin segmentine bak: 2026'da başlayan sözleşmede ilk aylık kira 1.228,07 euronun üstündeyse serbest sektör (yalnız bağımsız konutlar); oda gibi bağımsız olmayan konutların kirası ise her zaman puan sistemine bağlı.
Sosyal, orta segment veya oda kiracısıysan evin puan sayısını ve azami kirasını Huurprijscheck ile hesapla; yeni sözleşmede ev sahibinden puan hesabını (puntentelling) iste.
Ödediğin kira puandan çıkan azami kiranın üstündeyse Meldpunt Goed Verhuurderschap Eindhoven'a bildir.
Yıllık kira artışını sözleşmene uyan sınırla karşılaştır: Eindhoven belediyesi Wet Betaalbare Huur için CAO ücret gelişimi + %1 diyor; government.nl serbest sektör sözleşmeleri için 2026'da en çok %4,4 (enflasyon + %1) veriyor.
Ev sahibi belediyenin denetlediği azami artışı aşıyorsa bunu da Meldpunt'a bildir; hangi sınırın sözleşmene uygulandığından emin değilsen Huurteam Eindhoven'a (Eindhoven sakinlerine ücretsiz) veya Juridisch Loket'e danış.</t>
        </is>
      </c>
      <c r="P41" s="29" t="inlineStr">
        <is>
          <t>Ev sahibinin verdiği puan hesabı (puntentelling)</t>
        </is>
      </c>
      <c r="Q41" s="29" t="inlineStr">
        <is>
          <t>Kira artışı sınırı: government.nl'ye göre 1 Mayıs 2029'a kadar yasayla sınırlı. Belediye denetimi 1 Ocak 2025'ten beri geçerli.</t>
        </is>
      </c>
      <c r="R41" s="29" t="inlineStr">
        <is>
          <t>Serbest sektörde azami yıllık kira artışı: 2025'te %4,1 (%3,1 enflasyon + %1), 2026'da %4,4 (%3,4 enflasyon + %1).</t>
        </is>
      </c>
      <c r="S41" s="29" t="inlineStr">
        <is>
          <t>Huurcommissie'ye göre sosyal ve orta segment konut kiracıları ile oda, woonwagen ve woonwagenstandplaats kiracılarının kira koruması (huurprijsbescherming) var: kira, puan sayısına karşılık gelen azami kiradan yüksek olamaz. Government.nl yıllık artış sınırını serbest sektör sözleşmeleri başlığında veriyor.</t>
        </is>
      </c>
      <c r="T41" s="29" t="n"/>
    </row>
    <row r="42" ht="54" customHeight="1">
      <c r="A42" s="29" t="inlineStr">
        <is>
          <t>eindhoven:sosyal-kira-bedeli-huurcommissie-itirazi</t>
        </is>
      </c>
      <c r="B42" s="29" t="inlineStr">
        <is>
          <t>eindhoven</t>
        </is>
      </c>
      <c r="C42" s="29" t="inlineStr">
        <is>
          <t>sosyal-kira-bedeli-huurcommissie-itirazi</t>
        </is>
      </c>
      <c r="D42" s="29" t="inlineStr">
        <is>
          <t>Sosyal veya orta segment kira çok yüksekse Huurcommissie'ye nasıl başvurulur?</t>
        </is>
      </c>
      <c r="E42" s="29" t="inlineStr">
        <is>
          <t>Puan sayısı ve azami kira Huurprijscheck ile hesaplanıyor</t>
        </is>
      </c>
      <c r="F42" s="29" t="inlineStr">
        <is>
          <t>Sosyal ve orta segment (sociale- en middensector) kiracıları, oda kiracıları da dahil, kira fiyat korumasına sahip: kira, evin puan sayısına karşılık gelen azami kiradan yüksek olamaz. Sosyal kiralık evde ev sahibiyle kira bedeli konusunda anlaşamazsan Huurcommissie'den kira miktarını değerlendirmesini isteyebilirsin. Huurcommissie'nin bir araştırmacısı evin puan hesabını yapıyor; bu hesaba WOZ değeri de dahil. Huurcommissie bakım ve servis gideri anlaşmazlıklarında da yardım ediyor. Kiracı olarak yeni sözleşmedeki kira, yıllık kira artışı, bakım eksikliği nedeniyle kira indirimi, puan sistemine göre kira indirimi ve servis giderleri için işlem başlatabilirsin; çoğu işlem özel kişiye 25 euro.</t>
        </is>
      </c>
      <c r="G42" s="29" t="inlineStr">
        <is>
          <t>Huurcommissie, kira itirazı, huurprijscheck, puntentelling, WOZ, sociale huur, azami kira</t>
        </is>
      </c>
      <c r="H42" s="29" t="inlineStr">
        <is>
          <t>new;settled</t>
        </is>
      </c>
      <c r="I42" s="29" t="inlineStr">
        <is>
          <t>eindhoven:kaynak:060;eindhoven:kaynak:061;eindhoven:kaynak:056;eindhoven:kaynak:205</t>
        </is>
      </c>
      <c r="J42" s="49" t="n">
        <v>46317</v>
      </c>
      <c r="K42" s="51" t="n">
        <v>412</v>
      </c>
      <c r="L42" s="29" t="inlineStr">
        <is>
          <t>Hayır</t>
        </is>
      </c>
      <c r="M42" s="29" t="inlineStr">
        <is>
          <t>Taslak</t>
        </is>
      </c>
      <c r="N42" s="29" t="inlineStr">
        <is>
          <t>eindhoven:ev</t>
        </is>
      </c>
      <c r="O42" s="29" t="inlineStr">
        <is>
          <t>Huurprijscheck ile evin puan sayısını ve azami kirasını hesapla.
Kendi giriş kapın yoksa ya da mutfak veya banyoyu paylaşıyorsan evin onzelfstandig (bağımsız olmayan) sayılıyor; oda için ayrı Huurprijscheck'i doldur.
Kiranın yüksekliği konusunda ev sahibinle anlaşamazsan Huurcommissie'den kira miktarını değerlendirmesini iste.
Bakım sorunu varsa Gebrekencheck ile sorunun ne kadar ciddi olduğuna ve kimin çözmesi gerektiğine bak.</t>
        </is>
      </c>
      <c r="P42" s="29" t="n"/>
      <c r="Q42" s="29" t="n"/>
      <c r="R42" s="29" t="inlineStr">
        <is>
          <t>Huurcommissie'de çoğu işlem için özel kişiye 25 euro, şirket veya kuruma 500 euro.</t>
        </is>
      </c>
      <c r="S42" s="29" t="inlineStr">
        <is>
          <t>WOZ değeri yoksa (yeni yapı veya ofis ya da okuldan dönüştürülmüş konut) Huurcommissie bir sonraki yılın WOZ kararını bekleyip geriye doğru hesaplıyor. Başka yolla hesaplanamazsa ev sahibine bir taxateur (eksper) görevlendirme emri veriyor ve masrafı ev sahibi ödüyor. Huurcommissie rahatsızlık (overlast), huurtoeslag ve iş yeri kiraları hakkında karar vermiyor.</t>
        </is>
      </c>
      <c r="T42" s="29" t="n"/>
    </row>
    <row r="43" ht="54" customHeight="1">
      <c r="A43" s="29" t="inlineStr">
        <is>
          <t>eindhoven:serbest-sektor-kira-huurcommissie</t>
        </is>
      </c>
      <c r="B43" s="29" t="inlineStr">
        <is>
          <t>eindhoven</t>
        </is>
      </c>
      <c r="C43" s="29" t="inlineStr">
        <is>
          <t>serbest-sektor-kira-huurcommissie</t>
        </is>
      </c>
      <c r="D43" s="29" t="inlineStr">
        <is>
          <t>Serbest sektör (vrije sector) kiracısı kirayı Huurcommissie'ye kontrol ettirebilir mi?</t>
        </is>
      </c>
      <c r="E43" s="29" t="inlineStr">
        <is>
          <t>Fiyat koruması yok ama bazı durumlarda başvuru mümkün</t>
        </is>
      </c>
      <c r="F43" s="29" t="inlineStr">
        <is>
          <t>Serbest sektör kiracılarının kira fiyat koruması (huurprijsbescherming) yok; government.nl'ye göre 2026'da başlayan sözleşmelerde ilk aylık kirası 1.228,07 euronun üstündeki bağımsız konutlar bu gruba giriyor ve bunlarda puan sistemine bağlı azami kira yok. Yine de bazı durumlarda Huurcommissie'ye başvurabilirler; örneğin yeni bir sözleşmedeki kira bedelinin değerlendirilmesi için. Huurcommissie'nin Huurprijscheck aracı, serbest sektördeki bir konutun puan sayısını ve makul kirasını (redelijke huurprijs) hesaplıyor. Oda gibi bağımsız olmayan konutlar serbest sektör olamıyor; onların azami kirası her zaman puan sistemine göre belirleniyor.</t>
        </is>
      </c>
      <c r="G43" s="29" t="inlineStr">
        <is>
          <t>vrije sector, serbest sektör, Huurcommissie, redelijke huurprijs, huurprijscheck, kira kontrolü</t>
        </is>
      </c>
      <c r="H43" s="29" t="inlineStr">
        <is>
          <t>new;settled</t>
        </is>
      </c>
      <c r="I43" s="29" t="inlineStr">
        <is>
          <t>eindhoven:kaynak:059;eindhoven:kaynak:205</t>
        </is>
      </c>
      <c r="J43" s="49" t="n">
        <v>46317</v>
      </c>
      <c r="K43" s="51" t="n">
        <v>413</v>
      </c>
      <c r="L43" s="29" t="inlineStr">
        <is>
          <t>Hayır</t>
        </is>
      </c>
      <c r="M43" s="29" t="inlineStr">
        <is>
          <t>Taslak</t>
        </is>
      </c>
      <c r="N43" s="29" t="inlineStr">
        <is>
          <t>eindhoven:ev</t>
        </is>
      </c>
      <c r="O43" s="29" t="inlineStr">
        <is>
          <t>Huurcommissie'nin serbest sektör Huurprijscheck'i ile evin puan sayısını ve makul kirasını hesapla.
Yeni bir sözleşmedeki kira bedelini değerlendirtmek istiyorsan Huurcommissie'ye başvur.
Evde bakım sorunu veya bozuk bir şey varsa Gebrekencheck ile durumun ne kadar ciddi olduğuna ve kimin çözmesi gerektiğine bak.</t>
        </is>
      </c>
      <c r="P43" s="29" t="n"/>
      <c r="Q43" s="29" t="n"/>
      <c r="R43" s="29" t="inlineStr">
        <is>
          <t>Huurcommissie'de çoğu işlem için özel kişiye 25 euro.</t>
        </is>
      </c>
      <c r="S43" s="29" t="inlineStr">
        <is>
          <t>Sayfa, Huurcommissie'nin devreye girmesinin 'bepaalde gevallen' (belirli durumlar) için mümkün olduğunu söylüyor ve örnek olarak yeni sözleşmedeki kirayı gösteriyor; her kira anlaşmazlığı için garanti verilmiyor.</t>
        </is>
      </c>
      <c r="T43" s="29" t="n"/>
    </row>
    <row r="44" ht="54" customHeight="1">
      <c r="A44" s="29" t="inlineStr">
        <is>
          <t>eindhoven:huurtoeslag-basvurusu</t>
        </is>
      </c>
      <c r="B44" s="29" t="inlineStr">
        <is>
          <t>eindhoven</t>
        </is>
      </c>
      <c r="C44" s="29" t="inlineStr">
        <is>
          <t>huurtoeslag-basvurusu</t>
        </is>
      </c>
      <c r="D44" s="29" t="inlineStr">
        <is>
          <t>Huurtoeslag (kira yardımı) nasıl başvurulur?</t>
        </is>
      </c>
      <c r="E44" s="29" t="inlineStr">
        <is>
          <t>Belastingdienst / Dienst Toeslagen, Mijn toeslagen üzerinden</t>
        </is>
      </c>
      <c r="F44" s="29" t="inlineStr">
        <is>
          <t>Huurtoeslag Belastingdienst'e (Dienst Toeslagen) başvurulan bir kira yardımı. Başvuru veya bilgi değişikliği için Mijn toeslagen'e giriş yapılıyor. Huurtoeslag hakkın varsa her zaman zorgtoeslag (sağlık sigortası yardımı) hakkın da vardır. Sitedeki duyuruya göre 2025 için huurtoeslag başvurusu 31 Aralık'a kadar yapılabiliyor. Eindhoven'da Belastingdienst gişesi Fellenoord 15'te.</t>
        </is>
      </c>
      <c r="G44" s="29" t="inlineStr">
        <is>
          <t>huurtoeslag, kira yardımı, Mijn toeslagen, Belastingdienst, Dienst Toeslagen, zorgtoeslag, toetsingsinkomen</t>
        </is>
      </c>
      <c r="H44" s="29" t="inlineStr">
        <is>
          <t>new;settled</t>
        </is>
      </c>
      <c r="I44" s="29" t="inlineStr">
        <is>
          <t>eindhoven:kaynak:063;eindhoven:kaynak:056;eindhoven:kaynak:203</t>
        </is>
      </c>
      <c r="J44" s="49" t="n">
        <v>46317</v>
      </c>
      <c r="K44" s="51" t="n">
        <v>414</v>
      </c>
      <c r="L44" s="29" t="inlineStr">
        <is>
          <t>Evet</t>
        </is>
      </c>
      <c r="M44" s="29" t="inlineStr">
        <is>
          <t>Taslak</t>
        </is>
      </c>
      <c r="N44" s="29" t="inlineStr">
        <is>
          <t>eindhoven:ev</t>
        </is>
      </c>
      <c r="O44" s="29" t="inlineStr">
        <is>
          <t>Mijn toeslagen'e giriş yap; huurtoeslag başvurusunu kendin yapabilirsin, bilgi değişikliği de oradan yapılıyor.
Başvurmadan önce şartlara bak (kira çok yüksek değil; bağımsız konut ve kira sözleşmesi; senin, toeslagpartner'inin ve birlikte oturanların geliri ve varlığı çok yüksek değil; Hollanda'da yaşıyorsun ve evdeki herkes adrese kayıtlı; partnerin veya birlikte oturan evin sahibi değil; sen 18 yaşında veya büyüksün; sen, partnerin ve 18 yaş üstü birlikte oturanlar Hollanda vatandaşı ya da yasal oturumlu) ve Maak een proefberekening (deneme hesabı) bölümünden hakkını dene.
Gelirin değişirse veya kiran artarsa ya da azalırsa değişikliği zamanında bildir; gelir için toetsingsinkomen'ini tahmin edip yeni gelirini gir.
Hesaba itiraz için Bezwaar tegen definitieve berekening, ödeme planı için Verzoek persoonlijke betalingsregeling formları var.
Yardım gerekirse Toeslagenservicepunt ara ya da Eindhoven'da Fellenoord 15'teki Belastingdienst gişesine git.</t>
        </is>
      </c>
      <c r="P44" s="29" t="inlineStr">
        <is>
          <t>Kira sözleşmesi
Kirayı ödediğini gösteren banka dökümleri</t>
        </is>
      </c>
      <c r="Q44" s="29" t="inlineStr">
        <is>
          <t>2025 yılı için başvuru 31 Aralık'a kadar. Aralık 2026 huurtoeslag ödemesi 20 Kasım Cuma günü saat 24.00'ten önce yatıyor.</t>
        </is>
      </c>
      <c r="R44" s="29" t="n"/>
      <c r="S44" s="29" t="inlineStr">
        <is>
          <t>Sitede 'Meer mensen krijgen in 2026 huurtoeslag' başlığı var: 2026'da daha fazla kişi huurtoeslag alıyor. Belastingdienst gişesi: Fellenoord 15, 5612 AA Eindhoven; Belastingtelefoon 0800 - 0543.</t>
        </is>
      </c>
      <c r="T44" s="29" t="n"/>
    </row>
    <row r="45" ht="54" customHeight="1">
      <c r="A45" s="29" t="inlineStr">
        <is>
          <t>eindhoven:huurtoeslag-sartlari-ve-varlik-siniri</t>
        </is>
      </c>
      <c r="B45" s="29" t="inlineStr">
        <is>
          <t>eindhoven</t>
        </is>
      </c>
      <c r="C45" s="29" t="inlineStr">
        <is>
          <t>huurtoeslag-sartlari-ve-varlik-siniri</t>
        </is>
      </c>
      <c r="D45" s="29" t="inlineStr">
        <is>
          <t>Huurtoeslag için şartlar neler ve varlık sınırı ne kadar?</t>
        </is>
      </c>
      <c r="E45" s="29" t="inlineStr">
        <is>
          <t>Bağımsız konut, kira sözleşmesi, adrese kayıt; 2026 varlık sınırı 38.479 euro</t>
        </is>
      </c>
      <c r="F45" s="29" t="inlineStr">
        <is>
          <t>Huurtoeslag (kira yardımı) için sen ve varsa toeslagpartner'in şu şartları sağlamalısınız: kira çok yüksek olmamalı; bağımsız bir konutta oturmalı ve ev sahibiyle kira sözleşmeniz olmalı; senin, toeslagpartner'inin ve evde birlikte oturanların (medebewoner) geliri ve varlığı çok yüksek olmamalı; Hollanda'da yaşamalısınız ve sen dahil evdeki herkes evin adresinde belediyeye kayıtlı olmalı. Birlikte oturanlardan ya da partnerinden biri evin sahibi olmamalı; 18 yaş ve üstü herkes Hollanda vatandaşı olmalı veya Hollanda'da yasal olarak oturmalı. Sen de 18 yaşında veya daha büyük olmalı ve kirayı ödediğini banka dökümleriyle kanıtlayabilmelisin. Varlık sınırı 1 Ocak 2026 itibarıyla tek kişide 38.479 euro, toeslagpartner'li hanede toplam 76.958 euro, birlikte oturan (medebewoner) başına 38.479 euro. 1 Ocak'ta sınırı aşarsan o yıl boyunca huurtoeslag alamazsın.</t>
        </is>
      </c>
      <c r="G45" s="29" t="inlineStr">
        <is>
          <t>huurtoeslag şartları, varlık sınırı, vermogen, toeslagpartner, medebewoner, onzelfstandig, kira yardımı</t>
        </is>
      </c>
      <c r="H45" s="29" t="inlineStr">
        <is>
          <t>new;settled</t>
        </is>
      </c>
      <c r="I45" s="29" t="inlineStr">
        <is>
          <t>eindhoven:kaynak:203;eindhoven:kaynak:204</t>
        </is>
      </c>
      <c r="J45" s="49" t="n">
        <v>46317</v>
      </c>
      <c r="K45" s="51" t="n">
        <v>415</v>
      </c>
      <c r="L45" s="29" t="inlineStr">
        <is>
          <t>Hayır</t>
        </is>
      </c>
      <c r="M45" s="29" t="inlineStr">
        <is>
          <t>Taslak</t>
        </is>
      </c>
      <c r="N45" s="29" t="inlineStr">
        <is>
          <t>eindhoven:ev</t>
        </is>
      </c>
      <c r="O45" s="29" t="inlineStr">
        <is>
          <t>Konutun bağımsız olduğunu ve ev sahibiyle kira sözleşmenizin bulunduğunu kontrol et.
Sen ve evdeki herkesin evin adresinde belediyeye kayıtlı olduğunu kontrol et.
18 yaş ve üstü herkesin Hollanda vatandaşı olduğunu veya yasal olarak Hollanda'da oturduğunu kontrol et.
Gelir ve varlık şartına toeslagpartner'in ve birlikte oturanlar da giriyor; 1 Ocak'taki varlıkları (assets; ör. banka ve tasarruf hesaplarındaki para) şu sınırlarla karşılaştır: tek başına 38.479 euro, partnerle toplam 76.958 euro, birlikte oturan her kişi için ayrıca 38.479 euro.
18 yaşında veya daha büyük bir çocuk evde oturuyorsa o birlikte oturan sayılır; 18 yaşından küçük çocuğun varlığı seninkine eklenir.
Kirayı ödediğini gösteren banka dökümlerini hazırla.</t>
        </is>
      </c>
      <c r="P45" s="29" t="inlineStr">
        <is>
          <t>Kira sözleşmesi
Kirayı ödediğini gösteren banka dökümleri</t>
        </is>
      </c>
      <c r="Q45" s="29" t="inlineStr">
        <is>
          <t>Varlık 1 Ocak tarihindeki duruma göre değerlendiriliyor: 1 Ocak'ta sınırın üstündeysen o yıl hak yok; 1 Ocak'ta sınırın altındaysan ve sonra aşarsan o yıl yine hak sahibi olabilirsin ama ertesi yıl olmayabilir.</t>
        </is>
      </c>
      <c r="R45" s="29" t="inlineStr">
        <is>
          <t>Varlık sınırı 2026: tek kişi 38.479 euro, toeslagpartner'le toplam 76.958 euro, birlikte oturan 38.479 euro. 2025: 37.395 euro, partnerle toplam 74.790 euro.</t>
        </is>
      </c>
      <c r="S45" s="29" t="inlineStr">
        <is>
          <t>Evli veya kayıtlı partnerin senin adresine kayıtlı değilse varlığı huurtoeslag için sayılmıyor, ama başka toeslag'lar için sayılabilir. Çocuğun 18 yaşından küçükse ve ebeveynler birlikte yaşamıyorsa çocuğun varlığı genellikle yarı yarıya sayılıyor; bijzonder vermogen (özel varlık) kalemlerinin bir kısmı hesaba katılmıyor. Kurallar 18 yaşından küçükler, bir yıldan uzun süre evden uzakta yaşayanlar, evde bakım alanlar, kalabalık haneler, engelli hane üyesi olan ve evi buna göre uyarlanmış haneler ile 21 yaşından küçük engelliler için farklı olabiliyor. Kaynaklar gelir sınırını ve azami kirayı bu sayfalarda vermiyor.</t>
        </is>
      </c>
      <c r="T45" s="29" t="n"/>
    </row>
    <row r="46" ht="54" customHeight="1">
      <c r="A46" s="29" t="inlineStr">
        <is>
          <t>eindhoven:kiraci-kira-sozlesmesini-feshetme</t>
        </is>
      </c>
      <c r="B46" s="29" t="inlineStr">
        <is>
          <t>eindhoven</t>
        </is>
      </c>
      <c r="C46" s="29" t="inlineStr">
        <is>
          <t>kiraci-kira-sozlesmesini-feshetme</t>
        </is>
      </c>
      <c r="D46" s="29" t="inlineStr">
        <is>
          <t>Kiracı olarak kira sözleşmesini nasıl feshederim, ihbar süresi ne kadar?</t>
        </is>
      </c>
      <c r="E46" s="29" t="inlineStr">
        <is>
          <t>Taahhütlü mektup, çoğunlukla 1 aylık ihbar ve süreli sözleşmede erken çıkış</t>
        </is>
      </c>
      <c r="F46" s="29" t="inlineStr">
        <is>
          <t>Kira sözleşmesini ev sahibine taahhütlü (aangetekend) bir mektupla feshedersin ve bunun için bir alındı belgesi alırsın. Adi mektup veya e-postayla da feshedebilirsin; bu durumda ev sahibinden aldığın alındı onayı feshi geçerli kılar. İhbar süresine uymalısın: çoğunlukla çıkışından 1 ay önce, kesin süre kira sözleşmende yazar. Fesih için gerekçe göstermek zorunda değilsin. Bitiş tarihli sözleşmen 2 yıl veya daha kısaysa bitişten önce feshedebilirsin; 2 yıldan uzunsa bitiş tarihinden önce feshedemezsin.</t>
        </is>
      </c>
      <c r="G46" s="29" t="inlineStr">
        <is>
          <t>kira feshi, huur opzeggen, opzegtermijn, aangetekende brief, ihbar süresi, tussenhuur, diplomatenclausule</t>
        </is>
      </c>
      <c r="H46" s="29" t="inlineStr">
        <is>
          <t>settled</t>
        </is>
      </c>
      <c r="I46" s="29" t="inlineStr">
        <is>
          <t>eindhoven:kaynak:206</t>
        </is>
      </c>
      <c r="J46" s="49" t="n">
        <v>46317</v>
      </c>
      <c r="K46" s="51" t="n">
        <v>416</v>
      </c>
      <c r="L46" s="29" t="inlineStr">
        <is>
          <t>Hayır</t>
        </is>
      </c>
      <c r="M46" s="29" t="inlineStr">
        <is>
          <t>Taslak</t>
        </is>
      </c>
      <c r="N46" s="29" t="inlineStr">
        <is>
          <t>eindhoven:ev</t>
        </is>
      </c>
      <c r="O46" s="29" t="inlineStr">
        <is>
          <t>Kira sözleşmendeki ihbar süresine bak; çoğunlukla çıkışından 1 ay öncesidir.
Fesih mektubunu ev sahibine taahhütlü mektupla gönder ve alındı belgesini sakla; gerekçe yazman gerekmiyor.
Adi mektup veya e-postayla feshedeceksen ev sahibinden aldığına dair onay iste; fesih bu onayla geçerli olur.
Sözleşmen bitiş tarihli ve 2 yıldan uzunsa ya da tussenhuur (diplomatenclausule) sözleşmesiyse bitiş tarihinden önce fesih yapamayacağını bil.</t>
        </is>
      </c>
      <c r="P46" s="29" t="n"/>
      <c r="Q46" s="29" t="inlineStr">
        <is>
          <t>İhbar süresi çoğunlukla 1 aydır; kesin süre kira sözleşmende yazar.</t>
        </is>
      </c>
      <c r="R46" s="29" t="n"/>
      <c r="S46" s="29" t="inlineStr">
        <is>
          <t>Bazı kiralık konutlarda ihbar süresi yok: sabit yerdeki woonboot'ta kira bitiş tarihinde biter, bitiş tarihi yoksa ihbar süresi olmadan feshedebilirsin; dienstwoning (işverenden kiralanan konut), recreatiewoning (tatil evi) ve bakımevindeki odada da ihbar süresi yok, bakım biterse kira da biter.</t>
        </is>
      </c>
      <c r="T46" s="29" t="n"/>
    </row>
    <row r="47" ht="54" customHeight="1">
      <c r="A47" s="29" t="inlineStr">
        <is>
          <t>eindhoven:ev-sahibinin-kira-sozlesmesini-feshi</t>
        </is>
      </c>
      <c r="B47" s="29" t="inlineStr">
        <is>
          <t>eindhoven</t>
        </is>
      </c>
      <c r="C47" s="29" t="inlineStr">
        <is>
          <t>ev-sahibinin-kira-sozlesmesini-feshi</t>
        </is>
      </c>
      <c r="D47" s="29" t="inlineStr">
        <is>
          <t>Ev sahibi kira sözleşmemi feshedebilir mi, hangi durumlarda?</t>
        </is>
      </c>
      <c r="E47" s="29" t="inlineStr">
        <is>
          <t>Yalnız iyi bir gerekçeyle; itiraz edersen hâkim karar verir</t>
        </is>
      </c>
      <c r="F47" s="29" t="inlineStr">
        <is>
          <t>Ev sahibi kira sözleşmeni keyfi olarak feshedemez; bunun için iyi bir gerekçe olmalı. Feshe katılmıyorsan itiraz edebilirsin; hâkim karar verir ve o zamana kadar evde kalabilirsin. Rijksoverheid'in saydığı gerekçeler arasında bir veya daha fazla ay kira ödememek, rahatsızlık vermek (örneğin gürültü), ev sahibinin evi acilen kendisi için istemesi (örneğin boşanma sonrası), diplomatenclausule olan sözleşmede ev sahibinin geri dönmesi ve evi satmak (sıkı şartlarla) var. Ev sahibi fesih yaptığında ihbar süresi süresiz sözleşmede 3 ila 6 aydır; evde ne kadar oturduğuna bağlı.</t>
        </is>
      </c>
      <c r="G47" s="29" t="inlineStr">
        <is>
          <t>ev sahibi feshi, huur opzeggen verhuurder, bezwaar, hospita, diplomatenclausule, kira koruması, uitzetting</t>
        </is>
      </c>
      <c r="H47" s="29" t="inlineStr">
        <is>
          <t>settled</t>
        </is>
      </c>
      <c r="I47" s="29" t="inlineStr">
        <is>
          <t>eindhoven:kaynak:207</t>
        </is>
      </c>
      <c r="J47" s="49" t="n">
        <v>46317</v>
      </c>
      <c r="K47" s="51" t="n">
        <v>417</v>
      </c>
      <c r="L47" s="29" t="inlineStr">
        <is>
          <t>Hayır</t>
        </is>
      </c>
      <c r="M47" s="29" t="inlineStr">
        <is>
          <t>Taslak</t>
        </is>
      </c>
      <c r="N47" s="29" t="inlineStr">
        <is>
          <t>eindhoven:ev</t>
        </is>
      </c>
      <c r="O47" s="29" t="inlineStr">
        <is>
          <t>Fesih bildirimindeki gerekçeyi kontrol et: yasal bir gerekçe olmalı.
Katılmıyorsan feshe itiraz et (bezwaar); hâkim karar verene kadar evde kalabilirsin.
Evi satmak için fesih bildirildiyse önce kira sözleşmende bu konuda bir anlaşma olup olmadığına, sonra şartların hepsinin sağlanıp sağlanmadığına bak: ev sahibi gerçek kişi, evlenmek veya kayıtlı ortaklık kurmak üzere, 1'den fazla konut kiralamıyor, sözleşmenin başlamasından en az 2 yıl önce evde kendisi oturmuş ve bu gerekçe yalnız bir kez kullanılabiliyor; hepsi sağlansa bile fesih ancak kararlaştırılan (en çok 2 yıllık) kira süresinin sonunda yapılabiliyor.
Hospita evinde (ev sahibinin evinde oda) kalıyorsan 9 aylık deneme süresinden sonra normal kira koruması başlar; o zamandan sonra ev sahibinin yasal bir gerekçesi olmalı.
Haklarını Juridisch Loket sitesinden öğren.</t>
        </is>
      </c>
      <c r="P47" s="29" t="n"/>
      <c r="Q47" s="29" t="inlineStr">
        <is>
          <t>Ev sahibinin feshinde süresiz sözleşmede ihbar süresi 3 ila 6 ay. Bitiş tarihli sözleşmede ev sahibi, bitişten en erken 3 ay, en geç 1 ay önce yazılı bildirmeli.</t>
        </is>
      </c>
      <c r="R47" s="29" t="n"/>
      <c r="S47" s="29" t="inlineStr">
        <is>
          <t>Diğer gerekçeler: kira sözleşmesindeki değişikliği (örneğin büyük bakım sonrası daha yüksek kira) kabul etmemek; belediyenin omgevingsplan'ında artık oturmaya izin verilmemesi; doelgroepencontract'ta hedef gruptan çıkmak; ev sahibinin evi kendi ebeveynlerine veya çocuklarına kiralamak istemesi (sözleşmede bununla ilgili anlaşma olmalı).</t>
        </is>
      </c>
      <c r="T47" s="29" t="n"/>
    </row>
    <row r="48" ht="54" customHeight="1">
      <c r="A48" s="29" t="inlineStr">
        <is>
          <t>eindhoven:depozito-iadesi-ve-kesintiler</t>
        </is>
      </c>
      <c r="B48" s="29" t="inlineStr">
        <is>
          <t>eindhoven</t>
        </is>
      </c>
      <c r="C48" s="29" t="inlineStr">
        <is>
          <t>depozito-iadesi-ve-kesintiler</t>
        </is>
      </c>
      <c r="D48" s="29" t="inlineStr">
        <is>
          <t>Depozito ne zaman iade edilir, hangi kesintiler yapılabilir?</t>
        </is>
      </c>
      <c r="E48" s="29" t="inlineStr">
        <is>
          <t>Kira bitince 14 gün, kesinti varsa 30 gün; yalnızca dört kalem mahsup edilir</t>
        </is>
      </c>
      <c r="F48" s="29" t="inlineStr">
        <is>
          <t>Ev sahibi depozitoyu kira bitiminden sonra 14 gün içinde iade etmek zorunda ve sana faiz ödemesi gerekmiyor. Bir kesinti yapıyorsa kalan tutarı kira bitiminden sonra 30 gün içinde alırsın. Ev sahibi yalnızca dört kalemi mahsup edebilir: gecikmiş kira, servis giderleri, kiracıdan kaynaklı hasar ve enerjiprestatievergoeding. Administratiekosten gibi diğer giderler mahsup edilemez; olağan yıpranma ve ev sahibinin kendi bakım ihmalinden doğan hasar da kesilemez.</t>
        </is>
      </c>
      <c r="G48" s="29" t="inlineStr">
        <is>
          <t>depozito iadesi, waarborgsom terug, oplevering, kesinti, Juridisch Loket, ev teslimi</t>
        </is>
      </c>
      <c r="H48" s="29" t="inlineStr">
        <is>
          <t>settled</t>
        </is>
      </c>
      <c r="I48" s="29" t="inlineStr">
        <is>
          <t>eindhoven:kaynak:062</t>
        </is>
      </c>
      <c r="J48" s="49" t="n">
        <v>46317</v>
      </c>
      <c r="K48" s="51" t="n">
        <v>418</v>
      </c>
      <c r="L48" s="29" t="inlineStr">
        <is>
          <t>Hayır</t>
        </is>
      </c>
      <c r="M48" s="29" t="inlineStr">
        <is>
          <t>Taslak</t>
        </is>
      </c>
      <c r="N48" s="29" t="inlineStr">
        <is>
          <t>eindhoven:ev</t>
        </is>
      </c>
      <c r="O48" s="29" t="inlineStr">
        <is>
          <t>Kira bitmeden önce evi nasıl teslim etmen gerektiğini ev sahibine sor.
Teslim sırasında hazır bulun ve ev sahibinin evin durumunu mümkün olduğunca ayrıntılı bir raporla yazmasını sağla; raporda tarih, isim ve imza olduğunu kontrol et.
Ev sahibi veya görevlisi rapor yazmıyorsa evin fotoğraflarını çek, eksikleri kâğıda yaz ve teslimden çok önce ev sahibine gönder.
Kesinti yapılırsa ev sahibinden yazılı ve tam bir masraf dökümü (kostenspecificatie) iste.
İade edilmezse depozitoyu geri isteyen bir mektup yaz; örnek mektup Het Juridisch Loket sitesinde.
Ev sahibi yine reddederse parayı hâkim aracılığıyla geri iste.</t>
        </is>
      </c>
      <c r="P48" s="29" t="inlineStr">
        <is>
          <t>Teslim raporu (tarih, isim ve imzalı)
Fotoğraflar ve eksiklerin yazılı listesi (rapor yazılmadıysa)
Depozito ödeme kanıtı</t>
        </is>
      </c>
      <c r="Q48" s="29" t="inlineStr">
        <is>
          <t>İade: kira bitiminden sonra 14 gün; kesinti yapıldıysa kalan tutar 30 gün içinde.</t>
        </is>
      </c>
      <c r="R48" s="29" t="inlineStr">
        <is>
          <t>Depozito üzerinden faiz ödenmez.</t>
        </is>
      </c>
      <c r="S48" s="29" t="inlineStr">
        <is>
          <t>Gratis hukuki danışma için Het Juridisch Loket: depozito, evi teslim etme ve hâkim aracılığıyla para geri isteme konularında yardım ediyor.</t>
        </is>
      </c>
      <c r="T48" s="29" t="n"/>
    </row>
    <row r="49" ht="54" customHeight="1">
      <c r="A49" s="29" t="inlineStr">
        <is>
          <t>eindhoven:kotu-ev-sahibini-meldpunta-bildirme</t>
        </is>
      </c>
      <c r="B49" s="29" t="inlineStr">
        <is>
          <t>eindhoven</t>
        </is>
      </c>
      <c r="C49" s="29" t="inlineStr">
        <is>
          <t>kotu-ev-sahibini-meldpunta-bildirme</t>
        </is>
      </c>
      <c r="D49" s="29" t="inlineStr">
        <is>
          <t>Kötü ev sahibi davranışı Eindhoven'da nereye bildirilir?</t>
        </is>
      </c>
      <c r="E49" s="29" t="inlineStr">
        <is>
          <t>Meldpunt Goed Verhuurderschap Eindhoven: yüz yüze, telefon, WhatsApp, e-posta</t>
        </is>
      </c>
      <c r="F49" s="29" t="inlineStr">
        <is>
          <t>Ev sahibi kurallara uymuyorsa (taciz, ayrımcılık, çift aracılık ücreti, çok yüksek depozito, kira veya servis gideri) Meldpunt Goed Verhuurderschap Eindhoven'a bildirim yapabilirsin. Yüz yüze görüşme (inloopspreekuur) cuma günleri 10:30-13:30 arasında, ama belediye 2026 için yalnız belirli cumaları açılış günü olarak listeliyor; yer TU/e Atlasgebouw, Green Room, zemin kat, oda 0.705 (Den Dolech 2, 5612 AZ Eindhoven). Telefon veya WhatsApp: 085 – 11 55 587; e-posta: info@goedverhuurderschapeindhoven.nl.</t>
        </is>
      </c>
      <c r="G49" s="29" t="inlineStr">
        <is>
          <t>meldpunt, goed verhuurderschap, ev sahibi şikayeti, huurteam, ayrımcılık, WhatsApp, TU/e</t>
        </is>
      </c>
      <c r="H49" s="29" t="inlineStr">
        <is>
          <t>new;settled</t>
        </is>
      </c>
      <c r="I49" s="29" t="inlineStr">
        <is>
          <t>eindhoven:kaynak:068;eindhoven:kaynak:056</t>
        </is>
      </c>
      <c r="J49" s="49" t="n">
        <v>46317</v>
      </c>
      <c r="K49" s="51" t="n">
        <v>419</v>
      </c>
      <c r="L49" s="29" t="inlineStr">
        <is>
          <t>Hayır</t>
        </is>
      </c>
      <c r="M49" s="29" t="inlineStr">
        <is>
          <t>Taslak</t>
        </is>
      </c>
      <c r="N49" s="29" t="inlineStr">
        <is>
          <t>eindhoven:ev</t>
        </is>
      </c>
      <c r="O49" s="29" t="inlineStr">
        <is>
          <t>Yüz yüze gitmek istediğin cumanın 2026 açılış tarihleri listesinde olup olmadığına bak.
Listedeki bir cuma 10:30-13:30 arasında TU/e Atlasgebouw'daki Green Room'a (oda 0.705, Den Dolech 2) git.
Yoksa 085 – 11 55 587 numarasını ara ya da WhatsApp'tan yaz.
İstersen info@goedverhuurderschapeindhoven.nl adresine e-posta at.
Özel sektörde kiracıysan ve sorunu ev sahibiyle çözemiyorsan Huurteam Eindhoven'a veya Woonbond'un meldpunt'una da başvurabilirsin.</t>
        </is>
      </c>
      <c r="P49" s="29" t="n"/>
      <c r="Q49" s="29" t="inlineStr">
        <is>
          <t>Belediye sayfası inloopspreekuur'u (yüz yüze görüşme) 'her cuma 10:30-13:30' diye veriyor, hemen altında ise 2026 için yalnız şu açılış tarihlerini sıralıyor: 1, 8 ve 28 Mayıs; 5, 12 ve 19 Haziran; 28 Ağustos; 4, 11 ve 18 Eylül; 2, 9, 16 ve 23 Ekim; 13, 20 ve 27 Kasım; 4 ve 11 Aralık. Listede olmayan bir cuma gitmeyi düşünüyorsan önce telefon veya WhatsApp'tan sor.</t>
        </is>
      </c>
      <c r="R49" s="29" t="n"/>
      <c r="S49" s="29" t="inlineStr">
        <is>
          <t>Belediyenin Meldpunt sayfasında 'Verhuurderschap' başlıklı bir belge Hollandaca, İngilizce, Lehçe ve Türkçe olarak indirilebiliyor. Huurteam Eindhoven, Eindhoven sakinleri için ücretsiz. Belediyenin sayfası sosyal kiradaki kira, bakım ve servis gideri anlaşmazlıkları için Huurcommissie'yi gösteriyor; taciz, ayrımcılık, çift aracılık ücreti, çok yüksek depozito, kira veya servis gideri gibi ev sahibi davranışlarını ise özel sektör kirası (particuliere huur) başlığı altında Meldpunt'a yönlendiriyor.</t>
        </is>
      </c>
      <c r="T49" s="29" t="n"/>
    </row>
    <row r="50" ht="54" customHeight="1">
      <c r="A50" s="29" t="inlineStr">
        <is>
          <t>eindhoven:ev-alimi-devir-vergisi-oranlari</t>
        </is>
      </c>
      <c r="B50" s="29" t="inlineStr">
        <is>
          <t>eindhoven</t>
        </is>
      </c>
      <c r="C50" s="29" t="inlineStr">
        <is>
          <t>ev-alimi-devir-vergisi-oranlari</t>
        </is>
      </c>
      <c r="D50" s="29" t="inlineStr">
        <is>
          <t>Ev alırken devir vergisi (overdrachtsbelasting) oranları nedir?</t>
        </is>
      </c>
      <c r="E50" s="29" t="inlineStr">
        <is>
          <t>Kendi evin %2, ana ikametgâh olmayan konut 2026'da %8</t>
        </is>
      </c>
      <c r="F50" s="29" t="inlineStr">
        <is>
          <t>Kendin uzun süre oturacağın ev için devir vergisi (overdrachtsbelasting) %2. 35 yaş altı starters için, tüm şartlar sağlanırsa oran %0. Ana ikametgâh olarak kullanmayacağın konutta (ikinci ev, tatil evi, kiraya verilecek veya yatırım evi) oran 2025'te %10,4 idi; 2026'dan itibaren %8. Konut olmayan taşınmazlarda (iş yeri, ofis, dükkan, evden ayrı garaj) %10,4.</t>
        </is>
      </c>
      <c r="G50" s="29" t="inlineStr">
        <is>
          <t>overdrachtsbelasting, devir vergisi, ev alma, ikinci ev, startersvrijstelling, vergi oranı, satın alma</t>
        </is>
      </c>
      <c r="H50" s="29" t="inlineStr">
        <is>
          <t>planning;settled</t>
        </is>
      </c>
      <c r="I50" s="29" t="inlineStr">
        <is>
          <t>eindhoven:kaynak:064;eindhoven:kaynak:065</t>
        </is>
      </c>
      <c r="J50" s="49" t="n">
        <v>46317</v>
      </c>
      <c r="K50" s="51" t="n">
        <v>420</v>
      </c>
      <c r="L50" s="29" t="inlineStr">
        <is>
          <t>Hayır</t>
        </is>
      </c>
      <c r="M50" s="29" t="inlineStr">
        <is>
          <t>Taslak</t>
        </is>
      </c>
      <c r="N50" s="29" t="inlineStr">
        <is>
          <t>eindhoven:ev</t>
        </is>
      </c>
      <c r="O50" s="29" t="inlineStr">
        <is>
          <t>Durumunun hangi gruba girdiğini belirle: kendin uzun süre oturacağın ev, ana ikametgâh olarak kullanmayacağın konut veya konut olmayan taşınmaz.
Kendin oturacaksan ve 35 yaşın altındaysan starters muafiyetinin şartlarını kontrol et.
Evi ana ikametgâh olarak kullanmayacaksan 2026 için %8 oranını hesaba kat.
Garaj, schuur veya tuin gibi eklentiyi evle birlikte mi, sonradan mı alacağını planla.</t>
        </is>
      </c>
      <c r="P50" s="29" t="n"/>
      <c r="Q50" s="29" t="n"/>
      <c r="R50" s="29" t="inlineStr">
        <is>
          <t>Kendi evin: %2. 35 yaş altı starters (şartlar sağlanırsa): %0. Ana ikametgâh olmayan konut: 2025'te %10,4, 2026'da %8. Konut olmayan taşınmaz: %10,4.</t>
        </is>
      </c>
      <c r="S50" s="29" t="inlineStr">
        <is>
          <t>Tuin, garaj, schuur gibi aanhorigheden evin parçası sayılıyor. Garaj evle aynı bina kompleksindeyse veya yan yana olup evle bir bütün sayılıyorsa evin oranı uygulanıyor (kendi oturduğun evde %2); bir bütün sayılmıyorsa garaj için %10,4. Evden sonra alınan garaj, schuur veya tuin için de %10,4. Satın alındıktan sonra yıkılacak bir evde %2 oranı veya starters muafiyeti geçmeyebilir, o zaman %8 uygulanır.</t>
        </is>
      </c>
      <c r="T50" s="29" t="n"/>
    </row>
    <row r="51" ht="54" customHeight="1">
      <c r="A51" s="29" t="inlineStr">
        <is>
          <t>eindhoven:startersvrijstelling-sartlari</t>
        </is>
      </c>
      <c r="B51" s="29" t="inlineStr">
        <is>
          <t>eindhoven</t>
        </is>
      </c>
      <c r="C51" s="29" t="inlineStr">
        <is>
          <t>startersvrijstelling-sartlari</t>
        </is>
      </c>
      <c r="D51" s="29" t="inlineStr">
        <is>
          <t>35 yaş altı ilk ev alıcısı devir vergisinden nasıl muaf olur?</t>
        </is>
      </c>
      <c r="E51" s="29" t="inlineStr">
        <is>
          <t>Startersvrijstelling: dört şart, 555.000 euro değer sınırı</t>
        </is>
      </c>
      <c r="F51" s="29" t="inlineStr">
        <is>
          <t>18-35 yaş arasındaysan ve kendin uzun süre oturacağın bir ev alıyorsan, diğer şartlar da sağlanırsa devir vergisi ödemezsin (startersvrijstelling). Dört şart var: kendin uzun süre oturacağın bir ev almak, edinme anında reşit ve 35 yaşından küçük olmak, startersvrijstelling'i daha önce kullanmamış olmak ve evin değerinin 555.000 euroyu aşmaması. Edinme anı, notarial leveringsakte'nin noterde imzalandığı an.</t>
        </is>
      </c>
      <c r="G51" s="29" t="inlineStr">
        <is>
          <t>startersvrijstelling, starter muafiyeti, ilk ev, devir vergisi, 35 yaş, notaris, verklaring</t>
        </is>
      </c>
      <c r="H51" s="29" t="inlineStr">
        <is>
          <t>planning</t>
        </is>
      </c>
      <c r="I51" s="29" t="inlineStr">
        <is>
          <t>eindhoven:kaynak:065</t>
        </is>
      </c>
      <c r="J51" s="49" t="n">
        <v>46317</v>
      </c>
      <c r="K51" s="51" t="n">
        <v>421</v>
      </c>
      <c r="L51" s="29" t="inlineStr">
        <is>
          <t>Hayır</t>
        </is>
      </c>
      <c r="M51" s="29" t="inlineStr">
        <is>
          <t>Taslak</t>
        </is>
      </c>
      <c r="N51" s="29" t="inlineStr">
        <is>
          <t>eindhoven:ev</t>
        </is>
      </c>
      <c r="O51" s="29" t="inlineStr">
        <is>
          <t>Dört şartı kontrol et: kendin uzun süre oturacaksın, edinme anında reşit ve 35 yaşından küçüksün, muafiyeti daha önce kullanmadın, evin değeri 555.000 euroyu geçmiyor.
Evin değerini koopovereenkomst'taki satış bedelinden (aanhorigheden dahil) kontrol et; 560.000 euroluk bir ev muafiyet dışında kalıyor.
Kendin uzun süre oturacağını notarya verdiğin beyanla bildir; beyan genellikle leveringsakte'nin içinde yer alıyor, ayrıca Verklaring overdrachtsbelasting startersvrijstelling kullanılabilir.
İmzalı beyanın devirden önce noterde olduğundan emin ol.
İstersen muafiyet yerine %2'yi seç; böylece muafiyeti bir sonraki evde kullanabilirsin, ama o evi edinirken hâlâ 35 yaşından küçük olman ve o zamanki diğer şartları sağlaman gerekiyor.</t>
        </is>
      </c>
      <c r="P51" s="29" t="inlineStr">
        <is>
          <t>Verklaring overdrachtsbelasting startersvrijstelling (leveringsakte'de beyan yoksa ayrı beyan)</t>
        </is>
      </c>
      <c r="Q51" s="29" t="inlineStr">
        <is>
          <t>Beyan, devirden önce noterde olmalı; edinme anı leveringsakte'nin imzalandığı an.</t>
        </is>
      </c>
      <c r="R51" s="29" t="inlineStr">
        <is>
          <t>Muafiyet şartları sağlanırsa devir vergisi 0; muafiyeti kullanmazsan %2.</t>
        </is>
      </c>
      <c r="S51" s="29" t="inlineStr">
        <is>
          <t>Önceden ev satın almış olman muafiyete engel değil. İki kişi birlikte alıyorsa evin tamamının değeri sayılıyor: 600.000 euroluk evi yarı yarıya alan iki 35 yaş altı kişi muafiyetten yararlanamıyor. İkiniz de şartları sağlıyorsanız ikiniz de yararlanabilirsiniz; biriniz sağlamıyorsa muafiyet yalnız şartları sağlayan kişiye uygulanır ve onun edindiği pay üzerinden hesaplanır, diğer kişinin payı için muafiyet geçmez. Muafiyet yalnız konut için geçerli: iş yeri binaları, tek başına garaj kutuları ve konut yapımı için ayrılmış arsa kapsam dışı.</t>
        </is>
      </c>
      <c r="T51" s="29" t="n"/>
    </row>
    <row r="52" ht="54" customHeight="1">
      <c r="A52" s="29" t="inlineStr">
        <is>
          <t>eindhoven:startersvrijstelling-ozel-durumlar</t>
        </is>
      </c>
      <c r="B52" s="29" t="inlineStr">
        <is>
          <t>eindhoven</t>
        </is>
      </c>
      <c r="C52" s="29" t="inlineStr">
        <is>
          <t>startersvrijstelling-ozel-durumlar</t>
        </is>
      </c>
      <c r="D52" s="29" t="inlineStr">
        <is>
          <t>Starters muafiyetinde tadilat, kiraya verme ve iş yeri durumları</t>
        </is>
      </c>
      <c r="E52" s="29" t="inlineStr">
        <is>
          <t>Evin bir kısmını kiralamak, tadilat, öngörülemeyen durum, 12 ay kuralı</t>
        </is>
      </c>
      <c r="F52" s="29" t="inlineStr">
        <is>
          <t>Evi devirden sonra tadilat yapacaksan muafiyet hakkın sürer, yeter ki tadilattan sonra uzun süre kendin oturasın. Evin bir kısmını kiraya vereceksen muafiyet kiraya verilen kısım için geçmez: o kısım konutsa %8, değilse %10,4 ödersin. Yalnızca %10'unu kiralayıp en az %90'ında kendin oturuyorsan muafiyet evin tamamına uygulanır. Konut bölümü olan bir iş yeri binası alırsan muafiyet konut kısmının değeri için geçerli.</t>
        </is>
      </c>
      <c r="G52" s="29" t="inlineStr">
        <is>
          <t>startersvrijstelling, tadilat, kiraya verme, onvoorziene omstandigheden, antimisbruik, bedrijfspand, 12 ay</t>
        </is>
      </c>
      <c r="H52" s="29" t="inlineStr">
        <is>
          <t>planning</t>
        </is>
      </c>
      <c r="I52" s="29" t="inlineStr">
        <is>
          <t>eindhoven:kaynak:065</t>
        </is>
      </c>
      <c r="J52" s="49" t="n">
        <v>46317</v>
      </c>
      <c r="K52" s="51" t="n">
        <v>422</v>
      </c>
      <c r="L52" s="29" t="inlineStr">
        <is>
          <t>Hayır</t>
        </is>
      </c>
      <c r="M52" s="29" t="inlineStr">
        <is>
          <t>Taslak</t>
        </is>
      </c>
      <c r="N52" s="29" t="inlineStr">
        <is>
          <t>eindhoven:ev</t>
        </is>
      </c>
      <c r="O52" s="29" t="inlineStr">
        <is>
          <t>Devirden önce evi kullanmaya başlayacaksan notariële leveringsakte'nin evi kullanmaya başladığın andan itibaren 6 ay içinde imzalandığından emin ol.
Devirden sonra tadilat yapıyorsan tadilat sonrası evde uzun süre kendin oturacağını planla.
Boşanma veya alıcının ölümü gibi öngörülemeyen bir durum alım ile akte arasında çıkarsa Verklaring onvoorziene omstandigheden overdrachtsbelasting beyanını noterde ver.
Evin bir kısmını kiralayacaksan kiralanan kısım için %8 (konutsa) veya %10,4 hesaba kat; kiralanan kısım %10'u geçmiyorsa muafiyet tamamına uygulanıyor.
Sonradan evle ilgili bir garaj veya schuur alırsan 12 ay içinde toplam değerin 555.000 euroyu aşıp aşmadığına bak.</t>
        </is>
      </c>
      <c r="P52" s="29" t="inlineStr">
        <is>
          <t>Verklaring onvoorziene omstandigheden overdrachtsbelasting (öngörülemeyen durumda)</t>
        </is>
      </c>
      <c r="Q52" s="29" t="inlineStr">
        <is>
          <t>6 ay: leveringsakte, evi kullanmaya başlamandan itibaren 6 ay içinde imzalanırsa ayrı bir ekonomik mülkiyet edinimi sayılmıyor. 12 ay: ekli taşınmaz alımında değerler toplanıyor.</t>
        </is>
      </c>
      <c r="R52" s="29" t="inlineStr">
        <is>
          <t>Kiralanan kısım konutsa %8, değilse %10,4. İş yeri kısmı %10,4. 12 ay kuralında toplam değer 555.000 euroyu aşarsa önceki evin değeri üzerinden %2, sonradan alınan taşınmaz üzerinden %10,4.</t>
        </is>
      </c>
      <c r="S52" s="29" t="inlineStr">
        <is>
          <t>Örnek: 1 Ocak 2026'da 550.000 euroya ev alıp muafiyeti kullandın; 23 Mart 2026'da 10.000 euroya evin garajını aldın. Toplam 560.000 euro olduğu için ev değeri olan 550.000 euro üzerinden %2, garaj üzerinden %10,4 ödüyorsun. Mirasçıya, evlilik veya boşanma yoluyla edinene bu kural uygulanmıyor.</t>
        </is>
      </c>
      <c r="T52" s="29" t="n"/>
    </row>
    <row r="53" ht="54" customHeight="1">
      <c r="A53" s="29" t="inlineStr">
        <is>
          <t>eindhoven:kamer-kiralama-izni-omgevingsvergunning</t>
        </is>
      </c>
      <c r="B53" s="29" t="inlineStr">
        <is>
          <t>eindhoven</t>
        </is>
      </c>
      <c r="C53" s="29" t="inlineStr">
        <is>
          <t>kamer-kiralama-izni-omgevingsvergunning</t>
        </is>
      </c>
      <c r="D53" s="29" t="inlineStr">
        <is>
          <t>Evi oda oda kiralamak için izin gerekir mi?</t>
        </is>
      </c>
      <c r="E53" s="29" t="inlineStr">
        <is>
          <t>Kamerverhuur: omgevingsvergunning, istisnalar ve hospitaverhuur</t>
        </is>
      </c>
      <c r="F53" s="29" t="inlineStr">
        <is>
          <t>Bir evi kamerverhuur (oda kiralama) için kullanmak Eindhoven'ın omgevingsplan'ına aykırı; bunun için Omgevingsloket'ten omgevingsplan'dan sapma izni (omgevingsvergunning) başvurusu gerekiyor ve evin sahibi olman şart değil. Kamer, bağımsız olmayan bir konut: sakinler duş, tuvalet veya mutfaktan en az birini paylaşıyor ve bir kamer en fazla bir kişinin oturması için. Evde birlikte hane kurmayan en fazla iki kişi oturuyorsa ve ortak kullandıkları en az bir tesis varsa izin gerekmiyor; ikisinin de tuvalet, duş ve mutfağı ayrı ayrıysa bu woningsplitsing (konut bölme) sayılıyor ve izin gerekiyor. Sekiz mahallede ve yasal bir kamer evinin ya da bölünmüş konutun 30 metre çevresinde izin hiç verilmiyor.</t>
        </is>
      </c>
      <c r="G53" s="29" t="inlineStr">
        <is>
          <t>kamerverhuur, oda kiralama, omgevingsvergunning, hospitaverhuur, inwoning, Omgevingsloket, kiralık oda</t>
        </is>
      </c>
      <c r="H53" s="29" t="inlineStr">
        <is>
          <t>planning;new</t>
        </is>
      </c>
      <c r="I53" s="29" t="inlineStr">
        <is>
          <t>eindhoven:kaynak:067</t>
        </is>
      </c>
      <c r="J53" s="49" t="n">
        <v>46317</v>
      </c>
      <c r="K53" s="51" t="n">
        <v>423</v>
      </c>
      <c r="L53" s="29" t="inlineStr">
        <is>
          <t>Hayır</t>
        </is>
      </c>
      <c r="M53" s="29" t="inlineStr">
        <is>
          <t>Taslak</t>
        </is>
      </c>
      <c r="N53" s="29" t="inlineStr">
        <is>
          <t>eindhoven:ev</t>
        </is>
      </c>
      <c r="O53" s="29" t="inlineStr">
        <is>
          <t>Önce durumunun istisna kapsamına girip girmediğine bak: birlikte hane kurmayan en fazla iki kişi oturuyorsa ve duş, tuvalet veya mutfaktan en az biri ortaksa izin gerekmiyor; ikisinin de tüm tesisleri ayrıysa izin gerekiyor.
Ev sahibiysen veya konut şirketinden kiracıysan ve evde ailenle en az bir yıldır oturuyorsan, bir kişiye ve en fazla 2 çocuğuna kamer kiralaman inwoning (hospitaverhuur) sayılıyor ve izin gerekmiyor; konut şirketi kiracısıysan önce konut şirketine haber ver.
Altı öğrenci veya expat gibi tek kişilik çok sayıda hane aynı evde oturacaksa izin gerekiyor; ortak kira ödemesi veya birinin ev sahibi olması bunu değiştirmiyor.
Adresin sekiz izin verilmeyen mahalleden birinde mi, ya da yasal bir kamer evine veya bölünmüş konuta 30 metre mesafede mi diye kontrol et; öyleyse izin verilmiyor.
Parkeer rekentool ile ek park ihtiyacı çıkıp çıkmadığını hesapla ve sonucu başvuruya ekle.
Gerekli çizim ve belgeleri hazırla, ardından izni Omgevingsloket'ten başvur.
İzin çıkmazsa karara itiraz edebilirsin (bezwaar).</t>
        </is>
      </c>
      <c r="P53" s="29" t="inlineStr">
        <is>
          <t>En az 2 sokağı gösteren durum çizimi (ör. kadastral harita)
Mevcut yasal durumun kat planı (oda işlevleriyle)
Yeni durumun kat planı (kamer 1, kamer 2, ortak oturma odası, mutfak, banyo vb.)
Kendi arsadaki park imkânlarının çizimi (varsa)
Rekentool parkeernormen sonucu
Gemachtigde (vekil) başvuru yapıyorsa vekâletname (machtiging)</t>
        </is>
      </c>
      <c r="Q53" s="29" t="inlineStr">
        <is>
          <t>Karar genellikle 8 hafta içinde; gerekirse bir kez 6 hafta uzatılıyor. Eksik belge istenirse süre duruyor.</t>
        </is>
      </c>
      <c r="R53" s="29" t="inlineStr">
        <is>
          <t>Başvuru her zaman ücretli (leges), izin çıkmasa veya geri çekilse de; tutarlar Legesverordening vergunningen 2026'da. Karardan önce geri çekersen bir kısmını geri alabilirsin.</t>
        </is>
      </c>
      <c r="S53" s="29" t="inlineStr">
        <is>
          <t>Belediye 1 Ocak 2026'da bazı mahallelerde kamer ve konut bölme kurallarını değiştirdi. İzin verilmeyen mahalleler: Limbeek-Noord, Limbeek-Zuid, Bennekel-Oost, Doornakkers-Oost, Doornakkers-West, Woensel-West, Hemelrijken ve Gildebuurt; 30 metre kuralı merkez bölge (centrumgebied) hariç tüm şehirde geçerli. İzinli bir kamerverhuur adresi AUP-lijst'e (parkeer izni dışlama listesi) giriyor: o adreslerde ücretli park bölgelerinde yeni parkeervergunning verilmiyor, ziyaretçi düzenlemesi hakkı yok ve mevcut izinler yenilenmiyor.</t>
        </is>
      </c>
      <c r="T53" s="29" t="n"/>
    </row>
    <row r="54" ht="54" customHeight="1">
      <c r="A54" s="29" t="inlineStr">
        <is>
          <t>eindhoven:konut-bolme-izni-woningsplitsing</t>
        </is>
      </c>
      <c r="B54" s="29" t="inlineStr">
        <is>
          <t>eindhoven</t>
        </is>
      </c>
      <c r="C54" s="29" t="inlineStr">
        <is>
          <t>konut-bolme-izni-woningsplitsing</t>
        </is>
      </c>
      <c r="D54" s="29" t="inlineStr">
        <is>
          <t>Bir evi birden fazla daireye bölmek için izin nasıl alınır?</t>
        </is>
      </c>
      <c r="E54" s="29" t="inlineStr">
        <is>
          <t>Woningsplitsing: omgevingsvergunning, park normu ve conceptverzoek</t>
        </is>
      </c>
      <c r="F54" s="29" t="inlineStr">
        <is>
          <t>Bir evi veya yasal olarak oda oda kiralanan bir binayı iki veya daha fazla konuta (apartman ya da stüdyo) çevirmek omgevingsplan'a aykırı; bunun için omgevingsvergunning gerekiyor ve başvuru için evin sahibi olman gerekmiyor. Önceden şansını öğrenmek istersen conceptverzoek verebilirsin; belediye yazılı olarak izin alıp alamayacağını bildiriyor. Sekiz mahallede ve yasal bir kamer evinin ya da bölünmüş konutun 30 metre çevresinde izin verilmiyor; bu 30 metre kuralı merkez bölgede (centrumgebied) uygulanmıyor. Park normlarına uyulması şart ve karar genellikle 8 hafta içinde çıkıyor.</t>
        </is>
      </c>
      <c r="G54" s="29" t="inlineStr">
        <is>
          <t>woningsplitsing, konut bölme, stüdyo, appartement, omgevingsvergunning, conceptverzoek, parkeernormen, campuscontract</t>
        </is>
      </c>
      <c r="H54" s="29" t="inlineStr">
        <is>
          <t>planning</t>
        </is>
      </c>
      <c r="I54" s="29" t="inlineStr">
        <is>
          <t>eindhoven:kaynak:066</t>
        </is>
      </c>
      <c r="J54" s="49" t="n">
        <v>46317</v>
      </c>
      <c r="K54" s="51" t="n">
        <v>424</v>
      </c>
      <c r="L54" s="29" t="inlineStr">
        <is>
          <t>Hayır</t>
        </is>
      </c>
      <c r="M54" s="29" t="inlineStr">
        <is>
          <t>Taslak</t>
        </is>
      </c>
      <c r="N54" s="29" t="inlineStr">
        <is>
          <t>eindhoven:ev</t>
        </is>
      </c>
      <c r="O54" s="29" t="inlineStr">
        <is>
          <t>Yapmak istediğin bölmenin izin alıp alamayacağını önceden öğrenmek için conceptverzoek ver.
Adresin izin verilmeyen sekiz mahalleden birinde mi, ya da merkez bölge (centrumgebied) dışında yasal bir kamer evine veya bölünmüş konuta 30 metre mesafede mi diye kontrol et; 1 Ocak 2026'daki değişiklikler için Tijdelijke overgangsregeling op slot gebieden 2026 belgesine bak.
Rekentool parkeernormen ile mevcut duruma göre ek park ihtiyacı çıkıp çıkmadığını hesapla; sonucu conceptverzoek veya izin başvurusuna ekle.
Sadece öğrenciler oturacaksa kira sözleşmesine campuscontract maddelerini koy; bu durumda daha düşük park normu uygulanıyor.
Çizim ve belgeleri hazırlayıp omgevingsvergunning'i dijital veya posta ile başvur.
İzin çıkmazsa bezwaar (itiraz) yap.</t>
        </is>
      </c>
      <c r="P54" s="29" t="inlineStr">
        <is>
          <t>En az 2 sokağı gösteren durum çizimi (ör. kadastral harita)
Mevcut yasal durumun kat planı (oda işlevleriyle)
Yeni durumun kat planı (konut/stüdyo 1, konut/stüdyo 2; oturma odası, mutfak, banyo vb.)
Kendi arsadaki park imkânlarının çizimi (varsa)
Rekentool parkeernormen sonucu
Vekil başvuru yapıyorsa vekâletname (machtiging)</t>
        </is>
      </c>
      <c r="Q54" s="29" t="inlineStr">
        <is>
          <t>Karar genellikle 8 hafta içinde; gerekirse bir kez 6 hafta uzatılıyor. Eksik belge istenirse süre duruyor.</t>
        </is>
      </c>
      <c r="R54" s="29" t="inlineStr">
        <is>
          <t>Başvuru her zaman ücretli (leges), izin çıkmasa veya geri çekilse de; tutarlar legesverordening 2026'da. Karardan önce geri çekersen veya izin reddedilirse ödediğin legesin bir kısmını geri alabilirsin.</t>
        </is>
      </c>
      <c r="S54" s="29" t="inlineStr">
        <is>
          <t>Yeni konutların boyutları, gün ışığı, komşu parsellerin mahremiyeti ve gürültü önlemleri gibi woonkwaliteit şartlarını karşılaması gerekiyor. Campuscontract'ta kiracı, öğrencilik kaydının kopyasını istenmesinden sonra 3 ay içinde vermezse ev sahibi sözleşmeyi feshedebiliyor. İzinle bölünen adres AUP-lijst'e (parkeer izni dışlama listesi) ekleniyor: ücretli park bölgelerinde bu adres için yeni parkeervergunning alınamıyor, ziyaretçi düzenlemesi (bezoekersregeling) hakkı yok ve mevcut parkeervergunning'ler uzatılmıyor. Konut bölme kuralları 1 Ocak 2026'dan itibaren bazı buurt'larda değişti; geçiş kuralları 'Tijdelijke overgangsregeling op slot gebieden 2026' belgesinde.</t>
        </is>
      </c>
      <c r="T54" s="29" t="n"/>
    </row>
    <row r="55" ht="54" customHeight="1">
      <c r="A55" s="29" t="inlineStr">
        <is>
          <t>eindhoven:kamer-ve-bolme-izni-yasakli-mahalleler</t>
        </is>
      </c>
      <c r="B55" s="29" t="inlineStr">
        <is>
          <t>eindhoven</t>
        </is>
      </c>
      <c r="C55" s="29" t="inlineStr">
        <is>
          <t>kamer-ve-bolme-izni-yasakli-mahalleler</t>
        </is>
      </c>
      <c r="D55" s="29" t="inlineStr">
        <is>
          <t>Hangi Eindhoven mahallelerinde oda kiralama ve konut bölme izni verilmiyor?</t>
        </is>
      </c>
      <c r="E55" s="29" t="inlineStr">
        <is>
          <t>Op-slot-gebieden ve 30 metre kuralı</t>
        </is>
      </c>
      <c r="F55" s="29" t="inlineStr">
        <is>
          <t>Belediye sekiz mahallede (op-slot-gebieden) evi oda kiralamaya çevirmek veya iki ya da daha fazla bağımsız konuta bölmek için izin vermiyor: Limbeek-Noord, Limbeek-Zuid, Bennekel-Oost, Doornakkers-Oost, Doornakkers-West, Woensel-West, Hemelrijken ve Gildebuurt. Ayrıca 30 metre kuralı var: yasal bir kamerverhuur binasının veya bölünmüş konutun orta noktasından 30 metre yarıçaplı daireye giren ya da bu dairenin etkilediği bir yapı için izin reddediliyor. Bu kural merkez bölge (centrumgebied) hariç tüm şehirde geçerli. Bu yasaklar izin başvurularıyla ilgili; oda kiralamada bazı durumlarda izin hiç gerekmiyor: evde ortak hane kurmayan en çok iki kişi oturuyorsa ya da en az bir yıldır oturduğun kendi evinde veya en az bir yıldır konut şirketinden kiraladığın evde bir kişiye (en çok 2 çocuğuyla) oda veriyorsan (hospitaverhuur) izin hiç gerekmiyor.</t>
        </is>
      </c>
      <c r="G55" s="29" t="inlineStr">
        <is>
          <t>op slot gebieden, yasaklı mahalle, 30 metre kuralı, Woensel-West, Doornakkers, kamerverhuur, woningsplitsing</t>
        </is>
      </c>
      <c r="H55" s="29" t="inlineStr">
        <is>
          <t>planning;new</t>
        </is>
      </c>
      <c r="I55" s="29" t="inlineStr">
        <is>
          <t>eindhoven:kaynak:067;eindhoven:kaynak:066</t>
        </is>
      </c>
      <c r="J55" s="49" t="n">
        <v>46317</v>
      </c>
      <c r="K55" s="51" t="n">
        <v>425</v>
      </c>
      <c r="L55" s="29" t="inlineStr">
        <is>
          <t>Hayır</t>
        </is>
      </c>
      <c r="M55" s="29" t="inlineStr">
        <is>
          <t>Taslak</t>
        </is>
      </c>
      <c r="N55" s="29" t="inlineStr">
        <is>
          <t>eindhoven:ev</t>
        </is>
      </c>
      <c r="O55" s="29" t="inlineStr">
        <is>
          <t>Önce iznin gerekip gerekmediğine bak: ortak hane kurmayan en çok iki kişi oturacaksa ya da hospitaverhuur şartlarını sağlıyorsan izin gerekmiyor.
Taşınmazın bulunduğu mahalleyi sekiz mahalle listesiyle karşılaştır.
30 metre kuralı için centrumgebied haritasına beleidsregels kamerbewoning en woningsplitsing belgesinden bak.
Bu engeller yoksa belediye çevrenin yaşanabilirliğine (leefbaarheid) bakıyor; 'ongeoorloofde inbreuk' (izin verilemez zarar) görülürse izin reddediliyor ve leefbaarheidscommissie görüş veriyor.
Konut bölme için kesin yanıtı önceden almak istiyorsan conceptverzoek ver.</t>
        </is>
      </c>
      <c r="P55" s="29" t="n"/>
      <c r="Q55" s="29" t="n"/>
      <c r="R55" s="29" t="n"/>
      <c r="S55" s="29" t="inlineStr">
        <is>
          <t>Belediye 1 Ocak 2026'da bazı mahalleler için kuralları değiştirdi ve 'Tijdelijke overgangsregeling op slot gebieden 2026' (2026 geçici geçiş düzenlemesi) yayımladı. Konut şirketinden kiralıyorsan oda vermeden önce konut şirketine haber vermelisin. İki kişinin her biri tuvalet, duş ve mutfağa ayrı ayrı sahipse bu konut bölme (woningsplitsing) sayılıyor ve izin gerekiyor.</t>
        </is>
      </c>
      <c r="T55" s="29" t="n"/>
    </row>
    <row r="56" ht="54" customHeight="1">
      <c r="A56" s="29" t="inlineStr">
        <is>
          <t>eindhoven:enerji-saglayicisi-degistirme</t>
        </is>
      </c>
      <c r="B56" s="29" t="inlineStr">
        <is>
          <t>eindhoven</t>
        </is>
      </c>
      <c r="C56" s="29" t="inlineStr">
        <is>
          <t>enerji-saglayicisi-degistirme</t>
        </is>
      </c>
      <c r="D56" s="29" t="inlineStr">
        <is>
          <t>Elektrik ve gaz sağlayıcısı nasıl seçilir ve değiştirilir?</t>
        </is>
      </c>
      <c r="E56" s="29" t="inlineStr">
        <is>
          <t>Karşılaştırma sitesinden sağlayıcıya kayıt olmaya kadar adımlar</t>
        </is>
      </c>
      <c r="F56" s="29" t="inlineStr">
        <is>
          <t>Önce yıllık tüketiminizi ve şu an yıllık ne ödediğinizi bilmeniz gerekir; bunun için son jaarafrekening'e (yıllık enerji hesabı) bakarsınız. Fiyatları posta kodunuz ve tüketiminizle bir karşılaştırma sitesinde görürsünüz, güneş paneliniz varsa onu da girersiniz. Sağlayıcıyı seçince yalnız yeni sağlayıcıya kayıt olursunuz, geçişi o yürütür. Elektrik ve gazı aynı sağlayıcıdan almak zorunda değilsiniz.</t>
        </is>
      </c>
      <c r="G56" s="29" t="inlineStr">
        <is>
          <t>enerji sağlayıcısı, energieleverancier, overstappen, prijsvergelijker, elektrik, gaz</t>
        </is>
      </c>
      <c r="H56" s="29" t="inlineStr">
        <is>
          <t>planning;new</t>
        </is>
      </c>
      <c r="I56" s="29" t="inlineStr">
        <is>
          <t>eindhoven:kaynak:069</t>
        </is>
      </c>
      <c r="J56" s="49" t="n">
        <v>46317</v>
      </c>
      <c r="K56" s="51" t="n">
        <v>501</v>
      </c>
      <c r="L56" s="29" t="inlineStr">
        <is>
          <t>Evet</t>
        </is>
      </c>
      <c r="M56" s="29" t="inlineStr">
        <is>
          <t>Taslak</t>
        </is>
      </c>
      <c r="N56" s="29" t="inlineStr">
        <is>
          <t>eindhoven:fatura</t>
        </is>
      </c>
      <c r="O56" s="29" t="inlineStr">
        <is>
          <t>Son jaarafrekening'inizden yıllık elektrik ve gaz tüketiminizi ve yıllık ödediğiniz tutarı not edin.
Posta kodunuzu, tüketiminizi ve varsa güneş panelinizi girerek birden fazla karşılaştırma sitesine bakın.
Aylık sabit bedele, kullanım bedeline, indirimin hangi kalemlere uygulandığına ve güneş paneliniz varsa terugleverkosten'e (geri verme bedeli) bakarak teklifleri kıyaslayın.
Seçtiğiniz sağlayıcıya kayıt olun; geçişi yeni sağlayıcı yürütür.</t>
        </is>
      </c>
      <c r="P56" s="29" t="inlineStr">
        <is>
          <t>Son jaarafrekening (yıllık enerji hesabı)</t>
        </is>
      </c>
      <c r="Q56" s="29" t="n"/>
      <c r="R56" s="29" t="n"/>
      <c r="S56" s="29" t="inlineStr">
        <is>
          <t>İyi teklif göremezseniz başka bir gün tekrar bakın: teklifler çoğunlukla günden güne değişir.</t>
        </is>
      </c>
      <c r="T56" s="29" t="inlineStr">
        <is>
          <t>{"kind": "steps", "title": "Sağlayıcı değiştirme", "note": "Şematik", "items": [{"key": "1", "title": "Tüketimi öğrenin", "text": "Son jaarafrekening'e bakın"}, {"key": "2", "title": "Karşılaştırın", "text": "Posta kodu ve tüketimle, birden fazla site"}, {"key": "3", "title": "Seçin", "text": "Sabit bedel, indirim, geri verme bedeli"}, {"key": "4", "title": "Kayıt olun", "text": "Yeni sağlayıcı geçişi yürütür"}]}</t>
        </is>
      </c>
    </row>
    <row r="57" ht="54" customHeight="1">
      <c r="A57" s="29" t="inlineStr">
        <is>
          <t>eindhoven:enerji-tarife-turleri-farki</t>
        </is>
      </c>
      <c r="B57" s="29" t="inlineStr">
        <is>
          <t>eindhoven</t>
        </is>
      </c>
      <c r="C57" s="29" t="inlineStr">
        <is>
          <t>enerji-tarife-turleri-farki</t>
        </is>
      </c>
      <c r="D57" s="29" t="inlineStr">
        <is>
          <t>Sabit, değişken ve dinamik enerji tarifesi arasındaki fark nedir?</t>
        </is>
      </c>
      <c r="E57" s="29" t="inlineStr">
        <is>
          <t>Hangi sözleşme türünde fiyat değişir, fesih bedeli kimde çıkar</t>
        </is>
      </c>
      <c r="F57" s="29" t="inlineStr">
        <is>
          <t>Sabit tarifede enerji fiyatı sözleşme süresince (örneğin 1 yıl) aynı kalır; bu sözleşmeler çoğu zaman değişken veya dinamik olanlardan pahalıdır. Vergiler veya netbeheerkosten (şebeke bedeli) yükselirse sağlayıcı bu farkı sabit sözleşmede de size yansıtabilir. Değişken tarifede sağlayıcı fiyatı değiştirebilir. Dinamik tarifede elektrik fiyatı her çeyrek saat, saat veya gün, gaz fiyatı her gün değişir. Süresi dolmadan çıkarsanız fesih bedelini yalnız süreli sözleşmede ödersiniz; değişken ve dinamik tarifede ödemezsiniz.</t>
        </is>
      </c>
      <c r="G57" s="29" t="inlineStr">
        <is>
          <t>sabit tarife, değişken tarife, dinamik tarife, vast tarief, variabel tarief, dynamisch tarief</t>
        </is>
      </c>
      <c r="H57" s="29" t="inlineStr">
        <is>
          <t>planning;new</t>
        </is>
      </c>
      <c r="I57" s="29" t="inlineStr">
        <is>
          <t>eindhoven:kaynak:069;eindhoven:kaynak:070;eindhoven:kaynak:072</t>
        </is>
      </c>
      <c r="J57" s="49" t="n">
        <v>46317</v>
      </c>
      <c r="K57" s="51" t="n">
        <v>502</v>
      </c>
      <c r="L57" s="29" t="inlineStr">
        <is>
          <t>Hayır</t>
        </is>
      </c>
      <c r="M57" s="29" t="inlineStr">
        <is>
          <t>Taslak</t>
        </is>
      </c>
      <c r="N57" s="29" t="inlineStr">
        <is>
          <t>eindhoven:fatura</t>
        </is>
      </c>
      <c r="O57" s="29" t="inlineStr">
        <is>
          <t>Ne kadar fiyat güvencesi istediğinize karar verin.
Sabit tarifeyi düşünüyorsanız sözleşme süresine bakın; süre dolmadan çıkarsanız fesih bedeli çıkabilir.
Değişken tarifede fiyatın ne zaman değişebileceğinin sözleşmede veya genel koşullarda açıkça yazdığını kontrol edin.
Dinamik tarifeyi düşünüyorsanız kişiye özel teklif isteyin ve riskleri iyice araştırın.</t>
        </is>
      </c>
      <c r="P57" s="29" t="n"/>
      <c r="Q57" s="29" t="n"/>
      <c r="R57" s="29" t="n"/>
      <c r="S57" s="29" t="inlineStr">
        <is>
          <t>Değişken tarifeli sözleşmelerde birçok enerji şirketi tarifesini 1 Temmuz ve 1 Ocak civarında değiştirir; bu yüzden en düşük fiyatlı görünen değişken tarifeli teklifin fiyatı sonradan değişebilir.</t>
        </is>
      </c>
      <c r="T57" s="29" t="n"/>
    </row>
    <row r="58" ht="54" customHeight="1">
      <c r="A58" s="29" t="inlineStr">
        <is>
          <t>eindhoven:enerji-telefon-satisi-ve-vekalet</t>
        </is>
      </c>
      <c r="B58" s="29" t="inlineStr">
        <is>
          <t>eindhoven</t>
        </is>
      </c>
      <c r="C58" s="29" t="inlineStr">
        <is>
          <t>enerji-telefon-satisi-ve-vekalet</t>
        </is>
      </c>
      <c r="D58" s="29" t="inlineStr">
        <is>
          <t>Telefonda enerji sözleşmesi teklif edilirse ne yapılır?</t>
        </is>
      </c>
      <c r="E58" s="29" t="inlineStr">
        <is>
          <t>Aracı satıcı (wederverkoper) ve vekâlet (volmacht) konusunda dikkat edilecekler</t>
        </is>
      </c>
      <c r="F58" s="29" t="inlineStr">
        <is>
          <t>Telefondaki satış görüşmesinde enerji sözleşmesi imzalamamanız önerilir: genelde daha iyi teklif bulunur ve istersek müşteri hizmetini kendiniz arayabilirsiniz. Aracı satıcı (wederverkoper) lisanslı bir sağlayıcıyla çalışır; aracıdan sözleşme yapsanız da sözleşmeniz sağlayıcıyla yapılmış olur ve sağlayıcının adı sözleşmede yazar. Aracıya verdiğiniz vekâleti (volmacht) her zaman geri çekebilirsiniz.</t>
        </is>
      </c>
      <c r="G58" s="29" t="inlineStr">
        <is>
          <t>telefonda satış, wederverkoper, volmacht, vekâlet, enerji sözleşmesi, aracı satıcı</t>
        </is>
      </c>
      <c r="H58" s="29" t="inlineStr">
        <is>
          <t>new;settled</t>
        </is>
      </c>
      <c r="I58" s="29" t="inlineStr">
        <is>
          <t>eindhoven:kaynak:069</t>
        </is>
      </c>
      <c r="J58" s="49" t="n">
        <v>46317</v>
      </c>
      <c r="K58" s="51" t="n">
        <v>503</v>
      </c>
      <c r="L58" s="29" t="inlineStr">
        <is>
          <t>Hayır</t>
        </is>
      </c>
      <c r="M58" s="29" t="inlineStr">
        <is>
          <t>Taslak</t>
        </is>
      </c>
      <c r="N58" s="29" t="inlineStr">
        <is>
          <t>eindhoven:fatura</t>
        </is>
      </c>
      <c r="O58" s="29" t="inlineStr">
        <is>
          <t>Telefonda hemen evet demeyin; önce fiyatları karşılaştırın.
Aracı sizden vekâlet istiyorsa hangi sağlayıcılarla çalıştığını ve neye izin verdiğinizi önceden öğrenin.
Sözleşmede sağlayıcı olarak kimin yazdığına bakın.
Vekâleti geri çekmek için aracıya e-posta veya mektup gönderin ve vekâleti derhal geri çektiğinizi yazın.
Aracı sizi yanıltmışsa vekâletin iptal edilebileceğini unutmayın.</t>
        </is>
      </c>
      <c r="P58" s="29" t="n"/>
      <c r="Q58" s="29" t="n"/>
      <c r="R58" s="29" t="n"/>
      <c r="S58" s="29" t="inlineStr">
        <is>
          <t>Aracıyla yıllık hesapta uygulanacak bir indirim konuştuysanız, bunun sağlayıcıyla yaptığınız sözleşmede açıkça yazdığından emin olun.</t>
        </is>
      </c>
      <c r="T58" s="29" t="n"/>
    </row>
    <row r="59" ht="54" customHeight="1">
      <c r="A59" s="29" t="inlineStr">
        <is>
          <t>eindhoven:enerji-sozlesmesi-iptali-fesih-bedeli</t>
        </is>
      </c>
      <c r="B59" s="29" t="inlineStr">
        <is>
          <t>eindhoven</t>
        </is>
      </c>
      <c r="C59" s="29" t="inlineStr">
        <is>
          <t>enerji-sozlesmesi-iptali-fesih-bedeli</t>
        </is>
      </c>
      <c r="D59" s="29" t="inlineStr">
        <is>
          <t>Enerji sözleşmesini erken bitirirsem fesih bedeli öder miyim?</t>
        </is>
      </c>
      <c r="E59" s="29" t="inlineStr">
        <is>
          <t>Opzegvergoeding hangi durumlarda çıkar, ihbar süresi ne kadar</t>
        </is>
      </c>
      <c r="F59" s="29" t="inlineStr">
        <is>
          <t>Fesih bedeli (opzegvergoeding) yalnızca belirli süreli bir sözleşmeniz varsa, süre dolmadan iptal ederseniz ve bu iki nokta sözleşmenizde yazıyorsa çıkar. Taşınma, yurt dışına göç veya birlikte yaşama nedeniyle iptal etseniz de aynı kural geçerlidir. Süre dolmuşsa, değişken veya dinamik tarifeniz varsa, bedel faturası son hesaptan (eindafrekening) sonra gelirse ya da sözleşmede bedelin nasıl hesaplandığı yazmıyorsa bedel çıkmaz; sağlayıcı sözleşmeyi kendisi bitirirse de çıkmaz, ama ödemelerinizi zamanında yapmadığınız için bitiriyorsa sağlayıcı bazen yine de bedel isteyebilir. İhbar süresi sözleşmede yazar ve en çok 1 aydır; süreli ya da süresiz her enerji sözleşmesi için geçerlidir.</t>
        </is>
      </c>
      <c r="G59" s="29" t="inlineStr">
        <is>
          <t>opzegvergoeding, fesih bedeli, enerji sözleşmesi iptali, opzegtermijn, taşınma, overstappen</t>
        </is>
      </c>
      <c r="H59" s="29" t="inlineStr">
        <is>
          <t>new;settled</t>
        </is>
      </c>
      <c r="I59" s="29" t="inlineStr">
        <is>
          <t>eindhoven:kaynak:070</t>
        </is>
      </c>
      <c r="J59" s="49" t="n">
        <v>46317</v>
      </c>
      <c r="K59" s="51" t="n">
        <v>504</v>
      </c>
      <c r="L59" s="29" t="inlineStr">
        <is>
          <t>Evet</t>
        </is>
      </c>
      <c r="M59" s="29" t="inlineStr">
        <is>
          <t>Taslak</t>
        </is>
      </c>
      <c r="N59" s="29" t="inlineStr">
        <is>
          <t>eindhoven:fatura</t>
        </is>
      </c>
      <c r="O59" s="29" t="inlineStr">
        <is>
          <t>Sözleşmenizin süreli olup olmadığına ve süre sonu tarihine bakın.
Geçiş yapmadan önce mevcut sağlayıcınızdan beklenen fesih bedelini isteyin.
Yeni sağlayıcıya kayıt olun; geçişi o yürütür, eski sağlayıcınız fesih bedelini size gönderir.
Bedeli çok bulursanız caydırma süresi (bedenktermijn) içinde geçişi iptal edin.
Bedel yanlış veya haksızsa mevcut sağlayıcınıza mektup veya e-posta yazın.</t>
        </is>
      </c>
      <c r="P59" s="29" t="n"/>
      <c r="Q59" s="29" t="inlineStr">
        <is>
          <t>İhbar süresi sözleşmede yazar, en çok 1 aydır ve iptalden ertesi gün başlar. Fesih bedeli geçişten sonra 6 hafta içinde gelen son hesapta (eindafrekening) yer alır.</t>
        </is>
      </c>
      <c r="R59" s="29" t="n"/>
      <c r="S59" s="29" t="inlineStr">
        <is>
          <t>Elektrik ve gaz tek sözleşmedeyse yalnız gazı iptal etseniz bile tüm sözleşmeyi bitirmiş olursunuz; sağlayıcı hem gaz hem elektrik için bedel isteyebilir.</t>
        </is>
      </c>
      <c r="T59" s="29" t="n"/>
    </row>
    <row r="60" ht="54" customHeight="1">
      <c r="A60" s="29" t="inlineStr">
        <is>
          <t>eindhoven:fesih-bedeli-nasil-hesaplanir</t>
        </is>
      </c>
      <c r="B60" s="29" t="inlineStr">
        <is>
          <t>eindhoven</t>
        </is>
      </c>
      <c r="C60" s="29" t="inlineStr">
        <is>
          <t>fesih-bedeli-nasil-hesaplanir</t>
        </is>
      </c>
      <c r="D60" s="29" t="inlineStr">
        <is>
          <t>Enerji sözleşmesinde fesih bedeli (opzegvergoeding) nasıl hesaplanır?</t>
        </is>
      </c>
      <c r="E60" s="29" t="inlineStr">
        <is>
          <t>Formül, kaynaktaki örnek ve hoş geldin primi (welkomstpremie) kuralı</t>
        </is>
      </c>
      <c r="F60" s="29" t="inlineStr">
        <is>
          <t>Fesih bedeli, sözleşmeyi sonuna kadar götürmediğiniz için sağlayıcının uğradığı zarara eşittir. Hesap şöyledir: sözleşme sonuna kadar kalan tahmini tüketim çarpı şu an ödediğiniz tarife ile aynı sağlayıcıdaki yeni tarife arasındaki fark. Yeni tarife olarak sözleşmenin kalan süresi kadar yeni bir sözleşmenin tarifesine bakılır; örneğin 3 yıllık sözleşmeyi 2 yıl sonra bitirirseniz yeni tarife, aynı sağlayıcıdaki 1 yıllık sözleşmenin tarifesidir. Enerji sözleşmenizden sonra pahalılaştıysa sağlayıcı zarar etmez ve bedel çıkmaz. Sağlayıcı bedeli sizin için hesapladıysa bu hesap 2 ay geçerlidir.</t>
        </is>
      </c>
      <c r="G60" s="29" t="inlineStr">
        <is>
          <t>opzegvergoeding hesabı, fesih bedeli, referentieprijs, welkomstpremie, güneş paneli, enerji</t>
        </is>
      </c>
      <c r="H60" s="29" t="inlineStr">
        <is>
          <t>new;settled</t>
        </is>
      </c>
      <c r="I60" s="29" t="inlineStr">
        <is>
          <t>eindhoven:kaynak:070</t>
        </is>
      </c>
      <c r="J60" s="49" t="n">
        <v>46317</v>
      </c>
      <c r="K60" s="51" t="n">
        <v>505</v>
      </c>
      <c r="L60" s="29" t="inlineStr">
        <is>
          <t>Hayır</t>
        </is>
      </c>
      <c r="M60" s="29" t="inlineStr">
        <is>
          <t>Taslak</t>
        </is>
      </c>
      <c r="N60" s="29" t="inlineStr">
        <is>
          <t>eindhoven:fatura</t>
        </is>
      </c>
      <c r="O60" s="29" t="inlineStr">
        <is>
          <t>Mevcut sağlayıcınızdan beklenen fesih bedelini ve hesabın nasıl yapıldığını açıklamasını isteyin.
Kalan tahmini tüketimi (kWh veya m³) fiyat farkıyla çarparak hesabı kontrol edin; fark, şu an ödediğiniz tarife eksi aynı sağlayıcıda kalan süre kadar yeni bir sözleşmenin tarifesidir (referentieprijs).
Elektrik ve gazı ayrı ayrı hesaplatın; tek sözleşmedeyse sağlayıcı iki kalem için de bedel isteyebilir.
Hesabın 2 ay geçerli olduğunu aklınızda tutun; süre dolarsa geçişten önce yeniden hesap isteyin.</t>
        </is>
      </c>
      <c r="P60" s="29" t="n"/>
      <c r="Q60" s="29" t="n"/>
      <c r="R60" s="29" t="inlineStr">
        <is>
          <t>Kaynaktaki örnek (1 Temmuz 2025'te başlayan 1 yıllık sözleşme, 25 Mart 2026'da iptal): elektrik için (0,45 – 0,25) x 800 kWh = 160 euro, gaz için (0,90 – 0,60) x 500 m³ = 150 euro.</t>
        </is>
      </c>
      <c r="S60" s="29" t="inlineStr">
        <is>
          <t>Güneş paneliniz olsa da fesih bedeli ödersiniz: panel elektrik geri verse bile ihtiyaç duyduğunuz elektriği sağlayıcı önceden satın almıştır; hesapta standaardjaarverbruik ve panelin ürettiği enerji dikkate alınır. Hoş geldin primi (welkomstpremie) aldıysanız ve sözleşmeyi başladıktan sonraki ilk 6 ay içinde bitirirseniz sağlayıcı primi geri isteyebilir; primden fazlasını ödemezsiniz. İlk 6 aydan sonra primi geri ödemeniz gerekmez. Parasal olmayan hediyeyi hiç geri vermezsiniz; primi ikinci termijnbedrag ödemenizden sonra aldıysanız da geri ödemezsiniz.</t>
        </is>
      </c>
      <c r="T60" s="29" t="n"/>
    </row>
    <row r="61" ht="54" customHeight="1">
      <c r="A61" s="29" t="inlineStr">
        <is>
          <t>eindhoven:enerji-faturasi-jaarafrekening-eindafrekening</t>
        </is>
      </c>
      <c r="B61" s="29" t="inlineStr">
        <is>
          <t>eindhoven</t>
        </is>
      </c>
      <c r="C61" s="29" t="inlineStr">
        <is>
          <t>enerji-faturasi-jaarafrekening-eindafrekening</t>
        </is>
      </c>
      <c r="D61" s="29" t="inlineStr">
        <is>
          <t>Enerji faturası nasıl işler: jaarafrekening ve eindafrekening nedir?</t>
        </is>
      </c>
      <c r="E61" s="29" t="inlineStr">
        <is>
          <t>Aylık avans, yıllık hesap ve taşınırken gelen son hesap</t>
        </is>
      </c>
      <c r="F61" s="29" t="inlineStr">
        <is>
          <t>Her ay bir termijnbedrag (aylık avans) ödersiniz; gerçek tüketiminiz yılda bir kez gelen jaarafrekening'de (yıllık hesap) görünür. Fazla ödediyseniz para iade edilir, az ödediyseniz farkı ödersiniz. Taşınır veya sağlayıcı değiştirirseniz eindafrekening (son hesap) gelir.</t>
        </is>
      </c>
      <c r="G61" s="29" t="inlineStr">
        <is>
          <t>jaarafrekening, eindafrekening, termijnbedrag, enerji faturası, yıllık hesap, son hesap</t>
        </is>
      </c>
      <c r="H61" s="29" t="inlineStr">
        <is>
          <t>new;settled</t>
        </is>
      </c>
      <c r="I61" s="29" t="inlineStr">
        <is>
          <t>eindhoven:kaynak:071</t>
        </is>
      </c>
      <c r="J61" s="49" t="n">
        <v>46317</v>
      </c>
      <c r="K61" s="51" t="n">
        <v>506</v>
      </c>
      <c r="L61" s="29" t="inlineStr">
        <is>
          <t>Hayır</t>
        </is>
      </c>
      <c r="M61" s="29" t="inlineStr">
        <is>
          <t>Taslak</t>
        </is>
      </c>
      <c r="N61" s="29" t="inlineStr">
        <is>
          <t>eindhoven:fatura</t>
        </is>
      </c>
      <c r="O61" s="29" t="inlineStr">
        <is>
          <t>Aylık termijnbedrag'ı ödeyin; bu, tahmini maliyetinizin parçalara bölünmüş halidir.
Yıllık hesap geldiğinde ilk sayfadaki tüketimi, toplam maliyeti, ödediğiniz avansları ve ek ödeme veya iade tutarını kontrol edin.
Taşındıysanız veya sağlayıcı değiştirdiyseniz son hesabı 6 hafta içinde bekleyin.
Son hesap geç gelirse ACM ConsuWijzer'in örnek mektubunu sağlayıcınıza gönderin.</t>
        </is>
      </c>
      <c r="P61" s="29" t="n"/>
      <c r="Q61" s="29" t="inlineStr">
        <is>
          <t>Yıllık hesap sözleşme başlangıcından veya son enerji faturanızdan 1 yıl sonra gelir. Taşınma veya geçişten sonra son hesap 6 hafta içinde gelir.</t>
        </is>
      </c>
      <c r="R61" s="29" t="n"/>
      <c r="S61" s="29" t="inlineStr">
        <is>
          <t>Güneş paneliniz varsa faturada geri verdiğiniz enerji, mahsup edilen (gesaldeerd) enerji ve alacağınız terugleververgoeding (geri verme ödemesi) de görünür.</t>
        </is>
      </c>
      <c r="T61" s="29" t="n"/>
    </row>
    <row r="62" ht="54" customHeight="1">
      <c r="A62" s="29" t="inlineStr">
        <is>
          <t>eindhoven:enerji-faturasi-kalemleri-vergiler</t>
        </is>
      </c>
      <c r="B62" s="29" t="inlineStr">
        <is>
          <t>eindhoven</t>
        </is>
      </c>
      <c r="C62" s="29" t="inlineStr">
        <is>
          <t>enerji-faturasi-kalemleri-vergiler</t>
        </is>
      </c>
      <c r="D62" s="29" t="inlineStr">
        <is>
          <t>Enerji faturasındaki sabit bedeller ve vergiler neler?</t>
        </is>
      </c>
      <c r="E62" s="29" t="inlineStr">
        <is>
          <t>Leveringskosten, netbeheerkosten, KDV, energiebelasting ve gaz düzeltmesi</t>
        </is>
      </c>
      <c r="F62" s="29" t="inlineStr">
        <is>
          <t>Faturada tüketime bağlı bedelin yanında iki sabit kalem vardır: sağlayıcının vaste leveringskosten'i (sabit sağlama bedeli) ve netbeheerder (şebeke işletmecisi) adına alınan netbeheerkosten (şebeke bedeli). İkisi de tüketimden bağımsızdır. Vergi olarak energiebelasting (enerji vergisi), %21 btw (KDV) ve Opslag Duurzame Energie (sürdürülebilir enerji ek payı) yazar.</t>
        </is>
      </c>
      <c r="G62" s="29" t="inlineStr">
        <is>
          <t>energiebelasting, netbeheerkosten, leveringskosten, btw, Opslag Duurzame Energie, terugleverkosten, gaz</t>
        </is>
      </c>
      <c r="H62" s="29" t="inlineStr">
        <is>
          <t>new;settled</t>
        </is>
      </c>
      <c r="I62" s="29" t="inlineStr">
        <is>
          <t>eindhoven:kaynak:071</t>
        </is>
      </c>
      <c r="J62" s="49" t="n">
        <v>46317</v>
      </c>
      <c r="K62" s="51" t="n">
        <v>507</v>
      </c>
      <c r="L62" s="29" t="inlineStr">
        <is>
          <t>Hayır</t>
        </is>
      </c>
      <c r="M62" s="29" t="inlineStr">
        <is>
          <t>Taslak</t>
        </is>
      </c>
      <c r="N62" s="29" t="inlineStr">
        <is>
          <t>eindhoven:fatura</t>
        </is>
      </c>
      <c r="O62" s="29" t="inlineStr">
        <is>
          <t>Faturada tüketilen elektrik ve gazı ve uygulanan tarifeyi bulun.
Tüketimden bağımsız sabit bedelleri ayrı inceleyin: vaste leveringskosten ve netbeheerkosten.
Vergi satırlarını tanıyın: energiebelasting, KDV ve Opslag Duurzame Energie.
Güneş paneliniz varsa sözleşmenizde terugleverkosten olup olmadığına ve tutarına bakın.
Vergilerle ilgili sorunuzu sağlayıcınıza veya Belastingdienst'e (vergi dairesi) sorun.</t>
        </is>
      </c>
      <c r="P62" s="29" t="n"/>
      <c r="Q62" s="29" t="n"/>
      <c r="R62" s="29" t="n"/>
      <c r="S62" s="29" t="inlineStr">
        <is>
          <t>Gazda calorische waarde (kalori değeri), sıcaklık ve rakım için düzeltme faktörleri uygulanır. 2015 veya sonrası akıllı sayaç sıcaklığı da kaydettiği için sağlayıcı sıcaklık düzeltmesi yapmaz, kalori değeri düzeltmesini yine yapar.</t>
        </is>
      </c>
      <c r="T62" s="29" t="n"/>
    </row>
    <row r="63" ht="54" customHeight="1">
      <c r="A63" s="29" t="inlineStr">
        <is>
          <t>eindhoven:enerji-faturasi-naheffing-ve-itiraz</t>
        </is>
      </c>
      <c r="B63" s="29" t="inlineStr">
        <is>
          <t>eindhoven</t>
        </is>
      </c>
      <c r="C63" s="29" t="inlineStr">
        <is>
          <t>enerji-faturasi-naheffing-ve-itiraz</t>
        </is>
      </c>
      <c r="D63" s="29" t="inlineStr">
        <is>
          <t>Enerji faturasında ek tahsilat (naheffing) veya hata varsa ne yapılır?</t>
        </is>
      </c>
      <c r="E63" s="29" t="inlineStr">
        <is>
          <t>2 yıllık zamanaşımı ve 8 haftalık şikâyet süresi</t>
        </is>
      </c>
      <c r="F63" s="29" t="inlineStr">
        <is>
          <t>Sayaç değerleriniz tahmin edilmişse sağlayıcı sonradan naheffing (ek fatura) gönderebilir. Bunu ilk faturanın ödenmesi gereken andan itibaren 2 yıl içinde göndermek zorundadır; süre geçmişse fatura verjaard (zamanaşımına uğramış) sayılır ve ödemeniz gerekmez. Faturanın yanlış olduğunu düşünüyorsanız sağlayıcıya yazılı şikâyet gönderirsiniz.</t>
        </is>
      </c>
      <c r="G63" s="29" t="inlineStr">
        <is>
          <t>naheffing, verjaring, enerji faturası itiraz, zamanaşımı, ACM ConsuWijzer, şikâyet mektubu</t>
        </is>
      </c>
      <c r="H63" s="29" t="inlineStr">
        <is>
          <t>settled</t>
        </is>
      </c>
      <c r="I63" s="29" t="inlineStr">
        <is>
          <t>eindhoven:kaynak:071</t>
        </is>
      </c>
      <c r="J63" s="49" t="n">
        <v>46317</v>
      </c>
      <c r="K63" s="51" t="n">
        <v>508</v>
      </c>
      <c r="L63" s="29" t="inlineStr">
        <is>
          <t>Hayır</t>
        </is>
      </c>
      <c r="M63" s="29" t="inlineStr">
        <is>
          <t>Taslak</t>
        </is>
      </c>
      <c r="N63" s="29" t="inlineStr">
        <is>
          <t>eindhoven:fatura</t>
        </is>
      </c>
      <c r="O63" s="29" t="inlineStr">
        <is>
          <t>Ek faturanın tarihine bakın; ilk faturanın ödenmesi gereken tarihten 2 yıl geçmişse fatura zamanaşımına uğramıştır.
Sağlayıcı bir ödeme hatırlatması gönderdiyse 2 yıllık sürenin hatırlatmayı aldığınız andan yeniden başladığını bilin.
Yanlış fatura veya zamanaşımına uğramış fatura için sağlayıcınıza mektup veya e-posta ile şikâyet gönderin; ACM ConsuWijzer örnek mektup sunar.
Şikâyetten sonra sağlayıcının kararını bekleyin; bu sürede ödemeniz gerekmez.
Anlaşamazsanız sorunu ACM ConsuWijzer'e bildirin.</t>
        </is>
      </c>
      <c r="P63" s="29" t="n"/>
      <c r="Q63" s="29" t="inlineStr">
        <is>
          <t>Sağlayıcı ek faturayı 2 yıl içinde göndermek zorundadır. Şikâyetten sonra sağlayıcı 8 hafta içinde karar verir.</t>
        </is>
      </c>
      <c r="R63" s="29" t="n"/>
      <c r="S63" s="29" t="inlineStr">
        <is>
          <t>Taşınırken açık faturanız kaldıysa yeni adresinizi enerji sağlayıcınıza bildirin; yoksa fatura ve hatırlatmalar eski adrese gider. Sayaç değerleriniz 2 yıldan uzun süredir tahmin edilmişse ve sağlayıcı o yılların tamamı için ödeme istiyorsa ACM ConsuWijzer ile iletişime geçin.</t>
        </is>
      </c>
      <c r="T63" s="29" t="n"/>
    </row>
    <row r="64" ht="54" customHeight="1">
      <c r="A64" s="29" t="inlineStr">
        <is>
          <t>eindhoven:enerji-saglayicisi-tarife-artisi</t>
        </is>
      </c>
      <c r="B64" s="29" t="inlineStr">
        <is>
          <t>eindhoven</t>
        </is>
      </c>
      <c r="C64" s="29" t="inlineStr">
        <is>
          <t>enerji-saglayicisi-tarife-artisi</t>
        </is>
      </c>
      <c r="D64" s="29" t="inlineStr">
        <is>
          <t>Enerji sağlayıcım fiyatları artırırsa haklarım neler?</t>
        </is>
      </c>
      <c r="E64" s="29" t="inlineStr">
        <is>
          <t>Sabit ve değişken tarifede artış kuralları</t>
        </is>
      </c>
      <c r="F64" s="29" t="inlineStr">
        <is>
          <t>Sabit tarifeli sözleşmede sağlayıcı fiyatı kendiliğinden artıramaz; artış bildirimi gelirse kabul etmediğinizi yazılı olarak bildirebilirsiniz. Değişken tarifede fiyatın hangi zamanlarda ve neden değişebileceği sözleşmede veya genel koşullarda açıkça yazmalıdır; sağlayıcı yeni fiyatı en az 1 ay önceden bildirmek zorundadır ve bu sözleşmeyi her zaman fesih bedeli ödemeden bitirebilirsiniz. Sağlayıcının fiyatı belirlenen zamanlardan daha sık değiştirebilmesi için de bunun açıkça yazılı olması gerekir. İstisna: vergiler veya şebeke bedelleri artarsa sabit sözleşmede de artış size yansıtılabilir.</t>
        </is>
      </c>
      <c r="G64" s="29" t="inlineStr">
        <is>
          <t>tarife artışı, fiyat artışı, sabit tarife, değişken tarife, energieleverancier, tarieven verhoging</t>
        </is>
      </c>
      <c r="H64" s="29" t="inlineStr">
        <is>
          <t>settled</t>
        </is>
      </c>
      <c r="I64" s="29" t="inlineStr">
        <is>
          <t>eindhoven:kaynak:072</t>
        </is>
      </c>
      <c r="J64" s="49" t="n">
        <v>46317</v>
      </c>
      <c r="K64" s="51" t="n">
        <v>509</v>
      </c>
      <c r="L64" s="29" t="inlineStr">
        <is>
          <t>Hayır</t>
        </is>
      </c>
      <c r="M64" s="29" t="inlineStr">
        <is>
          <t>Taslak</t>
        </is>
      </c>
      <c r="N64" s="29" t="inlineStr">
        <is>
          <t>eindhoven:fatura</t>
        </is>
      </c>
      <c r="O64" s="29" t="inlineStr">
        <is>
          <t>Sözleşmenizin sabit mi değişken mi olduğuna bakın.
Sabit tarifede artış bildirimi geldiyse sağlayıcıya mektup veya e-posta ile artışı kabul etmediğinizi yazın; ACM ConsuWijzer örnek mektup sunar.
Değişken tarifede sözleşmede ve genel koşullarda artışa izin veren maddenin olup olmadığına bakın.
Yeni tarifeler size 1 aydan kısa sürede bildirildiyse, bunu kabul etmediğinizi sağlayıcıya yazın.
Anlaşamazsanız sorunu ACM ConsuWijzer'e bildirin.</t>
        </is>
      </c>
      <c r="P64" s="29" t="n"/>
      <c r="Q64" s="29" t="inlineStr">
        <is>
          <t>Değişken tarifede yeni fiyat en az 1 ay önceden bildirilir.</t>
        </is>
      </c>
      <c r="R64" s="29" t="n"/>
      <c r="S64" s="29" t="inlineStr">
        <is>
          <t>Güneş paneliniz varsa sağlayıcının terugleververgoeding'i (geri verme ödemesi) düşürmesi için de aynı kural geçerlidir: sabit sözleşmede bunu da kendiliğinden yapamaz.</t>
        </is>
      </c>
      <c r="T64" s="29" t="n"/>
    </row>
    <row r="65" ht="54" customHeight="1">
      <c r="A65" s="29" t="inlineStr">
        <is>
          <t>eindhoven:tasinirken-enerji-sozlesmesi-nasil-ayarlanir</t>
        </is>
      </c>
      <c r="B65" s="29" t="inlineStr">
        <is>
          <t>eindhoven</t>
        </is>
      </c>
      <c r="C65" s="29" t="inlineStr">
        <is>
          <t>tasinirken-enerji-sozlesmesi-nasil-ayarlanir</t>
        </is>
      </c>
      <c r="D65" s="29" t="inlineStr">
        <is>
          <t>Taşınırken enerji sözleşmem ne olur: yeni adrese götürebilir miyim?</t>
        </is>
      </c>
      <c r="E65" s="29" t="inlineStr">
        <is>
          <t>Eski adrese son hesap, yeni adrese sağlayıcı seçimi veya sözleşmeyi taşıma</t>
        </is>
      </c>
      <c r="F65" s="29" t="inlineStr">
        <is>
          <t>Taşındığınızda sağlayıcınız eski adresiniz için size eindafrekening (son hesap) gönderir; son hesap taşınmadan sonra 6 hafta içinde gelir. Yeni adresiniz için yeni bir sağlayıcı seçebilirsiniz. Bazı sağlayıcılarda mevcut sözleşmenizi yeni adresinize götürebilirsiniz; sözleşme koşullarına bakın ya da sağlayıcınıza sorun. Bazen sözleşmeyi bir süre iki adreste birden kullanmak da mümkün. Gaz ve elektrik için farklı sağlayıcılarınız varsa ikisiyle de iletişime geçin.</t>
        </is>
      </c>
      <c r="G65" s="29" t="inlineStr">
        <is>
          <t>taşınma, enerji sözleşmesi, verhuizen, eindafrekening, sözleşme taşıma, energiecontract, iki adres</t>
        </is>
      </c>
      <c r="H65" s="29" t="inlineStr">
        <is>
          <t>new</t>
        </is>
      </c>
      <c r="I65" s="29" t="inlineStr">
        <is>
          <t>eindhoven:kaynak:223;eindhoven:kaynak:222;eindhoven:kaynak:070</t>
        </is>
      </c>
      <c r="J65" s="49" t="n">
        <v>46317</v>
      </c>
      <c r="K65" s="51" t="n">
        <v>510</v>
      </c>
      <c r="L65" s="29" t="inlineStr">
        <is>
          <t>Hayır</t>
        </is>
      </c>
      <c r="M65" s="29" t="inlineStr">
        <is>
          <t>Taslak</t>
        </is>
      </c>
      <c r="N65" s="29" t="inlineStr">
        <is>
          <t>eindhoven:fatura</t>
        </is>
      </c>
      <c r="O65" s="29" t="inlineStr">
        <is>
          <t>Sağlayıcınıza taşınma tarihini bildirin.
Mevcut sözleşmenizi yeni adrese götürüp götüremeyeceğinizi sözleşme koşullarından veya sağlayıcınızdan öğrenin.
Eski ve yeni evi bir süre birlikte tutacaksanız sözleşmeyi iki adreste birden kullanıp kullanamayacağınızı sağlayıcınıza sorun.
Sözleşmeniz sona eriyorsa yeni adres için yeni bir sağlayıcı seçin (sağlayıcı seçme kartına bakın).
Gaz ve elektrik farklı sağlayıcılardansa ikisiyle de iletişime geçin.
Son hesap geldiğinde üzerindeki sayaç değerlerinin sizin bildirdiğinizle aynı olduğunu kontrol edin.</t>
        </is>
      </c>
      <c r="P65" s="29" t="n"/>
      <c r="Q65" s="29" t="inlineStr">
        <is>
          <t>Son hesap taşınmadan veya geçişten sonra 6 hafta içinde gelir.</t>
        </is>
      </c>
      <c r="R65" s="29" t="n"/>
      <c r="S65" s="29" t="inlineStr">
        <is>
          <t>Süreli sözleşmeyi taşınma nedeniyle erken bitirirseniz fesih bedeli kuralı aynen geçerlidir; koşullar için fesih bedeli kartına bakın.</t>
        </is>
      </c>
      <c r="T65" s="29" t="n"/>
    </row>
    <row r="66" ht="54" customHeight="1">
      <c r="A66" s="29" t="inlineStr">
        <is>
          <t>eindhoven:tasinirken-sayac-degerleri-bildirme</t>
        </is>
      </c>
      <c r="B66" s="29" t="inlineStr">
        <is>
          <t>eindhoven</t>
        </is>
      </c>
      <c r="C66" s="29" t="inlineStr">
        <is>
          <t>tasinirken-sayac-degerleri-bildirme</t>
        </is>
      </c>
      <c r="D66" s="29" t="inlineStr">
        <is>
          <t>Taşınırken elektrik ve gaz sayaç değerleri nasıl bildirilir?</t>
        </is>
      </c>
      <c r="E66" s="29" t="inlineStr">
        <is>
          <t>Akıllı sayaç, analog/dijital sayaç ve 5 iş günü kuralı</t>
        </is>
      </c>
      <c r="F66" s="29" t="inlineStr">
        <is>
          <t>Akıllı sayacınız (slimme meter) varsa şebeke işletmecisi sayaç değerlerini okuyup sağlayıcınıza otomatik iletir; bu durumda siz bildirmezsiniz. Akıllı sayacınız yoksa, şebeke işletmecisinden otomatik okumamasını istediyseniz ya da okuma kapalıysa değerleri kendiniz bildirirsiniz. Taşınıyor veya sağlayıcı değiştiriyorsanız kendi bildirdiğiniz değerleri taşınma ya da geçiş tarihinden sonra 5 iş günü içinde sağlayıcıya iletmelisiniz. Son hesap (eindafrekening) 6 hafta içinde gelir; üzerindeki değerlerin sizin bildirdiklerinizle aynı olup olmadığını kontrol edin.</t>
        </is>
      </c>
      <c r="G66" s="29" t="inlineStr">
        <is>
          <t>meterstanden, sayaç değeri, akıllı sayaç, slimme meter, taşınma, standaardjaarverbruik</t>
        </is>
      </c>
      <c r="H66" s="29" t="inlineStr">
        <is>
          <t>new</t>
        </is>
      </c>
      <c r="I66" s="29" t="inlineStr">
        <is>
          <t>eindhoven:kaynak:073;eindhoven:kaynak:222</t>
        </is>
      </c>
      <c r="J66" s="49" t="n">
        <v>46317</v>
      </c>
      <c r="K66" s="51" t="n">
        <v>511</v>
      </c>
      <c r="L66" s="29" t="inlineStr">
        <is>
          <t>Hayır</t>
        </is>
      </c>
      <c r="M66" s="29" t="inlineStr">
        <is>
          <t>Taslak</t>
        </is>
      </c>
      <c r="N66" s="29" t="inlineStr">
        <is>
          <t>eindhoven:fatura</t>
        </is>
      </c>
      <c r="O66" s="29" t="inlineStr">
        <is>
          <t>Sayacınızın akıllı sayaç mı, analog veya dijital sayaç mı olduğuna bakın; akıllı sayaçta değerleri bildirmeniz gerekmez.
Analog veya dijital sayaçta değerleri sayacın el kitabına bakarak okuyun ve değerlerin tarihli fotoğrafını çekin; sonradan sorun çıkarsa kanıt olur.
Taşınma veya geçiş tarihinden sonra 5 iş günü içinde değerleri sayaç kartı, telefon, çevrimiçi ya da e-postayla sağlayıcınıza bildirin.
Son hesabı 6 hafta içinde bekleyin; üzerindeki değerlerin bildirdiklerinizle aynı olduğunu ve değerlerin tahmini olup olmadığını kontrol edin.
Değerler yanlış veya tahminiyse fotoğrafları kanıt olarak ekleyip sağlayıcınıza e-posta veya mektupla şikâyet gönderin; sağlayıcı 8 hafta içinde karar vermek zorundadır ve o zamana kadar ödemeniz gerekmez.
Akıllı sayacınız olduğu halde sağlayıcı değer isterse, sayacın okunması kapalıdır ya da arıza vardır; Enexis sayfasındaki 'Uitlezen slimme meter aanzetten' bölümüne bakın.</t>
        </is>
      </c>
      <c r="P66" s="29" t="n"/>
      <c r="Q66" s="29" t="inlineStr">
        <is>
          <t>Kendiniz bildiriyorsanız taşınma veya geçiş tarihinden sonra 5 iş günü içinde. Son hesap 6 hafta içinde gelir.</t>
        </is>
      </c>
      <c r="R66" s="29" t="n"/>
      <c r="S66" s="29" t="inlineStr">
        <is>
          <t>Sayaç değerlerini erken bildirmeyin, sağlayıcı istediğinde bildirin: böylece yıllık hesabınız olabildiğince eksiksiz çıkar, güneş paneliniz varsa bu özellikle işinize yarar. Geç bildirirseniz sağlayıcı tüketiminizi standaardjaarverbruik (standart yıllık tüketim) ile tahmin eder; bu, adresinizde son 2-3 yılın ortalama tüketimine ve hava durumuna dayanır. Değişken tarifeniz varsa ve sayacınız değerleri otomatik iletmiyorsa sağlayıcı tarife değişince de değer ister; 1 Ocak'ta ve her tarife değişikliğinde tarihli fotoğraf çekin.</t>
        </is>
      </c>
      <c r="T66" s="29" t="n"/>
    </row>
    <row r="67" ht="54" customHeight="1">
      <c r="A67" s="29" t="inlineStr">
        <is>
          <t>eindhoven:yeni-elektrik-gaz-baglantisi</t>
        </is>
      </c>
      <c r="B67" s="29" t="inlineStr">
        <is>
          <t>eindhoven</t>
        </is>
      </c>
      <c r="C67" s="29" t="inlineStr">
        <is>
          <t>yeni-elektrik-gaz-baglantisi</t>
        </is>
      </c>
      <c r="D67" s="29" t="inlineStr">
        <is>
          <t>Eve yeni elektrik veya gaz bağlantısı nasıl talep edilir?</t>
        </is>
      </c>
      <c r="E67" s="29" t="inlineStr">
        <is>
          <t>Şebeke işletmecisi Enexis'e bağlantı başvurusu</t>
        </is>
      </c>
      <c r="F67" s="29" t="inlineStr">
        <is>
          <t>Eviniz enerji şebekesine bağlı değilse elektrik veya gaz kullanamazsınız; Enexis (şebeke işletmecisi) evi şebekeye bağlar. Yeni veya daha güçlü elektrik bağlantısı istiyorsanız önce stroomnet'in (elektrik şebekesi) bölgenizde yeterli olup olmadığını kontrol edin. Gaz bağlantısını yalnız 1 Ocak 2015'ten önce inşa edilmiş binalar isteyebilir; 1 Ocak 2015 ve sonrasında gazsız inşa edilen binalar ile ısı bölgesindeki, ileride gazsızlaşacak mahalledeki veya yerleşim dışındaki binalar gaz bağlantısı alamaz. Bir adres (WOZ-object) için tek elektrik bağlantısı hakkı vardır.</t>
        </is>
      </c>
      <c r="G67" s="29" t="inlineStr">
        <is>
          <t>yeni bağlantı, aansluiting, Enexis, gaz bağlantısı, elektrik bağlantısı, netbeheerder, woning</t>
        </is>
      </c>
      <c r="H67" s="29" t="inlineStr">
        <is>
          <t>new</t>
        </is>
      </c>
      <c r="I67" s="29" t="inlineStr">
        <is>
          <t>eindhoven:kaynak:074</t>
        </is>
      </c>
      <c r="J67" s="49" t="n">
        <v>46317</v>
      </c>
      <c r="K67" s="51" t="n">
        <v>512</v>
      </c>
      <c r="L67" s="29" t="inlineStr">
        <is>
          <t>Hayır</t>
        </is>
      </c>
      <c r="M67" s="29" t="inlineStr">
        <is>
          <t>Taslak</t>
        </is>
      </c>
      <c r="N67" s="29" t="inlineStr">
        <is>
          <t>eindhoven:fatura</t>
        </is>
      </c>
      <c r="O67" s="29" t="inlineStr">
        <is>
          <t>Mahallenizde elektrik şebekesinin yeni veya daha güçlü bağlantıya uygun olup olmadığını kontrol edin.
Elektrik, gaz veya bouwaansluiting (inşaat bağlantısı) başvurusundan ihtiyacınız olanı seçin.
Meterkast'ın (sayaç dolabı) yerini gösteren plattegrond (kat planı) ve evin konumunu gösteren situatieschets (durum krokisi) hazırlayın.
Hangi aansluitwaarde'ye (bağlantı gücü) ihtiyacınız olduğunu bilmiyorsanız erkend installateur'a (yetkili tesisatçı) danışın.
Enexis'in sizi aramasını bekleyin, teklifi imzalayıp gönderin.</t>
        </is>
      </c>
      <c r="P67" s="29" t="inlineStr">
        <is>
          <t>Plattegrond (meterkast'ın yerini ve ölçüleri gösteren çizim)
Situatieschets (evin konumunu, çevre sokakları ve sokak adlarını gösteren çizim)</t>
        </is>
      </c>
      <c r="Q67" s="29" t="inlineStr">
        <is>
          <t>Başvurudan sonra Enexis teklif hazırlamak için birkaç iş günü içinde sizi arar. Çalışma, imzalı teklif veya onay geldikten sonra planlanır; sayfaya göre şu anda yoğunluk var.</t>
        </is>
      </c>
      <c r="R67" s="29" t="n"/>
      <c r="S67" s="29" t="inlineStr">
        <is>
          <t>Gaz bağlantısında istisna mümkündür: belediye hem yeni hem mevcut binalar için istisna yapabilir ve bu istisnalar ACM kaydındadır; her başvuruda bu kayıt kontrol edilir. Bağlantı evin içinde olmayacaksa (örneğin tiny house veya woonboot) buitenkast (dış sayaç dolabı) kuralları ayrıdır.</t>
        </is>
      </c>
      <c r="T67" s="29" t="n"/>
    </row>
    <row r="68" ht="54" customHeight="1">
      <c r="A68" s="29" t="inlineStr">
        <is>
          <t>eindhoven:brabant-water-tasinma-durumlari</t>
        </is>
      </c>
      <c r="B68" s="29" t="inlineStr">
        <is>
          <t>eindhoven</t>
        </is>
      </c>
      <c r="C68" s="29" t="inlineStr">
        <is>
          <t>brabant-water-tasinma-durumlari</t>
        </is>
      </c>
      <c r="D68" s="29" t="inlineStr">
        <is>
          <t>Taşınırken su aboneliği nasıl ayarlanır (Brabant Water)?</t>
        </is>
      </c>
      <c r="E68" s="29" t="inlineStr">
        <is>
          <t>Ev sahibi, kiracı, geçici adres ve iki ev durumlarında ne yapılır</t>
        </is>
      </c>
      <c r="F68" s="29" t="inlineStr">
        <is>
          <t>Taşınmayı Brabant Water'a Mijn Brabant Water üzerinden çevrimiçi bildirirsiniz. Ev satın aldıysanız çevrimiçi müşteri olarak kaydolursunuz. Kiracıysanız veya öğrenci evindeyseniz önce ev sahibine drinkwater'ın (içme suyu) zaten ayarlı olup olmadığını sorun; ayarlıysa bir şey yapmanız gerekmez. Huur, gaz, elektrik ve suyu tek bedelle ödediğiniz all-in kira sözleşmesinde de kayıt gerekmez.</t>
        </is>
      </c>
      <c r="G68" s="29" t="inlineStr">
        <is>
          <t>Brabant Water, su aboneliği, drinkwater, taşınma, Mijn Brabant Water, all-in huur</t>
        </is>
      </c>
      <c r="H68" s="29" t="inlineStr">
        <is>
          <t>new</t>
        </is>
      </c>
      <c r="I68" s="29" t="inlineStr">
        <is>
          <t>eindhoven:kaynak:075;eindhoven:kaynak:076</t>
        </is>
      </c>
      <c r="J68" s="49" t="n">
        <v>46317</v>
      </c>
      <c r="K68" s="51" t="n">
        <v>513</v>
      </c>
      <c r="L68" s="29" t="inlineStr">
        <is>
          <t>Hayır</t>
        </is>
      </c>
      <c r="M68" s="29" t="inlineStr">
        <is>
          <t>Taslak</t>
        </is>
      </c>
      <c r="N68" s="29" t="inlineStr">
        <is>
          <t>eindhoven:fatura</t>
        </is>
      </c>
      <c r="O68" s="29" t="inlineStr">
        <is>
          <t>Durumunuza bakın: ev satın aldınız mı, kiracı mısınız, all-in kira sözleşmeniz var mı.
Zaten Brabant Water müşterisiyseniz eski adresi iptal edip yeni adresi Mijn Brabant Water'dan bildirin.
Müşteri değilseniz ve ev satın aldıysanız çevrimiçi kayıt olun.
Kiracıysanız ev sahibinize içme suyunun ayarlı olup olmadığını sorun.
Yeni inşaat evde su bağlantısı henüz yoksa Brabant Water sitesinden bağlantı başvurusu yapın veya su bağlantısını müteahhidin ya da proje geliştiricinin ayarlayıp ayarlamadığını ondan öğrenin.</t>
        </is>
      </c>
      <c r="P68" s="29" t="n"/>
      <c r="Q68" s="29" t="n"/>
      <c r="R68" s="29" t="n"/>
      <c r="S68" s="29" t="inlineStr">
        <is>
          <t>İki eviniz varsa ikisi için de ödersiniz: yeni evi anahtar tarihini bildiğiniz anda kaydedin, eski evi anahtarı teslim ettiğiniz günden itibaren iptal edin. Eski ev 3 aydan uzun boş kalırsa avansınızı düşürmek için Brabant Water ile iletişime geçin. Eşiniz zaten Brabant Water müşterisiyse, birlikte yaşamaya başladığınız adreste ayrıca kayıt gerekmez.</t>
        </is>
      </c>
      <c r="T68" s="29" t="n"/>
    </row>
    <row r="69" ht="54" customHeight="1">
      <c r="A69" s="29" t="inlineStr">
        <is>
          <t>eindhoven:brabant-water-yeni-musteri-kaydi</t>
        </is>
      </c>
      <c r="B69" s="29" t="inlineStr">
        <is>
          <t>eindhoven</t>
        </is>
      </c>
      <c r="C69" s="29" t="inlineStr">
        <is>
          <t>brabant-water-yeni-musteri-kaydi</t>
        </is>
      </c>
      <c r="D69" s="29" t="inlineStr">
        <is>
          <t>Brabant Water'a yeni müşteri olarak nasıl kaydolunur?</t>
        </is>
      </c>
      <c r="E69" s="29" t="inlineStr">
        <is>
          <t>Gerekli bilgiler ve kayıt için tarih aralığı</t>
        </is>
      </c>
      <c r="F69" s="29" t="inlineStr">
        <is>
          <t>Brabant Water'a çevrimiçi formla yeni müşteri olarak kaydolursunuz. Formda e-posta adresinizi, yeni konutun adresini, anahtarı teslim aldığınız günü ve konutun sayaç değerini girersiniz. Anahtar tarihini henüz bilmiyorsanız tarih belli olunca tekrar gelirsiniz.</t>
        </is>
      </c>
      <c r="G69" s="29" t="inlineStr">
        <is>
          <t>Brabant Water, yeni müşteri, aanmelden, su kaydı, sayaç değeri, anahtar teslimi</t>
        </is>
      </c>
      <c r="H69" s="29" t="inlineStr">
        <is>
          <t>new</t>
        </is>
      </c>
      <c r="I69" s="29" t="inlineStr">
        <is>
          <t>eindhoven:kaynak:076</t>
        </is>
      </c>
      <c r="J69" s="49" t="n">
        <v>46317</v>
      </c>
      <c r="K69" s="51" t="n">
        <v>514</v>
      </c>
      <c r="L69" s="29" t="inlineStr">
        <is>
          <t>Hayır</t>
        </is>
      </c>
      <c r="M69" s="29" t="inlineStr">
        <is>
          <t>Taslak</t>
        </is>
      </c>
      <c r="N69" s="29" t="inlineStr">
        <is>
          <t>eindhoven:fatura</t>
        </is>
      </c>
      <c r="O69" s="29" t="inlineStr">
        <is>
          <t>E-posta adresinizi, yeni konutun adresini, anahtar teslim tarihini ve sayaç değerini hazırlayın.
Brabant Water'ın yeni müşteri formunu çevrimiçi doldurun.
Anahtar tarihi henüz belli değilse tarih belli olunca forma dönün.
Sayaç değerini bilmiyorsanız teslim raporuna (opleverrapport) bakın veya anahtarı aldığınız emlakçıdan, ev sahibinden ya da proje geliştiriciden isteyin.
Sayaç değerini hiç bulamazsanız müşteri hizmetlerine bugünkü sayaç değerini bildirin.</t>
        </is>
      </c>
      <c r="P69" s="29" t="inlineStr">
        <is>
          <t>E-posta adresi
Yeni konutun adresi
Anahtar teslim tarihi
Yeni konutun sayaç değeri</t>
        </is>
      </c>
      <c r="Q69" s="29" t="inlineStr">
        <is>
          <t>Kayıt, anahtar tarihinden en çok 3 ay önce başlar ve anahtar tarihinden en çok 6 ay sonrasına kadar yapılabilir. Örnek: anahtar 1 Haziran'da teslim alınıyorsa kayıt 1 Mart'tan 1 Aralık'a kadar yapılır.</t>
        </is>
      </c>
      <c r="R69" s="29" t="n"/>
      <c r="S69" s="29" t="inlineStr">
        <is>
          <t>Anahtar tarihi ileride olduğu için sayaç değerini henüz bilemiyorsanız, anahtarı aldıktan sonra Brabant Water adresinizin sayaç değerini sizden ister.</t>
        </is>
      </c>
      <c r="T69" s="29" t="n"/>
    </row>
    <row r="70" ht="54" customHeight="1">
      <c r="A70" s="29" t="inlineStr">
        <is>
          <t>eindhoven:su-tarifesi-brabant-water-2026</t>
        </is>
      </c>
      <c r="B70" s="29" t="inlineStr">
        <is>
          <t>eindhoven</t>
        </is>
      </c>
      <c r="C70" s="29" t="inlineStr">
        <is>
          <t>su-tarifesi-brabant-water-2026</t>
        </is>
      </c>
      <c r="D70" s="29" t="inlineStr">
        <is>
          <t>Brabant Water su tarifesi 2026'da ne kadar?</t>
        </is>
      </c>
      <c r="E70" s="29" t="inlineStr">
        <is>
          <t>Metreküp fiyatı, yıllık sabit bedel (vastrecht) ve avans (voorschot)</t>
        </is>
      </c>
      <c r="F70" s="29" t="inlineStr">
        <is>
          <t>1 Ocak 2026'dan itibaren 1.000 litre (1 m³) su 1,51 euro, %9 KDV dahil; 2025'te 1,41 euroydu. Bu fiyat 50.000 m³'e kadar olan kullanım için geçerlidir. Buna her bağlantı için yıllık vastrecht (sabit bedel) eklenir: 2026'da 95,75 euro, 2025'te 89,21 euro. Vastrecht bağlandığınız günden, hizmeti iptal ederseniz teslimat durduğu güne kadar hesaplanır.</t>
        </is>
      </c>
      <c r="G70" s="29" t="inlineStr">
        <is>
          <t>su fiyatı, drinkwatertarief, vastrecht, voorschot, Brabant Water, m³ fiyatı, 2026</t>
        </is>
      </c>
      <c r="H70" s="29" t="inlineStr">
        <is>
          <t>new;settled</t>
        </is>
      </c>
      <c r="I70" s="29" t="inlineStr">
        <is>
          <t>eindhoven:kaynak:077</t>
        </is>
      </c>
      <c r="J70" s="49" t="n">
        <v>46317</v>
      </c>
      <c r="K70" s="51" t="n">
        <v>515</v>
      </c>
      <c r="L70" s="29" t="inlineStr">
        <is>
          <t>Hayır</t>
        </is>
      </c>
      <c r="M70" s="29" t="inlineStr">
        <is>
          <t>Taslak</t>
        </is>
      </c>
      <c r="N70" s="29" t="inlineStr">
        <is>
          <t>eindhoven:fatura</t>
        </is>
      </c>
      <c r="O70" s="29" t="inlineStr">
        <is>
          <t>Yıllık su kullanımınızı m³ olarak tahmin etmek için sitedeki karşılaştırma modülünü kullanın; modül ortalama hane kullanımını gösterir.
Tahmini kullanımı 2026 fiyatıyla (1,51 euro/m³) çarpın.
Sonuca yıllık vastrecht'i (95,75 euro) ekleyin.
Aylık avansınızı (voorschot) düşük bulursanız Mijn Brabant Water'dan kendiniz yükseltin.</t>
        </is>
      </c>
      <c r="P70" s="29" t="n"/>
      <c r="Q70" s="29" t="n"/>
      <c r="R70" s="29" t="inlineStr">
        <is>
          <t>2026: 1 m³ su 1,51 euro (%9 KDV dahil), vastrecht yılda 95,75 euro. 2025: 1 m³ su 1,41 euro, vastrecht yılda 89,21 euro.</t>
        </is>
      </c>
      <c r="S70" s="29" t="inlineStr">
        <is>
          <t>1,51 euronun 0,91 euroluk kısmı Brabant Water'ın maliyeti, 0,44 euroluk kısmı Belasting op Leidingwater (musluk suyu vergisi), 0,12 euroluk kısmı KDV ve 0,04 euroluk kısmı eyaletin yeraltı suyu vergisidir. 1 Ocak 2026'dan beri Waterschap De Dommel'in su vergileri Brabant Water faturasıyla alınmıyor, Belastingsamenwerking Oost-Brabant (BSOB) tahsil ediyor.</t>
        </is>
      </c>
      <c r="T70" s="29" t="n"/>
    </row>
    <row r="71" ht="54" customHeight="1">
      <c r="A71" s="29" t="inlineStr">
        <is>
          <t>eindhoven:internet-saglayicisi-secimi-ve-gecis</t>
        </is>
      </c>
      <c r="B71" s="29" t="inlineStr">
        <is>
          <t>eindhoven</t>
        </is>
      </c>
      <c r="C71" s="29" t="inlineStr">
        <is>
          <t>internet-saglayicisi-secimi-ve-gecis</t>
        </is>
      </c>
      <c r="D71" s="29" t="inlineStr">
        <is>
          <t>Sabit internet sağlayıcısı nasıl seçilir ve geçiş nasıl yapılır?</t>
        </is>
      </c>
      <c r="E71" s="29" t="inlineStr">
        <is>
          <t>Adresinizdeki seçenekler, karşılaştırma ve overstapservice ile geçiş</t>
        </is>
      </c>
      <c r="F71" s="29" t="inlineStr">
        <is>
          <t>Sabit internet ve telefon kablo (COAX), bakır telefon hattı (ADSL) veya fiber (glasvezel) üzerinden gelir; seçenekleriniz oturduğunuz bölgeye göre değişir. Adresinizde hangi sağlayıcının hizmet verdiğini postcodecheck ile görürsünüz. Geçişte yeni sağlayıcı eski aboneliğinizi sizin adınıza iptal eder (overstapservice) ve telefon numaranızı taşır. Yeni aboneliği çevrimiçi, telefonda veya sokakta yaptıysanız 14 gün içinde vazgeçebilirsiniz.</t>
        </is>
      </c>
      <c r="G71" s="29" t="inlineStr">
        <is>
          <t>internet sağlayıcısı, glasvezel, overstappen, overstapservice, telekom, ADSL, kabel</t>
        </is>
      </c>
      <c r="H71" s="29" t="inlineStr">
        <is>
          <t>new</t>
        </is>
      </c>
      <c r="I71" s="29" t="inlineStr">
        <is>
          <t>eindhoven:kaynak:079</t>
        </is>
      </c>
      <c r="J71" s="49" t="n">
        <v>46317</v>
      </c>
      <c r="K71" s="51" t="n">
        <v>516</v>
      </c>
      <c r="L71" s="29" t="inlineStr">
        <is>
          <t>Hayır</t>
        </is>
      </c>
      <c r="M71" s="29" t="inlineStr">
        <is>
          <t>Taslak</t>
        </is>
      </c>
      <c r="N71" s="29" t="inlineStr">
        <is>
          <t>eindhoven:fatura</t>
        </is>
      </c>
      <c r="O71" s="29" t="inlineStr">
        <is>
          <t>Mijnaansluiting.nl'den adresinizde hangi ağ işletmecisinin hizmet verdiğine bakın.
Bir karşılaştırma sitesinde veya sağlayıcının sitesinde posta kodu kontrolü yaparak adresinizdeki sağlayıcıları görün.
Aylık ücreti, sözleşme süresini, hoş geldin indiriminin bitiş tarihini, tek seferlik bedelleri ve hızı karşılaştırın.
Mevcut sözleşmenizin bitiş tarihine ve ücretsiz iptal edip edemeyeceğinize bakın.
Yeni aboneliği sipariş edin; overstapservice eski aboneliği sizin adınıza iptal eder, yeni sağlayıcı telefon numaranızı taşır.</t>
        </is>
      </c>
      <c r="P71" s="29" t="n"/>
      <c r="Q71" s="29" t="inlineStr">
        <is>
          <t>Geçişte çoğu zaman kesinti olmaz; olursa en çok 1 iş günü sürer. Yeni sözleşmeyi çevrimiçi, telefonda veya sokakta yaptıysanız 14 gün içinde vazgeçebilirsiniz.</t>
        </is>
      </c>
      <c r="R71" s="29" t="n"/>
      <c r="S71" s="29" t="inlineStr">
        <is>
          <t>Bazı bölgelerde seçenek sınırlıdır: Open Dutch Fiber (ODF) ağında bağlantı sonrası ilk yıl yalnız Odido erişir, sonra diğer sağlayıcılar da gelir. KPN betaalbare vaste telefonie (uygun fiyatlı sabit telefon) sunmak zorundadır ama internet sunmak zorunda değildir.</t>
        </is>
      </c>
      <c r="T71" s="29" t="n"/>
    </row>
    <row r="72" ht="54" customHeight="1">
      <c r="A72" s="29" t="inlineStr">
        <is>
          <t>eindhoven:internet-aboneligi-iptal-etme</t>
        </is>
      </c>
      <c r="B72" s="29" t="inlineStr">
        <is>
          <t>eindhoven</t>
        </is>
      </c>
      <c r="C72" s="29" t="inlineStr">
        <is>
          <t>internet-aboneligi-iptal-etme</t>
        </is>
      </c>
      <c r="D72" s="29" t="inlineStr">
        <is>
          <t>İnternet, telefon veya TV aboneliği nasıl iptal edilir?</t>
        </is>
      </c>
      <c r="E72" s="29" t="inlineStr">
        <is>
          <t>Süre, ihbar, iptal yolu ve taşınma durumu</t>
        </is>
      </c>
      <c r="F72" s="29" t="inlineStr">
        <is>
          <t>İnternet, telefon veya TV aboneliği çoğunlukla 1 ya da 2 yıl sürer; sağlayıcı sizi 2 yıldan fazla bağlayamaz. Süre bitince ücretsiz iptal edebilirsiniz, ihbar süresi en çok 1 aydır ve iptal ettiğiniz günden başlar. İptal etmezseniz abonelik otomatik uzar; o zaman da istediğiniz an 1 ay ihbarla iptal edebilirsiniz. Aboneliği çevrimiçi yaptıysanız çevrimiçi iptal edebilmelisiniz.</t>
        </is>
      </c>
      <c r="G72" s="29" t="inlineStr">
        <is>
          <t>internet iptali, abonelik iptali, opzeggen, telecom, opzegtermijn, otomatik uzatma, verhuisregeling</t>
        </is>
      </c>
      <c r="H72" s="29" t="inlineStr">
        <is>
          <t>new;settled</t>
        </is>
      </c>
      <c r="I72" s="29" t="inlineStr">
        <is>
          <t>eindhoven:kaynak:078</t>
        </is>
      </c>
      <c r="J72" s="49" t="n">
        <v>46317</v>
      </c>
      <c r="K72" s="51" t="n">
        <v>517</v>
      </c>
      <c r="L72" s="29" t="inlineStr">
        <is>
          <t>Hayır</t>
        </is>
      </c>
      <c r="M72" s="29" t="inlineStr">
        <is>
          <t>Taslak</t>
        </is>
      </c>
      <c r="N72" s="29" t="inlineStr">
        <is>
          <t>eindhoven:fatura</t>
        </is>
      </c>
      <c r="O72" s="29" t="inlineStr">
        <is>
          <t>Sözleşmenizden aboneliğin süresini ve bitiş tarihini öğrenin.
Mektup, web formu veya e-posta ile iptal edin; aboneliği çevrimiçi yaptıysanız çevrimiçi iptal edebilirsiniz.
Sağlayıcıdan iptalinizi e-posta veya mektupla onaylamasını isteyin.
Onay gelmezse iadeli taahhütlü (aangetekend) mektup göndermeyi düşünün.
Taşındığınız için süre dolmadan iptal ediyorsanız sağlayıcının genel koşullarında verhuisregeling (taşınma kuralı) olup olmadığına bakın.</t>
        </is>
      </c>
      <c r="P72" s="29" t="n"/>
      <c r="Q72" s="29" t="inlineStr">
        <is>
          <t>Sağlayıcı, abonelik bitmeden en az 1 ay önce size haber verir ve o günkü en uygun tarifeyi önerir. Süre bittikten sonra ihbar süresi en çok 1 aydır.</t>
        </is>
      </c>
      <c r="R72" s="29" t="n"/>
      <c r="S72" s="29" t="inlineStr">
        <is>
          <t>Süre dolmadan başka sağlayıcıya geçerseniz çoğu zaman ödeme yaparsınız; örneğin aboneliğin kalan süresi için veya abonelikle gelen ve tutmak istediğiniz telefon için. Neyi ve ne kadar ödediğiniz sözleşmenizde yazar. Taşınma nedeniyle iptalde bazı sağlayıcılar kalan aylar için fatura keser, bazıları taşınma kuralı uygular. Bazı abonelikleri her zaman iptal edebilirsiniz; 2 yıllık sözleşme için sağlayıcının iyi bir gerekçesi (örneğin indirim) olmalı. Aynı sağlayıcıdan sözleşme sırasında ek hizmet (örneğin TV) alırsanız mevcut sözleşmenin bitiş tarihi değişmez.</t>
        </is>
      </c>
      <c r="T72" s="29" t="n"/>
    </row>
    <row r="73" ht="54" customHeight="1">
      <c r="A73" s="29" t="inlineStr">
        <is>
          <t>eindhoven:internet-fiyat-degisikligi-ucretsiz-iptal</t>
        </is>
      </c>
      <c r="B73" s="29" t="inlineStr">
        <is>
          <t>eindhoven</t>
        </is>
      </c>
      <c r="C73" s="29" t="inlineStr">
        <is>
          <t>internet-fiyat-degisikligi-ucretsiz-iptal</t>
        </is>
      </c>
      <c r="D73" s="29" t="inlineStr">
        <is>
          <t>İnternet sağlayıcısı fiyatı veya koşulları değiştirirse sözleşmeyi ücretsiz bitirebilir miyim?</t>
        </is>
      </c>
      <c r="E73" s="29" t="inlineStr">
        <is>
          <t>Aleyhe değişiklikte 1 aylık iptal hakkı ve hakkın olmadığı durumlar</t>
        </is>
      </c>
      <c r="F73" s="29" t="inlineStr">
        <is>
          <t>Telekom sağlayıcınız genel koşulları veya fiyatı ancak sözleşmede yazıyorsa değiştirebilir. Değişiklik aleyhinizeyse, örneğin fiyat artıyorsa veya TV kanalları kalkıyorsa, sözleşme süresi dolmamış olsa bile ücretsiz iptal edebilirsiniz; sağlayıcının sizi bilgilendirmesinden sonra 1 ay süreniz var. İnternet, TV ve telefon paketinde bir hizmet değişirse paketin tamamını ücretsiz iptal edebilirsiniz.</t>
        </is>
      </c>
      <c r="G73" s="29" t="inlineStr">
        <is>
          <t>fiyat artışı, internet, telekom, ücretsiz iptal, genel koşullar, algemene voorwaarden, enflasyon düzeltmesi</t>
        </is>
      </c>
      <c r="H73" s="29" t="inlineStr">
        <is>
          <t>settled</t>
        </is>
      </c>
      <c r="I73" s="29" t="inlineStr">
        <is>
          <t>eindhoven:kaynak:080</t>
        </is>
      </c>
      <c r="J73" s="49" t="n">
        <v>46317</v>
      </c>
      <c r="K73" s="51" t="n">
        <v>518</v>
      </c>
      <c r="L73" s="29" t="inlineStr">
        <is>
          <t>Hayır</t>
        </is>
      </c>
      <c r="M73" s="29" t="inlineStr">
        <is>
          <t>Taslak</t>
        </is>
      </c>
      <c r="N73" s="29" t="inlineStr">
        <is>
          <t>eindhoven:fatura</t>
        </is>
      </c>
      <c r="O73" s="29" t="inlineStr">
        <is>
          <t>Bildirimin size en az 1 ay önce geldiğini kontrol edin; mümkün olduğunca kişisel olarak (mektup, e-posta veya SMS) bildirilmiş olmalı, yalnız gazetede yayımlanması yetmez.
Değişiklik aleyhinizeyse sağlayıcının sizi bilgilendirmesinden sonra 1 ay içinde ücretsiz iptal edin.
Bildirimde ücretsiz iptal hakkınız ve iptal yolu belirtilmemişse ACM ConsuWijzer'in örnek mektubuyla sağlayıcıya şikâyet gönderin.</t>
        </is>
      </c>
      <c r="P73" s="29" t="n"/>
      <c r="Q73" s="29" t="inlineStr">
        <is>
          <t>Sağlayıcı değişikliği 1 ay önceden bildirmek zorundadır. Bilgilendirildikten sonra 1 ay içinde ücretsiz iptal edebilirsiniz.</t>
        </is>
      </c>
      <c r="R73" s="29" t="n"/>
      <c r="S73" s="29" t="inlineStr">
        <is>
          <t>Hükümetin yeni bir kural veya yasası yüzünden yapılan değişiklikte (örneğin KDV artışı) ve sözleşmede açıkça yazan enflasyon düzeltmesinde (CBS'nin her yıl belirlediği yüzde) iptal hakkınız yoktur.</t>
        </is>
      </c>
      <c r="T73" s="29" t="n"/>
    </row>
    <row r="74" ht="54" customHeight="1">
      <c r="A74" s="29" t="inlineStr">
        <is>
          <t>eindhoven:yuksek-enerji-faturasi-destek</t>
        </is>
      </c>
      <c r="B74" s="29" t="inlineStr">
        <is>
          <t>eindhoven</t>
        </is>
      </c>
      <c r="C74" s="29" t="inlineStr">
        <is>
          <t>yuksek-enerji-faturasi-destek</t>
        </is>
      </c>
      <c r="D74" s="29" t="inlineStr">
        <is>
          <t>Yüksek enerji faturasını ödeyemiyorsam hangi destekler var?</t>
        </is>
      </c>
      <c r="E74" s="29" t="inlineStr">
        <is>
          <t>Belediye yardımı, Noodfonds Energie ve ücretsiz borç danışmanlığı</t>
        </is>
      </c>
      <c r="F74" s="29" t="inlineStr">
        <is>
          <t>Enerji faturasını ödemekte zorlanıyorsanız belediyeniz (gemeente) size para veya danışmanlık yardımı sunabilir; belediyeler bunun için 2026'da Rijk'ten ek para alıyor. Ulusal bir enerji toeslag'ı artık yok, ama belediyenizin yerel bir enerji toeslag'ı ya da bijzondere bijstand (özel sosyal yardım) düzenlemesi olabilir. Noodfonds Energie 4 Ocak - 7 Mayıs 2027 arasında yeniden başvuruya açılıyor: gelirinin büyük bölümünü enerjiye ödeyen düşük gelirliler başvurabilir.</t>
        </is>
      </c>
      <c r="G74" s="29" t="inlineStr">
        <is>
          <t>Noodfonds Energie, enerji yardımı, energietoeslag, bijzondere bijstand, ödeme planı, Geldfit, betalingsregeling</t>
        </is>
      </c>
      <c r="H74" s="29" t="inlineStr">
        <is>
          <t>settled</t>
        </is>
      </c>
      <c r="I74" s="29" t="inlineStr">
        <is>
          <t>eindhoven:kaynak:081;eindhoven:kaynak:073</t>
        </is>
      </c>
      <c r="J74" s="49" t="n">
        <v>46317</v>
      </c>
      <c r="K74" s="51" t="n">
        <v>519</v>
      </c>
      <c r="L74" s="29" t="inlineStr">
        <is>
          <t>Hayır</t>
        </is>
      </c>
      <c r="M74" s="29" t="inlineStr">
        <is>
          <t>Taslak</t>
        </is>
      </c>
      <c r="N74" s="29" t="inlineStr">
        <is>
          <t>eindhoven:fatura</t>
        </is>
      </c>
      <c r="O74" s="29" t="inlineStr">
        <is>
          <t>Enerji sağlayıcınıza durumunuzu anlatın ve betalingsregeling (ödeme planı) veya başka yardım isteyin.
Belediyenize başvurup para ya da danışmanlık yardımını ve yerel düzenlemeleri sorun.
Noodfonds Energie açıldığında düşük gelirli olup gelirinizin büyük bölümünü enerjiye ödüyorsanız başvurun.
Para işlerinde destek için Geldfit, Humanitas Thuisadministratie veya SchuldHulpMaatje'ye başvurun.</t>
        </is>
      </c>
      <c r="P74" s="29" t="n"/>
      <c r="Q74" s="29" t="inlineStr">
        <is>
          <t>Noodfonds Energie başvuruları 4 Ocak - 7 Mayıs 2027 arasındadır.</t>
        </is>
      </c>
      <c r="R74" s="29" t="n"/>
      <c r="S74" s="29" t="inlineStr">
        <is>
          <t>Faturayı ödeyemiyorsanız sağlayıcıyla en kısa sürede iletişime geçin. Sağlayıcı sözleşmeyi yine de bitirirse şebeke işletmecisi sizi yasal olarak gaz ve/veya elektrik şebekesinden çıkarmak zorundadır; bunun için size önce mektup gönderir.</t>
        </is>
      </c>
      <c r="T74" s="29" t="n"/>
    </row>
    <row r="75" ht="54" customHeight="1">
      <c r="A75" s="29" t="inlineStr">
        <is>
          <t>eindhoven:cop-vergisi-afvalstoffenheffing</t>
        </is>
      </c>
      <c r="B75" s="29" t="inlineStr">
        <is>
          <t>eindhoven</t>
        </is>
      </c>
      <c r="C75" s="29" t="inlineStr">
        <is>
          <t>cop-vergisi-afvalstoffenheffing</t>
        </is>
      </c>
      <c r="D75" s="29" t="inlineStr">
        <is>
          <t>Eindhoven'da çöp vergisi (afvalstoffenheffing) ne kadar ve nasıl ödenir?</t>
        </is>
      </c>
      <c r="E75" s="29" t="inlineStr">
        <is>
          <t>2026 tutarları hane büyüklüğüne göre, ikinci çöp konteyneri ve taşınma kuralları</t>
        </is>
      </c>
      <c r="F75" s="29" t="inlineStr">
        <is>
          <t>Eindhoven'da afvalstoffenheffing (çöp vergisi) çöpün toplanması ve işlenmesinin maliyetini karşılar. 2026'da yıllık tutar hane büyüklüğüne göre 229,46 euro (1 kişi), 287,07 euro (2 kişi), 344,68 euro (3 kişi) ve 420,00 euro (4 ve üzeri kişi) olarak yazılıdır. Vergi her yıl şubat sonunda gelen aanslagbiljet gemeentelijke belastingen'de (belediye vergi bildirimi) yer alır; tek seferde ya da otomatik tahsilatla 10 taksitte ödenir.</t>
        </is>
      </c>
      <c r="G75" s="29" t="inlineStr">
        <is>
          <t>afvalstoffenheffing, çöp vergisi, belediye vergisi, aanslag, otomatik tahsilat, restafvalcontainer, Eindhoven</t>
        </is>
      </c>
      <c r="H75" s="29" t="inlineStr">
        <is>
          <t>new;settled</t>
        </is>
      </c>
      <c r="I75" s="29" t="inlineStr">
        <is>
          <t>eindhoven:kaynak:082;eindhoven:kaynak:085;eindhoven:kaynak:086</t>
        </is>
      </c>
      <c r="J75" s="49" t="n">
        <v>46317</v>
      </c>
      <c r="K75" s="51" t="n">
        <v>520</v>
      </c>
      <c r="L75" s="29" t="inlineStr">
        <is>
          <t>Hayır</t>
        </is>
      </c>
      <c r="M75" s="29" t="inlineStr">
        <is>
          <t>Taslak</t>
        </is>
      </c>
      <c r="N75" s="29" t="inlineStr">
        <is>
          <t>eindhoven:fatura</t>
        </is>
      </c>
      <c r="O75" s="29" t="inlineStr">
        <is>
          <t>Şubat sonunda gelen vergi bildirimini bekleyin; hane büyüklüğünüz bildirimde yazar.
Bildirimi tek seferde ödeyin veya otomatik tahsilat (automatische incasso) için belediyeye yetki verin.
Ödeyemiyorsanız kwijtschelding (vergi silme) için başvurun.
Tutarı doğru bulmuyorsanız bezwaar (itiraz) edin; itiraz sırasında da bildirimi ödemeniz gerekir.
İkinci bir restafval konteyneri artık gerekmiyorsa Cure Afvalbeheer'in sitesindeki formu doldurun.</t>
        </is>
      </c>
      <c r="P75" s="29" t="n"/>
      <c r="Q75" s="29" t="inlineStr">
        <is>
          <t>Aanslag her yıl şubat sonunda gelir. Otomatik tahsilatta tutar 10 taksitte çekilir; ilk taksit bildirimin gönderildiği ayı izleyen ayda, ayın son iş gününde çekilir. 25 euronun altındaki tutarlar tek seferde çekilir. Bildirim 9.000 euroyu aşıyorsa otomatik tahsilat olmaz, tek seferde ödenir.</t>
        </is>
      </c>
      <c r="R75" s="29" t="inlineStr">
        <is>
          <t>2026 yıllık tutarlar: 1 kişilik hane 229,46 euro, 2 kişilik 287,07 euro, 3 kişilik 344,68 euro, 4 ve üzeri kişilik hane 420,00 euro. İkinci restafval konteyneri için yılda 140 litrelik 120 euro, 240 litrelik 140 euro.</t>
        </is>
      </c>
      <c r="S75" s="29" t="inlineStr">
        <is>
          <t>Yıl içinde Eindhoven'a veya Eindhoven içinde bağımsız bir adrese taşınırsanız bir sonraki tam aydan itibaren ödersiniz. Başka belediyeye taşınırsanız yalnız Eindhoven'da oturduğunuz aylar için ödersiniz. Yıl içinde hane büyüklüğü değişirse tutarda indirim hakkınız yoktur. Tek yaşayan biri bakımevine (verzorgingshuis) taşırsa, yeni adrese kayıt olduğu ilk aydan itibaren bağımsız yaşamadığı dönem için çöp vergisi ödemez.</t>
        </is>
      </c>
      <c r="T75" s="29" t="n"/>
    </row>
    <row r="76" ht="54" customHeight="1">
      <c r="A76" s="29" t="inlineStr">
        <is>
          <t>eindhoven:kanalizasyon-vergisi-rioolheffing</t>
        </is>
      </c>
      <c r="B76" s="29" t="inlineStr">
        <is>
          <t>eindhoven</t>
        </is>
      </c>
      <c r="C76" s="29" t="inlineStr">
        <is>
          <t>kanalizasyon-vergisi-rioolheffing</t>
        </is>
      </c>
      <c r="D76" s="29" t="inlineStr">
        <is>
          <t>Eindhoven'da kanalizasyon vergisi (rioolheffing) ne kadar ve kim öder?</t>
        </is>
      </c>
      <c r="E76" s="29" t="inlineStr">
        <is>
          <t>Mülk sahibi ve kullanıcı bedelleri 2026, ödeme zamanları</t>
        </is>
      </c>
      <c r="F76" s="29" t="inlineStr">
        <is>
          <t>Rioolheffing, atık ve yağmur suyunun belediye kanalizasyonuna akıtılması ve kanalizasyonun bakımı için ödenir. Konut, iş yeri veya arsa sahibiyseniz ve mülk kanalizasyona doğrudan ya da dolaylı bağlıysa rioolheffing eigenaar (sahip) ödersiniz: 2026'da mülk başına 202,00 euro. Yılda 500 m³'ten fazla atık su veriyorsanız ayrıca rioolheffing gebruiker (kullanıcı) ödersiniz: 2026'da 500 m³ başına 280,00 euro.</t>
        </is>
      </c>
      <c r="G76" s="29" t="inlineStr">
        <is>
          <t>rioolheffing, kanalizasyon vergisi, belediye vergisi, eigenaar, gebruiker, Brabant Water, Eindhoven</t>
        </is>
      </c>
      <c r="H76" s="29" t="inlineStr">
        <is>
          <t>settled</t>
        </is>
      </c>
      <c r="I76" s="29" t="inlineStr">
        <is>
          <t>eindhoven:kaynak:083;eindhoven:kaynak:086</t>
        </is>
      </c>
      <c r="J76" s="49" t="n">
        <v>46317</v>
      </c>
      <c r="K76" s="51" t="n">
        <v>521</v>
      </c>
      <c r="L76" s="29" t="inlineStr">
        <is>
          <t>Hayır</t>
        </is>
      </c>
      <c r="M76" s="29" t="inlineStr">
        <is>
          <t>Taslak</t>
        </is>
      </c>
      <c r="N76" s="29" t="inlineStr">
        <is>
          <t>eindhoven:fatura</t>
        </is>
      </c>
      <c r="O76" s="29" t="inlineStr">
        <is>
          <t>Mülk sahibiyseniz şubat sonunda gelen aanslagbiljet gemeentelijke belastingen'deki rioolheffing eigenaar tutarını kontrol edin.
Yılda 500 m³'ten fazla atık su veriyorsanız eylül sonunda gelen rioolheffing gebruik bildirimine bakın; bildirimde hangi tüketim döneminin esas alındığı yazar.
Bildirimi tek seferde ödeyin veya otomatik tahsilat için belediyeye yetki verin.
Eigenaar bedelini ödeyemiyorsanız kwijtschelding (vergi silme) için başvurun; gebruiker bedelinde kwijtschelding yoktur.
Tutara katılmıyorsanız bezwaar (itiraz) edin; itiraz sırasında da bildirimi ödemeniz gerekir.</t>
        </is>
      </c>
      <c r="P76" s="29" t="n"/>
      <c r="Q76" s="29" t="inlineStr">
        <is>
          <t>Eigenaar bildirimi her yıl şubat sonunda, gebruiker bildirimi eylül sonunda gelir. Otomatik tahsilatta tutar 10 taksitte çekilir; 25 euronun altındaki tutarlar tek seferde çekilir.</t>
        </is>
      </c>
      <c r="R76" s="29" t="inlineStr">
        <is>
          <t>2026: rioolheffing eigenaar mülk başına 202,00 euro; rioolheffing gebruiker 500 m³ başına 280,00 euro.</t>
        </is>
      </c>
      <c r="S76" s="29" t="inlineStr">
        <is>
          <t>Gebruiker bildirimi çoğunlukla yaklaşık bir yıl önceki su tüketimine dayanır, çünkü belediye Brabant Water'ın son hesabını esas alır (örneğin 2026'da gelen 653 m³'lük bildirim 2024-2025 tüketimine aittir). Boş bina da bedel öder: 1 Ocak'ta mülk sahibiyseniz kullanıp kullanmadığınız fark etmez. Yıl içinde mülkü satarsanız indirim hakkınız yoktur; tutar çoğunlukla noter aracılığıyla yeni sahiple mahsuplaştırılır.</t>
        </is>
      </c>
      <c r="T76" s="29" t="n"/>
    </row>
    <row r="77" ht="54" customHeight="1">
      <c r="A77" s="29" t="inlineStr">
        <is>
          <t>eindhoven:emlak-vergisi-ozb</t>
        </is>
      </c>
      <c r="B77" s="29" t="inlineStr">
        <is>
          <t>eindhoven</t>
        </is>
      </c>
      <c r="C77" s="29" t="inlineStr">
        <is>
          <t>emlak-vergisi-ozb</t>
        </is>
      </c>
      <c r="D77" s="29" t="inlineStr">
        <is>
          <t>Eindhoven'da emlak vergisi (OZB) nasıl hesaplanır ve ödenir?</t>
        </is>
      </c>
      <c r="E77" s="29" t="inlineStr">
        <is>
          <t>2026 oranları, kim öder, itiraz yolu ve 'ücretsiz' WOZ bürolarına karşı uyarı</t>
        </is>
      </c>
      <c r="F77" s="29" t="inlineStr">
        <is>
          <t>OZB (onroerendezaakbelasting), mülkün WOZ değerinin belli bir yüzdesidir. 2026'da konutlar için bu oran %0,08464'tür ve yalnız mülk sahibi öder; konutta kullanıcı vergisi (gebruikersbelasting) yoktur. İş yeri gibi niet-woning için 2026'da mal sahibi %0,29854, kullanıcı %0,21196 öder. 1 Ocak'ta mülk sahibiyseniz o yılın tamamı için aanslag alırsınız. Yıl içinde mülkü satsanız veya Eindhoven'dan taşınsanız belediye para iade etmez.</t>
        </is>
      </c>
      <c r="G77" s="29" t="inlineStr">
        <is>
          <t>OZB, emlak vergisi, onroerendezaakbelasting, WOZ-waarde, belastingaanslag, bezwaar, Eindhoven</t>
        </is>
      </c>
      <c r="H77" s="29" t="inlineStr">
        <is>
          <t>settled</t>
        </is>
      </c>
      <c r="I77" s="29" t="inlineStr">
        <is>
          <t>eindhoven:kaynak:084;eindhoven:kaynak:085</t>
        </is>
      </c>
      <c r="J77" s="49" t="n">
        <v>46317</v>
      </c>
      <c r="K77" s="51" t="n">
        <v>522</v>
      </c>
      <c r="L77" s="29" t="inlineStr">
        <is>
          <t>Hayır</t>
        </is>
      </c>
      <c r="M77" s="29" t="inlineStr">
        <is>
          <t>Taslak</t>
        </is>
      </c>
      <c r="N77" s="29" t="inlineStr">
        <is>
          <t>eindhoven:fatura</t>
        </is>
      </c>
      <c r="O77" s="29" t="inlineStr">
        <is>
          <t>OZB aanslag'ınızı digitale belastingbalie'de (dijital vergi kapısı) DigiD ile çevrimiçi görün veya kâğıt bildirimi inceleyin.
Aanslag'ı tek seferde veya taksitle ödeyin; ödeme için otomatik tahsilat, havale veya Inwonersplein'e gitmek mümkündür.
Aanslag'a katılmıyorsanız önce belediyeye dijital iletişim formuyla ya da 14 040 numarasından ulaşın; bir hata varsa belediye hemen düzeltir.
Anlaşamazsanız aanslagbiljet tarihinden itibaren 6 hafta içinde çevrimiçi veya yazılı bezwaar (itiraz) edin.
Yazılı itirazı Gemeente Eindhoven, afdeling Belastingen, Postbus 90150, 5600 RB Eindhoven adresine gönderin.</t>
        </is>
      </c>
      <c r="P77" s="29" t="n"/>
      <c r="Q77" s="29" t="inlineStr">
        <is>
          <t>Aanslag 1 Ocak'ta mülk sahibi olduğunuz yıl içindir. İtiraz süresi aanslagbiljet tarihinden itibaren 6 haftadır.</t>
        </is>
      </c>
      <c r="R77" s="29" t="inlineStr">
        <is>
          <t>2026 oranları (WOZ değerinin yüzdesi): konut eigenarenbelasting %0,08464; niet-woning eigenarenbelasting %0,29854; niet-woning gebruikersbelasting %0,21196.</t>
        </is>
      </c>
      <c r="S77" s="29" t="inlineStr">
        <is>
          <t>Bazı bürolar WOZ değerine 'ücretsiz' itiraz eder, ama bedelsiz değildir: itiraz sonucu WOZ değeri örneğin 15.000 euro düşerse OZB'de yılda yaklaşık 14 euro kazanırsınız, ama belediyenin size ödediği proceskostenvergoeding'i (dava masrafı tazminatı) büro sizden ister ve tutar ortalama bir itirazda 400 euronun üzerine çıkabilir. WOZ değerine katılmıyorsanız doğrudan belediyeyle iletişime geçin.</t>
        </is>
      </c>
      <c r="T77" s="29" t="n"/>
    </row>
    <row r="78" ht="54" customHeight="1">
      <c r="A78" s="29" t="inlineStr">
        <is>
          <t>eindhoven:belediye-vergisi-kwijtschelding</t>
        </is>
      </c>
      <c r="B78" s="29" t="inlineStr">
        <is>
          <t>eindhoven</t>
        </is>
      </c>
      <c r="C78" s="29" t="inlineStr">
        <is>
          <t>belediye-vergisi-kwijtschelding</t>
        </is>
      </c>
      <c r="D78" s="29" t="inlineStr">
        <is>
          <t>Eindhoven'da belediye vergisi için kwijtschelding (vergi silme) nasıl istenir?</t>
        </is>
      </c>
      <c r="E78" s="29" t="inlineStr">
        <is>
          <t>Gelir ve varlık normları, başvuru yolu ve süreler</t>
        </is>
      </c>
      <c r="F78" s="29" t="inlineStr">
        <is>
          <t>Gelirinizle belediye vergisini ödeyemeyeceğinizi gösterebiliyorsanız kwijtschelding (vergiyi tamamen veya kısmen silme) alabilirsiniz; belediye gelirinizi, giderlerinizi ve varlıklarınızı hesaba katar. Emeklilik yaşından genç olanlar için aylık gelir normu evli veya birlikte yaşayanlarda 2.002,13 euro, tek yaşayan veya tek ebeveynde 1.401,50 euro; emeklilik yaşındakilerde 2.280,22 ve 1.659,53 euro. Evde sizden ve partnerinizden başka 27 yaş ve üstü kişiler de oturuyorsa kostendelersnorm uygulanır ve norm düşer. Tüm banka hesaplarınızın toplam bakiyesi bir aylık bijstandsnorm artı net kira (kiranız eksi 202,52 euro; en çok 932,93 euro kira hesaba katılır) ve net sağlık gideri (sağlık sigortası primi eksi normpremie: evlilerde 106,00 euro, tek yaşayanda 47,00 euro) toplamını aşmamalıdır. Adınıza en çok bir araç kayıtlı olabilir ve değeri en çok 3.350,00 euro olmalıdır (işiniz veya engeliniz için vazgeçilmezse bu sınır uygulanmaz); kendi eviniz varsa yalnız WOZ değeri ipotekten düşükse mümkündür.</t>
        </is>
      </c>
      <c r="G78" s="29" t="inlineStr">
        <is>
          <t>kwijtschelding, vergi silme, belediye vergisi, digitale belastingbalie, bijstandsnorm, düşük gelir, Eindhoven</t>
        </is>
      </c>
      <c r="H78" s="29" t="inlineStr">
        <is>
          <t>settled</t>
        </is>
      </c>
      <c r="I78" s="29" t="inlineStr">
        <is>
          <t>eindhoven:kaynak:086;eindhoven:kaynak:083</t>
        </is>
      </c>
      <c r="J78" s="49" t="n">
        <v>46317</v>
      </c>
      <c r="K78" s="51" t="n">
        <v>523</v>
      </c>
      <c r="L78" s="29" t="inlineStr">
        <is>
          <t>Hayır</t>
        </is>
      </c>
      <c r="M78" s="29" t="inlineStr">
        <is>
          <t>Taslak</t>
        </is>
      </c>
      <c r="N78" s="29" t="inlineStr">
        <is>
          <t>eindhoven:fatura</t>
        </is>
      </c>
      <c r="O78" s="29" t="inlineStr">
        <is>
          <t>Önce normları kontrol edin: aylık gelir normu, banka bakiyesi sınırı, araç (en çok bir araç, değeri en çok 3.350 euro) ve kendi evi olanlar için WOZ değeri ile ipotek.
Aanslag'ı aldıktan sonra mümkün olan en kısa sürede, ödeme süresi dolmadan başvurun; kısmen veya tamamen ödediyseniz son ödemeden sonra 3 ay içinde başvurun.
Başvuruyu belediyenin digitale belastingbalie'si (dijital vergi kapısı) üzerinden yapın; ilk başvuruda ayrıca izin gerekmez.
Dijital başvuru yapamıyorsanız kwijtschelding formunu çevrimiçi doldurun veya yazdırıp imzalayın; dijital yol DUO/öğrenci finansmanından gelir alanlara, kendi evi olanlara, yurt dışından nafaka veya emekli maaşı alanlara ve evde kendisiyle oturan, 27 yaş veya üstünde, işten geliri olan çocuğu bulunan (tek) ebeveynlere kapalıdır.
İmzalı formu gemeente@eindhoven.nl adresine e-postayla ya da Gemeente Eindhoven, afdeling Belastingen, antwoordnummer 15019, 5600 VH Eindhoven adresine postayla gönderin; pul gerekmez.
Başvuru incelenirken uitstel van betaling (ödeme ertelemesi) alırsınız; otomatik tahsilatla ödüyorsanız çekimler sürer, silme çıkarsa fazla ödenen iade edilir.</t>
        </is>
      </c>
      <c r="P78" s="29" t="inlineStr">
        <is>
          <t>Kwijtscheldingsformulier gemeentelijke belastingen (dijital başvuru yapılamıyorsa; çevrimiçi form veya PDF)
İstenirse banka hesap dökümleri; enerji toeslag'ı aldıysanız bu yatışın kopyası</t>
        </is>
      </c>
      <c r="Q78" s="29" t="inlineStr">
        <is>
          <t>Başvuru, aanslag geldikten sonra mümkün olan en kısa sürede ve ödeme süresi dolmadan yapılır; ödeme yapıldıysa son ödemeden sonra 3 ay içinde. Belediye ortalama 3 ay içinde yazılı yanıt verir.</t>
        </is>
      </c>
      <c r="R78" s="29" t="n"/>
      <c r="S78" s="29" t="inlineStr">
        <is>
          <t>Girişimci veya şirket olarak kwijtschelding alamazsınız; yalnız Participatiewet veya Bbz'den ek ödeneği olan serbest girişimciler, oturan olarak aldıkları aanslag için başvurabilir. Rioolheffing gebruiker bedelinde kwijtschelding yoktur. Öğrenciyseniz geliriniz sosyal yardım seviyesinde veya altındaysa koşullu başvurabilirsiniz; banka hesaplarınızdaki para kwijtschelding normunun üzerindeyse bu bir ret nedenidir ve öğrenim borcunuz olması ilke olarak bunu değiştirmez. İstisna: biriken para yalnız öğrenim finansmanının borç (lening) olarak alınan kısmından oluşuyorsa ve hesaptan arada başka amaçla para çekilmediyse bu para varlıktan sayılmaz; bunu hesap dökümlerinin kopyalarıyla göstermeniz gerekir ve belediyeye göre bu koşullar pratikte çoğu zaman sağlanamaz. Geçen yıl kwijtschelding aldıysanız ve her yıl kontrol için izin verdiyseniz belediye bu yıl da otomatik kontrol eder; hak çıkarsa aanslagbiljet üzerinde yazar ve ayrıca başvurmanız gerekmez. Enerji toeslag'ını harcamayıp birikim hesabına koyarsanız 1 Ocak 2025'ten beri varlık hesabına dahil edilir.</t>
        </is>
      </c>
      <c r="T78" s="29" t="n"/>
    </row>
    <row r="79" ht="54" customHeight="1">
      <c r="A79" s="29" t="inlineStr">
        <is>
          <t>eindhoven:atik-takvimi-cure-uygulamasi</t>
        </is>
      </c>
      <c r="B79" s="29" t="inlineStr">
        <is>
          <t>eindhoven</t>
        </is>
      </c>
      <c r="C79" s="29" t="inlineStr">
        <is>
          <t>atik-takvimi-cure-uygulamasi</t>
        </is>
      </c>
      <c r="D79" s="29" t="inlineStr">
        <is>
          <t>Eindhoven'da çöp ne zaman alınır? Atık takvimine nasıl bakılır?</t>
        </is>
      </c>
      <c r="E79" s="29" t="inlineStr">
        <is>
          <t>Cure uygulaması, Mijn Afvalwijzer ve PDF takvim</t>
        </is>
      </c>
      <c r="F79" s="29" t="inlineStr">
        <is>
          <t>Eindhoven'da çöpü ve eski kâğıdı Cure Afvalbeheer toplar. Hangi gün hangi kutunun boşaltıldığını ücretsiz Cure uygulamasından ya da Mijn Afvalwijzer sitesinde posta kodu ve ev numaranızı yazarak görürsünüz. Uygulamada bildirimi açarsanız çöpü sokağa koyma hatırlatması ve değişiklik duyuruları telefonunuza gelir.</t>
        </is>
      </c>
      <c r="G79" s="29" t="inlineStr">
        <is>
          <t>afvalkalender, çöp günü, çöp takvimi, Cure, Mijn Afvalwijzer, ophaaldag, atık</t>
        </is>
      </c>
      <c r="H79" s="29" t="inlineStr">
        <is>
          <t>new;settled</t>
        </is>
      </c>
      <c r="I79" s="29" t="inlineStr">
        <is>
          <t>eindhoven:kaynak:166;eindhoven:kaynak:167</t>
        </is>
      </c>
      <c r="J79" s="49" t="n">
        <v>46317</v>
      </c>
      <c r="K79" s="51" t="n">
        <v>1101</v>
      </c>
      <c r="L79" s="29" t="inlineStr">
        <is>
          <t>Evet</t>
        </is>
      </c>
      <c r="M79" s="29" t="inlineStr">
        <is>
          <t>Taslak</t>
        </is>
      </c>
      <c r="N79" s="29" t="inlineStr">
        <is>
          <t>eindhoven:gunluk</t>
        </is>
      </c>
      <c r="O79" s="29" t="inlineStr">
        <is>
          <t>Cure uygulamasını iPhone veya Android telefonunuza indirin.
Uygulamayı kullanmak istemezseniz mijnafvalwijzer.nl sitesine girip posta kodunuzu ve ev numaranızı yazın.
Restafval (kalan atık), GFT ve kâğıt-karton için size ait toplama günlerini görün.
Uygulamada bildirimleri açın; çöpü dışarı koyma hatırlatması ve değişiklik duyuruları gelir.
Basılı takvim isterseniz masaüstü sitede Jaaroverzicht altındaki kırmızı PDF düğmesine tıklayın.</t>
        </is>
      </c>
      <c r="P79" s="29" t="inlineStr">
        <is>
          <t>Posta kodu ve ev numarası</t>
        </is>
      </c>
      <c r="Q79" s="29" t="n"/>
      <c r="R79" s="29" t="inlineStr">
        <is>
          <t>Cure uygulaması ücretsiz.</t>
        </is>
      </c>
      <c r="S79" s="29" t="inlineStr">
        <is>
          <t>Android telefonda bildirim gelmesi için uygulamanın pil tasarrufunun kapalı olması gerekir. Telefon "not compatible for this phone" derse işletim sistemi uygulamayı desteklemiyor demektir; bu durumda web takvimini kullanın.</t>
        </is>
      </c>
      <c r="T79" s="29" t="n"/>
    </row>
    <row r="80" ht="54" customHeight="1">
      <c r="A80" s="29" t="inlineStr">
        <is>
          <t>eindhoven:konteyner-disari-koyma-saatleri-yerlestirme</t>
        </is>
      </c>
      <c r="B80" s="29" t="inlineStr">
        <is>
          <t>eindhoven</t>
        </is>
      </c>
      <c r="C80" s="29" t="inlineStr">
        <is>
          <t>konteyner-disari-koyma-saatleri-yerlestirme</t>
        </is>
      </c>
      <c r="D80" s="29" t="inlineStr">
        <is>
          <t>Çöp konteyneri sokağa saat kaçta konur, nasıl yerleştirilir?</t>
        </is>
      </c>
      <c r="E80" s="29" t="inlineStr">
        <is>
          <t>Dışarı koyma ve içeri alma saatleri, kaldırım mesafesi, ağırlık sınırı</t>
        </is>
      </c>
      <c r="F80" s="29" t="inlineStr">
        <is>
          <t>Eindhoven belediyesi yeşil, mavi (kâğıt) ve gri kutuları toplama gününde sabah 6.00'dan önce sokağa koymamanızı, 23.00'ten önce içeri almanızı ister. Cure ise çöpün 07:30'dan önce (temmuz-ağustosta 07:00) dışarıda olmasını ve boş kutunun gece yarısından önce alınmasını söyler. Kutuyu kaldırımdan en fazla 50 cm uzağa koyun, kapağı kapatın; kutu 70 kg'ı geçmemeli.</t>
        </is>
      </c>
      <c r="G80" s="29" t="inlineStr">
        <is>
          <t>konteyner, kliko, çöp saati, aanbiedtijden, kaldırım, grijze bak, groene bak</t>
        </is>
      </c>
      <c r="H80" s="29" t="inlineStr">
        <is>
          <t>new;settled</t>
        </is>
      </c>
      <c r="I80" s="29" t="inlineStr">
        <is>
          <t>eindhoven:kaynak:166;eindhoven:kaynak:167;eindhoven:kaynak:168</t>
        </is>
      </c>
      <c r="J80" s="49" t="n">
        <v>46317</v>
      </c>
      <c r="K80" s="51" t="n">
        <v>1102</v>
      </c>
      <c r="L80" s="29" t="inlineStr">
        <is>
          <t>Hayır</t>
        </is>
      </c>
      <c r="M80" s="29" t="inlineStr">
        <is>
          <t>Taslak</t>
        </is>
      </c>
      <c r="N80" s="29" t="inlineStr">
        <is>
          <t>eindhoven:gunluk</t>
        </is>
      </c>
      <c r="O80" s="29" t="inlineStr">
        <is>
          <t>Toplama gününü atık takviminden kontrol edin.
Kutuyu toplama günü sabah 6.00'dan sonra sokağa koyun; en geç 07:30'da (temmuz ve ağustosta 07:00'de) dışarıda olsun.
Kutuyu kaldırım kenarından en fazla 50 cm uzağa koyun; iki kutu ya da lamba direği, park etmiş araba gibi engellerle arasında en az 30 cm boşluk bırakın.
Kutuyu araba, ağaç veya lamba direğinin arkasına koymayın.
Çöpü kutunun içine atın, yanına bırakmayın; kapak kapalı olsun ve kutu 70 kg'dan ağır olmasın.
Boşaltıldıktan sonra kutuyu kendi arazinize geri alın; akşam 23.00'ten önce içeride olsun.</t>
        </is>
      </c>
      <c r="P80" s="29" t="n"/>
      <c r="Q80" s="29" t="inlineStr">
        <is>
          <t>Dışarı koyma: toplama günü 6.00 ile 07:30 arası (temmuz-ağustosta 07:00'e kadar); içeri alma: aynı gün 23.00'e kadar</t>
        </is>
      </c>
      <c r="R80" s="29" t="n"/>
      <c r="S80" s="29" t="inlineStr">
        <is>
          <t>İki kaynağın akşam saati farklı: belediye 23.00, Cure gece yarısı diyor. 23.00'ü esas alırsanız iki kurala da uymuş olursunuz.</t>
        </is>
      </c>
      <c r="T80" s="29" t="n"/>
    </row>
    <row r="81" ht="54" customHeight="1">
      <c r="A81" s="29" t="inlineStr">
        <is>
          <t>eindhoven:resmi-tatilde-cop-toplama-telafi-gunleri-2026</t>
        </is>
      </c>
      <c r="B81" s="29" t="inlineStr">
        <is>
          <t>eindhoven</t>
        </is>
      </c>
      <c r="C81" s="29" t="inlineStr">
        <is>
          <t>resmi-tatilde-cop-toplama-telafi-gunleri-2026</t>
        </is>
      </c>
      <c r="D81" s="29" t="inlineStr">
        <is>
          <t>Resmî tatilde çöp alınır mı? 2026 telafi (inhaal) günleri</t>
        </is>
      </c>
      <c r="E81" s="29" t="inlineStr">
        <is>
          <t>Paskalya, Koningsdag, Hemelvaart, Pinkster ve Noel için ayrılan cumartesiler; yılbaşı satırı tutarsız</t>
        </is>
      </c>
      <c r="F81" s="29" t="inlineStr">
        <is>
          <t>Eindhoven'da resmî tatil günlerinde çöp toplanmaz; çöpünüz başka bir günde alınır. Noel (25 Aralık) için telafi günü 19 Aralık 2026 Cumartesi. Yılbaşı için Cure sayfası "Zaterdag 03 januari 2027" (3 Ocak 2027 Cumartesi) yazıyor, ama bu satır tutarsız: government.nl'ye göre 1 Ocak 2027 cuma, yani 3 Ocak 2027 pazar; Cure aynı satırda yılbaşını "woensdag" (çarşamba) diye veriyor. Yılbaşı haftasının toplama tarihini aralık sonunda Cure uygulamasından ya da mijnafvalwijzer.nl'den kontrol edin; Cure güncel liste için bu ikisini gösteriyor. Telafi gününde araç alışılmış saatten farklı bir zamanda gelebilir, bu yüzden çöpü erkenden dışarı koyun.</t>
        </is>
      </c>
      <c r="G81" s="29" t="inlineStr">
        <is>
          <t>inhaaldag, resmî tatil çöp, feestdag afval, telafi günü, çöp toplama tatil, Cure</t>
        </is>
      </c>
      <c r="H81" s="29" t="inlineStr">
        <is>
          <t>new;settled</t>
        </is>
      </c>
      <c r="I81" s="29" t="inlineStr">
        <is>
          <t>eindhoven:kaynak:167;eindhoven:kaynak:173</t>
        </is>
      </c>
      <c r="J81" s="49" t="n">
        <v>46317</v>
      </c>
      <c r="K81" s="51" t="n">
        <v>1103</v>
      </c>
      <c r="L81" s="29" t="inlineStr">
        <is>
          <t>Hayır</t>
        </is>
      </c>
      <c r="M81" s="29" t="inlineStr">
        <is>
          <t>Taslak</t>
        </is>
      </c>
      <c r="N81" s="29" t="inlineStr">
        <is>
          <t>eindhoven:gunluk</t>
        </is>
      </c>
      <c r="O81" s="29" t="inlineStr">
        <is>
          <t>Tatil günü yaklaşırken Cure uygulamasından ya da Mijn Afvalwijzer'den o haftanın toplama tarihini kontrol edin.
Tatil gününde çöp çıkarmayın; çöpünüz telafi gününde alınır.
Telafi gününde çöpünüzü yine erkenden dışarı koyun; araçlar Eindhoven'da 07.30'da yola çıkar.
Ayrı bir telafi takvimi olmadığı için en yakın toplama tarihini her zaman dijital takvimden veya uygulamadan okuyun.</t>
        </is>
      </c>
      <c r="P81" s="29" t="n"/>
      <c r="Q81" s="29" t="inlineStr">
        <is>
          <t>2026 telafi günleri: 4 Nisan, 25 Nisan, 16 Mayıs, 23 Mayıs, 19 Aralık; yılbaşı için Cure "3 Ocak 2027 Cumartesi" yazıyor, ancak 3 Ocak 2027 pazar (tutarsız satır; tarihi aralık sonunda uygulamadan kontrol edin)</t>
        </is>
      </c>
      <c r="R81" s="29" t="n"/>
      <c r="S81" s="29" t="n"/>
      <c r="T81" s="29" t="n"/>
    </row>
    <row r="82" ht="54" customHeight="1">
      <c r="A82" s="29" t="inlineStr">
        <is>
          <t>eindhoven:kalan-atik-restafval-gri-konteyner</t>
        </is>
      </c>
      <c r="B82" s="29" t="inlineStr">
        <is>
          <t>eindhoven</t>
        </is>
      </c>
      <c r="C82" s="29" t="inlineStr">
        <is>
          <t>kalan-atik-restafval-gri-konteyner</t>
        </is>
      </c>
      <c r="D82" s="29" t="inlineStr">
        <is>
          <t>Restafval (gri konteyner): neler atılır, neler atılmaz?</t>
        </is>
      </c>
      <c r="E82" s="29" t="inlineStr">
        <is>
          <t>Eindhoven'da plastik, teneke ve içecek kartonu da kalan atığa girer</t>
        </is>
      </c>
      <c r="F82" s="29" t="inlineStr">
        <is>
          <t>Restafval, ayrıştırılıp geri dönüştürülemeyen ev atığıdır; alçak binalarda (laagbouw) gri mini konteynere, yüksek binalarda (hoogbouw) yeraltı konteynerine atılır. Eindhoven'da 1 Ocak 2024'ten beri plastik, teneke ve içecek kartonları (PBD) de kalan atığa girer; atık işleyici bunları sonradan ayırır. Gri konteyner iki haftada bir boşaltılır. Kâğıt, cam, tekstil, pil ve ilaç kalan atığa atılmaz; GFT/E de girmez, yalnız yeraltı konteyneri kullananlar GFT/E atığını kalan atıkla birlikte atabilir.</t>
        </is>
      </c>
      <c r="G82" s="29" t="inlineStr">
        <is>
          <t>restafval, gri konteyner, PBD, kalan atık, grijze bak, çöp ayrıştırma, luier</t>
        </is>
      </c>
      <c r="H82" s="29" t="inlineStr">
        <is>
          <t>new;settled</t>
        </is>
      </c>
      <c r="I82" s="29" t="inlineStr">
        <is>
          <t>eindhoven:kaynak:168</t>
        </is>
      </c>
      <c r="J82" s="49" t="n">
        <v>46317</v>
      </c>
      <c r="K82" s="51" t="n">
        <v>1104</v>
      </c>
      <c r="L82" s="29" t="inlineStr">
        <is>
          <t>Hayır</t>
        </is>
      </c>
      <c r="M82" s="29" t="inlineStr">
        <is>
          <t>Taslak</t>
        </is>
      </c>
      <c r="N82" s="29" t="inlineStr">
        <is>
          <t>eindhoven:gunluk</t>
        </is>
      </c>
      <c r="O82" s="29" t="inlineStr">
        <is>
          <t>Ayrı toplanan atıkları (eski kâğıt, cam, tekstil, GFT/E, büyük ev atığı) ayırın; bunlar kalan atığa girmez. Yalnız yeraltı konteyneri kullananlar GFT/E atığını kalan atıkla birlikte atabilir.
Plastik, teneke, içecek kartonu, kullan-at ürünler, kahve kapsülü, bez, hijyenik ped, sigara, kauçuk, boş sprey kutusu ve kedi-köpek dışkısını gri konteynere atın.
Elektrikli aletleri, lambaları, pilleri, eski ilaçları ve kimyasal artığı kalmış ambalajları gri konteynere atmayın.
Kokuyu önlemek için kalan atığı kapalı torbada konteynere koyun.
Atığınız çoksa Cure müşteri hizmetlerinden ikinci bir kalan atık konteyneri isteyin; konteynerin yanına bırakılan torbalar alınmaz.</t>
        </is>
      </c>
      <c r="P82" s="29" t="n"/>
      <c r="Q82" s="29" t="inlineStr">
        <is>
          <t>Gri konteyner iki haftada bir boşaltılır.</t>
        </is>
      </c>
      <c r="R82" s="29" t="n"/>
      <c r="S82" s="29" t="inlineStr">
        <is>
          <t>Büyük miktarda strafor (piepschuim) kalan atık sayılmaz; yalnızca küçük miktarı gri konteynere girer.</t>
        </is>
      </c>
      <c r="T82" s="29" t="n"/>
    </row>
    <row r="83" ht="54" customHeight="1">
      <c r="A83" s="29" t="inlineStr">
        <is>
          <t>eindhoven:gft-yesil-konteyner-yemek-bahce-atigi</t>
        </is>
      </c>
      <c r="B83" s="29" t="inlineStr">
        <is>
          <t>eindhoven</t>
        </is>
      </c>
      <c r="C83" s="29" t="inlineStr">
        <is>
          <t>gft-yesil-konteyner-yemek-bahce-atigi</t>
        </is>
      </c>
      <c r="D83" s="29" t="inlineStr">
        <is>
          <t>GFT/E (yeşil konteyner): yemek artığı ve bahçe atığı nasıl atılır?</t>
        </is>
      </c>
      <c r="E83" s="29" t="inlineStr">
        <is>
          <t>Kemik, kılçık, pişmiş yemek ve 30 cm'den kısa bahçe atığı yeşil kutuya girer</t>
        </is>
      </c>
      <c r="F83" s="29" t="inlineStr">
        <is>
          <t>GFT/E; sebze, meyve ve bahçe atığı ile yemek artıkları demektir ve yeşil konteynere atılır. Tavuk kemiği, balık kılçığı ve pişmiş yemek artıkları da buraya girer; bahçe atığı en fazla 30 cm uzunlukta olmalı. Tek aileli evlerin (eengezinswoning) yeşil konteyneri normalde iki haftada bir boşaltılır; apartman ve flat sakinleri GFT/E atığını yeraltı konteynerine atar. Bez, kedi-köpek dışkısı, odun, toprak, taş ve kahve kapsülü yeşil kutuya girmez.</t>
        </is>
      </c>
      <c r="G83" s="29" t="inlineStr">
        <is>
          <t>GFT, GFT/E, yeşil konteyner, yemek artığı, bahçe atığı, groene bak, organik atık</t>
        </is>
      </c>
      <c r="H83" s="29" t="inlineStr">
        <is>
          <t>new;settled</t>
        </is>
      </c>
      <c r="I83" s="29" t="inlineStr">
        <is>
          <t>eindhoven:kaynak:169</t>
        </is>
      </c>
      <c r="J83" s="49" t="n">
        <v>46317</v>
      </c>
      <c r="K83" s="51" t="n">
        <v>1105</v>
      </c>
      <c r="L83" s="29" t="inlineStr">
        <is>
          <t>Hayır</t>
        </is>
      </c>
      <c r="M83" s="29" t="inlineStr">
        <is>
          <t>Taslak</t>
        </is>
      </c>
      <c r="N83" s="29" t="inlineStr">
        <is>
          <t>eindhoven:gunluk</t>
        </is>
      </c>
      <c r="O83" s="29" t="inlineStr">
        <is>
          <t>Yemek artıklarını, sebze-meyve kabuklarını, çay poşetlerini, kahve pedlerini ve 30 cm'den kısa bahçe atığını yeşil konteynere atın.
Bez, kedi-köpek dışkısı, odun, toprak, taş, kahve kapsülü, sakız ve çim keseklerini (graszoden) yeşil konteynere atmayın.
Islak atık atmayın; biçilmiş çimeni bir gün kurutun. Çabuk bozulan et ve balık artıklarını gazeteye sarın.
Koku için konteynerin dibine buruşturulmuş gazete kâğıdı koyun, kutuyu serin ve gölge bir yere yerleştirin, kapağı arada aralık bırakıp havalandırın.
Konteyneri ara sıra yalnızca su ve isterseniz yeşil sabunla yıkayın; klor kullanmayın.</t>
        </is>
      </c>
      <c r="P83" s="29" t="n"/>
      <c r="Q83" s="29" t="inlineStr">
        <is>
          <t>Normalde iki haftada bir; sonbahar ve kış aylarında toplama sıklığı farklı olabilir.</t>
        </is>
      </c>
      <c r="R83" s="29" t="n"/>
      <c r="S83" s="29" t="inlineStr">
        <is>
          <t>Kiemplant logolu kompostlanabilir torbalar GFT/E'ye girer; logosuz "kompostlanabilir" ambalajlar girmez.</t>
        </is>
      </c>
      <c r="T83" s="29" t="n"/>
    </row>
    <row r="84" ht="54" customHeight="1">
      <c r="A84" s="29" t="inlineStr">
        <is>
          <t>eindhoven:apartmanda-cop-yeralti-konteyneri-milieupas</t>
        </is>
      </c>
      <c r="B84" s="29" t="inlineStr">
        <is>
          <t>eindhoven</t>
        </is>
      </c>
      <c r="C84" s="29" t="inlineStr">
        <is>
          <t>apartmanda-cop-yeralti-konteyneri-milieupas</t>
        </is>
      </c>
      <c r="D84" s="29" t="inlineStr">
        <is>
          <t>Apartmanda çöp nereye atılır? Yeraltı konteyneri ve Milieupas</t>
        </is>
      </c>
      <c r="E84" s="29" t="inlineStr">
        <is>
          <t>Flat sakinleri için kalan atık, GFT ve konteyner doluysa yapılacaklar</t>
        </is>
      </c>
      <c r="F84" s="29" t="inlineStr">
        <is>
          <t>Eindhoven'da apartman ve flat sakinlerinin kalan atığı, binanın yakınındaki yeraltı konteynerine gider ve konteyner Cure Milieupas'ı ile açılır. Her konutta tek pas olur ve hane halkıyla paylaşılır. Yeraltı konteyneri kullananlar GFT/E atığını da kalan atıkla birlikte atabilir. Konteyner doluysa Cure müşteri hizmetlerine bildirin, yanına çöp bırakırsanız resmî karar (beschikking) alma riskiniz var. Milieupas'ınızı kaybettiyseniz de Cure'a başvurursunuz.</t>
        </is>
      </c>
      <c r="G84" s="29" t="inlineStr">
        <is>
          <t>yeraltı konteyneri, ondergrondse container, Milieupas, flat, apartman, hoogbouw, çöp</t>
        </is>
      </c>
      <c r="H84" s="29" t="inlineStr">
        <is>
          <t>new;settled</t>
        </is>
      </c>
      <c r="I84" s="29" t="inlineStr">
        <is>
          <t>eindhoven:kaynak:166;eindhoven:kaynak:168;eindhoven:kaynak:169;eindhoven:kaynak:219</t>
        </is>
      </c>
      <c r="J84" s="49" t="n">
        <v>46317</v>
      </c>
      <c r="K84" s="51" t="n">
        <v>1106</v>
      </c>
      <c r="L84" s="29" t="inlineStr">
        <is>
          <t>Hayır</t>
        </is>
      </c>
      <c r="M84" s="29" t="inlineStr">
        <is>
          <t>Taslak</t>
        </is>
      </c>
      <c r="N84" s="29" t="inlineStr">
        <is>
          <t>eindhoven:gunluk</t>
        </is>
      </c>
      <c r="O84" s="29" t="inlineStr">
        <is>
          <t>Kalan atığı kapalı torbaya koyun ve binanızın yakınındaki yeraltı konteynerini Cure Milieupas'ınızla açıp atın.
GFT/E atığınız da varsa yeraltı konteynerinde kalan atıkla birlikte atabilirsiniz.
Konteyner doluysa Cure müşteri hizmetlerine bildirin; yanına çöp bırakmayın.
Zemin katta oturuyorsanız, kutuyu kendi arazinize ya da depoya koyabiliyorsanız ve yakınınızdan bir toplama rotası geçiyorsa müşteri hizmetlerinden yeşil GFT/E konteyneri isteyin.
Milieupas'ınızı (eski adıyla Stadspas) kaybettiyseniz Cure'a başvurun.</t>
        </is>
      </c>
      <c r="P84" s="29" t="inlineStr">
        <is>
          <t>Cure Milieupas (her konutta tek pas var, hane halkıyla paylaşılır)</t>
        </is>
      </c>
      <c r="Q84" s="29" t="n"/>
      <c r="R84" s="29" t="inlineStr">
        <is>
          <t>Eindhoven sakinleri Milieupas ile yeraltı konteynerlerini ücretsiz kullanır.</t>
        </is>
      </c>
      <c r="S84" s="29" t="inlineStr">
        <is>
          <t>Bazı evlerde yeraltı konteyneri henüz yoktur ve konteyner koyacak yer de olmadığından torbalar sokağa konur (losse zakken route). Eindhoven'da 4 binada yemek artıklarını özel torbalarla ayrı toplama denemesi sürüyor.</t>
        </is>
      </c>
      <c r="T84" s="29" t="n"/>
    </row>
    <row r="85" ht="54" customHeight="1">
      <c r="A85" s="29" t="inlineStr">
        <is>
          <t>eindhoven:cop-kutusu-bosaltilmadi-yarim-bosaldi</t>
        </is>
      </c>
      <c r="B85" s="29" t="inlineStr">
        <is>
          <t>eindhoven</t>
        </is>
      </c>
      <c r="C85" s="29" t="inlineStr">
        <is>
          <t>cop-kutusu-bosaltilmadi-yarim-bosaldi</t>
        </is>
      </c>
      <c r="D85" s="29" t="inlineStr">
        <is>
          <t>Çöp kutum boşaltılmadı ya da yarım kaldı: ne yapmalıyım?</t>
        </is>
      </c>
      <c r="E85" s="29" t="inlineStr">
        <is>
          <t>İki iş günü kuralı, form, aşırı sıcakta yaz tarifesi</t>
        </is>
      </c>
      <c r="F85" s="29" t="inlineStr">
        <is>
          <t>Kutunuz toplama gününde boşaltılmadıysa 2 iş günü içinde Cure'a form ya da telefonla bildirin. Bu sürede fazla atığı milieustraat'a götürebilirsiniz (Eindhoven sakinleri için milieupas ile yılda 12 ziyaret ücretsiz); Eindhoven sakini olarak Milieupas'la yeraltı konteynerlerini de ücretsiz kullanabilirsiniz. Kutu yarım boşaldıysa içinde tıkanma ya da aşırı sıkıştırılmış atık olup olmadığına bakın; Cure bu durumda ekstra gelmez, kutuyu bir sonraki toplama gününde yine dışarı koyarsınız.</t>
        </is>
      </c>
      <c r="G85" s="29" t="inlineStr">
        <is>
          <t>çöp alınmadı, afval niet opgehaald, kliko boş değil, Cure müşteri hizmetleri, zomerrooster, sıcak hava</t>
        </is>
      </c>
      <c r="H85" s="29" t="inlineStr">
        <is>
          <t>new;settled</t>
        </is>
      </c>
      <c r="I85" s="29" t="inlineStr">
        <is>
          <t>eindhoven:kaynak:166;eindhoven:kaynak:168;eindhoven:kaynak:169;eindhoven:kaynak:219</t>
        </is>
      </c>
      <c r="J85" s="49" t="n">
        <v>46317</v>
      </c>
      <c r="K85" s="51" t="n">
        <v>1107</v>
      </c>
      <c r="L85" s="29" t="inlineStr">
        <is>
          <t>Hayır</t>
        </is>
      </c>
      <c r="M85" s="29" t="inlineStr">
        <is>
          <t>Taslak</t>
        </is>
      </c>
      <c r="N85" s="29" t="inlineStr">
        <is>
          <t>eindhoven:gunluk</t>
        </is>
      </c>
      <c r="O85" s="29" t="inlineStr">
        <is>
          <t>Boşaltılmayan kutuyu toplama gününden sonraki 2 iş günü içinde Cure'un müşteri hizmetleri formuyla ya da telefonla bildirin.
Bildirim işleme alınana kadar fazla atığı milieustraat'a götürün veya Milieupas'la yeraltı konteynerlerini kullanın.
Kutu yarım boşaldıysa içindeki tıkanmayı giderin; atık fazla sıkışmışsa da kutu tam boşalmayabilir.
Tıkanmayı temizledikten sonra kutuyu bir sonraki normal toplama gününde yine sokağa koyun.
Aşırı sıcakta çöp sınırlı toplanabilir; kutunuz boşaltılmadıysa belediye sayfasındaki "Afval niet opgehaald" formuyla Cure'a haber verin.</t>
        </is>
      </c>
      <c r="P85" s="29" t="n"/>
      <c r="Q85" s="29" t="inlineStr">
        <is>
          <t>Bildirim için süre: toplama gününden sonra 2 iş günü.</t>
        </is>
      </c>
      <c r="R85" s="29" t="inlineStr">
        <is>
          <t>Milieupas'la yeraltı konteynerlerini kullanmak Eindhoven sakinleri için ücretsiz; milieustraat, Eindhoven sakinleri için milieupas ile yılda 12 ziyaret ücretsiz.</t>
        </is>
      </c>
      <c r="S85" s="29" t="inlineStr">
        <is>
          <t>Yüksek sıcaklıkta Cure yaz tarifesine (zomerrooster) geçer: milieustraat saatleri değişir, çöp daha erken alınır.</t>
        </is>
      </c>
      <c r="T85" s="29" t="n"/>
    </row>
    <row r="86" ht="54" customHeight="1">
      <c r="A86" s="29" t="inlineStr">
        <is>
          <t>eindhoven:milieustraat-hurda-kimyasal-atik-gulme-gazi-tupu</t>
        </is>
      </c>
      <c r="B86" s="29" t="inlineStr">
        <is>
          <t>eindhoven</t>
        </is>
      </c>
      <c r="C86" s="29" t="inlineStr">
        <is>
          <t>milieustraat-hurda-kimyasal-atik-gulme-gazi-tupu</t>
        </is>
      </c>
      <c r="D86" s="29" t="inlineStr">
        <is>
          <t>Milieustraat'a ne götürülür? Hurda, küçük kimyasal atık, gülme gazı tüpü</t>
        </is>
      </c>
      <c r="E86" s="29" t="inlineStr">
        <is>
          <t>Eindhoven sakinleri için ücretsiz teslim; lachgas tüpü yasağı</t>
        </is>
      </c>
      <c r="F86" s="29" t="inlineStr">
        <is>
          <t>Eindhoven sakinleri hurdayı (oud ijzer) milieustraat'a ücretsiz teslim eder; Cure'a göre milieupas ile her iki milieustraat sakinler için yılda 12 kez ücretsizdir. Pil, akü, ilaç ve benzeri küçük kimyasal atık (klein chemisch afval) kalan atığa atılmaz. Boş gülme gazı (lachgas) tüpü de Cure kartınızla milieustraat'a ücretsiz teslim edilir; 1 Ocak 2023'ten beri bu tüpü taşımak, satmak ya da bulundurmak Hollanda'da yasaktır ve polis sizi yakalarsa para cezası alabilirsiniz.</t>
        </is>
      </c>
      <c r="G86" s="29" t="inlineStr">
        <is>
          <t>milieustraat, hurda, oud ijzer, lachgas, gülme gazı, klein chemisch afval, KCA, BuitenBeter</t>
        </is>
      </c>
      <c r="H86" s="29" t="inlineStr">
        <is>
          <t>new;settled</t>
        </is>
      </c>
      <c r="I86" s="29" t="inlineStr">
        <is>
          <t>eindhoven:kaynak:166;eindhoven:kaynak:168;eindhoven:kaynak:219</t>
        </is>
      </c>
      <c r="J86" s="49" t="n">
        <v>46317</v>
      </c>
      <c r="K86" s="51" t="n">
        <v>1108</v>
      </c>
      <c r="L86" s="29" t="inlineStr">
        <is>
          <t>Hayır</t>
        </is>
      </c>
      <c r="M86" s="29" t="inlineStr">
        <is>
          <t>Taslak</t>
        </is>
      </c>
      <c r="N86" s="29" t="inlineStr">
        <is>
          <t>eindhoven:gunluk</t>
        </is>
      </c>
      <c r="O86" s="29" t="inlineStr">
        <is>
          <t>Hurda demiri (oud ijzer) ve boş gülme gazı tüplerini milieustraat'a götürün.
Cure milieupas'ınızı (Cure pasje) yanınıza alın; pas olmadan milieustraat'a girilmez. Gülme gazı tüpünü küçük kimyasal atık olarak ücretsiz teslim edersiniz.
Tüple yolda yürümeyin; milieustraat'a giderken tüpü güvenli bir yerde saklayın.
Tüpü çöp kutusuna ya da çöp konteynerine atmayın; araçlarda ve yakma tesisinde patlamaya yol açar.
Sokakta tüp görürseniz BuitenBeter uygulamasından bildirin; belediye güvenle kaldırır.
Pilleri, aküleri ve ilaçları gri kalan atık konteynerine atmayın.</t>
        </is>
      </c>
      <c r="P86" s="29" t="inlineStr">
        <is>
          <t>Cure milieupas (Cure pasje)</t>
        </is>
      </c>
      <c r="Q86" s="29" t="n"/>
      <c r="R86" s="29" t="inlineStr">
        <is>
          <t>Hurda ve gülme gazı tüpü teslimi Eindhoven sakinleri için ücretsiz; milieupas ile milieustraat yılda 12 ziyaret ücretsiz.</t>
        </is>
      </c>
      <c r="S86" s="29" t="inlineStr">
        <is>
          <t>Milieustraat'ta kimse adınızı sormaz. Bir ziyarette küçük kimyasal atık en çok 100 litre olabilir ve yalnızca ev ambalajında teslim edilir; gülme gazı tüpü en çok 25 adet, fazlası için güvenlik nedeniyle önceden aramanız gerekir. Hurdanın geliri çöp toplama maliyetinin önemli bir kısmını karşıladığı için bu gelir olmazsa atık vergisi (afvalstoffenheffing) artar.</t>
        </is>
      </c>
      <c r="T86" s="29" t="n"/>
    </row>
    <row r="87" ht="54" customHeight="1">
      <c r="A87" s="29" t="inlineStr">
        <is>
          <t>eindhoven:milieustraat-eindhoven-adresler-saatler-milieupas</t>
        </is>
      </c>
      <c r="B87" s="29" t="inlineStr">
        <is>
          <t>eindhoven</t>
        </is>
      </c>
      <c r="C87" s="29" t="inlineStr">
        <is>
          <t>milieustraat-eindhoven-adresler-saatler-milieupas</t>
        </is>
      </c>
      <c r="D87" s="29" t="inlineStr">
        <is>
          <t>Eindhoven milieustraat: adresler, çalışma saatleri ve Cure milieupas kuralları</t>
        </is>
      </c>
      <c r="E87" s="29" t="inlineStr">
        <is>
          <t>Lodewijkstraat yenileme için kapalı, Acht'a gidin; Pzt-Cmt 08:30-17:00, sakinlere yılda 12 ziyaret ücretsiz</t>
        </is>
      </c>
      <c r="F87" s="29" t="inlineStr">
        <is>
          <t>Eindhoven'da iki milieustraat (atık getirme noktası) var: Achtseweg Noord 41 (Acht) ve Lodewijkstraat 9. Lodewijkstraat yenileme nedeniyle kapalı (kapanış tarihi 30-11-2025); Cure bu dönemde Acht'taki milieustraat'a gelmeni istiyor ve sayfada yeniden açılış tarihi yok. Milieustraat pazartesiden cumartesiye 08:30-17:00 açık, pazar ve resmî tatilde kapalı. Girmek için Cure milieupas şart; Eindhoven sakinleri milieupas ile milieustraat'lara yılda 12 kez ücretsiz girer. Bir ziyarette en çok 2 m³ atık getirebilirsin ve atığı türlerine göre ayrı ayrı vermelisin.</t>
        </is>
      </c>
      <c r="G87" s="29" t="inlineStr">
        <is>
          <t>milieustraat, Cure, milieupas, atık getirme, grofvuil, Acht, Lodewijkstraat</t>
        </is>
      </c>
      <c r="H87" s="29" t="inlineStr">
        <is>
          <t>new;settled</t>
        </is>
      </c>
      <c r="I87" s="29" t="inlineStr">
        <is>
          <t>eindhoven:kaynak:219</t>
        </is>
      </c>
      <c r="J87" s="49" t="n">
        <v>46317</v>
      </c>
      <c r="K87" s="51" t="n">
        <v>1109</v>
      </c>
      <c r="L87" s="29" t="inlineStr">
        <is>
          <t>Hayır</t>
        </is>
      </c>
      <c r="M87" s="29" t="inlineStr">
        <is>
          <t>Taslak</t>
        </is>
      </c>
      <c r="N87" s="29" t="inlineStr">
        <is>
          <t>eindhoven:gunluk</t>
        </is>
      </c>
      <c r="O87" s="29" t="inlineStr">
        <is>
          <t>Atığını türlerine göre ayır; milieustraat'ta her tür ayrı konteynere atılır.
Cure milieupas'ını yanına al; pas olmadan girilmez. Her konutta tek pas var ve hane halkıyla paylaşılır.
Aracın (römorkla birlikte) en çok 2,40 m yüksekliğinde, 10 m uzunluğunda ve yük dahil 3500 kg olsun.
Asbest getireceksen paketle ve ziyaretinden en az bir gün önce bildir.
Kapıdaki görevlinin talimatlarına uy; 12 yaş ve altı çocuklar araçta kalır.</t>
        </is>
      </c>
      <c r="P87" s="29" t="inlineStr">
        <is>
          <t>Cure milieupas</t>
        </is>
      </c>
      <c r="Q87" s="29" t="inlineStr">
        <is>
          <t>Pazartesi-cumartesi 08:30-17:00; pazar ve resmî tatilde kapalı; 24 ve 31 Aralık'ta 16:00'a kadar açık</t>
        </is>
      </c>
      <c r="R87" s="29" t="inlineStr">
        <is>
          <t>Eindhoven sakinleri için milieupas ile her iki milieustraat yılda 12 kez ücretsiz</t>
        </is>
      </c>
      <c r="S87" s="29" t="inlineStr">
        <is>
          <t>2026'da kapalı günler: 6 Nisan, 27 Nisan, 14 Mayıs, 25 Mayıs, 25 ve 26 Aralık; ayrıca 1 Ocak 2027. Eindhoven'da oturmuyorsan yalnızca bir Eindhoven sakini adına, o adresin milieupas'ıyla atık getirebilirsin. Atığı kendisi götüremeyen sakinin eşyasını (ölen birinin eşyası, hareket edemeyen yaşlı ya da engelli, bakım evine taşınan kişi) başkası o adresin pasıyla getirebilir; pas için Cure müşteri hizmetleri. Bir ziyarette üst sınırlar: şilte 3; araç lastiği 4 (yalnız binek araç lastiği, kamyon ve traktör lastiği değil; jantlıysa jant en çok 20 inç); küçük kimyasal atık 100 litre (yalnız ev ambalajında); gülme gazı tüpü bir seferde 25, daha fazlası varsa güvenlik nedeniyle önceden ara.</t>
        </is>
      </c>
      <c r="T87" s="29" t="n"/>
    </row>
    <row r="88" ht="54" customHeight="1">
      <c r="A88" s="29" t="inlineStr">
        <is>
          <t>eindhoven:buyuk-esya-grofvuil-ophaalafspraak-bigbag-sticker</t>
        </is>
      </c>
      <c r="B88" s="29" t="inlineStr">
        <is>
          <t>eindhoven</t>
        </is>
      </c>
      <c r="C88" s="29" t="inlineStr">
        <is>
          <t>buyuk-esya-grofvuil-ophaalafspraak-bigbag-sticker</t>
        </is>
      </c>
      <c r="D88" s="29" t="inlineStr">
        <is>
          <t>Büyük eşya (grofvuil) evden nasıl aldırılır? Big Bag ve sticker ile randevu</t>
        </is>
      </c>
      <c r="E88" s="29" t="inlineStr">
        <is>
          <t>Cure randevu formu; Big Bag veya grofvuilsticker önceden evde olmalı</t>
        </is>
      </c>
      <c r="F88" s="29" t="inlineStr">
        <is>
          <t>Eindhoven'da koltuk, sandalye, masa gibi büyük eşyayı (grofvuil) Cure'a evinden aldırmak için ophaalafspraak (alma randevusu) formunu doldurursun. Bu yalnızca Big Bag ya da grofvuilsticker'ın zaten evindeyse yapılabilir; yoksa Eindhoven sakini olarak Cure'un webshop'undan sipariş edersin. Formda adın, adresin, e-postan, telefonun, Big Bag mi sticker mı olduğu, numarası, ne tür grofvuil verdiğin ve eşyayı nereye koyduğun istenir. Cure başvuruyu aldıktan sonra mümkün olan en kısa sürede randevu planlar ve alma tarihini içeren bir onay gönderir.</t>
        </is>
      </c>
      <c r="G88" s="29" t="inlineStr">
        <is>
          <t>grofvuil, büyük eşya, Big Bag, grofvuilsticker, Cure, ophaalafspraak, kanepe</t>
        </is>
      </c>
      <c r="H88" s="29" t="inlineStr">
        <is>
          <t>new;settled</t>
        </is>
      </c>
      <c r="I88" s="29" t="inlineStr">
        <is>
          <t>eindhoven:kaynak:220;eindhoven:kaynak:219</t>
        </is>
      </c>
      <c r="J88" s="49" t="n">
        <v>46317</v>
      </c>
      <c r="K88" s="51" t="n">
        <v>1110</v>
      </c>
      <c r="L88" s="29" t="inlineStr">
        <is>
          <t>Hayır</t>
        </is>
      </c>
      <c r="M88" s="29" t="inlineStr">
        <is>
          <t>Taslak</t>
        </is>
      </c>
      <c r="N88" s="29" t="inlineStr">
        <is>
          <t>eindhoven:gunluk</t>
        </is>
      </c>
      <c r="O88" s="29" t="inlineStr">
        <is>
          <t>Evinde Big Bag ya da grofvuilsticker olup olmadığına bak; yoksa Cure'un webshop'undan sipariş et (Eindhoven sakinleri için).
Cure'un ophaalafspraak formunu aç ve adını, adresini, e-postanı ve telefonunu yaz.
Big Bag mi sticker mı vereceğini seç ve üzerindeki numarayı yaz.
Ne tür grofvuil vereceğini yaz (örneğin koltuk, sandalye, masa).
Eşyayı kamyonun ulaşabileceği bir yere koy ve yeri açık ve eksiksiz tarif et.
Cure'dan gelen onayda alma tarihini oku.</t>
        </is>
      </c>
      <c r="P88" s="29" t="inlineStr">
        <is>
          <t>Big Bag veya grofvuilsticker (numarasıyla)</t>
        </is>
      </c>
      <c r="Q88" s="29" t="inlineStr">
        <is>
          <t>Cure başvuruyu aldıktan sonra mümkün olan en kısa sürede randevu planlar ve alma tarihini bildirir</t>
        </is>
      </c>
      <c r="R88" s="29" t="n"/>
      <c r="S88" s="29" t="inlineStr">
        <is>
          <t>Randevu formu yalnızca Big Bag ya da grofvuilsticker'ı önceden almış olanlar için. Evden aldırmak istemezsen grofvuil'i milieustraat'a kendin de götürebilirsin ('Eindhoven milieustraat: adresler, çalışma saatleri ve Cure milieupas kuralları' kartına bak).</t>
        </is>
      </c>
      <c r="T88" s="29" t="n"/>
    </row>
    <row r="89" ht="54" customHeight="1">
      <c r="A89" s="29" t="inlineStr">
        <is>
          <t>eindhoven:kopek-kaydi-hondenbelasting-ucreti</t>
        </is>
      </c>
      <c r="B89" s="29" t="inlineStr">
        <is>
          <t>eindhoven</t>
        </is>
      </c>
      <c r="C89" s="29" t="inlineStr">
        <is>
          <t>kopek-kaydi-hondenbelasting-ucreti</t>
        </is>
      </c>
      <c r="D89" s="29" t="inlineStr">
        <is>
          <t>Eindhoven'da köpek nasıl kaydedilir? Köpek vergisi (hondenbelasting) ne kadar?</t>
        </is>
      </c>
      <c r="E89" s="29" t="inlineStr">
        <is>
          <t>DigiD'li ve DigiD'siz kayıt, 2026 tarifeleri, kontrolör ve misafir köpek</t>
        </is>
      </c>
      <c r="F89" s="29" t="inlineStr">
        <is>
          <t>Bir veya daha fazla köpeğiniz varsa belediyeye bildirmek ve köpek vergisi ödemek zorundasınız. Kaydı DigiD'inizle dijital vergi gişesinden (digitale belastingbalie) yaparsınız; DigiD'siz formla da olur. 2026 yıllık vergisi: ilk köpek 94,00 euro, ikinci ve sonraki her köpek için köpek başına 188,00 euro, kennelde tutulan köpekler için 470,00 euro (sayfa bu tutarın köpek başına olup olmadığını yazmıyor). Dışarı hiç çıkmayan köpek de vergiye tabidir.</t>
        </is>
      </c>
      <c r="G89" s="29" t="inlineStr">
        <is>
          <t>hondenbelasting, köpek vergisi, köpek kaydı, hond aanmelden, DigiD, logeerhond, Legitiem</t>
        </is>
      </c>
      <c r="H89" s="29" t="inlineStr">
        <is>
          <t>new;settled</t>
        </is>
      </c>
      <c r="I89" s="29" t="inlineStr">
        <is>
          <t>eindhoven:kaynak:177</t>
        </is>
      </c>
      <c r="J89" s="49" t="n">
        <v>46317</v>
      </c>
      <c r="K89" s="51" t="n">
        <v>1111</v>
      </c>
      <c r="L89" s="29" t="inlineStr">
        <is>
          <t>Hayır</t>
        </is>
      </c>
      <c r="M89" s="29" t="inlineStr">
        <is>
          <t>Taslak</t>
        </is>
      </c>
      <c r="N89" s="29" t="inlineStr">
        <is>
          <t>eindhoven:gunluk</t>
        </is>
      </c>
      <c r="O89" s="29" t="inlineStr">
        <is>
          <t>Dijital vergi gişesinde (digitale belastingbalie) DigiD'inizle giriş yapıp köpeğinizi kaydedin.
DigiD'iniz yoksa "hond aan- of afmelden" formunu çevrimiçi doldurun.
Her yıl şubat sonunda gelen vergi tahakkuk belgesinde (aanslagbiljet) köpek sayınızı kontrol edin.
Yıl içinde bir köpek alırsanız veya Eindhoven'a taşınırsanız vergi bir sonraki tam aydan başlar; ikinci ya da üçüncü köpek için ayrı tahakkuk gelir.
Başkasının köpeği sizde kalıyorsa ve kapınıza kontrolör gelirse "Logeerhond aanmelden" formuyla köpeğin sizin olmadığını ve sahibini bildirin.</t>
        </is>
      </c>
      <c r="P89" s="29" t="inlineStr">
        <is>
          <t>DigiD (dijital kayıt için)</t>
        </is>
      </c>
      <c r="Q89" s="29" t="inlineStr">
        <is>
          <t>2026 vergisi 1 Ocak 2026'daki duruma göre belirlenir; tahakkuk belgesi her yıl şubat sonunda gelir; vergi yıl içinde başlıyorsa bir sonraki tam aydan itibaren ödenir.</t>
        </is>
      </c>
      <c r="R89" s="29" t="inlineStr">
        <is>
          <t>2026, yıllık: ilk köpek 94,00 euro; ikinci ve sonraki her köpek için köpek başına 188,00 euro; kennelde tutulan köpekler için 470,00 euro (sayfa bunun köpek başına olup olmadığını belirtmiyor, ayrıntı için 'verordening hondenbelasting 2026' metnini gösteriyor).</t>
        </is>
      </c>
      <c r="S89" s="29" t="inlineStr">
        <is>
          <t>Kontrolörler belediye adına Legitiem B.V. çalışanlarıdır ve Legitiem B.V.'nin geçerli kimliğini gösterebilir. Rehber köpekler gibi özel sosyal işlevi olan köpekler vergiden muaf olabilir; yine de bildirin.</t>
        </is>
      </c>
      <c r="T89" s="29" t="n"/>
    </row>
    <row r="90" ht="54" customHeight="1">
      <c r="A90" s="29" t="inlineStr">
        <is>
          <t>eindhoven:kopek-vergisi-odeme-itiraz-kayit-silme</t>
        </is>
      </c>
      <c r="B90" s="29" t="inlineStr">
        <is>
          <t>eindhoven</t>
        </is>
      </c>
      <c r="C90" s="29" t="inlineStr">
        <is>
          <t>kopek-vergisi-odeme-itiraz-kayit-silme</t>
        </is>
      </c>
      <c r="D90" s="29" t="inlineStr">
        <is>
          <t>Köpek vergisini nasıl öderim, itiraz eder ya da köpeği kayıttan sildirebilirim?</t>
        </is>
      </c>
      <c r="E90" s="29" t="inlineStr">
        <is>
          <t>Otomatik tahsilat, kwijtschelding, bezwaar, köpek ölümü ve taşınma</t>
        </is>
      </c>
      <c r="F90" s="29" t="inlineStr">
        <is>
          <t>Köpek vergisi tahakkuk belgesindeki tutar tek seferde ya da otomatik tahsilatla 10 taksitte ödenir. Düşük gelirli ve malvarlığı olmayanlar en fazla bir köpek için kwijtschelding (vergi silme) isteyebilir. Tahakkuka itiraz etmek (bezwaar) mümkündür ama tahakkuku yine de ödemeniz gerekir; itiraz kabul edilirse para iade edilir. Köpek ölürse ya da artık sahibi değilseniz bildirirsiniz; bildirdikten sonraki ilk tam aydan itibaren ödemezsiniz. Başka belediyeye taşınıp oraya kayıt olursanız tahakkuk azaltılır, ama taşındığınız ayın vergisini yine ödersiniz.</t>
        </is>
      </c>
      <c r="G90" s="29" t="inlineStr">
        <is>
          <t>köpek vergisi ödeme, kwijtschelding, bezwaar, hond afmelden, automatische incasso, aanslag</t>
        </is>
      </c>
      <c r="H90" s="29" t="inlineStr">
        <is>
          <t>settled</t>
        </is>
      </c>
      <c r="I90" s="29" t="inlineStr">
        <is>
          <t>eindhoven:kaynak:177</t>
        </is>
      </c>
      <c r="J90" s="49" t="n">
        <v>46317</v>
      </c>
      <c r="K90" s="51" t="n">
        <v>1112</v>
      </c>
      <c r="L90" s="29" t="inlineStr">
        <is>
          <t>Hayır</t>
        </is>
      </c>
      <c r="M90" s="29" t="inlineStr">
        <is>
          <t>Taslak</t>
        </is>
      </c>
      <c r="N90" s="29" t="inlineStr">
        <is>
          <t>eindhoven:gunluk</t>
        </is>
      </c>
      <c r="O90" s="29" t="inlineStr">
        <is>
          <t>Tahakkuk belgesindeki tutarı tek seferde ödeyin ya da otomatik tahsilat (machtiging) için yetki verin.
Ödeyemeyecek durumdaysanız kwijtschelding (vergi silme) başvurusu yapın; düşük gelir ve malvarlığı olmaması şart, en fazla bir köpek için geçerli.
Tahakkuka katılmıyorsanız bezwaar (itiraz) edin; itiraz sürerken tutarı ödemeniz gerekir.
Köpeğiniz öldüyse ya da artık sahibi değilseniz dijital vergi gişesinden (DigiD ile), "hond aan- of afmelden" formuyla ya da mektupla bildirin.
Mektupla bildirecekseniz Gemeente Eindhoven, Afdeling Belastingen, Postbus 90150, 5600 RB Eindhoven adresine yazın ve veterinerin euthanasieverklaring'ini ya da devir belgesini (afstandsverklaring) ekleyin.
Başka bir belediyeye taşınırsanız kayıt olduğunuz belediyeden sonra tahakkuk azaltılır; Eindhoven'dan ayrıldıktan sonra 4 hafta içinde yazılı azaltma bildirimi gelir.</t>
        </is>
      </c>
      <c r="P90" s="29" t="inlineStr">
        <is>
          <t>Köpek ölümünde veterinerin euthanasieverklaring'i veya devir belgesi (afstandsverklaring)</t>
        </is>
      </c>
      <c r="Q90" s="29" t="inlineStr">
        <is>
          <t>Köpeği kayıttan sildirdikten sonra bir sonraki tam aydan itibaren ödeme biter; taşınmada Eindhoven'dan ayrıldıktan sonra 4 hafta içinde yazılı bildirim gelir.</t>
        </is>
      </c>
      <c r="R90" s="29" t="inlineStr">
        <is>
          <t>Otomatik tahsilatta tutar 10 taksitte çekilir; 25 euronun altındaki tutarlar tek seferde çekilir; 9.000 euroyu aşan tahakkuk tek seferde ödenir.</t>
        </is>
      </c>
      <c r="S90" s="29" t="inlineStr">
        <is>
          <t>Taşındığınız ayın köpek vergisini yine de ödersiniz.</t>
        </is>
      </c>
      <c r="T90" s="29" t="n"/>
    </row>
    <row r="91" ht="54" customHeight="1">
      <c r="A91" s="29" t="inlineStr">
        <is>
          <t>eindhoven:gurultu-sikayeti-nasil-yapilir</t>
        </is>
      </c>
      <c r="B91" s="29" t="inlineStr">
        <is>
          <t>eindhoven</t>
        </is>
      </c>
      <c r="C91" s="29" t="inlineStr">
        <is>
          <t>gurultu-sikayeti-nasil-yapilir</t>
        </is>
      </c>
      <c r="D91" s="29" t="inlineStr">
        <is>
          <t>Eindhoven'da gürültü şikâyeti nasıl yapılır? İlk adımlar ve kişisel bilgiler</t>
        </is>
      </c>
      <c r="E91" s="29" t="inlineStr">
        <is>
          <t>Önce konuşun; çözülmezse gürültünün kaynağına göre doğru kanaldan bildirin</t>
        </is>
      </c>
      <c r="F91" s="29" t="inlineStr">
        <is>
          <t>Gürültü yaşıyorsanız önce gürültüyü çıkaranla konuşun; belki aranızda çözülür. Çözülmezse ya da kimin yaptığını bilmiyorsanız bildirim yolu gürültünün kaynağına göre değişir: etkinlik, bar-restoran ve diğer işletmeler ile inşaat gürültüsü için belediyenin dijital bildirim noktası (meldpunt) ya da 14 040; komşu gürültüsü için belediyenin ayrı "overlast" sayfası; Eindhoven Airport'un uçak gürültüsü için Samen op de Hoogte sitesi. Bildirimde adınızı, telefonunuzu ve e-posta adresinizi yazmanız istenir; iletişim bilgisi bırakmazsanız şikâyet incelenmeyebilir. Bilgileriniz gürültüyü çıkaranla paylaşılmaz.</t>
        </is>
      </c>
      <c r="G91" s="29" t="inlineStr">
        <is>
          <t>geluidsoverlast, gürültü şikâyeti, meldpunt, 14 040, komşu gürültüsü, overlast, anonim şikâyet</t>
        </is>
      </c>
      <c r="H91" s="29" t="inlineStr">
        <is>
          <t>new;settled</t>
        </is>
      </c>
      <c r="I91" s="29" t="inlineStr">
        <is>
          <t>eindhoven:kaynak:178</t>
        </is>
      </c>
      <c r="J91" s="49" t="n">
        <v>46317</v>
      </c>
      <c r="K91" s="51" t="n">
        <v>1113</v>
      </c>
      <c r="L91" s="29" t="inlineStr">
        <is>
          <t>Hayır</t>
        </is>
      </c>
      <c r="M91" s="29" t="inlineStr">
        <is>
          <t>Taslak</t>
        </is>
      </c>
      <c r="N91" s="29" t="inlineStr">
        <is>
          <t>eindhoven:gunluk</t>
        </is>
      </c>
      <c r="O91" s="29" t="inlineStr">
        <is>
          <t>Önce gürültüyü çıkaranla konuşun ve sorunu aranızda çözmeyi deneyin.
Çözülmezse ya da kimin yaptığını bilmiyorsanız gürültünün kaynağını belirleyin; bildirim yolu kaynağa göre değişir.
Etkinlik, bar-restoran, diğer işletmeler ve inşaat gürültüsünü belediyenin dijital bildirim noktasından ya da 14 040'ı arayarak bildirin.
Komşu gürültüsü için belediyenin "overlast" sayfasındaki yolu, Eindhoven Airport uçak gürültüsü için Samen op de Hoogte sitesini kullanın.
Bildirim formunda adınızı, telefon numaranızı ve e-posta adresinizi yazın; gerekirse ek bilgi için sizinle iletişime geçilir.</t>
        </is>
      </c>
      <c r="P91" s="29" t="n"/>
      <c r="Q91" s="29" t="n"/>
      <c r="R91" s="29" t="n"/>
      <c r="S91" s="29" t="inlineStr">
        <is>
          <t>İletişim bilgisi bırakmadan gönderilen bildirimin hiç ya da çok sınırlı işleme alınma ihtimali yüksek.</t>
        </is>
      </c>
      <c r="T91" s="29" t="n"/>
    </row>
    <row r="92" ht="54" customHeight="1">
      <c r="A92" s="29" t="inlineStr">
        <is>
          <t>eindhoven:etkinlik-bar-insaat-havalimani-fabrika-rahatsizlik-bildirimi</t>
        </is>
      </c>
      <c r="B92" s="29" t="inlineStr">
        <is>
          <t>eindhoven</t>
        </is>
      </c>
      <c r="C92" s="29" t="inlineStr">
        <is>
          <t>etkinlik-bar-insaat-havalimani-fabrika-rahatsizlik-bildirimi</t>
        </is>
      </c>
      <c r="D92" s="29" t="inlineStr">
        <is>
          <t>Etkinlik, bar, inşaat, havalimanı, luchtalarm veya fabrika rahatsızlığı kime bildirilir?</t>
        </is>
      </c>
      <c r="E92" s="29" t="inlineStr">
        <is>
          <t>MilieuKlachtenCentrale, Samen op de Hoogte, Omgevingsdienst: hangi sorun nereye</t>
        </is>
      </c>
      <c r="F92" s="29" t="inlineStr">
        <is>
          <t>Etkinlik ve bar-restoran gürültüsü için belediyenin dijital bildirim noktası veya 14 040; mesai dışında MilieuKlachtenCentrale. İnşaat gürültüsü için dijital bildirim noktası ya da 14 040. Eindhoven Airport uçak gürültüsü için Samen op de Hoogte sitesi, hava saldırısı sireni (luchtalarm) için Veiligheidsregio Brabant-Zuidoost; koku, titreşim ve toz gibi işletme kaynaklı sorunlar MilieuKlachtenCentrale'ye bildirilir.</t>
        </is>
      </c>
      <c r="G92" s="29" t="inlineStr">
        <is>
          <t>MilieuKlachtenCentrale, etkinlik gürültüsü, inşaat gürültüsü, Eindhoven Airport, luchtalarm, koku, horeca, Omgevingsdienst</t>
        </is>
      </c>
      <c r="H92" s="29" t="inlineStr">
        <is>
          <t>new;settled</t>
        </is>
      </c>
      <c r="I92" s="29" t="inlineStr">
        <is>
          <t>eindhoven:kaynak:178</t>
        </is>
      </c>
      <c r="J92" s="49" t="n">
        <v>46317</v>
      </c>
      <c r="K92" s="51" t="n">
        <v>1114</v>
      </c>
      <c r="L92" s="29" t="inlineStr">
        <is>
          <t>Hayır</t>
        </is>
      </c>
      <c r="M92" s="29" t="inlineStr">
        <is>
          <t>Taslak</t>
        </is>
      </c>
      <c r="N92" s="29" t="inlineStr">
        <is>
          <t>eindhoven:gunluk</t>
        </is>
      </c>
      <c r="O92" s="29" t="inlineStr">
        <is>
          <t>Etkinlik ya da bar-restoran gürültüsünü mesai saatlerinde dijital bildirim noktasından ya da 14 040'tan bildirin.
Mesai dışında MilieuKlachtenCentrale'ye ulaşın; kayıt belediyeye iletilir ve denetim görevlisi en kısa sürede ilgilenir, denetim görevlisi yoksa ertesi iş günü işleme alınır.
İnşaat gürültüsünü dijital bildirim noktasından veya 14 040'tan bildirin.
Uçak gürültüsü soru ve şikâyetleri için Samen op de Hoogte sitesine gidin.
Luchtalarm için Veiligheidsregio Brabant-Zuidoost'a info@vrbzo.nl adresinden ya da (040) 220 3203'ten ulaşın.
Koku, titreşim, toz ve işletmelerden gelen diğer rahatsızlıkları MilieuKlachtenCentrale'ye bildirin; belediye ya da Omgevingsdienst Zuidoost-Brabant ilgilenir.</t>
        </is>
      </c>
      <c r="P92" s="29" t="n"/>
      <c r="Q92" s="29" t="inlineStr">
        <is>
          <t>Mesai dışı bildirimde denetim görevlisi yoksa şikâyet ertesi iş günü işleme alınır.</t>
        </is>
      </c>
      <c r="R92" s="29" t="n"/>
      <c r="S92" s="29" t="inlineStr">
        <is>
          <t>Büyük etkinliklerin çoğunda ses önceden kontrol edilir.</t>
        </is>
      </c>
      <c r="T92" s="29" t="n"/>
    </row>
    <row r="93" ht="54" customHeight="1">
      <c r="A93" s="29" t="inlineStr">
        <is>
          <t>eindhoven:polis-0900-8844-ne-zaman-aranir</t>
        </is>
      </c>
      <c r="B93" s="29" t="inlineStr">
        <is>
          <t>eindhoven</t>
        </is>
      </c>
      <c r="C93" s="29" t="inlineStr">
        <is>
          <t>polis-0900-8844-ne-zaman-aranir</t>
        </is>
      </c>
      <c r="D93" s="29" t="inlineStr">
        <is>
          <t>Polisi ne zaman aramalı? 0900 88 44 ve 112</t>
        </is>
      </c>
      <c r="E93" s="29" t="inlineStr">
        <is>
          <t>112 ne zaman, 0900 8844 ne zaman; gürültüde polis neden belediyeye yönlendirir</t>
        </is>
      </c>
      <c r="F93" s="29" t="inlineStr">
        <is>
          <t>112, acil yardım gerektiğinde aranır: hayatınız doğrudan tehlikedeyse, biri ağır yaralandıysa ya da saldırı, soygun, hırsızlık gibi ciddi bir suça tanık olduysanız. Acil olmayan yardım için ulusal polis numarası 0900 8844'tür (yerel tarife); örneğin failler gittikten sonra eve girilmiş bir hırsızlığı bildirmek için. 112'yi ararsanız operatöre ne olduğunu, hangi yardımın gerektiğini ve polis, itfaiye ya da ambulanstan hangisinin gerektiğini söylersiniz. Gürültü ya da işletme kaynaklı rahatsızlık için polis meldkamer'ini (0900 88 44) ararsanız Eindhoven belediyesine veya MilieuKlachtenCentrale'ye geri yönlendirilebilirsiniz; polis yalnızca calamiteit (olağanüstü durum) hâllerinde müdahale eder.</t>
        </is>
      </c>
      <c r="G93" s="29" t="inlineStr">
        <is>
          <t>polis, 0900 88 44, 112, alarmnummer, meldkamer, politie, calamiteit, acil</t>
        </is>
      </c>
      <c r="H93" s="29" t="inlineStr">
        <is>
          <t>before;planning;new;settled</t>
        </is>
      </c>
      <c r="I93" s="29" t="inlineStr">
        <is>
          <t>eindhoven:kaynak:178;eindhoven:kaynak:214</t>
        </is>
      </c>
      <c r="J93" s="49" t="n">
        <v>46317</v>
      </c>
      <c r="K93" s="51" t="n">
        <v>1115</v>
      </c>
      <c r="L93" s="29" t="inlineStr">
        <is>
          <t>Evet</t>
        </is>
      </c>
      <c r="M93" s="29" t="inlineStr">
        <is>
          <t>Taslak</t>
        </is>
      </c>
      <c r="N93" s="29" t="inlineStr">
        <is>
          <t>eindhoven:gunluk</t>
        </is>
      </c>
      <c r="O93" s="29" t="inlineStr">
        <is>
          <t>Hayatınız tehlikedeyse, biri ağır yaralandıysa ya da ciddi bir suça tanık olduysanız 112'yi arayın.
112 operatörüne ne olduğunu, ne tür yardıma ihtiyaç olduğunu ve polis, itfaiye ya da ambulanstan hangisinin gerektiğini söyleyin.
Failler gittikten sonra eve girilmiş bir hırsızlığı bildirmek ya da acil olmayan yardım istemek için polisi 0900 8844'ten arayın.
Sıkışmış hayvan için yerel itfaiyeyi, bütün sokakta elektrik yoksa elektrik şirketini arayın; ikisi de 112 konusu değildir.
Gürültü ya da işletme rahatsızlığı için önce belediyeye bildirin: dijital bildirim noktası veya 14 040; mesai dışında MilieuKlachtenCentrale.</t>
        </is>
      </c>
      <c r="P93" s="29" t="n"/>
      <c r="Q93" s="29" t="n"/>
      <c r="R93" s="29" t="n"/>
      <c r="S93" s="29" t="inlineStr">
        <is>
          <t>Bu kart yalnızca rahatsızlık bildirimi ve polisin görev sınırını anlatır; sağlık acilleri için sağlık konusundaki kartlara bakın.</t>
        </is>
      </c>
      <c r="T93" s="29" t="n"/>
    </row>
    <row r="94" ht="54" customHeight="1">
      <c r="A94" s="29" t="inlineStr">
        <is>
          <t>eindhoven:catharina-pazari-cumartesi-eindhoven</t>
        </is>
      </c>
      <c r="B94" s="29" t="inlineStr">
        <is>
          <t>eindhoven</t>
        </is>
      </c>
      <c r="C94" s="29" t="inlineStr">
        <is>
          <t>catharina-pazari-cumartesi-eindhoven</t>
        </is>
      </c>
      <c r="D94" s="29" t="inlineStr">
        <is>
          <t>Eindhoven'da cumartesi pazarı: Catharina Market</t>
        </is>
      </c>
      <c r="E94" s="29" t="inlineStr">
        <is>
          <t>Catharinaplein'da her cumartesi 10.00-17.00, giriş ücretsiz</t>
        </is>
      </c>
      <c r="F94" s="29" t="inlineStr">
        <is>
          <t>Catharina Market, Eindhoven şehir merkezinde Catharinaplein'da her cumartesi 10.00 ile 17.00 arasında kurulur. Vintage eşyalar, ilginç parçalar, yemek, tasarım ve teknoloji ürünleri bulursunuz; tezgâhlar sık değişir ve her hafta yeni tezgâhlar çıkar. Sayfada 24 Ekim 2026 pazarı için giriş ücretsiz yazıyor. Yakındaki mağaza, restoran ve barlarla bir gün geçirilebilir.</t>
        </is>
      </c>
      <c r="G94" s="29" t="inlineStr">
        <is>
          <t>Catharina Market, cumartesi pazarı, Catharinaplein, Eindhoven pazar, vintage, Stratumseind</t>
        </is>
      </c>
      <c r="H94" s="29" t="inlineStr">
        <is>
          <t>new;settled</t>
        </is>
      </c>
      <c r="I94" s="29" t="inlineStr">
        <is>
          <t>eindhoven:kaynak:171</t>
        </is>
      </c>
      <c r="J94" s="49" t="n">
        <v>46317</v>
      </c>
      <c r="K94" s="51" t="n">
        <v>1116</v>
      </c>
      <c r="L94" s="29" t="inlineStr">
        <is>
          <t>Hayır</t>
        </is>
      </c>
      <c r="M94" s="29" t="inlineStr">
        <is>
          <t>Taslak</t>
        </is>
      </c>
      <c r="N94" s="29" t="inlineStr">
        <is>
          <t>eindhoven:gunluk</t>
        </is>
      </c>
      <c r="O94" s="29" t="inlineStr">
        <is>
          <t>Cumartesi günü 10.00 ile 17.00 arasında Catharinaplein'a gidin.
Alışveriş listesi yapmadan dolaşın; vintage, yemek, tasarım ve teknoloji tezgâhları karışık sıralanır.
Pazardan sonra içecek için Stratumseind'a geçin ya da yakındaki alışveriş sokaklarında devam edin.</t>
        </is>
      </c>
      <c r="P94" s="29" t="n"/>
      <c r="Q94" s="29" t="inlineStr">
        <is>
          <t>Her cumartesi 10.00-17.00.</t>
        </is>
      </c>
      <c r="R94" s="29" t="inlineStr">
        <is>
          <t>24 Ekim 2026 pazarı için giriş ücretsiz.</t>
        </is>
      </c>
      <c r="S94" s="29" t="inlineStr">
        <is>
          <t>Pazarın adresi Catharinaplein, posta kodu 5611 DE; sayfadaki rota planlama bağlantısından yol tarifi alabilirsiniz.</t>
        </is>
      </c>
      <c r="T94" s="29" t="n"/>
    </row>
    <row r="95" ht="54" customHeight="1">
      <c r="A95" s="29" t="inlineStr">
        <is>
          <t>eindhoven:magaza-acilis-saatleri-pazar-resmi-tatil</t>
        </is>
      </c>
      <c r="B95" s="29" t="inlineStr">
        <is>
          <t>eindhoven</t>
        </is>
      </c>
      <c r="C95" s="29" t="inlineStr">
        <is>
          <t>magaza-acilis-saatleri-pazar-resmi-tatil</t>
        </is>
      </c>
      <c r="D95" s="29" t="inlineStr">
        <is>
          <t>Hollanda'da mağazalar ne zaman açık? Pazar ve resmî tatil kuralı</t>
        </is>
      </c>
      <c r="E95" s="29" t="inlineStr">
        <is>
          <t>Hafta içi ve cumartesi yasal üst aralık 6:00-22:00; pazar ve tatilde belediye karar verir</t>
        </is>
      </c>
      <c r="F95" s="29" t="inlineStr">
        <is>
          <t>Hafta içi ve cumartesi mağazalar 6:00 ile 22:00 arasında açık olabilir. Yasa mağazaların pazar ve resmî tatillerde kapalı olmasını esas alır, ama belediyeler açılma izni verebilir. Hastane içi mağazalar, benzin istasyonları ve ağırlıkla gazete-dergi satan dükkânlar ulusal muafiyetle her pazar açık olabilir. 4 Mayıs anma gününde mağazalar kural olarak 19:00'da kapanır; belediyeler açık kalma izni verebilir. Kaynak, bu düzenlemenin Büyük Cuma (Goede vrijdag) ve Noel arifesi (Kerstavond) dahil birkaç başka gün için de geçerli olduğunu yazıyor.</t>
        </is>
      </c>
      <c r="G95" s="29" t="inlineStr">
        <is>
          <t>mağaza saatleri, pazar kapalı, koopzondag, winkeltijden, resmî tatil alışveriş, 4 Mayıs, benzin istasyonu</t>
        </is>
      </c>
      <c r="H95" s="29" t="inlineStr">
        <is>
          <t>before;planning;new;settled</t>
        </is>
      </c>
      <c r="I95" s="29" t="inlineStr">
        <is>
          <t>eindhoven:kaynak:172</t>
        </is>
      </c>
      <c r="J95" s="49" t="n">
        <v>46317</v>
      </c>
      <c r="K95" s="51" t="n">
        <v>1117</v>
      </c>
      <c r="L95" s="29" t="inlineStr">
        <is>
          <t>Hayır</t>
        </is>
      </c>
      <c r="M95" s="29" t="inlineStr">
        <is>
          <t>Taslak</t>
        </is>
      </c>
      <c r="N95" s="29" t="inlineStr">
        <is>
          <t>eindhoven:gunluk</t>
        </is>
      </c>
      <c r="O95" s="29" t="inlineStr">
        <is>
          <t>Hafta içi ve cumartesi için 6:00-22:00'ın yasanın izin verdiği en geniş aralık olduğunu bilin; gideceğiniz mağazanın bu aralıktaki kendi açılış saatine bakın.
Pazar ve resmî tatillerde mağazaların açık olup olmadığını belediyenin kararına göre kontrol edin; yasa varsayılan olarak kapalı sayar.
Pazar günü acil ihtiyaç için hastane içi mağazalara, benzin istasyonlarına veya gazete-dergi ağırlıklı dükkânlara bakın.
4 Mayıs'ta, Büyük Cuma ve Noel arifesinde alışverişi 19:00'dan önce bitirin; belediye izin verdiyse bazı mağazalar açık kalabilir.</t>
        </is>
      </c>
      <c r="P95" s="29" t="n"/>
      <c r="Q95" s="29" t="inlineStr">
        <is>
          <t>Hafta içi ve cumartesi yasanın izin verdiği aralık 6:00-22:00; 4 Mayıs'ta kural olarak 19:00'da kapanış.</t>
        </is>
      </c>
      <c r="R95" s="29" t="n"/>
      <c r="S95" s="29" t="inlineStr">
        <is>
          <t>Pazar ve tatil kuralının kapsadığı günler: Yılbaşı, İkinci Paskalya Günü, Hemelvaart, İkinci Pinkster, Noel ve Noel'in ikinci günü.</t>
        </is>
      </c>
      <c r="T95" s="29" t="n"/>
    </row>
    <row r="96" ht="54" customHeight="1">
      <c r="A96" s="29" t="inlineStr">
        <is>
          <t>eindhoven:hollanda-resmi-tatil-gunleri-2026-2027</t>
        </is>
      </c>
      <c r="B96" s="29" t="inlineStr">
        <is>
          <t>eindhoven</t>
        </is>
      </c>
      <c r="C96" s="29" t="inlineStr">
        <is>
          <t>hollanda-resmi-tatil-gunleri-2026-2027</t>
        </is>
      </c>
      <c r="D96" s="29" t="inlineStr">
        <is>
          <t>Hollanda'da resmî tatil günleri 2026 ve 2027: tatilde izin hakkı var mı?</t>
        </is>
      </c>
      <c r="E96" s="29" t="inlineStr">
        <is>
          <t>Tarih listesi, iş yerinde izin ve yasal sürelerin uzaması</t>
        </is>
      </c>
      <c r="F96" s="29" t="inlineStr">
        <is>
          <t>Hollanda'da resmî tatiller: yılbaşı, Büyük Cuma, Paskalya (iki gün), Koningsdag, Bevrijdingsdag, Hemelvaart, Pinkster (iki gün) ve Noel (iki gün). 2026'da yıl sonuna kalanlar 25 ve 26 Aralık; 2027'de yılbaşı 1 Ocak Cuma. Resmî tatilde iş yerinde izinli olmak yasal hak değildir, bunu iş sözleşmeniz ya da CAO belirler.</t>
        </is>
      </c>
      <c r="G96" s="29" t="inlineStr">
        <is>
          <t>resmî tatil, feestdag, Koningsdag, Bevrijdingsdag, Hemelvaart, Pinkster, CAO, tatil günleri</t>
        </is>
      </c>
      <c r="H96" s="29" t="inlineStr">
        <is>
          <t>before;planning;new;settled</t>
        </is>
      </c>
      <c r="I96" s="29" t="inlineStr">
        <is>
          <t>eindhoven:kaynak:173</t>
        </is>
      </c>
      <c r="J96" s="49" t="n">
        <v>46317</v>
      </c>
      <c r="K96" s="51" t="n">
        <v>1118</v>
      </c>
      <c r="L96" s="29" t="inlineStr">
        <is>
          <t>Hayır</t>
        </is>
      </c>
      <c r="M96" s="29" t="inlineStr">
        <is>
          <t>Taslak</t>
        </is>
      </c>
      <c r="N96" s="29" t="inlineStr">
        <is>
          <t>eindhoven:gunluk</t>
        </is>
      </c>
      <c r="O96" s="29" t="inlineStr">
        <is>
          <t>İş sözleşmenizi veya CAO'nuzu (toplu iş sözleşmesi) açıp resmî tatilde izinli olup olmadığınızı kontrol edin.
Yasal bir süre hafta sonuna ya da resmî tatile denk gelirse son gün, hafta sonu ve tatil olmayan bir sonraki güne uzar; ödeme ve cevap tarihlerinizi buna göre hesaplayın.
2026 ve 2027 tatil tarihlerine göre seyahat, randevu ve alışveriş planlarınızı yapın.</t>
        </is>
      </c>
      <c r="P96" s="29" t="n"/>
      <c r="Q96" s="29" t="inlineStr">
        <is>
          <t>2026: 1 Ocak, 3 Nisan, 5-6 Nisan, 27 Nisan, 5 Mayıs, 14 Mayıs, 24-25 Mayıs, 25-26 Aralık. 2027: 1 Ocak, 26 Mart, 28-29 Mart, 27 Nisan, 5 Mayıs, 6 Mayıs, 16-17 Mayıs, 25-26 Aralık.</t>
        </is>
      </c>
      <c r="R96" s="29" t="n"/>
      <c r="S96" s="29" t="inlineStr">
        <is>
          <t>Tatil günleri: Nieuwjaarsdag (yılbaşı), Goede vrijdag (Büyük Cuma), Paasdag (Paskalya), Koningsdag, Bevrijdingsdag, Hemelvaartsdag, Pinksterdag, Kerstdag (Noel).</t>
        </is>
      </c>
      <c r="T96" s="29" t="n"/>
    </row>
    <row r="97" ht="54" customHeight="1">
      <c r="A97" s="29" t="inlineStr">
        <is>
          <t>eindhoven:inburgering-baslangic-hangi-yasa-mektup-iletisim</t>
        </is>
      </c>
      <c r="B97" s="29" t="inlineStr">
        <is>
          <t>eindhoven</t>
        </is>
      </c>
      <c r="C97" s="29" t="inlineStr">
        <is>
          <t>inburgering-baslangic-hangi-yasa-mektup-iletisim</t>
        </is>
      </c>
      <c r="D97" s="29" t="inlineStr">
        <is>
          <t>Inburgering (uyum) zorunluluğu: DUO'dan mektup geldi ya da diploma istiyorum, nereden başlarım?</t>
        </is>
      </c>
      <c r="E97" s="29" t="inlineStr">
        <is>
          <t>WI2013 ve WI2021 farkı, Eindhoven belediyesi Inburgering ve Migratie ekibi</t>
        </is>
      </c>
      <c r="F97" s="29" t="inlineStr">
        <is>
          <t>Oturum izninizi 1 Ocak 2022'den önce aldıysanız Wet Inburgering 2013 (WI2013) kapsamındasınız ve inburgering'i kendiniz organize edersiniz. 1 Ocak 2022'den sonra aldıysanız Wet Inburgering 2021 (WI2021) kapsamındasınız; belediye sizi mektupla görüşmeye çağırır ve süreçte size eşlik eder. Sorularınız için belediyenin Inburgering ve Migratie ekibine inburgering@eindhoven.nl adresinden ya da 14 040 numarasından ulaşabilirsiniz.</t>
        </is>
      </c>
      <c r="G97" s="29" t="inlineStr">
        <is>
          <t>inburgering, uyum, DUO mektubu, WI2021, WI2013, PVT, naturalisatie, onbepaalde tijd</t>
        </is>
      </c>
      <c r="H97" s="29" t="inlineStr">
        <is>
          <t>planning;new</t>
        </is>
      </c>
      <c r="I97" s="29" t="inlineStr">
        <is>
          <t>eindhoven:kaynak:174</t>
        </is>
      </c>
      <c r="J97" s="49" t="n">
        <v>46317</v>
      </c>
      <c r="K97" s="51" t="n">
        <v>1119</v>
      </c>
      <c r="L97" s="29" t="inlineStr">
        <is>
          <t>Hayır</t>
        </is>
      </c>
      <c r="M97" s="29" t="inlineStr">
        <is>
          <t>Taslak</t>
        </is>
      </c>
      <c r="N97" s="29" t="inlineStr">
        <is>
          <t>eindhoven:gunluk</t>
        </is>
      </c>
      <c r="O97" s="29" t="inlineStr">
        <is>
          <t>Oturum izninizin tarihine bakın: 1 Ocak 2022'den önceyse WI2013, sonrasıysa WI2021 kapsamındasınız.
WI2013 kapsamındaysanız inburgering'i kendiniz organize edin ve DUO'nun inburgering sitesindeki bilgilere bakın.
WI2021 kapsamındaysanız belediyenin davet mektubunu bekleyin; mektup gelmediyse inburgering@eindhoven.nl adresine yazın ya da 14 040'ı arayın.
Natüralizasyon için diploma gerekiyorsa ind.nl'deki koşullara bakın ve sonra belediyeden naturalisatie randevusu alın.
Süresiz oturum için (5 yıl sonra) diploma gerekiyorsa ind.nl'deki sayfaya bakın.
Participatieverklaring (PVT) için belediyenin Inburgering ve Migratie ekibiyle iletişime geçin.</t>
        </is>
      </c>
      <c r="P97" s="29" t="inlineStr">
        <is>
          <t>DUO'dan gelen inburgering mektubu (varsa)</t>
        </is>
      </c>
      <c r="Q97" s="29" t="n"/>
      <c r="R97" s="29" t="n"/>
      <c r="S97" s="29" t="inlineStr">
        <is>
          <t>AZC'de (sığınmacı merkezi) kalıyorsanız, Eindhoven'da inburgering'e belki erken başlayabilirsiniz; bu yalnızca AZC'den Eindhoven'a kolay ulaşabiliyorsanız mümkün. Case manager'ınızla konuşun ve belediye ekibine yazın.</t>
        </is>
      </c>
      <c r="T97" s="29" t="n"/>
    </row>
    <row r="98" ht="54" customHeight="1">
      <c r="A98" s="29" t="inlineStr">
        <is>
          <t>eindhoven:inburgering-wi2021-brede-intake-pip-pvt-map-rotalar</t>
        </is>
      </c>
      <c r="B98" s="29" t="inlineStr">
        <is>
          <t>eindhoven</t>
        </is>
      </c>
      <c r="C98" s="29" t="inlineStr">
        <is>
          <t>inburgering-wi2021-brede-intake-pip-pvt-map-rotalar</t>
        </is>
      </c>
      <c r="D98" s="29" t="inlineStr">
        <is>
          <t>Inburgering WI2021 süreci: brede intake, PIP, PVT, MAP ve üç öğrenme rotası</t>
        </is>
      </c>
      <c r="E98" s="29" t="inlineStr">
        <is>
          <t>B1, Onderwijs ve Z rotası; 3 yıllık süre; Asiel ve partner yolu farkı</t>
        </is>
      </c>
      <c r="F98" s="29" t="inlineStr">
        <is>
          <t>Inburgering yükümlüyseniz hangi yasaya tabi olduğunuzu oturum izninizin verildiği tarih belirler: izin 1 Ocak 2022'den sonra verildiyse Wet Inburgering 2021'e (WI2021) tabisiniz ve belediye size eşlik eder; 1 Ocak 2022'den önce verildiyse WI2013'e tabisiniz ve inburgering'inizi kendiniz düzenlersiniz (bilgi: DUO – Inburgeren sitesi). WI2021'de belediye sizi mektupla bir görüşmeye (brede intake) çağırır ve leerbaarheidstoets ile hangi öğrenme rotasının uygun olduğunu belirler. Üç rota var: B1-route (B1 düzeyi Hollandaca ve çalışma), Onderwijsroute (çoğunlukla genç yükümlüler için, Hollanda'da okula geçiş) ve Z-route (Onderwijs ve B1 rotaları ulaşılamazsa; 1600 saat pratik dil ve katılım); hangisini izleyeceğiniz PIP'te yazar. PIP'in belirlendiği günden itibaren inburgering yükümlülüğünü tamamlamak için en fazla 3 yılınız var. Asiel statüsündekilerde okulu belediye seçer; partner yanında düzenli ikamet edenler okulu ve ders ücretini kendileri üstlenir.</t>
        </is>
      </c>
      <c r="G98" s="29" t="inlineStr">
        <is>
          <t>inburgering, PIP, PVT, MAP, leerbaarheidstoets, B1-route, Z-route, brede intake</t>
        </is>
      </c>
      <c r="H98" s="29" t="inlineStr">
        <is>
          <t>new;settled</t>
        </is>
      </c>
      <c r="I98" s="29" t="inlineStr">
        <is>
          <t>eindhoven:kaynak:174</t>
        </is>
      </c>
      <c r="J98" s="49" t="n">
        <v>46317</v>
      </c>
      <c r="K98" s="51" t="n">
        <v>1120</v>
      </c>
      <c r="L98" s="29" t="inlineStr">
        <is>
          <t>Hayır</t>
        </is>
      </c>
      <c r="M98" s="29" t="inlineStr">
        <is>
          <t>Taslak</t>
        </is>
      </c>
      <c r="N98" s="29" t="inlineStr">
        <is>
          <t>eindhoven:gunluk</t>
        </is>
      </c>
      <c r="O98" s="29" t="inlineStr">
        <is>
          <t>Belediyenin mektupla gönderdiği davetle brede intake görüşmesine gidin ve leerbaarheidstoets'i yapın; mektup gelmediyse inburgering@eindhoven.nl adresine yazın ya da 14 040'ı arayın.
VluchtelingenWerk Eindhoven'da participatieverklaringstraject'ini (PVT) izleyin.
Belediyenin inburgering uzmanıyla Plan Inburgering en Participatie'yi (PIP) hazırlayın ve PIP'te yazan anlaşmalara (afspraken) uyun; bu zorunludur.
PIP'te yazan rotayı izleyin: B1-route, Onderwijsroute veya Z-route.
Module Arbeidsmarkt en Participatie'yi (MAP) tamamlayın; 40 saat çalışma deneyimi yaparsınız.
Hazır olduğunuzda okulunuzla karar verip DUO'nun yaptığı inburgering sınavına girin.</t>
        </is>
      </c>
      <c r="P98" s="29" t="inlineStr">
        <is>
          <t>PIP (belediyeyle birlikte hazırlanır)</t>
        </is>
      </c>
      <c r="Q98" s="29" t="inlineStr">
        <is>
          <t>PIP onaylandığı tarihten itibaren inburgering yükümlülüğünü tamamlamak için en fazla 3 yıl.</t>
        </is>
      </c>
      <c r="R98" s="29" t="inlineStr">
        <is>
          <t>Partner yanında düzenli ikamet izniyle gelenlerde ders ücretini kişi öder; DUO borcu kullanılabilir.</t>
        </is>
      </c>
      <c r="S98" s="29" t="inlineStr">
        <is>
          <t>DUO kredisi kullanacaksanız taal okulunun Blik op Werk onayı (keurmerk) olması gerekir. Belediyenin 'Regulier verblijf bij partner' rotası şeması, ülkenizde inburgering testini (toets inburgering) yapmış olmanızla başlıyor.</t>
        </is>
      </c>
      <c r="T98" s="29" t="n"/>
    </row>
    <row r="99" ht="54" customHeight="1">
      <c r="A99" s="29" t="inlineStr">
        <is>
          <t>eindhoven:inburgering-duo-lening-kurs-sinav-ucreti</t>
        </is>
      </c>
      <c r="B99" s="29" t="inlineStr">
        <is>
          <t>eindhoven</t>
        </is>
      </c>
      <c r="C99" s="29" t="inlineStr">
        <is>
          <t>inburgering-duo-lening-kurs-sinav-ucreti</t>
        </is>
      </c>
      <c r="D99" s="29" t="inlineStr">
        <is>
          <t>Inburgering kursu ve sınavı için DUO'dan borç (lening) alınır mı? Geri ödeme ve faiz</t>
        </is>
      </c>
      <c r="E99" s="29" t="inlineStr">
        <is>
          <t>Kim alabilir, nasıl başvurulur, faiz oranları</t>
        </is>
      </c>
      <c r="F99" s="29" t="inlineStr">
        <is>
          <t>WI2021 kapsamında asiel statüsü olanlar DUO'dan borç alamaz; ders masraflarını ve 2 sınav hakkını belediye öder. Zorunlu olmadığı hâlde inburgering yapmak isteyenler belediyeye ilk kayıttan 3 yıl sonrasına kadar borç alabilir; AB/AEA ülkesi ya da İsviçre vatandaşları da dâhildir. İnburgering yükümlüsü diğer herkes (örneğin partner yanında kalma izniyle gelenler) hemen her zaman borç alabilir. Borç B1 veya B2 kursu, A2 kursu, okuma-yazma kursu ve sınav içindir; DUO parayı hesabınıza yatırmaz, kurs ya da sınav ücretini doğrudan öder. Asiel statüsü sahipleri borcu hiç geri ödemez; diğerlerinde borç bazen kısmen silinir, ödenecekse faiz işler.</t>
        </is>
      </c>
      <c r="G99" s="29" t="inlineStr">
        <is>
          <t>DUO lening, inburgering kredisi, inburgering ücreti, Mijn Inburgering, DigiD, faiz, zoekinburgerschool</t>
        </is>
      </c>
      <c r="H99" s="29" t="inlineStr">
        <is>
          <t>planning;new</t>
        </is>
      </c>
      <c r="I99" s="29" t="inlineStr">
        <is>
          <t>eindhoven:kaynak:175</t>
        </is>
      </c>
      <c r="J99" s="49" t="n">
        <v>46317</v>
      </c>
      <c r="K99" s="51" t="n">
        <v>1121</v>
      </c>
      <c r="L99" s="29" t="inlineStr">
        <is>
          <t>Hayır</t>
        </is>
      </c>
      <c r="M99" s="29" t="inlineStr">
        <is>
          <t>Taslak</t>
        </is>
      </c>
      <c r="N99" s="29" t="inlineStr">
        <is>
          <t>eindhoven:gunluk</t>
        </is>
      </c>
      <c r="O99" s="29" t="inlineStr">
        <is>
          <t>Mijn Inburgering'e DigiD'inizle giriş yapın.
"Lening aanvragen" (borç başvurusu) bölümüne gidin.
Giriş yapamıyorsanız "Aanvraag lening voor cursus en/of examen" formunu kullanın; DUO 8 hafta içinde yanıt verir.
Kursu zoekinburgerschool.nl sitesinde listelenen bir okuldan alın.
Borç türüne göre geri ödeme olup olmadığını öğrenin: asiel statüsü sahipleri hiç ödemez.</t>
        </is>
      </c>
      <c r="P99" s="29" t="inlineStr">
        <is>
          <t>DigiD</t>
        </is>
      </c>
      <c r="Q99" s="29" t="inlineStr">
        <is>
          <t>DUO, formla yapılan başvuruya 8 hafta içinde yanıt verir.</t>
        </is>
      </c>
      <c r="R99" s="29" t="inlineStr">
        <is>
          <t>DUO'dan alınan borca yıllık faiz işler: 2026'da %2,29, 2027'de %3,28. Asiel statüsü sahipleri borcu hiç geri ödemez.</t>
        </is>
      </c>
      <c r="S99" s="29" t="inlineStr">
        <is>
          <t>DUO'nun inburgeren.nl sayfasında Raad van State kararı yalnızca statü sahipleri (asiel; WI2013 veya WI2021 kapsamında) için anlatılıyor: DUO onlara inburgering'i geç bitirdikleri için ceza kesemez ve inburgering borcunu geri isteyemez; bir işlem yapmaları gerekmez, durum değişirse DUO kişisel mektup yazar. Diğer gruplar (örneğin aile birleşimi ya da partner yanında kalma izniyle gelenler) için bu sayfada böyle bir istisna yer almıyor.</t>
        </is>
      </c>
      <c r="T99" s="29" t="n"/>
    </row>
    <row r="100" ht="54" customHeight="1">
      <c r="A100" s="29" t="inlineStr">
        <is>
          <t>eindhoven:gonulluluk-jijdoet-040-eindhoven-doet</t>
        </is>
      </c>
      <c r="B100" s="29" t="inlineStr">
        <is>
          <t>eindhoven</t>
        </is>
      </c>
      <c r="C100" s="29" t="inlineStr">
        <is>
          <t>gonulluluk-jijdoet-040-eindhoven-doet</t>
        </is>
      </c>
      <c r="D100" s="29" t="inlineStr">
        <is>
          <t>Eindhoven'da gönüllü iş nasıl bulunur? JijDoet 040 ve Eindhoven Doet</t>
        </is>
      </c>
      <c r="E100" s="29" t="inlineStr">
        <is>
          <t>Hollandaca bilmeyenler için uluslararası gönüllülük, spor kulüpleri ve gönüllü sigortası</t>
        </is>
      </c>
      <c r="F100" s="29" t="inlineStr">
        <is>
          <t>Eindhoven'da mahallenizdeki gönüllü işleri JijDoet 040 uygulamasından bulursunuz; Eindhoven Doet sitesi de gönüllülükle ilgili bilgi ve haklar sunar. Hollandacanız yok ya da azsa aynı uygulamada uluslararası gönüllülerle çalışmak isteyen kuruluşlar listelenir. Gönüllülük yeni insanlarla tanışmanın ve Hollandaca öğrenmenin iyi bir yoludur.</t>
        </is>
      </c>
      <c r="G100" s="29" t="inlineStr">
        <is>
          <t>gönüllülük, vrijwilligerswerk, JijDoet 040, Eindhoven Doet, Buurt in Bloei, uluslararası gönüllü, gönüllü sigortası</t>
        </is>
      </c>
      <c r="H100" s="29" t="inlineStr">
        <is>
          <t>new;settled</t>
        </is>
      </c>
      <c r="I100" s="29" t="inlineStr">
        <is>
          <t>eindhoven:kaynak:176</t>
        </is>
      </c>
      <c r="J100" s="49" t="n">
        <v>46317</v>
      </c>
      <c r="K100" s="51" t="n">
        <v>1122</v>
      </c>
      <c r="L100" s="29" t="inlineStr">
        <is>
          <t>Hayır</t>
        </is>
      </c>
      <c r="M100" s="29" t="inlineStr">
        <is>
          <t>Taslak</t>
        </is>
      </c>
      <c r="N100" s="29" t="inlineStr">
        <is>
          <t>eindhoven:gunluk</t>
        </is>
      </c>
      <c r="O100" s="29" t="inlineStr">
        <is>
          <t>JijDoet 040 uygulamasını açıp mahallenizdeki gönüllü işlerine bakın.
Hollandacanız azsa uygulamada uluslararası gönüllülerle çalışmak isteyen kuruluşları bulun.
Nereden başlayacağınızı bilmiyorsanız wijeindhoven.nl üzerindeki Buurt in Bloei'ye bakın.
Gönüllü olarak hangi haklarınız olduğunu ve ilgili kuralları Eindhoven Doet sitesinden okuyun.
Spor kulübünde gönüllü olacaksanız Ondersteuningsloket Sport sitesindeki eğitimlere göz atın.
Gönüllü sigortası için belediyenin "Verzekering voor vrijwilligers en mantelzorgers" sayfasına bakın.</t>
        </is>
      </c>
      <c r="P100" s="29" t="n"/>
      <c r="Q100" s="29" t="n"/>
      <c r="R100" s="29" t="n"/>
      <c r="S100" s="29" t="n"/>
      <c r="T100" s="29" t="n"/>
    </row>
    <row r="101" ht="54" customHeight="1">
      <c r="A101" s="29" t="inlineStr">
        <is>
          <t>eindhoven:asgari-ucret-saatlik-tutar</t>
        </is>
      </c>
      <c r="B101" s="29" t="inlineStr">
        <is>
          <t>eindhoven</t>
        </is>
      </c>
      <c r="C101" s="29" t="inlineStr">
        <is>
          <t>asgari-ucret-saatlik-tutar</t>
        </is>
      </c>
      <c r="D101" s="29" t="inlineStr">
        <is>
          <t>Hollanda'da asgari ücret saatlik ne kadar?</t>
        </is>
      </c>
      <c r="E101" s="29" t="inlineStr">
        <is>
          <t>21 yaş ve üzeri için 1 Ocak 2026 ve 1 Temmuz 2026 tutarları</t>
        </is>
      </c>
      <c r="F101" s="29" t="inlineStr">
        <is>
          <t>Hollanda'da asgari ücret 1 Ocak 2024'ten beri saat başınadır ve vergi öncesi (brüt) tutardır. 21 yaş ve üzeri herkes için saatlik asgari ücret 1 Ocak 2026'dan itibaren 14,71 euro, 1 Temmuz 2026'dan itibaren 14,99 euro oldu. 15 yaş ve üzeri herkes, yaşına uygun saatlik asgari ücretten az kazanamaz.</t>
        </is>
      </c>
      <c r="G101" s="29" t="inlineStr">
        <is>
          <t>asgari ücret, minimum wage, minimumloon, saatlik ücret, brüt ücret</t>
        </is>
      </c>
      <c r="H101" s="29" t="inlineStr">
        <is>
          <t>planning;new;settled</t>
        </is>
      </c>
      <c r="I101" s="29" t="inlineStr">
        <is>
          <t>eindhoven:kaynak:118</t>
        </is>
      </c>
      <c r="J101" s="49" t="n">
        <v>46317</v>
      </c>
      <c r="K101" s="51" t="n">
        <v>801</v>
      </c>
      <c r="L101" s="29" t="inlineStr">
        <is>
          <t>Evet</t>
        </is>
      </c>
      <c r="M101" s="29" t="inlineStr">
        <is>
          <t>Taslak</t>
        </is>
      </c>
      <c r="N101" s="29" t="inlineStr">
        <is>
          <t>eindhoven:is</t>
        </is>
      </c>
      <c r="O101" s="29" t="inlineStr">
        <is>
          <t>Sözleşmendeki brüt saatlik ücreti, 21 yaş ve üzeriysen 1 Temmuz 2026'dan itibaren geçerli 14,99 euro ile karşılaştır.
21 yaşın altındaysan yaşına göre belirlenen ayrı tabloya bak (gençler için asgari ücret kartı).
Çalışma saatin sabitse işvereninle sabit bir aylık maaş kararlaştırabilirsin.
Aylık kazancının resmî çalışma saatine bağlı olduğunu bil: çalışılan saatler, kullanılan izin saatleri ve ücretli hastalık saatleri bu sayıya girer.</t>
        </is>
      </c>
      <c r="P101" s="29" t="n"/>
      <c r="Q101" s="29" t="inlineStr">
        <is>
          <t>Saatlik asgari ücret 1 Ocak 2024'ten beri geçerli; 1 Temmuz 2026'dan itibaren 14,99 euro</t>
        </is>
      </c>
      <c r="R101" s="29" t="inlineStr">
        <is>
          <t>21 yaş ve üzeri, brüt saatlik: 14,99 euro (1 Temmuz 2026'dan itibaren), 14,71 euro (1 Ocak 2026'dan itibaren)</t>
        </is>
      </c>
      <c r="S101" s="29" t="inlineStr">
        <is>
          <t>Günlük, haftalık veya aylık sabit bir asgari ücret 2024'ten beri yoktur. Aylık tutar resmî çalışma saatine göre her ay değişebilir, çünkü bazı aylarda iş günü sayısı daha fazladır.</t>
        </is>
      </c>
      <c r="T101" s="29" t="n"/>
    </row>
    <row r="102" ht="54" customHeight="1">
      <c r="A102" s="29" t="inlineStr">
        <is>
          <t>eindhoven:genc-calisanlar-asgari-ucret</t>
        </is>
      </c>
      <c r="B102" s="29" t="inlineStr">
        <is>
          <t>eindhoven</t>
        </is>
      </c>
      <c r="C102" s="29" t="inlineStr">
        <is>
          <t>genc-calisanlar-asgari-ucret</t>
        </is>
      </c>
      <c r="D102" s="29" t="inlineStr">
        <is>
          <t>15–20 yaş arası çalışanların asgari ücreti ne kadar?</t>
        </is>
      </c>
      <c r="E102" s="29" t="inlineStr">
        <is>
          <t>Yaşa göre brüt saatlik tutarlar: 1 Temmuz 2026 ve 1 Ocak 2026</t>
        </is>
      </c>
      <c r="F102" s="29" t="inlineStr">
        <is>
          <t>21 yaşın altındaki çalışanların saatlik asgari ücreti yaşa göre değişir ve genel saatlik asgari ücretten hesaplanır. 1 Temmuz 2026'dan itibaren brüt saatlik tutarlar: 20 yaşta 11,99, 19 yaşta 8,99, 18 yaşta 7,50, 17 yaşta 5,92, 16 yaşta 5,17, 15 yaşta 4,50 euro. Bu tutarların altında ücret ödenemez.</t>
        </is>
      </c>
      <c r="G102" s="29" t="inlineStr">
        <is>
          <t>genç asgari ücret, 15-20 yaş, minimumjeugdloon, part-time öğrenci işi, saatlik ücret</t>
        </is>
      </c>
      <c r="H102" s="29" t="inlineStr">
        <is>
          <t>planning;new;settled</t>
        </is>
      </c>
      <c r="I102" s="29" t="inlineStr">
        <is>
          <t>eindhoven:kaynak:118</t>
        </is>
      </c>
      <c r="J102" s="49" t="n">
        <v>46317</v>
      </c>
      <c r="K102" s="51" t="n">
        <v>802</v>
      </c>
      <c r="L102" s="29" t="inlineStr">
        <is>
          <t>Hayır</t>
        </is>
      </c>
      <c r="M102" s="29" t="inlineStr">
        <is>
          <t>Taslak</t>
        </is>
      </c>
      <c r="N102" s="29" t="inlineStr">
        <is>
          <t>eindhoven:is</t>
        </is>
      </c>
      <c r="O102" s="29" t="inlineStr">
        <is>
          <t>Yaşını aşağıdaki tabloda bul ve sözleşmendeki brüt saatlik ücretle karşılaştır.
Yaşın değiştikçe tutarın da değiştiğini hesaba kat: asgari ücret yaşa göre belirlenir.
Dönem değiştiğinde (1 Ocak 2026 ve 1 Temmuz 2026 tabloları) hangi tablonun hangi tarihten geçerli olduğuna dikkat et.</t>
        </is>
      </c>
      <c r="P102" s="29" t="n"/>
      <c r="Q102" s="29" t="inlineStr">
        <is>
          <t>1 Temmuz 2026 tablosu o tarihten itibaren, 1 Ocak 2026 tablosu o tarihten itibaren geçerlidir</t>
        </is>
      </c>
      <c r="R102" s="29" t="inlineStr">
        <is>
          <t>Brüt saatlik, 1 Temmuz 2026'dan itibaren: 20 yaş 11,99; 19 yaş 8,99; 18 yaş 7,50; 17 yaş 5,92; 16 yaş 5,17; 15 yaş 4,50 euro. 1 Ocak 2026'dan itibaren: 20 yaş 11,77; 19 yaş 8,83; 18 yaş 7,36; 17 yaş 5,81; 16 yaş 5,07; 15 yaş 4,41 euro.</t>
        </is>
      </c>
      <c r="S102" s="29" t="inlineStr">
        <is>
          <t>21 yaşına gelen çalışan için genel saatlik asgari ücret geçerli olur (asgari ücret kartına bak).</t>
        </is>
      </c>
      <c r="T102" s="29" t="n"/>
    </row>
    <row r="103" ht="54" customHeight="1">
      <c r="A103" s="29" t="inlineStr">
        <is>
          <t>eindhoven:is-sozlesmesi-turleri</t>
        </is>
      </c>
      <c r="B103" s="29" t="inlineStr">
        <is>
          <t>eindhoven</t>
        </is>
      </c>
      <c r="C103" s="29" t="inlineStr">
        <is>
          <t>is-sozlesmesi-turleri</t>
        </is>
      </c>
      <c r="D103" s="29" t="inlineStr">
        <is>
          <t>Belirli ve belirsiz süreli iş sözleşmesi: geçici sözleşme en çok kaç kez yenilenir?</t>
        </is>
      </c>
      <c r="E103" s="29" t="inlineStr">
        <is>
          <t>Sözlü sözleşme, 3 ardışık sözleşme ve 3 yıl kuralı</t>
        </is>
      </c>
      <c r="F103" s="29" t="inlineStr">
        <is>
          <t>İş sözleşmesi (arbeidsovereenkomst) belirli süreli (geçici) veya belirsiz süreli (kalıcı) olabilir; yazılı ya da sözlü yapılabilir. Bir işveren için her hafta 3 ay boyunca ya da ayda en az 20 saat çalışırsan, bunu açıkça kararlaştırmasanız bile genellikle iş sözleşmen vardır ve asgari ücret ile işten çıkarma kuralları sana da uygulanır. 3 ardışık geçici sözleşmeden sonra ya da 3 yıllık geçici sözleşmelerden sonra belirsiz süreli sözleşme hakkın doğar; CAO başka bir düzenleme yapmadıysa.</t>
        </is>
      </c>
      <c r="G103" s="29" t="inlineStr">
        <is>
          <t>iş sözleşmesi, arbeidsovereenkomst, vaste baan, tijdelijk contract, kalıcı sözleşme, CAO</t>
        </is>
      </c>
      <c r="H103" s="29" t="inlineStr">
        <is>
          <t>new;settled</t>
        </is>
      </c>
      <c r="I103" s="29" t="inlineStr">
        <is>
          <t>eindhoven:kaynak:124</t>
        </is>
      </c>
      <c r="J103" s="49" t="n">
        <v>46317</v>
      </c>
      <c r="K103" s="51" t="n">
        <v>803</v>
      </c>
      <c r="L103" s="29" t="inlineStr">
        <is>
          <t>Hayır</t>
        </is>
      </c>
      <c r="M103" s="29" t="inlineStr">
        <is>
          <t>Taslak</t>
        </is>
      </c>
      <c r="N103" s="29" t="inlineStr">
        <is>
          <t>eindhoven:is</t>
        </is>
      </c>
      <c r="O103" s="29" t="inlineStr">
        <is>
          <t>Sözleşmenin belirli süreli mi belirsiz süreli mi olduğuna bak; sözleşme sözlü de yapılmış olabilir.
Üst üste kaç geçici sözleşme imzaladığını ve toplam süresini say.
3 ardışık sözleşme ya da 3 yıl dolduysa belirsiz süreli sözleşme hakkını işverene hatırlat; önce CAO'nda farklı bir düzenleme olup olmadığına bak.
Daha güvenli bir sözleşme veya farklı çalışma saati istiyorsan, değişiklikten en geç 2 ay önce yazılı talepte bulun; işveren 1 ay içinde yazılı yanıt vermezse talebi kabul etmek zorundadır. 10'dan az çalışanı olan işverende bu kural farklıdır (nota bak).</t>
        </is>
      </c>
      <c r="P103" s="29" t="n"/>
      <c r="Q103" s="29" t="inlineStr">
        <is>
          <t>Değişiklik talebi en geç 2 ay önce; işverenin yazılı yanıt süresi 1 ay (10'dan az çalışanlı işverende daha güvenilir sözleşme talebi için 3 ay)</t>
        </is>
      </c>
      <c r="R103" s="29" t="n"/>
      <c r="S103" s="29" t="inlineStr">
        <is>
          <t>10'dan az çalışanı olan işveren, daha güvenilir bir sözleşme (ör. kalıcı sözleşme) talebine 3 ay içinde yazılı yanıt verir; çalışma saatlerinin değiştirilmesi için ise kendi düzenlemesini hazırlamak zorundadır. Küçük bir işyerinde saat değişikliği isteyeceksen önce işverenin bu düzenlemesini öğren. Sayfada duyurulan bir değişikliğe göre sıfır saatli sözleşmelere 1 Ocak 2028'den itibaren izin verilmeyecek.</t>
        </is>
      </c>
      <c r="T103" s="29" t="n"/>
    </row>
    <row r="104" ht="54" customHeight="1">
      <c r="A104" s="29" t="inlineStr">
        <is>
          <t>eindhoven:yazili-is-kosullari-bildirimi</t>
        </is>
      </c>
      <c r="B104" s="29" t="inlineStr">
        <is>
          <t>eindhoven</t>
        </is>
      </c>
      <c r="C104" s="29" t="inlineStr">
        <is>
          <t>yazili-is-kosullari-bildirimi</t>
        </is>
      </c>
      <c r="D104" s="29" t="inlineStr">
        <is>
          <t>İşveren sana hangi çalışma koşullarını yazılı vermek zorunda?</t>
        </is>
      </c>
      <c r="E104" s="29" t="inlineStr">
        <is>
          <t>İşe başladıktan sonra 1 hafta ve 1 ay içinde verilmesi gereken bilgiler</t>
        </is>
      </c>
      <c r="F104" s="29" t="inlineStr">
        <is>
          <t>İşveren, en önemli çalışma koşullarını sana yazılı olarak bildirmek zorundadır. İşe başlamandan sonraki 1 hafta içinde taraflar, çalışma yeri, unvan, işe giriş tarihi, ücret ve çalışma saatleri gibi bilgiler gelmelidir. İzin ve tatil harçlığı hakkın, ihbar süresi ve sözleşme türü ise 1 ay içinde yazılı verilmelidir.</t>
        </is>
      </c>
      <c r="G104" s="29" t="inlineStr">
        <is>
          <t>yazılı bildirim, çalışma koşulları, arbeidsvoorwaarden, sözleşme bilgileri, maaş, çalışma saati</t>
        </is>
      </c>
      <c r="H104" s="29" t="inlineStr">
        <is>
          <t>new</t>
        </is>
      </c>
      <c r="I104" s="29" t="inlineStr">
        <is>
          <t>eindhoven:kaynak:124</t>
        </is>
      </c>
      <c r="J104" s="49" t="n">
        <v>46317</v>
      </c>
      <c r="K104" s="51" t="n">
        <v>804</v>
      </c>
      <c r="L104" s="29" t="inlineStr">
        <is>
          <t>Hayır</t>
        </is>
      </c>
      <c r="M104" s="29" t="inlineStr">
        <is>
          <t>Taslak</t>
        </is>
      </c>
      <c r="N104" s="29" t="inlineStr">
        <is>
          <t>eindhoven:is</t>
        </is>
      </c>
      <c r="O104" s="29" t="inlineStr">
        <is>
          <t>İşe başladıktan sonraki ilk hafta içinde işverenin ve senin adının ve oturduğun yerin, çalışma yerinin, unvanının ve işe giriş tarihinin yazılı bildirilmesini bekle.
Aynı yazılı bilgide ücretin tutarını ve ödeme şeklini, varsa deneme süresini, belirli süreli sözleşmede süreyi veya bitiş tarihini kontrol et.
Çalışma saatlerinin düzenli olup olmadığına bak: düzenliyse mesai ve vardiya değişimi kuralları, düzensizse garanti saat ve işverenin seni çağırabileceği süre yazılı olmalıdır.
İşe başlamandan sonraki 1 ay içinde izin ve tatil harçlığı hakkını, ücretli izinleri, işten çıkarma usulünü, ihbar süresini ve sözleşme türünü yazılı almış olmalısın.
Emeklilik, CAO, eğitim hakkı ve rekabet yasağı gibi maddelerin de uygulanıyorsa bildirildiğini kontrol et.</t>
        </is>
      </c>
      <c r="P104" s="29" t="inlineStr">
        <is>
          <t>İşverenden gelen yazılı çalışma koşulları bildirimi</t>
        </is>
      </c>
      <c r="Q104" s="29" t="inlineStr">
        <is>
          <t>İlk bilgiler işe başladıktan sonra 1 hafta içinde; izin, ihbar süresi ve sözleşme türü 1 ay içinde</t>
        </is>
      </c>
      <c r="R104" s="29" t="n"/>
      <c r="S104" s="29" t="inlineStr">
        <is>
          <t>CAO eğitim hakkı veriyorsa işveren eğitimi öder ve eğitim çalışma saati sayılır. CAO'dan bağımsız olarak, işin için gerekli eğitimi (zorunlu sertifika gibi) de işveren ödemek zorundadır.</t>
        </is>
      </c>
      <c r="T104" s="29" t="n"/>
    </row>
    <row r="105" ht="54" customHeight="1">
      <c r="A105" s="29" t="inlineStr">
        <is>
          <t>eindhoven:deneme-suresi-proefperiode</t>
        </is>
      </c>
      <c r="B105" s="29" t="inlineStr">
        <is>
          <t>eindhoven</t>
        </is>
      </c>
      <c r="C105" s="29" t="inlineStr">
        <is>
          <t>deneme-suresi-proefperiode</t>
        </is>
      </c>
      <c r="D105" s="29" t="inlineStr">
        <is>
          <t>Deneme süresi (proefperiode) en fazla ne kadar olabilir?</t>
        </is>
      </c>
      <c r="E105" s="29" t="inlineStr">
        <is>
          <t>Sözleşme türüne göre 1 veya 2 ay; yazılı olması şart</t>
        </is>
      </c>
      <c r="F105" s="29" t="inlineStr">
        <is>
          <t>Deneme süresi ancak iş sözleşmesinin parçası olarak yazılı kararlaştırıldıysa ya da sektör CAO'sunda yer alıyorsa geçerlidir. Süre hiçbir durumda 2 ayı geçemez ve işveren için de çalışan için de aynıdır. Deneme süresinde iki taraf da sözleşmeyi gerekçe göstermeden ve hemen sona erdirebilir.</t>
        </is>
      </c>
      <c r="G105" s="29" t="inlineStr">
        <is>
          <t>deneme süresi, proefperiode, trial period, iş sözleşmesi, işten çıkarma</t>
        </is>
      </c>
      <c r="H105" s="29" t="inlineStr">
        <is>
          <t>new</t>
        </is>
      </c>
      <c r="I105" s="29" t="inlineStr">
        <is>
          <t>eindhoven:kaynak:123</t>
        </is>
      </c>
      <c r="J105" s="49" t="n">
        <v>46317</v>
      </c>
      <c r="K105" s="51" t="n">
        <v>805</v>
      </c>
      <c r="L105" s="29" t="inlineStr">
        <is>
          <t>Hayır</t>
        </is>
      </c>
      <c r="M105" s="29" t="inlineStr">
        <is>
          <t>Taslak</t>
        </is>
      </c>
      <c r="N105" s="29" t="inlineStr">
        <is>
          <t>eindhoven:is</t>
        </is>
      </c>
      <c r="O105" s="29" t="inlineStr">
        <is>
          <t>Sözleşmende deneme süresinin yazılı olarak yer aldığını kontrol et; yazılı değilse (ve CAO'da da yoksa) geçerli olmaz.
Süreyi sözleşme türüne göre karşılaştır: 6 aydan uzun, 2 yıldan kısa geçici sözleşmelerde ve bitiş tarihi olmayan geçici sözleşmelerde en fazla 1 ay.
Belirsiz süreli sözleşmelerde ve 2 yıldan uzun geçici sözleşmelerde en fazla 2 ay olduğunu bil.
Sözleşme 6 ay veya daha kısaysa deneme süresi kararlaştırılamayacağını hatırla.
Deneme süresinde işten çıkarılırsan ya da kendin ayrılırsan, taraflardan biri gerekçeyi sorarsa yazılı gerekçe verilmesi zorunludur.</t>
        </is>
      </c>
      <c r="P105" s="29" t="n"/>
      <c r="Q105" s="29" t="inlineStr">
        <is>
          <t>En fazla 2 ay; geçici sözleşmelerin bir kısmında en fazla 1 ay</t>
        </is>
      </c>
      <c r="R105" s="29" t="n"/>
      <c r="S105" s="29" t="inlineStr">
        <is>
          <t>Deneme süresinde hastalanırsan süre uzamaz. Bu süre içinde ihbar süresi yoktur ve işveren hasta olsan bile seni gerekçesiz çıkarabilir. İş tanımı değişmeden sözleşme uzatılırsa, geçici sözleşme değişiklik olmadan kalıcıya dönerse veya ardışık sözleşmelerde iş aynı kalırsa (örneğin önce ajans üzerinden çalıştıysan) yeni deneme süresi konulamaz. Geçici sözleşmelerde yukarıdakilerden farklı bir deneme süresi yalnız CAO'da kararlaştırılmışsa mümkündür.</t>
        </is>
      </c>
      <c r="T105" s="29" t="n"/>
    </row>
    <row r="106" ht="54" customHeight="1">
      <c r="A106" s="29" t="inlineStr">
        <is>
          <t>eindhoven:vakantiegeld-tatil-harcligi</t>
        </is>
      </c>
      <c r="B106" s="29" t="inlineStr">
        <is>
          <t>eindhoven</t>
        </is>
      </c>
      <c r="C106" s="29" t="inlineStr">
        <is>
          <t>vakantiegeld-tatil-harcligi</t>
        </is>
      </c>
      <c r="D106" s="29" t="inlineStr">
        <is>
          <t>Vakantiegeld (tatil harçlığı) nedir ve ne kadar ödenir?</t>
        </is>
      </c>
      <c r="E106" s="29" t="inlineStr">
        <is>
          <t>Brüt yıllık maaşın en az yüzde 8'i, genellikle Mayıs veya Haziran'da</t>
        </is>
      </c>
      <c r="F106" s="29" t="inlineStr">
        <is>
          <t>Çalışanlar, bir önceki yıla ait brüt yıllık maaşları üzerinden en az yüzde 8 vakantiegeld (tatil harçlığı) hakkına sahiptir. Bu ödeme işveren için zorunludur ve her yıl yapılır. Çoğu işveren bunu yılda bir kez Mayıs veya Haziran'da öder. CAO (sektör toplu iş sözleşmesi) bazen farklı kurallar koyar, o yüzden kendi CAO'na bakmak gerekir.</t>
        </is>
      </c>
      <c r="G106" s="29" t="inlineStr">
        <is>
          <t>vakantiegeld, tatil harçlığı, holiday allowance, CAO, yüzde 8</t>
        </is>
      </c>
      <c r="H106" s="29" t="inlineStr">
        <is>
          <t>new;settled</t>
        </is>
      </c>
      <c r="I106" s="29" t="inlineStr">
        <is>
          <t>eindhoven:kaynak:125</t>
        </is>
      </c>
      <c r="J106" s="49" t="n">
        <v>46317</v>
      </c>
      <c r="K106" s="51" t="n">
        <v>806</v>
      </c>
      <c r="L106" s="29" t="inlineStr">
        <is>
          <t>Hayır</t>
        </is>
      </c>
      <c r="M106" s="29" t="inlineStr">
        <is>
          <t>Taslak</t>
        </is>
      </c>
      <c r="N106" s="29" t="inlineStr">
        <is>
          <t>eindhoven:is</t>
        </is>
      </c>
      <c r="O106" s="29" t="inlineStr">
        <is>
          <t>Sözleşmende ve geçerli CAO'da tatil harçlığı için farklı bir düzenleme olup olmadığına bak.
Hakkını önceki yılın brüt yıllık maaşı üzerinden hesapla; hesap dönemi örneğin Mayıs'tan Mayıs'a olabilir.
Fazla mesai, düzensiz çalışma saati ek ödemeleri ve ödenen izin karşılığı da hesaba girer; masraf tazminatı, yılsonu primi ve kâr payı girmez.
Ödeme Mayıs veya Haziran dışında ya da taksitle yapılacaksa bunun için senin yazılı onayının gerektiğini bil.</t>
        </is>
      </c>
      <c r="P106" s="29" t="n"/>
      <c r="Q106" s="29" t="inlineStr">
        <is>
          <t>Yılda bir kez; çoğu işverende Mayıs veya Haziran</t>
        </is>
      </c>
      <c r="R106" s="29" t="inlineStr">
        <is>
          <t>Brüt yıllık maaşın en az yüzde 8'i</t>
        </is>
      </c>
      <c r="S106" s="29" t="inlineStr">
        <is>
          <t>CAO'da tatil harçlığı hakkı kaldırılmışsa ve işveren ödemiyorsa, çalışana en az asgari ücretin yüzde 108'i ödenmelidir. Asgari ücretin 3 katından fazla kazananlar için hiç ödememe veya daha düşük ödeme yazılı olarak kararlaştırılabilir. Performans primi ve komisyon, örneğin sözleşmede böyle yazıyorsa, bazı durumlarda hesaba girer.</t>
        </is>
      </c>
      <c r="T106" s="29" t="n"/>
    </row>
    <row r="107" ht="54" customHeight="1">
      <c r="A107" s="29" t="inlineStr">
        <is>
          <t>eindhoven:vakantiegeld-ozel-durumlar</t>
        </is>
      </c>
      <c r="B107" s="29" t="inlineStr">
        <is>
          <t>eindhoven</t>
        </is>
      </c>
      <c r="C107" s="29" t="inlineStr">
        <is>
          <t>vakantiegeld-ozel-durumlar</t>
        </is>
      </c>
      <c r="D107" s="29" t="inlineStr">
        <is>
          <t>Hastalıkta, işten çıkışta ve eksik ödemede vakantiegeld nasıl işler?</t>
        </is>
      </c>
      <c r="E107" s="29" t="inlineStr">
        <is>
          <t>Hastalık, sözleşme sonu, sıfır saatli sözleşme ve geriye dönük talep</t>
        </is>
      </c>
      <c r="F107" s="29" t="inlineStr">
        <is>
          <t>Hasta olan çalışan da tatil harçlığı biriktirir; işveren, ödemeye devam etmesi gereken maaş kısmı için öder. İşten çıkarılırsan veya sözleşmen biterse tatil harçlığı son maaşınla birlikte ödenir. Sıfır saatli sözleşmede çalıştığın saatler üzerinden önceki yılki brüt kazancının en az yüzde 8'ini hak edersin. İşveren eksik ödediğini Netherlands Labour Authority'den öğrenirse 4 hafta içinde ödemek zorundadır; sen 5 yıla kadar talep edebilirsin.</t>
        </is>
      </c>
      <c r="G107" s="29" t="inlineStr">
        <is>
          <t>vakantiegeld, hastalık, sıfır saatli sözleşme, zero-hour, eksik ödeme, son maaş</t>
        </is>
      </c>
      <c r="H107" s="29" t="inlineStr">
        <is>
          <t>new;settled</t>
        </is>
      </c>
      <c r="I107" s="29" t="inlineStr">
        <is>
          <t>eindhoven:kaynak:125</t>
        </is>
      </c>
      <c r="J107" s="49" t="n">
        <v>46317</v>
      </c>
      <c r="K107" s="51" t="n">
        <v>807</v>
      </c>
      <c r="L107" s="29" t="inlineStr">
        <is>
          <t>Hayır</t>
        </is>
      </c>
      <c r="M107" s="29" t="inlineStr">
        <is>
          <t>Taslak</t>
        </is>
      </c>
      <c r="N107" s="29" t="inlineStr">
        <is>
          <t>eindhoven:is</t>
        </is>
      </c>
      <c r="O107" s="29" t="inlineStr">
        <is>
          <t>Hastayken işverenin ödemeye devam ettiği maaş kısmı üzerinden de tatil harçlığı hakkının sürdüğünü bil.
İşten çıkarılırken veya sözleşmen bittiğinde, son maaşınla birlikte tatil harçlığının da ödenip ödenmediğine bak.
Sıfır saatli sözleşmen varsa hesabı çalıştığın saatler üzerinden yap; hak, önceki yılki brüt kazancının en az yüzde 8'idir.
Eksik ödendiğini düşünüyorsan, hakkın doğduğu günden başlayarak 5 yıla kadar geriye dönük talep edebileceğini unutma.</t>
        </is>
      </c>
      <c r="P107" s="29" t="n"/>
      <c r="Q107" s="29" t="inlineStr">
        <is>
          <t>Eksik ödeme bildirilirse işverenin ödeme süresi 4 hafta; talep süresi 5 yıla kadar</t>
        </is>
      </c>
      <c r="R107" s="29" t="n"/>
      <c r="S107" s="29" t="inlineStr">
        <is>
          <t>Tatil harçlığını ödemeyen işveren Netherlands Labour Authority'den para cezası veya ek ödeme yaptırımı alabilir.</t>
        </is>
      </c>
      <c r="T107" s="29" t="n"/>
    </row>
    <row r="108" ht="54" customHeight="1">
      <c r="A108" s="29" t="inlineStr">
        <is>
          <t>eindhoven:yasal-yillik-izin-hakki</t>
        </is>
      </c>
      <c r="B108" s="29" t="inlineStr">
        <is>
          <t>eindhoven</t>
        </is>
      </c>
      <c r="C108" s="29" t="inlineStr">
        <is>
          <t>yasal-yillik-izin-hakki</t>
        </is>
      </c>
      <c r="D108" s="29" t="inlineStr">
        <is>
          <t>Yasal yıllık izin hakkı kaç gün, kullanılmayan izin ne olur?</t>
        </is>
      </c>
      <c r="E108" s="29" t="inlineStr">
        <is>
          <t>Haftalık çalışma gününün 4 katı; yasal izin genellikle ertesi yılın 1 Temmuz'unda sona erer</t>
        </is>
      </c>
      <c r="F108" s="29" t="inlineStr">
        <is>
          <t>Hollanda'da çalışanın yasal yıllık izni, haftada çalıştığı gün sayısının en az 4 katıdır: haftada 4 gün çalışan yılda 16 gün, haftada 40 saat çalışan 160 saat izin hakkı kazanır. Yılın tamamında çalışmadıysan (örneğin yıl içinde işe girdiysen) hak, çalıştığın saat veya haftalara göre hesaplanır. Yasal izin genellikle hakkın doğduğu yılı izleyen yılın 1 Temmuz'undan önce kullanılmalıdır (2026'da kazanılan izin 1 Temmuz 2027'de sona erer); CAO veya sözleşme farklı bir süre koyabilir. İzin zamanını kural olarak sen seçersin; işveren işi ciddi sıkıntıya sokacaksa talebi aldıktan sonra 2 hafta içinde yazılı itiraz edebilir. Yasal tatil günlerinde otomatik izin hakkı yoktur; bunu CAO veya sözleşme belirler.</t>
        </is>
      </c>
      <c r="G108" s="29" t="inlineStr">
        <is>
          <t>yıllık izin, wettelijke vakantiedagen, bovenwettelijke, vakantiedagen, bouwvak, CAO, izin hakkı</t>
        </is>
      </c>
      <c r="H108" s="29" t="inlineStr">
        <is>
          <t>new;settled</t>
        </is>
      </c>
      <c r="I108" s="29" t="inlineStr">
        <is>
          <t>eindhoven:kaynak:211</t>
        </is>
      </c>
      <c r="J108" s="49" t="n">
        <v>46317</v>
      </c>
      <c r="K108" s="51" t="n">
        <v>808</v>
      </c>
      <c r="L108" s="29" t="inlineStr">
        <is>
          <t>Hayır</t>
        </is>
      </c>
      <c r="M108" s="29" t="inlineStr">
        <is>
          <t>Taslak</t>
        </is>
      </c>
      <c r="N108" s="29" t="inlineStr">
        <is>
          <t>eindhoven:is</t>
        </is>
      </c>
      <c r="O108" s="29" t="inlineStr">
        <is>
          <t>Yasal izin günlerini hesapla: haftada çalıştığın gün sayısı çarpı 4 (saat hesabında haftalık saat çarpı 4).
Yıl içinde işe başladıysan hakkını çalıştığın saat veya haftalara göre orantıla.
Sözleşmende ve CAO'nda ek (bovenwettelijke) izin günü, toplu tatil dönemi (ör. bouwvak) ve izin süresine ilişkin farklı bir kural olup olmadığına bak.
İzin talebini işverene ilet; işveren işi ciddi sıkıntıya sokacaksa 2 hafta içinde yazılı itiraz eder, bu durumda izni başka bir zamanda kullanırsın.
Yasal izinlerini genellikle hakkın doğduğu yılı izleyen yılın 1 Temmuz'undan önce kullan.
Tatilde hastalanırsan hastalığını bildir; hasta olduğun günler tatil günü sayılmaz, o günleri sonra kullanabilirsin.</t>
        </is>
      </c>
      <c r="P108" s="29" t="n"/>
      <c r="Q108" s="29" t="inlineStr">
        <is>
          <t>Yasal izin genellikle hakkın doğduğu yılı izleyen yılın 1 Temmuz'unda sona erer; kullanılmayan ek izin 5 yıla kadar saklanabilir.</t>
        </is>
      </c>
      <c r="R108" s="29" t="n"/>
      <c r="S108" s="29" t="inlineStr">
        <is>
          <t>Çalışırken yasal izin parayla ödenemez; işten ayrılırken kullanılmamış yasal izin ödenir. Ücretsiz izinde izin birikmez; hastalık, hamilelik ve doğum izninde ise birikmeye devam eder. Yasa yaşa göre ek izin vermez; bazı CAO'larda 50 yaş ve üzeri için ek gün olabilir. Sıfır saatli sözleşmede de izin hakkı vardır: haftalık saat başına 4 kat, hesap yöntemi CAO'da veya sözleşmede yazar.</t>
        </is>
      </c>
      <c r="T108" s="29" t="n"/>
    </row>
    <row r="109" ht="54" customHeight="1">
      <c r="A109" s="29" t="inlineStr">
        <is>
          <t>eindhoven:hastalikta-maas-devami-2-yil</t>
        </is>
      </c>
      <c r="B109" s="29" t="inlineStr">
        <is>
          <t>eindhoven</t>
        </is>
      </c>
      <c r="C109" s="29" t="inlineStr">
        <is>
          <t>hastalikta-maas-devami-2-yil</t>
        </is>
      </c>
      <c r="D109" s="29" t="inlineStr">
        <is>
          <t>Hastalanırsam işveren maaşımı ne kadar süre ödemeye devam eder?</t>
        </is>
      </c>
      <c r="E109" s="29" t="inlineStr">
        <is>
          <t>En çok 2 yıl; yüzde 70 (ilk yıl asgari ücrete tamamlanır), hamilelik ve organ bağışında yüzde 100</t>
        </is>
      </c>
      <c r="F109" s="29" t="inlineStr">
        <is>
          <t>Çalışan hastalanırsa işveren; belirsiz süreli, belirli süreli ve çağrı üzerine çalışan (sabit saatli ve sıfır saatli) çalışanlara en çok 2 yıl boyunca normal maaşın en az yüzde 70'ini ödemek zorundadır. Tutar asgari ücretten azsa işveren ilk yılda asgari ücrete tamamlar, ikinci yılda tamamlaması gerekmez. Fazla mesai ve kişisel ödenekler gibi hasta olmasaydın alacağın bütün kalemlerin de en az yüzde 70'i ödenir. Hamilelik, doğum veya organ bağışı nedeniyle hasta olanlara maaşın yüzde 100'ü ödenir. İşveren seni işe dönüş (reintegratie) konusunda desteklemek zorunda, sen de çabalara işbirliği yapmak zorundasın.</t>
        </is>
      </c>
      <c r="G109" s="29" t="inlineStr">
        <is>
          <t>hastalık maaşı, loondoorbetaling, ziek, 70 yüzde, 2 yıl, reintegratie, ziektewet</t>
        </is>
      </c>
      <c r="H109" s="29" t="inlineStr">
        <is>
          <t>new;settled</t>
        </is>
      </c>
      <c r="I109" s="29" t="inlineStr">
        <is>
          <t>eindhoven:kaynak:213</t>
        </is>
      </c>
      <c r="J109" s="49" t="n">
        <v>46317</v>
      </c>
      <c r="K109" s="51" t="n">
        <v>809</v>
      </c>
      <c r="L109" s="29" t="inlineStr">
        <is>
          <t>Hayır</t>
        </is>
      </c>
      <c r="M109" s="29" t="inlineStr">
        <is>
          <t>Taslak</t>
        </is>
      </c>
      <c r="N109" s="29" t="inlineStr">
        <is>
          <t>eindhoven:is</t>
        </is>
      </c>
      <c r="O109" s="29" t="inlineStr">
        <is>
          <t>Sözleşme türünü kontrol et: belirsiz süreli, belirli süreli ve çağrı üzerine (sabit veya sıfır saatli) çalışanlar maaş devamı kapsamındadır.
Hastalığının ilk ve ikinci yılında maaşının en az yüzde 70'ini aldığını kontrol et; ilk yılda tutar asgari ücretten azsa asgari ücrete tamamlanmalıdır.
Fazla mesai, kişisel ödenekler ve diğer yan ödemelerin de en az yüzde 70'inin ödendiğini kontrol et.
Hamilelik, doğum veya organ bağışı nedeniyle hastaysan maaşının yüzde 100'ünü beklemelisin.
İşverenle işe dönüş (reintegratie) görüşmelerini sürdür ve çabalara işbirliği yap; yeterince işbirliği yapmazsan işveren 2 yıl içinde maaşı geçici olarak durdurabilir.</t>
        </is>
      </c>
      <c r="P109" s="29" t="n"/>
      <c r="Q109" s="29" t="inlineStr">
        <is>
          <t>En çok 2 yıl; 2 yıl sonra hâlâ hastaysan işveren maaş ödemek zorunda değildir.</t>
        </is>
      </c>
      <c r="R109" s="29" t="inlineStr">
        <is>
          <t>Normal maaşın en az yüzde 70'i (ilk yılda asgari ücretten azsa asgari ücrete tamamlanır); hamilelik, doğum ve organ bağışında yüzde 100.</t>
        </is>
      </c>
      <c r="S109" s="29" t="inlineStr">
        <is>
          <t>Çağrı üzerine çalışanda (sıfır saatli sözleşme) işveren, çağrı döneminde hastalanırsan çağrı dönemi bitene kadar ödemeye devam eder. Hastayken sözleşmen biterse ve 2 yıldan az hastaysan işveren hastalığını son iş gününde UWV'ye bildirir; sözleşme bitince maaş ödemesi sona erer ve UWV'den hastalık ödeneği (Ziektewet) istenebilir. AOW yaşındaki çalışana işveren en az yüzde 70'ini 6 hafta öder; 6 haftadan sonra işten çıkarabilir veya gönüllü ödemeye devam edebilir. 2 yıl sonunda hâlâ hastaysan işveren sözleşmeyi bitirebilir; WIA kapsamında ödenek hakkın doğabilir.</t>
        </is>
      </c>
      <c r="T109" s="29" t="n"/>
    </row>
    <row r="110" ht="54" customHeight="1">
      <c r="A110" s="29" t="inlineStr">
        <is>
          <t>eindhoven:hamilelik-ve-dogum-izni</t>
        </is>
      </c>
      <c r="B110" s="29" t="inlineStr">
        <is>
          <t>eindhoven</t>
        </is>
      </c>
      <c r="C110" s="29" t="inlineStr">
        <is>
          <t>hamilelik-ve-dogum-izni</t>
        </is>
      </c>
      <c r="D110" s="29" t="inlineStr">
        <is>
          <t>Hamilelik ve doğum izni kaç hafta, maaş nasıl ödenir?</t>
        </is>
      </c>
      <c r="E110" s="29" t="inlineStr">
        <is>
          <t>Toplam en az 16 hafta: doğumdan önce 6, doğumdan sonra en az 10 hafta</t>
        </is>
      </c>
      <c r="F110" s="29" t="inlineStr">
        <is>
          <t>Hamile çalışanın toplam en az 16 haftalık hamilelik ve doğum izni vardır: doğumdan önce 6 hafta, doğumdan sonra en az 10 hafta. İzin süresince işveren maaşı ödemeye devam eder ve karşılığında UWV'den ödenek alır; doğum ödeneği başvurusunu işveren UWV'ye yapar. Doğum sonrası haftaların 6'sını doğumdan hemen sonra kullanman gerekir, kalanı 30 haftaya yayabilirsin.</t>
        </is>
      </c>
      <c r="G110" s="29" t="inlineStr">
        <is>
          <t>hamilelik izni, doğum izni, zwangerschapsverlof, bevallingsverlof, UWV, 16 hafta</t>
        </is>
      </c>
      <c r="H110" s="29" t="inlineStr">
        <is>
          <t>new;settled</t>
        </is>
      </c>
      <c r="I110" s="29" t="inlineStr">
        <is>
          <t>eindhoven:kaynak:126</t>
        </is>
      </c>
      <c r="J110" s="49" t="n">
        <v>46317</v>
      </c>
      <c r="K110" s="51" t="n">
        <v>810</v>
      </c>
      <c r="L110" s="29" t="inlineStr">
        <is>
          <t>Hayır</t>
        </is>
      </c>
      <c r="M110" s="29" t="inlineStr">
        <is>
          <t>Taslak</t>
        </is>
      </c>
      <c r="N110" s="29" t="inlineStr">
        <is>
          <t>eindhoven:is</t>
        </is>
      </c>
      <c r="O110" s="29" t="inlineStr">
        <is>
          <t>Hamilelik kontrollerini çalışma saatleri içinde yap; bunun için tatil saatlerini kullanman gerekmez ve maaşın ödenmeye devam eder.
Doğumdan önceki 6 haftalık iznin başlangıcını sen seç; en geç doğum tarihinden 4 hafta önce başlamalıdır. Çoğul doğumda bu izin 10 haftadır.
Doğumdan sonraki en az 10 haftanın 6 haftasını doğumdan hemen sonra kullan.
Kalan haftaları 30 haftaya kadar yayacaksan, bunu doğumdan sonraki 3 hafta içinde işverenden iste; işveren yalnızca işi ciddi sıkıntıya sokacaksa reddedebilir.
Bebek doğumdan hemen sonra veya izin sırasında 7 günden uzun hastanede kalırsa 10 haftaya kadar ek doğum izni hakkın olabilir.</t>
        </is>
      </c>
      <c r="P110" s="29" t="n"/>
      <c r="Q110" s="29" t="inlineStr">
        <is>
          <t>Toplam en az 16 hafta; yayma talebi doğumdan sonra 3 hafta içinde</t>
        </is>
      </c>
      <c r="R110" s="29" t="inlineStr">
        <is>
          <t>İzin boyunca maaş ödenmeye devam eder</t>
        </is>
      </c>
      <c r="S110" s="29" t="inlineStr">
        <is>
          <t>Bebek beklenen tarihten sonra doğarsa hamilelik izni uzar ve en az 10 haftalık doğum izni gerçek doğumdan sonra başlar; toplam izin 16 haftayı aşabilir. Bebek hamilelik izni başlamadan doğarsa toplam 16 haftalık izin doğumun ertesi günü başlar. Anne doğumda ölürse doğum iznini partneri kullanır.</t>
        </is>
      </c>
      <c r="T110" s="29" t="n"/>
    </row>
    <row r="111" ht="54" customHeight="1">
      <c r="A111" s="29" t="inlineStr">
        <is>
          <t>eindhoven:partner-izni-ve-ek-partner-izni</t>
        </is>
      </c>
      <c r="B111" s="29" t="inlineStr">
        <is>
          <t>eindhoven</t>
        </is>
      </c>
      <c r="C111" s="29" t="inlineStr">
        <is>
          <t>partner-izni-ve-ek-partner-izni</t>
        </is>
      </c>
      <c r="D111" s="29" t="inlineStr">
        <is>
          <t>Partner izni ve ek partner izni nasıl kullanılır?</t>
        </is>
      </c>
      <c r="E111" s="29" t="inlineStr">
        <is>
          <t>Doğumdan sonra 1 hafta ücretli izin ve 5 hafta ek izin</t>
        </is>
      </c>
      <c r="F111" s="29" t="inlineStr">
        <is>
          <t>Partneri doğum yapan çalışanın doğumdan sonra 1 hafta ücretli partner izni hakkı vardır. Bu izni doğumdan sonraki ilk 4 hafta içinde kullanabilirsin; işveren bu sürede maaşının yüzde 100'ünü ödemeye devam eder ve izni reddedemez. Bunun yanında doğumdan sonraki ilk 6 ay içinde kullanabileceğin 5 hafta ek partner izni vardır; UWV ödeneği maaşın yüzde 70'ini karşılar.</t>
        </is>
      </c>
      <c r="G111" s="29" t="inlineStr">
        <is>
          <t>partner izni, babalık izni, geboorteverlof, aanvullend geboorteverlof, UWV</t>
        </is>
      </c>
      <c r="H111" s="29" t="inlineStr">
        <is>
          <t>new</t>
        </is>
      </c>
      <c r="I111" s="29" t="inlineStr">
        <is>
          <t>eindhoven:kaynak:126</t>
        </is>
      </c>
      <c r="J111" s="49" t="n">
        <v>46317</v>
      </c>
      <c r="K111" s="51" t="n">
        <v>811</v>
      </c>
      <c r="L111" s="29" t="inlineStr">
        <is>
          <t>Hayır</t>
        </is>
      </c>
      <c r="M111" s="29" t="inlineStr">
        <is>
          <t>Taslak</t>
        </is>
      </c>
      <c r="N111" s="29" t="inlineStr">
        <is>
          <t>eindhoven:is</t>
        </is>
      </c>
      <c r="O111" s="29" t="inlineStr">
        <is>
          <t>Standart 1 haftalık partner iznini doğumdan sonraki ilk 4 hafta içinde kullan; işveren bunu reddedemez.
Ek partner izni için izin başlamadan en az 4 hafta önce mektup veya e-postayla talepte bulun.
Ek 5 haftayı doğumdan sonraki 6 ay içinde kullan; standart 1 haftalık izni önce kullanmış olman gerekir.
Ek izin ödeneği için başvuruyu işverenin UWV'ye yaptığını bil ve CAO'nda ödeneği işverenin tamamlama yükümlülüğü olup olmadığına bak.</t>
        </is>
      </c>
      <c r="P111" s="29" t="n"/>
      <c r="Q111" s="29" t="inlineStr">
        <is>
          <t>1 haftalık izin doğumdan sonra ilk 4 hafta içinde; ek 5 hafta ilk 6 ay içinde</t>
        </is>
      </c>
      <c r="R111" s="29" t="inlineStr">
        <is>
          <t>1 haftalık izinde maaşın yüzde 100'ü; ek izinde UWV ödeneği maaşın yüzde 70'i</t>
        </is>
      </c>
      <c r="S111" s="29" t="inlineStr">
        <is>
          <t>İşveren ek izin talebini yalnızca işi ciddi sıkıntıya sokacaksa ve izinden en geç 2 hafta önce değiştirebilir.</t>
        </is>
      </c>
      <c r="T111" s="29" t="n"/>
    </row>
    <row r="112" ht="54" customHeight="1">
      <c r="A112" s="29" t="inlineStr">
        <is>
          <t>eindhoven:ebeveyn-izni-ve-evlat-edinme-izni</t>
        </is>
      </c>
      <c r="B112" s="29" t="inlineStr">
        <is>
          <t>eindhoven</t>
        </is>
      </c>
      <c r="C112" s="29" t="inlineStr">
        <is>
          <t>ebeveyn-izni-ve-evlat-edinme-izni</t>
        </is>
      </c>
      <c r="D112" s="29" t="inlineStr">
        <is>
          <t>Ebeveyn izni (ouderschapsverlof) ve evlat edinme izni nasıl işler?</t>
        </is>
      </c>
      <c r="E112" s="29" t="inlineStr">
        <is>
          <t>8 yaşına kadar çocuk için 26 hafta; ilk 9 hafta ücretli</t>
        </is>
      </c>
      <c r="F112" s="29" t="inlineStr">
        <is>
          <t>8 yaşına kadar çocuğu olan çalışanın ebeveyn izni hakkı vardır; çocuk başına haftalık çalışma saatinin en çok 26 katı kadar izin alınabilir. İlk 9 hafta ücretlidir (UWV ödeneği günlük ücretin yüzde 70'i) ve çocuğun ilk yılında kullanılmalıdır; kalan 17 hafta ücretsizdir ve çocuk 8 yaşına gelene kadar istediğin zaman alınır. Evlat edinen veya koruyucu aile olan çalışan 6 hafta izin hakkına sahiptir.</t>
        </is>
      </c>
      <c r="G112" s="29" t="inlineStr">
        <is>
          <t>ebeveyn izni, ouderschapsverlof, evlat edinme izni, koruyucu aile, UWV, ücretli izin</t>
        </is>
      </c>
      <c r="H112" s="29" t="inlineStr">
        <is>
          <t>new;settled</t>
        </is>
      </c>
      <c r="I112" s="29" t="inlineStr">
        <is>
          <t>eindhoven:kaynak:126</t>
        </is>
      </c>
      <c r="J112" s="49" t="n">
        <v>46317</v>
      </c>
      <c r="K112" s="51" t="n">
        <v>812</v>
      </c>
      <c r="L112" s="29" t="inlineStr">
        <is>
          <t>Hayır</t>
        </is>
      </c>
      <c r="M112" s="29" t="inlineStr">
        <is>
          <t>Taslak</t>
        </is>
      </c>
      <c r="N112" s="29" t="inlineStr">
        <is>
          <t>eindhoven:is</t>
        </is>
      </c>
      <c r="O112" s="29" t="inlineStr">
        <is>
          <t>Ücretli ilk 9 haftayı çocuğun ilk yılı içinde kullan; ödenek için işveren UWV'ye başvurur.
Kalan 17 haftalık ücretsiz izni çocuk 8 yaşına gelene kadar istediğin zamana yay.
İşe başlar başlamaz bu izni kullanabilirsin; işveren yalnızca işi ciddi sıkıntıya sokacaksa iznin ertelenmesini isteyebilir.
Evlat edinme veya koruyucu aile iznini, izin başlamadan en az 3 hafta önce işverenden talep et; izin çocuğun gelişinden 4 hafta önce de başlayabildiği için erken başlayacaksan talebi de erken yap.
CAO'nun ya da sözleşmenin ödeneği işverenin tamamlamasını öngörüp öngörmediğine bak.</t>
        </is>
      </c>
      <c r="P112" s="29" t="n"/>
      <c r="Q112" s="29" t="inlineStr">
        <is>
          <t>Ücretli 9 hafta çocuğun ilk yılında; ücretsiz 17 hafta çocuk 8 yaşına gelene kadar</t>
        </is>
      </c>
      <c r="R112" s="29" t="inlineStr">
        <is>
          <t>İlk 9 hafta UWV ödeneği günlük ücretin yüzde 70'i; kalan 17 hafta ücretsiz</t>
        </is>
      </c>
      <c r="S112" s="29" t="inlineStr">
        <is>
          <t>Evlat edinme ve koruyucu aile izni 6 haftadır; çocuğun gelişinden 4 hafta öncesi ile 22 hafta sonrası arasında bölünebilir. İşveren bunu da yalnızca işi ciddi sıkıntıya sokacaksa reddedebilir.</t>
        </is>
      </c>
      <c r="T112" s="29" t="n"/>
    </row>
    <row r="113" ht="54" customHeight="1">
      <c r="A113" s="29" t="inlineStr">
        <is>
          <t>eindhoven:bakim-izni-acil-izin-ozel-izin</t>
        </is>
      </c>
      <c r="B113" s="29" t="inlineStr">
        <is>
          <t>eindhoven</t>
        </is>
      </c>
      <c r="C113" s="29" t="inlineStr">
        <is>
          <t>bakim-izni-acil-izin-ozel-izin</t>
        </is>
      </c>
      <c r="D113" s="29" t="inlineStr">
        <is>
          <t>Bakım izni, acil izin ve özel izin: hangi durumda ne kadar?</t>
        </is>
      </c>
      <c r="E113" s="29" t="inlineStr">
        <is>
          <t>Kısa süreli bakım izninde maaşın yüzde 70'i; acil izinde maaş devam eder</t>
        </is>
      </c>
      <c r="F113" s="29" t="inlineStr">
        <is>
          <t>Kısa süreli bakım izni, yılda haftalık çalışma saatinin 2 katıdır ve işveren bu sürede maaşın yüzde 70'ini öder; tutar asgari ücretten azsa asgari ücreti öder. Hayati tehlikesi olan çocuk, partner veya ebeveyn için uzun süreli bakım izni yılda haftalık çalışma saatinin 6 katıdır ve işveren maaş ödemek zorunda değildir. Beklenmedik bir aile durumunda hemen alınan acil izinde maaş ödenmeye devam eder. Bunlar yasal kurallardır; CAO'nda ya da ondernemingsraad (işyeri temsilciliği) veya personel temsilciliği kurallarında bakım izni ya da acil izin için farklı bir düzenleme varsa o düzenleme geçerlidir.</t>
        </is>
      </c>
      <c r="G113" s="29" t="inlineStr">
        <is>
          <t>bakım izni, zorgverlof, acil izin, calamiteitenverlof, özel izin, bijzonder verlof</t>
        </is>
      </c>
      <c r="H113" s="29" t="inlineStr">
        <is>
          <t>new;settled</t>
        </is>
      </c>
      <c r="I113" s="29" t="inlineStr">
        <is>
          <t>eindhoven:kaynak:126</t>
        </is>
      </c>
      <c r="J113" s="49" t="n">
        <v>46317</v>
      </c>
      <c r="K113" s="51" t="n">
        <v>813</v>
      </c>
      <c r="L113" s="29" t="inlineStr">
        <is>
          <t>Hayır</t>
        </is>
      </c>
      <c r="M113" s="29" t="inlineStr">
        <is>
          <t>Taslak</t>
        </is>
      </c>
      <c r="N113" s="29" t="inlineStr">
        <is>
          <t>eindhoven:is</t>
        </is>
      </c>
      <c r="O113" s="29" t="inlineStr">
        <is>
          <t>Kısa süreli bakım izni için hasta kişiye o anda bakabilecek tek kişinin sen olduğunu işverene belirt.
Çocuğun, partnerin veya ebeveynin hayati tehlikede hastaysa uzun süreli bakım iznini işverene yazılı olarak izinden en az 2 hafta önce talep et.
Beklenmedik bir durumda, örneğin ailede ölüm olduğunda, acil izni hemen kullan; işveren izinden sonra bunun gerekli olduğuna dair kanıt isteyebilir.
Evlilik, cenaze, taşınma, doktora gitme veya sınav gibi özel izinlerin süresini CAO'ndan ya da sözleşmenden öğren.</t>
        </is>
      </c>
      <c r="P113" s="29" t="n"/>
      <c r="Q113" s="29" t="inlineStr">
        <is>
          <t>Kısa süreli bakım izni yılda haftalık saatin 2 katı; uzun süreli yılda 6 katı; uzun süreli izin için 2 hafta önceden yazılı talep</t>
        </is>
      </c>
      <c r="R113" s="29" t="inlineStr">
        <is>
          <t>Kısa süreli bakım izninde maaşın yüzde 70'i (asgari ücretten azsa asgari ücret); uzun süreli bakım izni ücretsiz; acil izinde maaş devam eder (CAO'da farklı düzenleme yoksa)</t>
        </is>
      </c>
      <c r="S113" s="29" t="inlineStr">
        <is>
          <t>Bakım izni başladıysa işveren durduramaz; başlamadan önce ancak işi ciddi sıkıntıya sokacaksa reddedebilir. Ücretsiz izin için yasal bir hak yoktur, CAO'da düzenleme olabilir.</t>
        </is>
      </c>
      <c r="T113" s="29" t="n"/>
    </row>
    <row r="114" ht="54" customHeight="1">
      <c r="A114" s="29" t="inlineStr">
        <is>
          <t>eindhoven:isten-cikarma-yasagi-opzegverbod</t>
        </is>
      </c>
      <c r="B114" s="29" t="inlineStr">
        <is>
          <t>eindhoven</t>
        </is>
      </c>
      <c r="C114" s="29" t="inlineStr">
        <is>
          <t>isten-cikarma-yasagi-opzegverbod</t>
        </is>
      </c>
      <c r="D114" s="29" t="inlineStr">
        <is>
          <t>Hangi durumlarda işveren seni işten çıkaramaz (opzegverbod)?</t>
        </is>
      </c>
      <c r="E114" s="29" t="inlineStr">
        <is>
          <t>Hastalık, hamilelik, işyeri konseyi üyeliği ve diğer korunan durumlar</t>
        </is>
      </c>
      <c r="F114" s="29" t="inlineStr">
        <is>
          <t>Bazı durumlarda işverenin sözleşmeni sona erdirmesi yasaktır (opzegverbod). Hastalıkta yasak ilk 2 yıl sürer; hamilelikte doğum izni süresince ve işe döndükten sonraki ilk 6 hafta devam eder. İşyeri konseyi gibi kurullara üyelik halinde yasak, üyelik bittikten sonra 2 yıla kadar sürer. Yasak varken işten çıkarma bildirimi aldıysan, bildirimin geçersiz olduğunu 2 ay içinde yazılı bildirmelisin.</t>
        </is>
      </c>
      <c r="G114" s="29" t="inlineStr">
        <is>
          <t>işten çıkarma yasağı, opzegverbod, hastalık, hamilelik, sendika, ondernemingsraad, kantonrechter</t>
        </is>
      </c>
      <c r="H114" s="29" t="inlineStr">
        <is>
          <t>settled</t>
        </is>
      </c>
      <c r="I114" s="29" t="inlineStr">
        <is>
          <t>eindhoven:kaynak:122</t>
        </is>
      </c>
      <c r="J114" s="49" t="n">
        <v>46317</v>
      </c>
      <c r="K114" s="51" t="n">
        <v>814</v>
      </c>
      <c r="L114" s="29" t="inlineStr">
        <is>
          <t>Hayır</t>
        </is>
      </c>
      <c r="M114" s="29" t="inlineStr">
        <is>
          <t>Taslak</t>
        </is>
      </c>
      <c r="N114" s="29" t="inlineStr">
        <is>
          <t>eindhoven:is</t>
        </is>
      </c>
      <c r="O114" s="29" t="inlineStr">
        <is>
          <t>Yasak kapsamında olduğunu düşünüyorsan, işveren sözleşmeyi sona erdirmeye çalıştığında bunun geçersiz olduğunu işverene yazılı bildir.
Bu yazılı bildirimi işten çıkarma bildirimini aldığından itibaren 2 ay içinde yap.
İşveren bundan sonra maaşını ödemeye devam etmezse konuyu kantonrechter'e (bölge sulh hâkimi) götürme hakkın doğar.
CAO'nu kontrol et: yasak kapsamındaki durumlarda bile CAO izin veriyorsa işveren seni çıkarabilir.</t>
        </is>
      </c>
      <c r="P114" s="29" t="n"/>
      <c r="Q114" s="29" t="inlineStr">
        <is>
          <t>Yazılı itiraz bildirimi için bildirimden sonra 2 ay</t>
        </is>
      </c>
      <c r="R114" s="29" t="n"/>
      <c r="S114" s="29" t="inlineStr">
        <is>
          <t>Yasak otomatik olarak şu durumlarda geçerlidir: hastalık (ilk 2 yıl), hamilelik (doğum izni boyunca ve işe dönüşten sonra 6 hafta), işyeri konseyi, personel temsilciliği veya iş güvenliği komitesi üyeliği ya da adaylığı (üyelik bittikten sonra 2 yıla kadar), iş sağlığı ve güvenliği uzmanlığı, askerlik. Sendika üyeliği, işletmenin devri, yalnızca ebeveyn veya bakım izni talebi ve veri koruma görevlisinin görevi nedeniyle de işveren seni çıkaramaz.</t>
        </is>
      </c>
      <c r="T114" s="29" t="n"/>
    </row>
    <row r="115" ht="54" customHeight="1">
      <c r="A115" s="29" t="inlineStr">
        <is>
          <t>eindhoven:ihbar-suresi-ve-sozlesme-bitis-bildirimi</t>
        </is>
      </c>
      <c r="B115" s="29" t="inlineStr">
        <is>
          <t>eindhoven</t>
        </is>
      </c>
      <c r="C115" s="29" t="inlineStr">
        <is>
          <t>ihbar-suresi-ve-sozlesme-bitis-bildirimi</t>
        </is>
      </c>
      <c r="D115" s="29" t="inlineStr">
        <is>
          <t>İhbar süresi (opzegtermijn) ve geçici sözleşmenin bitiş bildirimi nedir?</t>
        </is>
      </c>
      <c r="E115" s="29" t="inlineStr">
        <is>
          <t>Bildirimden sonraki gün başlar, son iş gününde biter; geçici sözleşmede 1 ay önce yazılı bildirim</t>
        </is>
      </c>
      <c r="F115" s="29" t="inlineStr">
        <is>
          <t>İşveren sözleşmeni sona erdirecekse önceden haber vermek zorundadır; ihbar süresi bildirimden sonraki gün başlar, son iş gününde biter ve bu sürede normal maaşını almaya devam edersin. Süre sözleşmende veya CAO'da yazar; yazmıyorsa yasal ihbar süresi (wettelijke opzegtermijn) geçerlidir. Belirsiz süreli sözleşmede işverenin yasal ihbar süresi çalışma süresine göre değişir: 5 yıldan kısa çalışmada 1 ay, 5 ile 10 yıl arasında 2 ay, 10 ile 15 yıl arasında 3 ay, 15 yıl ve üzerinde 4 ay. Belirli süreli sözleşme kararlaştırılan tarihte biter; 6 ay veya daha uzun geçici sözleşmelerde işveren, sözleşmenin yenilenip yenilenmeyeceğini en az 1 ay önce yazılı bildirmelidir; bildirimi hiç yapmazsa 1 aylık maaş tutarında, geç yaparsa geciktiği her gün için tazminat öder. Deneme süresinde ve haklı nedenle anında işten çıkarmada (ontslag op staande voet) ihbar süresi yoktur.</t>
        </is>
      </c>
      <c r="G115" s="29" t="inlineStr">
        <is>
          <t>ihbar süresi, opzegtermijn, aanzegplicht, geçici sözleşme, işten çıkarma, CAO</t>
        </is>
      </c>
      <c r="H115" s="29" t="inlineStr">
        <is>
          <t>settled</t>
        </is>
      </c>
      <c r="I115" s="29" t="inlineStr">
        <is>
          <t>eindhoven:kaynak:122;eindhoven:kaynak:212</t>
        </is>
      </c>
      <c r="J115" s="49" t="n">
        <v>46317</v>
      </c>
      <c r="K115" s="51" t="n">
        <v>815</v>
      </c>
      <c r="L115" s="29" t="inlineStr">
        <is>
          <t>Hayır</t>
        </is>
      </c>
      <c r="M115" s="29" t="inlineStr">
        <is>
          <t>Taslak</t>
        </is>
      </c>
      <c r="N115" s="29" t="inlineStr">
        <is>
          <t>eindhoven:is</t>
        </is>
      </c>
      <c r="O115" s="29" t="inlineStr">
        <is>
          <t>İşverenin bildirimini aldığın günden sonraki günü ihbar süresinin ilk günü say; bu süre son iş gününde biter.
Sözleşmende veya CAO'nda ihbar süresinin yazıp yazmadığına bak; yazmıyorsa yasal süre geçerlidir: belirsiz süreli sözleşmede 5 yıldan kısa çalışmada 1 ay, 5-10 yılda 2 ay, 10-15 yılda 3 ay, 15 yıl ve üzerinde 4 ay.
İhbar süresini uzatmak için işverenle yazılı anlaşabilirsin; CAO izin vermedikçe kısaltılamaz.
6 ay veya daha uzun geçici sözleşmen varsa, sözleşme bitmeden en az 1 ay önce yenileme kararının yazılı bildirilmesini bekle.</t>
        </is>
      </c>
      <c r="P115" s="29" t="n"/>
      <c r="Q115" s="29" t="inlineStr">
        <is>
          <t>Belirsiz süreli sözleşmede yasal ihbar süresi 1-4 ay (çalışma süresine göre); geçici sözleşmede (6 ay ve üzeri) bitişten en az 1 ay önce yazılı bildirim</t>
        </is>
      </c>
      <c r="R115" s="29" t="inlineStr">
        <is>
          <t>Bildirim hiç yapılmazsa 1 aylık maaş tutarında tazminat; geç yapılırsa gecikilen her gün için tazminat</t>
        </is>
      </c>
      <c r="S115" s="29" t="inlineStr">
        <is>
          <t>İşveren sözleşmeye daha uzun bir ihbar süresi yazabilir, ancak işverenin süresi çalışanınkinin 2 katı olmalıdır; CAO'da daha kısa süre de olabilir. AOW yaşından sonra işverenin ihbar süresi 1 aydır. UWV'de veya cao-commissie'de fesih prosedürü yürütüldüyse işveren prosedür süresini ihbar süresinden düşebilir, ancak en az 1 ay kalmalıdır. WW ödeneğine yasal ihbar süresi geçtikten sonra hak kazanırsın; işveren ihbar süresi belirlemezse veya kısa tutarsa bu sürede gelirsiz kalabilirsin. Bildirim yükümlülüğü 6 aydan kısa sözleşmelerde, bitiş tarihi olmayan (ör. proje süresi) sözleşmelerde ve uitzendbeding (ajans şartı) bulunan sözleşmelerde uygulanmaz.</t>
        </is>
      </c>
      <c r="T115" s="29" t="n"/>
    </row>
    <row r="116" ht="54" customHeight="1">
      <c r="A116" s="29" t="inlineStr">
        <is>
          <t>eindhoven:gecis-tazminati-ve-son-maas</t>
        </is>
      </c>
      <c r="B116" s="29" t="inlineStr">
        <is>
          <t>eindhoven</t>
        </is>
      </c>
      <c r="C116" s="29" t="inlineStr">
        <is>
          <t>gecis-tazminati-ve-son-maas</t>
        </is>
      </c>
      <c r="D116" s="29" t="inlineStr">
        <is>
          <t>İşten çıkarılınca geçiş tazminatı (transitievergoeding), son maaş ve referans mektubu</t>
        </is>
      </c>
      <c r="E116" s="29" t="inlineStr">
        <is>
          <t>Tazminat hakkı, son maaşta kontrol edilecekler ve getuigschrift</t>
        </is>
      </c>
      <c r="F116" s="29" t="inlineStr">
        <is>
          <t>Sözleşme işverenin girişimiyle sona erdiyse geçiş tazminatı (transitievergoeding) hakkın vardır; bu tek seferlik ödeme son maaşına (eindafrekening) dahil edilir ve tutarı çalışma süresine göre belirlenir. Çalışma saatin işyeri nedeniyle ya da uzun süreli iş göremezlik nedeniyle kalıcı olarak en az yüzde 20 azaltılırsa da tazminat hakkı doğabilir. Sözleşme karşılıklı anlaşmayla biterse tazminat hakkın olmaz. İstersen işveren sana referans mektubu (getuigschrift) vermek zorundadır.</t>
        </is>
      </c>
      <c r="G116" s="29" t="inlineStr">
        <is>
          <t>geçiş tazminatı, transitievergoeding, kıdem, eindafrekening, son maaş, getuigschrift, referans</t>
        </is>
      </c>
      <c r="H116" s="29" t="inlineStr">
        <is>
          <t>settled</t>
        </is>
      </c>
      <c r="I116" s="29" t="inlineStr">
        <is>
          <t>eindhoven:kaynak:122</t>
        </is>
      </c>
      <c r="J116" s="49" t="n">
        <v>46317</v>
      </c>
      <c r="K116" s="51" t="n">
        <v>816</v>
      </c>
      <c r="L116" s="29" t="inlineStr">
        <is>
          <t>Hayır</t>
        </is>
      </c>
      <c r="M116" s="29" t="inlineStr">
        <is>
          <t>Taslak</t>
        </is>
      </c>
      <c r="N116" s="29" t="inlineStr">
        <is>
          <t>eindhoven:is</t>
        </is>
      </c>
      <c r="O116" s="29" t="inlineStr">
        <is>
          <t>Sözleşmenin kimin girişimiyle bittiğine bak: işverenin girişimiyle bittiyse geçiş tazminatı hakkın vardır.
Son maaş bordronda (eindafrekening) alacaklı olduğun her şeyin ödendiğini, tatil harçlığı ve tazminat kalemlerini kontrol et.
Bordrodaki beklenmedik kesintileri sorgula; işveren sana olan borçları son maaştan düşebilir, ör. eğitim kurslarına ilişkin kesintiler görülebilir.
Referans mektubu (getuigschrift) iste: işveren adını ve unvanını, görevlerini ve çalışma sürenü yazmak zorundadır.
Kısmi bitiş için: çalışma saatin işyeri nedenleriyle veya uzun süreli iş göremezlikle kalıcı olarak en az yüzde 20 azaltıldıysa tazminat hakkın olup olmadığına bak.</t>
        </is>
      </c>
      <c r="P116" s="29" t="n"/>
      <c r="Q116" s="29" t="inlineStr">
        <is>
          <t>Tazminat son maaşa dahil edilir</t>
        </is>
      </c>
      <c r="R116" s="29" t="inlineStr">
        <is>
          <t>Tek seferlik geçiş tazminatı; tutar çalışma süresine göre belirlenir</t>
        </is>
      </c>
      <c r="S116" s="29" t="inlineStr">
        <is>
          <t>Sözleşme karşılıklı anlaşmayla (wederzijds goedvinden) sona erdiyse işverenin girişimiyle bitmediği için tazminat hakkı doğmaz. İşveren isterse referans mektubuna iş performansın ve kişiliğin hakkında ek bilgi yazabilir ama yazmak zorunda değildir.</t>
        </is>
      </c>
      <c r="T116" s="29" t="n"/>
    </row>
    <row r="117" ht="54" customHeight="1">
      <c r="A117" s="29" t="inlineStr">
        <is>
          <t>eindhoven:ww-hak-kosullari</t>
        </is>
      </c>
      <c r="B117" s="29" t="inlineStr">
        <is>
          <t>eindhoven</t>
        </is>
      </c>
      <c r="C117" s="29" t="inlineStr">
        <is>
          <t>ww-hak-kosullari</t>
        </is>
      </c>
      <c r="D117" s="29" t="inlineStr">
        <is>
          <t>WW işsizlik ödeneğine kimler hak kazanır?</t>
        </is>
      </c>
      <c r="E117" s="29" t="inlineStr">
        <is>
          <t>36 haftanın 26 haftası, haftada en az 10 saat ve 5 saat kayıp</t>
        </is>
      </c>
      <c r="F117" s="29" t="inlineStr">
        <is>
          <t>WW (işsizlik ödeneği) için işsiz kalmadan önceki son 36 haftanın en az 26 haftasında çalışmış olman gerekir; bu birden fazla işverende olabilir. Ortalama haftada en az 10 saat çalışmış ve haftada 5 saat veya daha fazla işini (ve o saatlerin ücretini) kaybetmiş olmalısın. Ücretli işe hemen başlayabilir durumda olmak da şarttır. Kendi kusurunla işsiz kalırsan genellikle ödenek alamazsın.</t>
        </is>
      </c>
      <c r="G117" s="29" t="inlineStr">
        <is>
          <t>WW, işsizlik ödeneği, UWV, werkloosheid, 26 hafta, 36 hafta</t>
        </is>
      </c>
      <c r="H117" s="29" t="inlineStr">
        <is>
          <t>settled</t>
        </is>
      </c>
      <c r="I117" s="29" t="inlineStr">
        <is>
          <t>eindhoven:kaynak:119;eindhoven:kaynak:120</t>
        </is>
      </c>
      <c r="J117" s="49" t="n">
        <v>46317</v>
      </c>
      <c r="K117" s="51" t="n">
        <v>817</v>
      </c>
      <c r="L117" s="29" t="inlineStr">
        <is>
          <t>Evet</t>
        </is>
      </c>
      <c r="M117" s="29" t="inlineStr">
        <is>
          <t>Taslak</t>
        </is>
      </c>
      <c r="N117" s="29" t="inlineStr">
        <is>
          <t>eindhoven:is</t>
        </is>
      </c>
      <c r="O117" s="29" t="inlineStr">
        <is>
          <t>Son 36 haftanın en az 26 haftasında çalıştığını doğrula; bu farklı işverenlerde olabilir.
Ortalama haftalık çalışma saatinin en az 10 saat olduğunu ve haftada en az 5 saat işini ve ücretini kaybettiğini kontrol et.
İşsizlik sigortası kapsamında olduğunu doğrula; işverenin yanında çalışanlar genellikle kapsamdadır.
Ücretli işe hemen başlayabilir durumda olduğunu bil; bu da bir koşuldur.
Yaklaşık hakkını görmek için Mijn UWV'ye giriş yap.</t>
        </is>
      </c>
      <c r="P117" s="29" t="n"/>
      <c r="Q117" s="29" t="inlineStr">
        <is>
          <t>İşsiz kalmadan önceki son 36 haftanın en az 26 haftasında çalışmış olmak</t>
        </is>
      </c>
      <c r="R117" s="29" t="n"/>
      <c r="S117" s="29" t="inlineStr">
        <is>
          <t>Hastalık, doğum izni veya ücretsiz izinle geçen dönemlerde son 36 haftadan daha eski bir döneme de bakılabilir. Haftada ortalama 10 saatten az çalıştıysan ve bu saatlerin en az yarısını kaybettiysen de hak doğabilir. Kalıcı sözleşmeni bırakıp 26 haftadan kısa geçici bir sözleşmeye geçtiysen büyük olasılıkla WW alamazsın. İşveren seni işten çıkardıysa ve fesih anlaşması (vaststellingsovereenkomst) imzaladıysan da hak doğabilir. Serbest çalışmaya geçmeden önce çalışan olduysan da hak doğabilir.</t>
        </is>
      </c>
      <c r="T117" s="29" t="n"/>
    </row>
    <row r="118" ht="54" customHeight="1">
      <c r="A118" s="29" t="inlineStr">
        <is>
          <t>eindhoven:ww-suresi-ve-tutari</t>
        </is>
      </c>
      <c r="B118" s="29" t="inlineStr">
        <is>
          <t>eindhoven</t>
        </is>
      </c>
      <c r="C118" s="29" t="inlineStr">
        <is>
          <t>ww-suresi-ve-tutari</t>
        </is>
      </c>
      <c r="D118" s="29" t="inlineStr">
        <is>
          <t>WW ne kadar süre ve ne kadar ödenir?</t>
        </is>
      </c>
      <c r="E118" s="29" t="inlineStr">
        <is>
          <t>3 aydan 2 yıla kadar; ilk 2 ay yüzde 75, sonra yüzde 70</t>
        </is>
      </c>
      <c r="F118" s="29" t="inlineStr">
        <is>
          <t>WW süresi çalışma geçmişine göre 3 aydan 2 yıla kadar değişir. Son 36 haftanın en az 26 haftasında çalıştıysan en az 3 ay alırsın; son 5 yılın en az 4 tam yılında çalıştıysan 3 aydan uzun alırsın ve çalıştığın her yıl için 1 ay eklenir (en çok 10 yıla kadar). Genellikle işsizliğin ilk 2 ayında WW-maandloon'un yüzde 75'ini, sonra yüzde 70'ini alırsın; WW-maandloon, son bir yıldaki ortalama günlük gelirinden (dagloon) hesaplanan aylık tutardır.</t>
        </is>
      </c>
      <c r="G118" s="29" t="inlineStr">
        <is>
          <t>WW süresi, WW tutarı, WW-maandloon, dagloon, voorschot, işsizlik maaşı, UWV</t>
        </is>
      </c>
      <c r="H118" s="29" t="inlineStr">
        <is>
          <t>settled</t>
        </is>
      </c>
      <c r="I118" s="29" t="inlineStr">
        <is>
          <t>eindhoven:kaynak:119</t>
        </is>
      </c>
      <c r="J118" s="49" t="n">
        <v>46317</v>
      </c>
      <c r="K118" s="51" t="n">
        <v>818</v>
      </c>
      <c r="L118" s="29" t="inlineStr">
        <is>
          <t>Hayır</t>
        </is>
      </c>
      <c r="M118" s="29" t="inlineStr">
        <is>
          <t>Taslak</t>
        </is>
      </c>
      <c r="N118" s="29" t="inlineStr">
        <is>
          <t>eindhoven:is</t>
        </is>
      </c>
      <c r="O118" s="29" t="inlineStr">
        <is>
          <t>Mijn UWV'ye giriş yaparak yaklaşık hakkını ve süreni gör.
Her ay kazancını UWV'ye bildir; UWV ödeneğini bu gelire göre düzeltir.
Bildirimden sonra ödeneğin 14 gün içinde yatar.
İşsizliğin başlangıcı ile ilk gelir bildirimi arasında birkaç hafta varsa tek seferlik avans (voorschot) için UWV ile iletişime geç.
WW sırasında hamile kalır veya hastalanırsan doğum ödeneği ya da hastalık ödeneği (ziektewet) alırsın; WW'den kalan hakkın sonradan devam edebilir.</t>
        </is>
      </c>
      <c r="P118" s="29" t="n"/>
      <c r="Q118" s="29" t="inlineStr">
        <is>
          <t>Ödenek süresi 3 aydan 2 yıla kadar; gelir bildirimi sonrası ödeme 14 gün içinde</t>
        </is>
      </c>
      <c r="R118" s="29" t="inlineStr">
        <is>
          <t>İlk 2 ay WW-maandloon'un (son bir yıldaki dagloon'a göre hesaplanan aylık tutar) yüzde 75'i, sonrasında yüzde 70'i</t>
        </is>
      </c>
      <c r="S118" s="29" t="inlineStr">
        <is>
          <t>10 yıldan fazla çalışılan her yıl için 2015'e kadarki yıllarda 1 ay, 2016'dan sonraki yıllarda 0,5 ay eklenir. Avans her zaman hak ettiğin ödenekten düşüktür.</t>
        </is>
      </c>
      <c r="T118" s="29" t="n"/>
    </row>
    <row r="119" ht="54" customHeight="1">
      <c r="A119" s="29" t="inlineStr">
        <is>
          <t>eindhoven:ww-basvurusu</t>
        </is>
      </c>
      <c r="B119" s="29" t="inlineStr">
        <is>
          <t>eindhoven</t>
        </is>
      </c>
      <c r="C119" s="29" t="inlineStr">
        <is>
          <t>ww-basvurusu</t>
        </is>
      </c>
      <c r="D119" s="29" t="inlineStr">
        <is>
          <t>WW işsizlik ödeneği başvurusu nasıl yapılır?</t>
        </is>
      </c>
      <c r="E119" s="29" t="inlineStr">
        <is>
          <t>Mijn UWV üzerinden, DigiD ile; yaklaşık 30 dakika</t>
        </is>
      </c>
      <c r="F119" s="29" t="inlineStr">
        <is>
          <t>WW başvurusunu ilk işsizlik gününden 1 hafta öncesinden en geç 1 hafta sonrasına kadar yapabilirsin; ilk işsizlik günü, işin olsaydı çalışacağın ilk gündür. Başvuruyu DigiD ile UWV'ye yaparsın ve formu doldurmak yaklaşık 30 dakika sürer. Başvurundan sonra ilk işsizlik gününden itibaren 4 hafta içinde Mijn UWV'de ve UWV uygulamasında kararı görürsün; ilk işsizlik gününden sonra başvurduysan karar başvurudan sonra 4 hafta içinde gelir. Karar ödeneği alıp almadığını ve süresini bildirir.</t>
        </is>
      </c>
      <c r="G119" s="29" t="inlineStr">
        <is>
          <t>WW başvurusu, UWV, DigiD, Mijn UWV, işsizlik ödeneği başvurusu, werkloosheid</t>
        </is>
      </c>
      <c r="H119" s="29" t="inlineStr">
        <is>
          <t>settled</t>
        </is>
      </c>
      <c r="I119" s="29" t="inlineStr">
        <is>
          <t>eindhoven:kaynak:121;eindhoven:kaynak:119</t>
        </is>
      </c>
      <c r="J119" s="49" t="n">
        <v>46317</v>
      </c>
      <c r="K119" s="51" t="n">
        <v>819</v>
      </c>
      <c r="L119" s="29" t="inlineStr">
        <is>
          <t>Hayır</t>
        </is>
      </c>
      <c r="M119" s="29" t="inlineStr">
        <is>
          <t>Taslak</t>
        </is>
      </c>
      <c r="N119" s="29" t="inlineStr">
        <is>
          <t>eindhoven:is</t>
        </is>
      </c>
      <c r="O119" s="29" t="inlineStr">
        <is>
          <t>Başvuru için DigiD, son maaş bordron (loonstrook), son iş sözleşmen, banka hesap numaran ve işsiz kalacağın ya da kaldığın tarihi hazırla.
İşten ayrılmadan önce işverenden maaş bordrolarını, varsa fesih anlaşmasını (vaststellingsovereenkomst) ve tabi olduğun CAO'yu iste.
Başvuruyu ilk işsizlik gününden en erken 1 hafta önce, en geç 1 hafta sonra yap.
Başvuru formunu doldur; bu yaklaşık 30 dakika sürer.
Ek bilgi istenirse Mijn UWV'de 'Aanvullende gegevens doorgeven' bölümünden yükle.
Başvuru durumunu Mijn UWV'de 'Uw WW-aanvraag' bölümünden izle; karar 4 hafta içinde gelir.</t>
        </is>
      </c>
      <c r="P119" s="29" t="inlineStr">
        <is>
          <t>DigiD
Son maaş bordrosu (loonstrook)
Son iş sözleşmesi (arbeidscontract)
Banka hesap numarası (rekeningnummer)
İşsiz kalınan veya kalınacak tarih
İstenirse: maaş bordroları, fesih anlaşması (vaststellingsovereenkomst), CAO</t>
        </is>
      </c>
      <c r="Q119" s="29" t="inlineStr">
        <is>
          <t>Başvuru ilk işsizlik gününden 1 hafta önce başlayıp en geç 1 hafta sonra bitirilir; karar ilk işsizlik gününden itibaren 4 hafta içinde (ilk işsizlik gününden sonra başvurduysan başvurudan sonra 4 hafta içinde)</t>
        </is>
      </c>
      <c r="R119" s="29" t="n"/>
      <c r="S119" s="29" t="inlineStr">
        <is>
          <t>Geç başvurursan, yani başvurduğunda 1 haftadan uzun süredir işsizsen, ödenek geçici olarak düşük çıkabilir ya da hiç ödenmeyebilir. İşsizliğin başlamasına 1 haftadan fazla varsa UWV'nin e-posta hatırlatma hizmetine (Herinnering WW-aanvraag) kaydol. Ödenek henüz ödenmediyse başvuruyu geri çekebilirsin. Başvuru sırasında gelirinin sosyal asgarinin altında kaldığı anlaşılırsa UWV ayrıca bir toeslag hakkı olup olmadığına da bakar.</t>
        </is>
      </c>
      <c r="T119" s="29" t="n"/>
    </row>
    <row r="120" ht="54" customHeight="1">
      <c r="A120" s="29" t="inlineStr">
        <is>
          <t>eindhoven:kvk-kaydi-hazirlik</t>
        </is>
      </c>
      <c r="B120" s="29" t="inlineStr">
        <is>
          <t>eindhoven</t>
        </is>
      </c>
      <c r="C120" s="29" t="inlineStr">
        <is>
          <t>kvk-kaydi-hazirlik</t>
        </is>
      </c>
      <c r="D120" s="29" t="inlineStr">
        <is>
          <t>Hollanda'da girişimci olarak KVK'ya kayıt öncesinde neler gerekir?</t>
        </is>
      </c>
      <c r="E120" s="29" t="inlineStr">
        <is>
          <t>BSN, Hollanda adresi ve işletme adı</t>
        </is>
      </c>
      <c r="F120" s="29" t="inlineStr">
        <is>
          <t>Bağımsız olarak, kâr amacıyla mal veya hizmet sunuyorsan girişimci sayılırsın ve Ticaret Sicili'ne (Handelsregister), yani KVK'ya kayıt olmak zorundasın. AB/AEA veya İsviçre dışından geliyorsan Hollanda'da kalıp işletme kurmak için oturum izni gerekebilir. Kayıt için önce BSN (vatandaş servis numarası) gerekir; bunun için yaşadığın şehirde BRP'ye (kişisel kayıt veri tabanı) kaydolursun. İşletmenin Hollanda'da bir adresi olmalı ve uygun bir işletme adı seçmelisin.</t>
        </is>
      </c>
      <c r="G120" s="29" t="inlineStr">
        <is>
          <t>KVK, ticaret sicili, girişimci, BSN, işletme adı, zakenadres, handelsregister</t>
        </is>
      </c>
      <c r="H120" s="29" t="inlineStr">
        <is>
          <t>planning;new</t>
        </is>
      </c>
      <c r="I120" s="29" t="inlineStr">
        <is>
          <t>eindhoven:kaynak:128;eindhoven:kaynak:127</t>
        </is>
      </c>
      <c r="J120" s="49" t="n">
        <v>46317</v>
      </c>
      <c r="K120" s="51" t="n">
        <v>820</v>
      </c>
      <c r="L120" s="29" t="inlineStr">
        <is>
          <t>Hayır</t>
        </is>
      </c>
      <c r="M120" s="29" t="inlineStr">
        <is>
          <t>Taslak</t>
        </is>
      </c>
      <c r="N120" s="29" t="inlineStr">
        <is>
          <t>eindhoven:is</t>
        </is>
      </c>
      <c r="O120" s="29" t="inlineStr">
        <is>
          <t>AB/AEA veya İsviçre dışından geliyorsan oturum izni gerekip gerekmediğini business.gov.nl'deki "Moving to the Netherlands as an entrepreneur" aracıyla kontrol et.
BSN'in yoksa, yaşadığın şehirde BRP'ye kayıt ol.
Hollanda'da 4 aydan kısa kalacaksan RNI'ya (yerleşik olmayanlar kaydı) kaydolabilirsin.
İşletmen için Hollanda'da bir adres belirle: kendi adresin ya da muhasebecinin adresi gibi bir iş adresi (zakenadres) olabilir.
Başkasının adresini kullanacaksan, adresi kullanmana izin verdiğini gösteren imzalı bir onay belgesi iste.
İşletme adını belirle ve KVK Name Check aracıyla benzer bir ad olup olmadığına bak.</t>
        </is>
      </c>
      <c r="P120" s="29" t="inlineStr">
        <is>
          <t>Geçerli oturum izni (AB/AEA veya İsviçre dışından gelenler için gerekebilir)
BSN (vatandaş servis numarası)
İş adresi için sahibinin imzalı onay belgesi (kendi adresin değilse)</t>
        </is>
      </c>
      <c r="Q120" s="29" t="n"/>
      <c r="R120" s="29" t="n"/>
      <c r="S120" s="29" t="inlineStr">
        <is>
          <t>RNI'ya kaydolduysan Hollanda'da geçici adresinin yanı sıra yurtdışında kalıcı bir adresin de olmalı ve KVK'ya giderken ikisini de belgelemelisin. Sınır bölgesinde yurtdışında yaşayıp Hollanda'da düzenli iş yapan girişimciler (örneğin pazar satıcıları) yurtdışı adresleriyle kayıt olabilir.</t>
        </is>
      </c>
      <c r="T120" s="29" t="n"/>
    </row>
    <row r="121" ht="54" customHeight="1">
      <c r="A121" s="29" t="inlineStr">
        <is>
          <t>eindhoven:kvk-randevu-ucret-ve-vergi-kaydi</t>
        </is>
      </c>
      <c r="B121" s="29" t="inlineStr">
        <is>
          <t>eindhoven</t>
        </is>
      </c>
      <c r="C121" s="29" t="inlineStr">
        <is>
          <t>kvk-randevu-ucret-ve-vergi-kaydi</t>
        </is>
      </c>
      <c r="D121" s="29" t="inlineStr">
        <is>
          <t>KVK kaydı nasıl tamamlanır: form, randevu, ücret ve vergi dairesi</t>
        </is>
      </c>
      <c r="E121" s="29" t="inlineStr">
        <is>
          <t>Randevu zorunlu, KVK numarası ziyarette verilir, vergi dairesine ayrıca kayıt gerekmez</t>
        </is>
      </c>
      <c r="F121" s="29" t="inlineStr">
        <is>
          <t>Önce online KVK kayıt formunu doldurur, sonra randevu alırsın. Eenmanszaak ve VOF gibi tüzel kişiliği olmayan işletmelerde kaydı tamamlamak için KVK ofisine bizzat gitmen gerekir; randevusuz ve kimliksiz kayıt yapılmaz, KVK numaranı ziyarette alırsın. BV ve NV gibi tüzel kişiliklerde kaydı noter yapar. Tek seferlik kayıt ücreti 85,15 euro'dur; KVK ofisinde kayıt olduysan fatura e-postayla gelir ve nakit ödenmez. KVK bilgilerini vergi dairesine (Belastingdienst) ilettiği için ayrıca kayıt gerekmez.</t>
        </is>
      </c>
      <c r="G121" s="29" t="inlineStr">
        <is>
          <t>KVK randevu, KVK numarası, kayıt ücreti, Belastingdienst, KDV, handelsregister, Ondernemersplein</t>
        </is>
      </c>
      <c r="H121" s="29" t="inlineStr">
        <is>
          <t>planning;new</t>
        </is>
      </c>
      <c r="I121" s="29" t="inlineStr">
        <is>
          <t>eindhoven:kaynak:128;eindhoven:kaynak:127;eindhoven:kaynak:225</t>
        </is>
      </c>
      <c r="J121" s="49" t="n">
        <v>46317</v>
      </c>
      <c r="K121" s="51" t="n">
        <v>821</v>
      </c>
      <c r="L121" s="29" t="inlineStr">
        <is>
          <t>Hayır</t>
        </is>
      </c>
      <c r="M121" s="29" t="inlineStr">
        <is>
          <t>Taslak</t>
        </is>
      </c>
      <c r="N121" s="29" t="inlineStr">
        <is>
          <t>eindhoven:is</t>
        </is>
      </c>
      <c r="O121" s="29" t="inlineStr">
        <is>
          <t>Kişisel bilgilerini, iletişim bilgilerini, faaliyet tanımını, sektörünü, işletme adını ve şirket türünü hazırlayıp online KVK kayıt formunu doldur.
KVK'dan randevu al; randevu olmadan kayıt yapılamaz.
Randevuya geçerli bir kimlik belgesiyle git; kimliksiz kayıt yapılamaz.
İş adresin özel adresinden farklıysa iş yeri kira veya satın alma sözleşmeni ya da sahibinin imzalı onay belgesini götür.
Ziyaretten sonra e-postayla gelen faturayı öde; nakit ödeme kabul edilmez. KVK numaranı ziyaret sırasında alırsın.
BV veya NV kuruyorsan kaydı noter yapar; faturayı e-posta veya posta ile alırsın, hangisi olduğu notere verilen bilgilere bağlıdır.</t>
        </is>
      </c>
      <c r="P121" s="29" t="inlineStr">
        <is>
          <t>Geçerli kimlik belgesi
İş adresi özel adresten farklıysa: iş yeri kira veya satın alma sözleşmesi ya da sahibinin imzalı onay belgesi</t>
        </is>
      </c>
      <c r="Q121" s="29" t="inlineStr">
        <is>
          <t>KVK kaydı üç zamandan birinde yapılabilir: faaliyete başladıktan en geç 1 hafta sonra, faaliyete başlamadan 1 hafta önce ya da daha erken (bu durumda kayıt faaliyetten 1 hafta önce resmîleşir, KVK'ya tekrar gitmen gerekmez). Randevu aldıysan faaliyete randevudan en erken 1 hafta önce başlayabilirsin.</t>
        </is>
      </c>
      <c r="R121" s="29" t="inlineStr">
        <is>
          <t>Tek seferlik kayıt ücreti 85,15 euro (KVK sayfası 11 Haziran 2026'da güncellenmiş); tutar her yıl enflasyona göre güncellenir ve girişimciler için vergiden düşülebilir. KVK ofisinde kayıtta fatura factuur@kvk.nl adresinden e-postayla gelir, nakit ödenmez; noter üzerinden kayıtta e-posta veya posta, posta formuyla kayıtta posta ile gelir.</t>
        </is>
      </c>
      <c r="S121" s="29" t="inlineStr">
        <is>
          <t>Yıllık cirosu 2.200 euronun altındaki ve KVK kaydı zorunlu olmayan girişimcinin KDV girişimcisi olarak vergi dairesine kaydolması gerekmez; küçük işletme düzeninden (KOR) otomatik yararlanır. KVK'ya kayıt olması gerekirken olmayan kişi yasayı çiğner ve para cezası veya hapis riskiyle karşılaşır. Eindhoven'ın da aralarında olduğu şehirlerde düzenlenen Ondernemersplein açık günlerinde KVK danışmanlarıyla yüz yüze görüşebilirsin; KVK danışma hattı +31 (0)88 585 2222.</t>
        </is>
      </c>
      <c r="T121" s="29" t="n"/>
    </row>
    <row r="122" ht="54" customHeight="1">
      <c r="A122" s="29" t="inlineStr">
        <is>
          <t>eindhoven:serbest-calisan-sirket-turu</t>
        </is>
      </c>
      <c r="B122" s="29" t="inlineStr">
        <is>
          <t>eindhoven</t>
        </is>
      </c>
      <c r="C122" s="29" t="inlineStr">
        <is>
          <t>serbest-calisan-sirket-turu</t>
        </is>
      </c>
      <c r="D122" s="29" t="inlineStr">
        <is>
          <t>Serbest çalışırken (zzp) eenmanszaak mı, BV mi seçmeli?</t>
        </is>
      </c>
      <c r="E122" s="29" t="inlineStr">
        <is>
          <t>Freelancer ve zzp yasal şirket türü değildir; seçim sorumluluğu ve vergi avantajını belirler</t>
        </is>
      </c>
      <c r="F122" s="29" t="inlineStr">
        <is>
          <t>Freelancer ve zzp'er (bağımsız çalışan) yasal bir şirket türü değildir. Personeli olmayan serbest çalışan veya freelancer olarak eenmanszaak (şahıs işletmesi) ya da BV (limited şirket) olarak kayıt olabilirsin. Seçtiğin tür, borçlardan kimin sorumlu olduğunu ve hangi vergi avantajlarından yararlanacağını belirler. Tüzel kişilik olmayan işletmelerde kaydı kendin yaparsın, BV gibi tüzel kişiliklerde noter yapar.</t>
        </is>
      </c>
      <c r="G122" s="29" t="inlineStr">
        <is>
          <t>zzp, freelancer, eenmanszaak, BV, VOF, şirket türü, UBO, SBI kodu</t>
        </is>
      </c>
      <c r="H122" s="29" t="inlineStr">
        <is>
          <t>planning;new</t>
        </is>
      </c>
      <c r="I122" s="29" t="inlineStr">
        <is>
          <t>eindhoven:kaynak:128</t>
        </is>
      </c>
      <c r="J122" s="49" t="n">
        <v>46317</v>
      </c>
      <c r="K122" s="51" t="n">
        <v>822</v>
      </c>
      <c r="L122" s="29" t="inlineStr">
        <is>
          <t>Hayır</t>
        </is>
      </c>
      <c r="M122" s="29" t="inlineStr">
        <is>
          <t>Taslak</t>
        </is>
      </c>
      <c r="N122" s="29" t="inlineStr">
        <is>
          <t>eindhoven:is</t>
        </is>
      </c>
      <c r="O122" s="29" t="inlineStr">
        <is>
          <t>Sana uygun şirket türünü bulmak için business.gov.nl'deki 'Choosing a Dutch legal structure' aracını kullan.
Eenmanszaak veya VOF gibi tüzel kişiliği olmayan bir yapı seçtiysen kaydı kendin yap.
BV veya NV seçtiysen kaydı noterin yapması gerektiğini bil.
Şirket türünün UBO (nihai hak sahibi) kaydı gerektirip gerektirmediğine bak; Hollanda'da UBO'lar KVK'ya kaydedilir.
Kayıtta KVK sana işletme faaliyetine göre bir SBI kodu verir; kendi öneri kodunu da sunabilirsin ve kodu düzenli kontrol et.</t>
        </is>
      </c>
      <c r="P122" s="29" t="n"/>
      <c r="Q122" s="29" t="n"/>
      <c r="R122" s="29" t="n"/>
      <c r="S122" s="29" t="inlineStr">
        <is>
          <t>Sicil bilgileri herkese açıktır; telefon numaran sicilde görünmez. Şahıs işletmesinde ziyaret adresini gizletmek her zaman mümkündür, bunun için ev adresinden farklı bir posta adresi (örneğin posta kutusu) kaydetmelisin.</t>
        </is>
      </c>
      <c r="T122" s="29" t="n"/>
    </row>
    <row r="123" ht="54" customHeight="1">
      <c r="A123" s="29" t="inlineStr">
        <is>
          <t>eindhoven:yabanci-diploma-ile-calisma</t>
        </is>
      </c>
      <c r="B123" s="29" t="inlineStr">
        <is>
          <t>eindhoven</t>
        </is>
      </c>
      <c r="C123" s="29" t="inlineStr">
        <is>
          <t>yabanci-diploma-ile-calisma</t>
        </is>
      </c>
      <c r="D123" s="29" t="inlineStr">
        <is>
          <t>Yabancı diplomayla Hollanda'da çalışmak: mesleğin düzenlenmiş mi, diploman ne değer?</t>
        </is>
      </c>
      <c r="E123" s="29" t="inlineStr">
        <is>
          <t>Düzenlenmiş meslek mi, mesleki tanıma, Nuffic ve denklik değerlendirmesi</t>
        </is>
      </c>
      <c r="F123" s="29" t="inlineStr">
        <is>
          <t>Yabancı diplomayla çalışmak için önce mesleğinin Hollanda'da düzenlenmiş (regulated) bir meslek olup olmadığına bakmalısın. Düzenlenmişse çalışmak için mesleki tanıma başvurusu yapman gerekir; düzenlenmemişse mesleği Hollanda'da yapabilirsin, ama çalışma veya oturum izni gerekip gerekmediği ayrıca kontrol edilmelidir. Diplomanın değerini işverene göstermek için Nuffic'in 100'den fazla eğitim sistemini kapsayan listesine bakabilir, resmî bir belge gerekirse IDW üzerinden denklik değerlendirmesi isteyebilirsin.</t>
        </is>
      </c>
      <c r="G123" s="29" t="inlineStr">
        <is>
          <t>diploma, denklik, Nuffic, mesleki tanıma, regulated profession, IDW, EPC</t>
        </is>
      </c>
      <c r="H123" s="29" t="inlineStr">
        <is>
          <t>before;planning</t>
        </is>
      </c>
      <c r="I123" s="29" t="inlineStr">
        <is>
          <t>eindhoven:kaynak:129</t>
        </is>
      </c>
      <c r="J123" s="49" t="n">
        <v>46317</v>
      </c>
      <c r="K123" s="51" t="n">
        <v>823</v>
      </c>
      <c r="L123" s="29" t="inlineStr">
        <is>
          <t>Hayır</t>
        </is>
      </c>
      <c r="M123" s="29" t="inlineStr">
        <is>
          <t>Taslak</t>
        </is>
      </c>
      <c r="N123" s="29" t="inlineStr">
        <is>
          <t>eindhoven:is</t>
        </is>
      </c>
      <c r="O123" s="29" t="inlineStr">
        <is>
          <t>Avrupa Komisyonu'nun düzenlenmiş meslekler veri tabanında 'Professions Regulated in Country' alanında Netherlands'ı seçip mesleğinin listede olup olmadığına bak.
Meslek listedeyse düzenlenmiştir: çalışmak için mesleki tanıma başvurusu yapman gerekir.
Eczacı, fizyoterapist veya hemşireysen Avrupa Mesleki Kartı (EPC) ile tanıma isteyebilirsin; başka meslekler için veri tabanında mesleğin adına tıklayıp 'Competent Authorities' bölümünden yetkili kurumu bul.
Meslek listede yoksa büyük olasılıkla düzenlenmemiştir ve bu işi Hollanda'da yapabilirsin.
Mesleğin düzenlenmiş olsun olmasın, çalışma veya oturum izni gerekip gerekmediğini Hollanda hükûmetinin "Can I work in the Netherlands as a foreign employee?" sayfasından kontrol et.
İşverenin diplomanın değerini bilmek istiyorsa, Nuffic'in eğitim sistemleri listesinde ülkeni ve diplomanı bul ve işverene göster.
Diploman listede yoksa ya da işveren resmî bir belge istiyorsa IDW sitesinden denklik değerlendirmesi başvurusu yap.</t>
        </is>
      </c>
      <c r="P123" s="29" t="n"/>
      <c r="Q123" s="29" t="n"/>
      <c r="R123" s="29" t="inlineStr">
        <is>
          <t>IDW denklik değerlendirmesi başvurusu ücretlidir</t>
        </is>
      </c>
      <c r="S123" s="29" t="inlineStr">
        <is>
          <t>AB ülkesi, İzlanda, Lihtenştayn, Norveç veya İsviçre diplomasıyla ilgili sorular için Nuffic ile iletişime geçebilirsin; Nuffic, Hollanda'nın mesleki tanıma yardım merkezidir.</t>
        </is>
      </c>
      <c r="T123" s="29" t="n"/>
    </row>
    <row r="124" ht="54" customHeight="1">
      <c r="A124" s="29" t="inlineStr">
        <is>
          <t>eindhoven:is-bulma-yollari-eindhoven</t>
        </is>
      </c>
      <c r="B124" s="29" t="inlineStr">
        <is>
          <t>eindhoven</t>
        </is>
      </c>
      <c r="C124" s="29" t="inlineStr">
        <is>
          <t>is-bulma-yollari-eindhoven</t>
        </is>
      </c>
      <c r="D124" s="29" t="inlineStr">
        <is>
          <t>Eindhoven'da iş nasıl aranır? Portallar, ajanslar ve ağ kurma</t>
        </is>
      </c>
      <c r="E124" s="29" t="inlineStr">
        <is>
          <t>Brainport portalı, EURES, uitzendbureau, açık başvuru ve eş kariyer programları</t>
        </is>
      </c>
      <c r="F124" s="29" t="inlineStr">
        <is>
          <t>Brabant'ta uluslararası çalışanlara iş veren çok sayıda uluslararası şirket vardır; Hollanda'da pek çok iş iyi Hollandaca ister, ama bazıları yalnızca iyi İngilizce ister. Teknoloji ve IT işleri için Brainport Eindhoven'ın iş portalı, Avrupa için EURES, ayrıca Eindhoven'da 100'den fazla uitzendbureau (iş bulma ajansı) var. Ağ kurmak da önemlidir: işe yerleştirmelerin yüzde 80'inin ağ üzerinden olduğu söylenir. Başvurmadan önce çalışma izni gerekip gerekmediğine bak.</t>
        </is>
      </c>
      <c r="G124" s="29" t="inlineStr">
        <is>
          <t>iş bulma, solliciteren, uitzendbureau, Brainport, EURES, LinkedIn, açık başvuru, Talent100</t>
        </is>
      </c>
      <c r="H124" s="29" t="inlineStr">
        <is>
          <t>new;settled</t>
        </is>
      </c>
      <c r="I124" s="29" t="inlineStr">
        <is>
          <t>eindhoven:kaynak:133</t>
        </is>
      </c>
      <c r="J124" s="49" t="n">
        <v>46317</v>
      </c>
      <c r="K124" s="51" t="n">
        <v>824</v>
      </c>
      <c r="L124" s="29" t="inlineStr">
        <is>
          <t>Hayır</t>
        </is>
      </c>
      <c r="M124" s="29" t="inlineStr">
        <is>
          <t>Taslak</t>
        </is>
      </c>
      <c r="N124" s="29" t="inlineStr">
        <is>
          <t>eindhoven:is</t>
        </is>
      </c>
      <c r="O124" s="29" t="inlineStr">
        <is>
          <t>Başvurmadan önce çalışma izni gerekip gerekmediğine ve mesleğine göre diploma ile sertifikalarının Hollanda makamlarınca doğrulatılması gerekip gerekmediğine bak; sonra teknoloji ve IT ilanları için Brainport Eindhoven'ın iş portalını incele.
EURES/UWV üzerinden AB/AEA ülkeleri ve İsviçre'deki iş ilanlarına bak; sınır bölgeleri için özel destek de var.
Eindhoven'daki uitzendbureau (iş bulma ajansı) sitelerini gez ve ilanlara başvur.
LinkedIn, Facebook ve Instagram gibi sosyal medyadaki ilanları takip et ve çevrene iş aradığını söyle.
İlan olmayan şirketlere de açık başvuru gönder; mektubunda neden o şirkette çalışmak istediğini, yeteneklerini ve başka AB ülkesinde edindiğin dil veya iş deneyimini yaz.
Güneydoğu Brabant'ta Werkcentrum Zuidoost-Brabant'a katılan 13 belediyeden birinde oturuyorsan iş arama veya kurs için ona başvurabilirsin; katılan belediyelerin listesi Werkcentrum'un sitesinde.
Eşin veya partnerin nedeniyle kariyerine ara verdiysen Living In Programı ve Expat Spouses Initiative'in Talent100 programına bak.</t>
        </is>
      </c>
      <c r="P124" s="29" t="n"/>
      <c r="Q124" s="29" t="n"/>
      <c r="R124" s="29" t="n"/>
      <c r="S124" s="29" t="inlineStr">
        <is>
          <t>Hollandaca sözcükler: baan (iş), solliciteren (iş başvurusu yapmak), uitzendbureau (iş bulma ajansı), werkloos (işsiz). Talent100, uluslararası kişileri yerel mesleki işlerle buluşturmayı amaçlayan 12 haftalık bir kariyere dönüş programıdır; Women for Women programı onun bir koludur.</t>
        </is>
      </c>
      <c r="T124" s="29" t="n"/>
    </row>
    <row r="125" ht="54" customHeight="1">
      <c r="A125" s="29" t="inlineStr">
        <is>
          <t>eindhoven:win-bilgi-noktasi-eindhoven</t>
        </is>
      </c>
      <c r="B125" s="29" t="inlineStr">
        <is>
          <t>eindhoven</t>
        </is>
      </c>
      <c r="C125" s="29" t="inlineStr">
        <is>
          <t>win-bilgi-noktasi-eindhoven</t>
        </is>
      </c>
      <c r="D125" s="29" t="inlineStr">
        <is>
          <t>Eindhoven'da iş, ücret ve haklar konusunda ücretsiz danışma nereden alınır?</t>
        </is>
      </c>
      <c r="E125" s="29" t="inlineStr">
        <is>
          <t>WIN Informatiepunt Zuidoost-Brabant, Stadhuisplein 1a</t>
        </is>
      </c>
      <c r="F125" s="29" t="inlineStr">
        <is>
          <t>Eindhoven'daki Work in NL Informatiepunt Zuidoost-Brabant (WIN), Hollanda'da çalışan ve yaşayan kişilere iş, ücret, sözleşme, işveren, ev, sağlık, vergi ve kayıt konularında bilgi ve tavsiye veren ücretsiz bir danışma noktasıdır. Birkaç dilde yardım alabilirsin; çalışanların çoğu da bir zamanlar Hollanda'ya yeni gelmiş kişilerdir. İşvereninle veya ev sahibinle sorun yaşıyorsan da başvurabilirsin; yardım ücretsizdir ve bağlayıcı değildir.</t>
        </is>
      </c>
      <c r="G125" s="29" t="inlineStr">
        <is>
          <t>WIN, Informatiepunt, Work in NL, ücretsiz danışma, işveren sorunu, Stadhuisplein</t>
        </is>
      </c>
      <c r="H125" s="29" t="inlineStr">
        <is>
          <t>new;settled</t>
        </is>
      </c>
      <c r="I125" s="29" t="inlineStr">
        <is>
          <t>eindhoven:kaynak:132</t>
        </is>
      </c>
      <c r="J125" s="49" t="n">
        <v>46317</v>
      </c>
      <c r="K125" s="51" t="n">
        <v>825</v>
      </c>
      <c r="L125" s="29" t="inlineStr">
        <is>
          <t>Hayır</t>
        </is>
      </c>
      <c r="M125" s="29" t="inlineStr">
        <is>
          <t>Taslak</t>
        </is>
      </c>
      <c r="N125" s="29" t="inlineStr">
        <is>
          <t>eindhoven:is</t>
        </is>
      </c>
      <c r="O125" s="29" t="inlineStr">
        <is>
          <t>informatiepuntzob@eindhoven.nl adresine e-posta gönder.
Ya da Stadhuisplein 1a, 5611 EM Eindhoven adresindeki noktaya git.
Açık saatlere göre git: Pazartesi–Cuma 09:00–17:00, Cumartesi 09:00–12:00.
İş, ücret, sözleşme veya işverenle ilgili sorunun için bilgi ve tavsiye iste.</t>
        </is>
      </c>
      <c r="P125" s="29" t="n"/>
      <c r="Q125" s="29" t="inlineStr">
        <is>
          <t>Pazartesi–Cuma 09:00–17:00; Cumartesi 09:00–12:00</t>
        </is>
      </c>
      <c r="R125" s="29" t="inlineStr">
        <is>
          <t>Ücretsiz</t>
        </is>
      </c>
      <c r="S125" s="29" t="inlineStr">
        <is>
          <t>Hizmet yalnızca iş konularıyla sınırlı değildir: ev, sağlık, vergi ve Hollanda'da kayıt gibi konularda da yardım verirler.</t>
        </is>
      </c>
      <c r="T125" s="29" t="n"/>
    </row>
    <row r="126" ht="54" customHeight="1">
      <c r="A126" s="29" t="inlineStr">
        <is>
          <t>eindhoven:brainport-is-piyasasi-sektorler</t>
        </is>
      </c>
      <c r="B126" s="29" t="inlineStr">
        <is>
          <t>eindhoven</t>
        </is>
      </c>
      <c r="C126" s="29" t="inlineStr">
        <is>
          <t>brainport-is-piyasasi-sektorler</t>
        </is>
      </c>
      <c r="D126" s="29" t="inlineStr">
        <is>
          <t>Eindhoven bölgesinde iş piyasası nasıl, hangi sektörlerde iş çok?</t>
        </is>
      </c>
      <c r="E126" s="29" t="inlineStr">
        <is>
          <t>Güneydoğu Brabant: 2024'te 485.925 iş, yarısına yakını topsector'larda</t>
        </is>
      </c>
      <c r="F126" s="29" t="inlineStr">
        <is>
          <t>Brainport Monitor'e göre Güneydoğu Brabant'ta 2024'te iş sayısı yüzde 1,6 artarak toplam 485.925 işe ulaştı. İşlerin 227.205'i (yüzde 46,8) dokuz topsector'dan birinde; ulusal oran yüzde 34,8. Bu topsector'lar içinde en büyük pay HTSM'nin (yüksek teknoloji ve sistemler): bölgedeki tüm işlerin yüzde 18,3'ü bu alanda ve 2024'te 89.058 iş var. 2025 ortasında bölgedeki şirketlerin yüzde 41,7'si işgücü eksikliğinden sıkıntı çekiyor.</t>
        </is>
      </c>
      <c r="G126" s="29" t="inlineStr">
        <is>
          <t>Brainport, iş piyasası, arbeidsmarkt, HTSM, topsector, işgücü açığı, Zuidoost-Brabant</t>
        </is>
      </c>
      <c r="H126" s="29" t="inlineStr">
        <is>
          <t>before;planning</t>
        </is>
      </c>
      <c r="I126" s="29" t="inlineStr">
        <is>
          <t>eindhoven:kaynak:131</t>
        </is>
      </c>
      <c r="J126" s="49" t="n">
        <v>46317</v>
      </c>
      <c r="K126" s="51" t="n">
        <v>826</v>
      </c>
      <c r="L126" s="29" t="inlineStr">
        <is>
          <t>Hayır</t>
        </is>
      </c>
      <c r="M126" s="29" t="inlineStr">
        <is>
          <t>Taslak</t>
        </is>
      </c>
      <c r="N126" s="29" t="inlineStr">
        <is>
          <t>eindhoven:is</t>
        </is>
      </c>
      <c r="O126" s="29" t="inlineStr">
        <is>
          <t>Teknoloji ve sistem alanında (HTSM) iş ara; bölgedeki dokuz topsector içinde en çok iş bu alandadır.
Brainport Monitor'ün Arbeidsmarkt sayfasında banen (iş sayısı) ve vacatures (ilanlar) bölümlerine bak.
Topsector'lara (yüksek teknoloji, tarım-gıda, su, lojistik, bahçecilik, yaratıcı endüstri) yönelik ilanları da gözden geçir.
Teknik ve ICT mesleklerinde ilan artışının güçlü olduğunu hesaba katarak başvur.</t>
        </is>
      </c>
      <c r="P126" s="29" t="n"/>
      <c r="Q126" s="29" t="inlineStr">
        <is>
          <t>Veriler 2024 işleri ve 2025 ortası işgücü eksikliği için; ilan verileri 2023 başı</t>
        </is>
      </c>
      <c r="R126" s="29" t="n"/>
      <c r="S126" s="29" t="inlineStr">
        <is>
          <t>Yaratıcı endüstri son 5 yılda en hızlı büyüyen topsector oldu: iş sayısı yüzde 19,1 artarak 14.331'e çıktı. 2023 başında bölgede en çok online ilan bedrijfseconomische ve administratieve beroepen (1.550) ve teknik meslekler (1.159) alanındaydı; ICT mesleklerinde ilanlar bir önceki yıla göre yüzde 32,9 arttı.</t>
        </is>
      </c>
      <c r="T126" s="29" t="n"/>
    </row>
    <row r="127" ht="54" customHeight="1">
      <c r="A127" s="29" t="inlineStr">
        <is>
          <t>eindhoven:museumkaart-ucretsiz-giris</t>
        </is>
      </c>
      <c r="B127" s="29" t="inlineStr">
        <is>
          <t>eindhoven</t>
        </is>
      </c>
      <c r="C127" s="29" t="inlineStr">
        <is>
          <t>museumkaart-ucretsiz-giris</t>
        </is>
      </c>
      <c r="D127" s="29" t="inlineStr">
        <is>
          <t>Museumkaart ile hangi Eindhoven müzelerine ücretsiz girilir?</t>
        </is>
      </c>
      <c r="E127" s="29" t="inlineStr">
        <is>
          <t>Van Abbemuseum, Philips Museum ve DAF Museum için kart bilgisi</t>
        </is>
      </c>
      <c r="F127" s="29" t="inlineStr">
        <is>
          <t>Museumkaart (Hollanda Müze Kartı) Van Abbemuseum, Philips Museum ve DAF Museum'da girişi ücretsiz yapıyor. Van Abbemuseum kartı kendi gişesinde veya online satıyor; Philips Museum ise kart satış noktası değil. Kartı Van Abbemuseum gişesinden almayı düşünüyorsan ziyaretten önce Museumkaart'lı e-bilet sipariş edebilirsin.</t>
        </is>
      </c>
      <c r="G127" s="29" t="inlineStr">
        <is>
          <t>Museumkaart, müze kartı, ücretsiz müze, Van Abbemuseum, Philips Museum, DAF Museum</t>
        </is>
      </c>
      <c r="H127" s="29" t="inlineStr">
        <is>
          <t>new;settled</t>
        </is>
      </c>
      <c r="I127" s="29" t="inlineStr">
        <is>
          <t>eindhoven:kaynak:179;eindhoven:kaynak:181;eindhoven:kaynak:182</t>
        </is>
      </c>
      <c r="J127" s="49" t="n">
        <v>46317</v>
      </c>
      <c r="K127" s="51" t="n">
        <v>1201</v>
      </c>
      <c r="L127" s="29" t="inlineStr">
        <is>
          <t>Evet</t>
        </is>
      </c>
      <c r="M127" s="29" t="inlineStr">
        <is>
          <t>Taslak</t>
        </is>
      </c>
      <c r="N127" s="29" t="inlineStr">
        <is>
          <t>eindhoven:kesif</t>
        </is>
      </c>
      <c r="O127" s="29" t="inlineStr">
        <is>
          <t>Kartın varsa Van Abbemuseum, Philips Museum veya DAF Museum gişesinde göster; giriş ücretsiz.
Kartın yoksa Van Abbemuseum'un gişesinden ya da internet sitesinden Museumkaart satın al.
Van Abbemuseum gişesinden kart alacaksan ziyaretten önce Museumkaart'lı e-bilet sipariş et.
Philips Museum'a kartla gideceksen kartı başka yerden al; müzede kart satılmıyor.</t>
        </is>
      </c>
      <c r="P127" s="29" t="inlineStr">
        <is>
          <t>Museumkaart</t>
        </is>
      </c>
      <c r="Q127" s="29" t="n"/>
      <c r="R127" s="29" t="inlineStr">
        <is>
          <t>Kartla giriş Van Abbemuseum, Philips Museum ve DAF Museum'da ücretsiz.</t>
        </is>
      </c>
      <c r="S127" s="29" t="inlineStr">
        <is>
          <t>DAF Museum'da kartı gişede göstermen yeterli; Philips Museum'da ise kartı önceden edinmiş olman gerekir.</t>
        </is>
      </c>
      <c r="T127" s="29" t="n"/>
    </row>
    <row r="128" ht="54" customHeight="1">
      <c r="A128" s="29" t="inlineStr">
        <is>
          <t>eindhoven:muze-ogrenci-cjp-indirimi</t>
        </is>
      </c>
      <c r="B128" s="29" t="inlineStr">
        <is>
          <t>eindhoven</t>
        </is>
      </c>
      <c r="C128" s="29" t="inlineStr">
        <is>
          <t>muze-ogrenci-cjp-indirimi</t>
        </is>
      </c>
      <c r="D128" s="29" t="inlineStr">
        <is>
          <t>Öğrenci ve CJP kartıyla Eindhoven müzelerinde ne kadar indirim var?</t>
        </is>
      </c>
      <c r="E128" s="29" t="inlineStr">
        <is>
          <t>Van Abbemuseum, Philips Museum ve DAF Museum bilet fiyatları</t>
        </is>
      </c>
      <c r="F128" s="29" t="inlineStr">
        <is>
          <t>Van Abbemuseum öğrenci, CJP ve Teacher Card sahiplerinden 8 euro alıyor (yetişkin 16 euro). Philips Museum geçerli öğrenci kartı veya CJP ile 7 euro istiyor (yetişkin 13,50 euro). DAF Museum öğrenci biletini 9 euroya veriyor (yetişkin 14,50 euro). Hangi kartın kabul edildiği müzeye göre değişiyor.</t>
        </is>
      </c>
      <c r="G128" s="29" t="inlineStr">
        <is>
          <t>öğrenci indirimi, CJP, Teacher Card, müze bileti, öğrenci bileti, müze fiyatları</t>
        </is>
      </c>
      <c r="H128" s="29" t="inlineStr">
        <is>
          <t>new;settled</t>
        </is>
      </c>
      <c r="I128" s="29" t="inlineStr">
        <is>
          <t>eindhoven:kaynak:179;eindhoven:kaynak:181;eindhoven:kaynak:182</t>
        </is>
      </c>
      <c r="J128" s="49" t="n">
        <v>46317</v>
      </c>
      <c r="K128" s="51" t="n">
        <v>1202</v>
      </c>
      <c r="L128" s="29" t="inlineStr">
        <is>
          <t>Hayır</t>
        </is>
      </c>
      <c r="M128" s="29" t="inlineStr">
        <is>
          <t>Taslak</t>
        </is>
      </c>
      <c r="N128" s="29" t="inlineStr">
        <is>
          <t>eindhoven:kesif</t>
        </is>
      </c>
      <c r="O128" s="29" t="inlineStr">
        <is>
          <t>Öğrenci kartını veya CJP kartını yanına al.
Van Abbemuseum gişesinde öğrenci, CJP ya da Teacher Card ile 8 euroluk bileti iste.
Philips Museum'da geçerli öğrenci kartını veya CJP'ni göster; bilet 7 euro.
DAF Museum'da öğrenci biletini 9 euroya al.</t>
        </is>
      </c>
      <c r="P128" s="29" t="inlineStr">
        <is>
          <t>Öğrenci kartı (Philips Museum için geçerli college card)
CJP kartı (Van Abbemuseum ve Philips Museum)
Teacher Card (Van Abbemuseum)</t>
        </is>
      </c>
      <c r="Q128" s="29" t="n"/>
      <c r="R128" s="29" t="inlineStr">
        <is>
          <t>Van Abbemuseum 8 euro (yetişkin 16 euro); Philips Museum 7 euro (yetişkin 13,50 euro); DAF Museum 9 euro (yetişkin 14,50 euro).</t>
        </is>
      </c>
      <c r="S128" s="29" t="inlineStr">
        <is>
          <t>Philips Museum biletinde sesli rehber dahil; rehber Türkçe dahil sekiz dilde var.</t>
        </is>
      </c>
      <c r="T128" s="29" t="n"/>
    </row>
    <row r="129" ht="54" customHeight="1">
      <c r="A129" s="29" t="inlineStr">
        <is>
          <t>eindhoven:ucretsiz-muze-giris-gunleri</t>
        </is>
      </c>
      <c r="B129" s="29" t="inlineStr">
        <is>
          <t>eindhoven</t>
        </is>
      </c>
      <c r="C129" s="29" t="inlineStr">
        <is>
          <t>ucretsiz-muze-giris-gunleri</t>
        </is>
      </c>
      <c r="D129" s="29" t="inlineStr">
        <is>
          <t>Eindhoven'da müzelere hangi gün ve saatte ücretsiz girilir?</t>
        </is>
      </c>
      <c r="E129" s="29" t="inlineStr">
        <is>
          <t>Salı öğleden sonra ve çarşamba fırsatları</t>
        </is>
      </c>
      <c r="F129" s="29" t="inlineStr">
        <is>
          <t>Van Abbemuseum salı günleri 15.00-17.00 arasında ücretsiz. Philips Museum da salı günü 15.30-17.00 arasında ücretsiz; bu hak ulusal okul tatillerinde ve 10 kişi ve üzeri gruplarda geçerli değil. MU Hybrid Art House çarşamba günleri giriş ücreti almıyor. KEVN de bütçe dostu galeriler arasında sayılıyor.</t>
        </is>
      </c>
      <c r="G129" s="29" t="inlineStr">
        <is>
          <t>ücretsiz müze, salı ücretsiz, çarşamba ücretsiz, MU Hybrid Art House, KEVN, bütçe</t>
        </is>
      </c>
      <c r="H129" s="29" t="inlineStr">
        <is>
          <t>new;settled</t>
        </is>
      </c>
      <c r="I129" s="29" t="inlineStr">
        <is>
          <t>eindhoven:kaynak:179;eindhoven:kaynak:181;eindhoven:kaynak:188</t>
        </is>
      </c>
      <c r="J129" s="49" t="n">
        <v>46317</v>
      </c>
      <c r="K129" s="51" t="n">
        <v>1203</v>
      </c>
      <c r="L129" s="29" t="inlineStr">
        <is>
          <t>Hayır</t>
        </is>
      </c>
      <c r="M129" s="29" t="inlineStr">
        <is>
          <t>Taslak</t>
        </is>
      </c>
      <c r="N129" s="29" t="inlineStr">
        <is>
          <t>eindhoven:kesif</t>
        </is>
      </c>
      <c r="O129" s="29" t="inlineStr">
        <is>
          <t>Salı günü Van Abbemuseum'a 15.00 ile 17.00 arasında git; giriş ücretsiz.
Salı günü Philips Museum için 15.30-17.00 arasını seç; okul tatili haftası değilse giriş ücretsiz.
Çarşamba günü Strijp-S'teki MU Hybrid Art House'a ücretsiz gir.
10 kişi ve üzeri grupla Philips Museum'a gitme; ücretsiz salı girişi gruplara geçerli değil.</t>
        </is>
      </c>
      <c r="P129" s="29" t="n"/>
      <c r="Q129" s="29" t="inlineStr">
        <is>
          <t>Van Abbemuseum: salı 15.00-17.00; Philips Museum: salı 15.30-17.00; MU Hybrid Art House: çarşamba.</t>
        </is>
      </c>
      <c r="R129" s="29" t="inlineStr">
        <is>
          <t>Belirtilen gün ve saatlerde giriş ücretsiz.</t>
        </is>
      </c>
      <c r="S129" s="29" t="inlineStr">
        <is>
          <t>Philips Museum'un ücretsiz salı saatleri Hollanda'daki ulusal okul tatillerinde geçerli değil; tatil tarihlerini Rijksoverheid sitesinden bakabilirsin.</t>
        </is>
      </c>
      <c r="T129" s="29" t="n"/>
    </row>
    <row r="130" ht="54" customHeight="1">
      <c r="A130" s="29" t="inlineStr">
        <is>
          <t>eindhoven:cocuk-ve-aile-muze-biletleri</t>
        </is>
      </c>
      <c r="B130" s="29" t="inlineStr">
        <is>
          <t>eindhoven</t>
        </is>
      </c>
      <c r="C130" s="29" t="inlineStr">
        <is>
          <t>cocuk-ve-aile-muze-biletleri</t>
        </is>
      </c>
      <c r="D130" s="29" t="inlineStr">
        <is>
          <t>Çocuklarla müzeye giderken çocuk ve aile biletleri nasıl işliyor?</t>
        </is>
      </c>
      <c r="E130" s="29" t="inlineStr">
        <is>
          <t>Yaş sınırları ve aile bileti fiyatları</t>
        </is>
      </c>
      <c r="F130" s="29" t="inlineStr">
        <is>
          <t>Van Abbemuseum 13 yaş altı çocuklara ücretsiz; 2 yetişkin ve en fazla 3 çocuk için aile bileti 32 euro. Philips Museum'da 3 yaşa kadar ücretsiz, 4-17 yaş 7 euro ve bilete "Torch Light" hazine avı dahil. DAF Museum'da 4 yaşa kadar ücretsiz, yetişkin eşliğinde 5-15 yaş 7 euro; 6-15 yaş için girişte ücretsiz bir hunt (arama oyunu) formu veriliyor.</t>
        </is>
      </c>
      <c r="G130" s="29" t="inlineStr">
        <is>
          <t>çocuk bileti, aile bileti, Family-pass, müze çocuk, ücretsiz çocuk girişi</t>
        </is>
      </c>
      <c r="H130" s="29" t="inlineStr">
        <is>
          <t>new;settled</t>
        </is>
      </c>
      <c r="I130" s="29" t="inlineStr">
        <is>
          <t>eindhoven:kaynak:179;eindhoven:kaynak:181;eindhoven:kaynak:182</t>
        </is>
      </c>
      <c r="J130" s="49" t="n">
        <v>46317</v>
      </c>
      <c r="K130" s="51" t="n">
        <v>1204</v>
      </c>
      <c r="L130" s="29" t="inlineStr">
        <is>
          <t>Hayır</t>
        </is>
      </c>
      <c r="M130" s="29" t="inlineStr">
        <is>
          <t>Taslak</t>
        </is>
      </c>
      <c r="N130" s="29" t="inlineStr">
        <is>
          <t>eindhoven:kesif</t>
        </is>
      </c>
      <c r="O130" s="29" t="inlineStr">
        <is>
          <t>Van Abbemuseum'a 13 yaş altı çocuklarla gidiyorsan çocuklar için bilet alma.
2 yetişkin ve en fazla 3 çocuk için Van Abbemuseum'un 32 euroluk aile biletini (Family-pass) iste.
Philips Museum'da 4-17 yaş çocuklar için 7 euroluk bileti al; 3 yaşa kadar giriş ücretsiz.
DAF Museum'da 5-15 yaş çocuk biletini yetişkinle birlikte al; 6-15 yaş için girişteki ücretsiz avı formunu iste.</t>
        </is>
      </c>
      <c r="P130" s="29" t="n"/>
      <c r="Q130" s="29" t="n"/>
      <c r="R130" s="29" t="inlineStr">
        <is>
          <t>Van Abbemuseum: 13 yaş altı ücretsiz, aile bileti 32 euro; Philips Museum: 4-17 yaş 7 euro; DAF Museum: 5-15 yaş 7 euro.</t>
        </is>
      </c>
      <c r="S130" s="29" t="inlineStr">
        <is>
          <t>Philips Museum'un 4-17 yaş bileti "Torch Light" hazine avını içeriyor; DAF Museum'daki avı formunu hatasız dolduran çocuğa hediye veriliyor.</t>
        </is>
      </c>
      <c r="T130" s="29" t="n"/>
    </row>
    <row r="131" ht="54" customHeight="1">
      <c r="A131" s="29" t="inlineStr">
        <is>
          <t>eindhoven:muze-acilis-saatleri-tatil-gunleri</t>
        </is>
      </c>
      <c r="B131" s="29" t="inlineStr">
        <is>
          <t>eindhoven</t>
        </is>
      </c>
      <c r="C131" s="29" t="inlineStr">
        <is>
          <t>muze-acilis-saatleri-tatil-gunleri</t>
        </is>
      </c>
      <c r="D131" s="29" t="inlineStr">
        <is>
          <t>Eindhoven müzeleri hangi gün ve saatlerde açık, hangi tatillerde kapalı?</t>
        </is>
      </c>
      <c r="E131" s="29" t="inlineStr">
        <is>
          <t>Van Abbemuseum ve DAF Museum için 2026 takvimi</t>
        </is>
      </c>
      <c r="F131" s="29" t="inlineStr">
        <is>
          <t>Van Abbemuseum salıdan pazara 11.00-17.00 arası açık; DAF Museum salıdan pazara 10.00-17.00 arası açık. DAF Museum pazartesileri kapalı, yalnız Paskalya Pazartesi'si ve Whit Monday (Pentecost Pazartesi'si) açık. 2026'nın kalan günlerinde Van Abbemuseum 25 Aralık'ta kapalı, 26 Aralık'ta açık; DAF Museum 25-26 Aralık'ta kapalı.</t>
        </is>
      </c>
      <c r="G131" s="29" t="inlineStr">
        <is>
          <t>müze saatleri, açılış saatleri, tatil günleri, Kings Day, Noel, pazartesi kapalı</t>
        </is>
      </c>
      <c r="H131" s="29" t="inlineStr">
        <is>
          <t>new;settled</t>
        </is>
      </c>
      <c r="I131" s="29" t="inlineStr">
        <is>
          <t>eindhoven:kaynak:179;eindhoven:kaynak:182</t>
        </is>
      </c>
      <c r="J131" s="49" t="n">
        <v>46317</v>
      </c>
      <c r="K131" s="51" t="n">
        <v>1205</v>
      </c>
      <c r="L131" s="29" t="inlineStr">
        <is>
          <t>Hayır</t>
        </is>
      </c>
      <c r="M131" s="29" t="inlineStr">
        <is>
          <t>Taslak</t>
        </is>
      </c>
      <c r="N131" s="29" t="inlineStr">
        <is>
          <t>eindhoven:kesif</t>
        </is>
      </c>
      <c r="O131" s="29" t="inlineStr">
        <is>
          <t>Van Abbemuseum için ziyaretini salı-pazar günlerinde 11.00-17.00 arasına planla.
DAF Museum için ziyaretini salı-pazar günlerinde 10.00-17.00 arasına planla.
Aralık sonunda gideceksen Van Abbemuseum'un 25 Aralık 2026'da kapalı, 26 Aralık 2026'da açık olduğunu hesaba kat.
DAF Museum'a 24 ve 31 Aralık'ta gideceksen 15.30'dan önce git; 25-26 Aralık'ta müze kapalı.</t>
        </is>
      </c>
      <c r="P131" s="29" t="n"/>
      <c r="Q131" s="29" t="inlineStr">
        <is>
          <t>Van Abbemuseum: salı-pazar 11.00-17.00; DAF Museum: salı-pazar 10.00-17.00.</t>
        </is>
      </c>
      <c r="R131" s="29" t="n"/>
      <c r="S131" s="29" t="inlineStr">
        <is>
          <t>Van Abbemuseum 2026'da 6 Nisan, 14 Mayıs, 25 Mayıs, 19 Ekim ve 26 Aralık'ta açık; 1 Ocak, 14 Şubat, 27 Nisan, 11 Ekim ve 25 Aralık'ta kapalı. DAF Museum 1 Ocak, Paskalya Pazar günü ve 27 Nisan (Kings Day) kapalı.</t>
        </is>
      </c>
      <c r="T131" s="29" t="n"/>
    </row>
    <row r="132" ht="54" customHeight="1">
      <c r="A132" s="29" t="inlineStr">
        <is>
          <t>eindhoven:dutch-design-week-2026-tarih-fiyat</t>
        </is>
      </c>
      <c r="B132" s="29" t="inlineStr">
        <is>
          <t>eindhoven</t>
        </is>
      </c>
      <c r="C132" s="29" t="inlineStr">
        <is>
          <t>dutch-design-week-2026-tarih-fiyat</t>
        </is>
      </c>
      <c r="D132" s="29" t="inlineStr">
        <is>
          <t>Dutch Design Week 2026 ne zaman ve bilet ne kadar?</t>
        </is>
      </c>
      <c r="E132" s="29" t="inlineStr">
        <is>
          <t>17-25 Ekim 2026, dokuz gün</t>
        </is>
      </c>
      <c r="F132" s="29" t="inlineStr">
        <is>
          <t>Dutch Design Week (DDW) 17-25 Ekim 2026 arasında yapılıyor. Normal bilet 11 Ekim'den itibaren 32,50 euro; öğrenci ve gençlere (12-17 yaş) 19,50 euro. 10 Ekim'e kadar 29,50 ve 17,50 euroluk yıldönümü fiyatları geçerliydi. Bilet dokuz gün boyunca bilet gerektiren tüm mekânlara girişi kapsıyor, 11 yaş ve altı çocuklar ücretsiz giriyor.</t>
        </is>
      </c>
      <c r="G132" s="29" t="inlineStr">
        <is>
          <t>DDW, Dutch Design Week, tasarım haftası, bilet fiyatı, öğrenci bileti, Eindhoven festivali</t>
        </is>
      </c>
      <c r="H132" s="29" t="inlineStr">
        <is>
          <t>new;settled</t>
        </is>
      </c>
      <c r="I132" s="29" t="inlineStr">
        <is>
          <t>eindhoven:kaynak:184;eindhoven:kaynak:185</t>
        </is>
      </c>
      <c r="J132" s="49" t="n">
        <v>46317</v>
      </c>
      <c r="K132" s="51" t="n">
        <v>1206</v>
      </c>
      <c r="L132" s="29" t="inlineStr">
        <is>
          <t>Evet</t>
        </is>
      </c>
      <c r="M132" s="29" t="inlineStr">
        <is>
          <t>Taslak</t>
        </is>
      </c>
      <c r="N132" s="29" t="inlineStr">
        <is>
          <t>eindhoven:kesif</t>
        </is>
      </c>
      <c r="O132" s="29" t="inlineStr">
        <is>
          <t>ddw.nl bilet sayfasından normal bilet ile öğrenci/genç biletinden uygun olanı seç.
Sepete geç ve siparişi tamamla.
DDW sırasında e-biletini bir bilet noktasında kişisel bileklikle değiştir.
Öğrenci/genç biletiyse bileklik alırken kimliğini veya öğrenci kartını yanında bulundur.</t>
        </is>
      </c>
      <c r="P132" s="29" t="inlineStr">
        <is>
          <t>Kimlik veya öğrenci kartı (öğrenci/genç biletinde bileklik alırken)</t>
        </is>
      </c>
      <c r="Q132" s="29" t="inlineStr">
        <is>
          <t>17-25 Ekim 2026, dokuz gün.</t>
        </is>
      </c>
      <c r="R132" s="29" t="inlineStr">
        <is>
          <t>Normal bilet 32,50 euro (11 Ekim'den itibaren; 10 Ekim'e kadar 29,50 euro). Öğrenci/genç bileti 19,50 euro (10 Ekim'e kadar 17,50 euro). Fiyatlara KDV ve hizmet bedeli dahil.</t>
        </is>
      </c>
      <c r="S132" s="29" t="inlineStr">
        <is>
          <t>11 yaş ve altı çocuklar DDW'ye ücretsiz giriyor. Onay e-postasındaki düğmeden KDV faturası indirilebiliyor; fatura bilgileri satın alımdan sonra değiştirilemiyor. Bilet sayfasının üst bölümü öğrenci biletini 'geçerli öğrenci kimliği olanlar ve 11-18 yaş arası gençler' için yazsa da aynı sayfanın SSS bölümü yaşları açıkça ayırıyor: 12-17 yaş arasındakiler ve geçerli öğrenci kartı olanlar öğrenci/genç bileti alıyor, 18 yaş ve üzeri öğrenci olmayanlar normal bilet alıyor. Başka bilet soruların için DDW bilet hattı: +31 40 296 11 50 (menüde 2. seçenek).</t>
        </is>
      </c>
      <c r="T132" s="29" t="n"/>
    </row>
    <row r="133" ht="54" customHeight="1">
      <c r="A133" s="29" t="inlineStr">
        <is>
          <t>eindhoven:ddw-biletini-bileklikle-degistirme</t>
        </is>
      </c>
      <c r="B133" s="29" t="inlineStr">
        <is>
          <t>eindhoven</t>
        </is>
      </c>
      <c r="C133" s="29" t="inlineStr">
        <is>
          <t>ddw-biletini-bileklikle-degistirme</t>
        </is>
      </c>
      <c r="D133" s="29" t="inlineStr">
        <is>
          <t>DDW e-biletini bileklikle nasıl değiştirirsin, kapıdan bilet nasıl alınır?</t>
        </is>
      </c>
      <c r="E133" s="29" t="inlineStr">
        <is>
          <t>Bilet noktaları, ödeme ve bileklik kuralları</t>
        </is>
      </c>
      <c r="F133" s="29" t="inlineStr">
        <is>
          <t>DDW sırasında e-biletini bir kez kişisel bileklikle değiştirirsin; bileklik bilet gerektiren tüm mekânlara dokuz gün giriş sağlıyor. Değişim noktaları: Klokgebouw, Design Academy Eindhoven Graduation Show, Strijp TX, Sectie-C, Eindhoven Centraal ve Van Abbemuseum. Bileklik kolunda takılınca geçerli oluyor; kendin çıkarır veya kesersen geçersiz kalıyor, başkası adına da alınamıyor.</t>
        </is>
      </c>
      <c r="G133" s="29" t="inlineStr">
        <is>
          <t>DDW bileklik, wristband, e-bilet, kapıdan bilet, Klokgebouw, Eindhoven Centraal</t>
        </is>
      </c>
      <c r="H133" s="29" t="inlineStr">
        <is>
          <t>new;settled</t>
        </is>
      </c>
      <c r="I133" s="29" t="inlineStr">
        <is>
          <t>eindhoven:kaynak:184;eindhoven:kaynak:185</t>
        </is>
      </c>
      <c r="J133" s="49" t="n">
        <v>46317</v>
      </c>
      <c r="K133" s="51" t="n">
        <v>1207</v>
      </c>
      <c r="L133" s="29" t="inlineStr">
        <is>
          <t>Hayır</t>
        </is>
      </c>
      <c r="M133" s="29" t="inlineStr">
        <is>
          <t>Taslak</t>
        </is>
      </c>
      <c r="N133" s="29" t="inlineStr">
        <is>
          <t>eindhoven:kesif</t>
        </is>
      </c>
      <c r="O133" s="29" t="inlineStr">
        <is>
          <t>E-biletini hazırla; 12-17 yaş veya öğrenci biletiysen kimliğini ya da öğrenci kartını da al.
Bilet noktalarından birine git: Klokgebouw, Design Academy Eindhoven Graduation Show, Strijp TX, Sectie-C, Eindhoven Centraal veya Van Abbemuseum.
E-biletini kişisel bileklikle değiştir ve bilekliği kolunda taktır.
Kapıdan bilet alacaksan banka veya kredi kartıyla öde; nakit kabul edilmiyor.
Bilet gerektiren bir mekândan çıkıp tekrar girebilirsin; yoğunlukta yeniden sıra beklemen gerekebilir.</t>
        </is>
      </c>
      <c r="P133" s="29" t="inlineStr">
        <is>
          <t>E-bilet
Kimlik veya öğrenci kartı (12-17 yaş ve öğrenci biletinde)</t>
        </is>
      </c>
      <c r="Q133" s="29" t="inlineStr">
        <is>
          <t>Değişim ve kapıdan satış DDW günlerinde (17-25 Ekim 2026).</t>
        </is>
      </c>
      <c r="R133" s="29" t="inlineStr">
        <is>
          <t>Kapıdaki bilet noktalarında ödeme yalnız banka veya kredi kartıyla.</t>
        </is>
      </c>
      <c r="S133" s="29" t="inlineStr">
        <is>
          <t>Bilekliği iş, hastane gibi bir nedenle dokuz gün boyunca takamayacaksan kendin kesme: bileklik hâlâ koldayken Klokgebouw veya Eindhoven Centraal servis noktasında kişisel pass iste; bilekliği servis ekibi çıkarmalı, kararı da onlar veriyor.</t>
        </is>
      </c>
      <c r="T133" s="29" t="n"/>
    </row>
    <row r="134" ht="54" customHeight="1">
      <c r="A134" s="29" t="inlineStr">
        <is>
          <t>eindhoven:ddw-genc-ogrenci-aile-bileti</t>
        </is>
      </c>
      <c r="B134" s="29" t="inlineStr">
        <is>
          <t>eindhoven</t>
        </is>
      </c>
      <c r="C134" s="29" t="inlineStr">
        <is>
          <t>ddw-genc-ogrenci-aile-bileti</t>
        </is>
      </c>
      <c r="D134" s="29" t="inlineStr">
        <is>
          <t>DDW'de çocuk, genç, öğrenci ve aile bileti kimlere uygun?</t>
        </is>
      </c>
      <c r="E134" s="29" t="inlineStr">
        <is>
          <t>Yaş sınırları ve 88 euroluk aile bileti</t>
        </is>
      </c>
      <c r="F134" s="29" t="inlineStr">
        <is>
          <t>11 yaş ve altı çocuklar DDW'ye ücretsiz giriyor. 12-17 yaş arasındakiler ve geçerli öğrenci kartı olanlar öğrenci/genç biletini (19,50 euro) alıyor. Aile bileti 88 euro; yalnız DDW günlerinde gişeden alınıyor, en fazla iki yetişkin dahil dört kişiyi kapsıyor ve içindeki çocukların 12-17 yaşında ya da geçerli öğrenci kartlı öğrenci olması gerekiyor. Ailenin tamamı bileti alırken gişede bulunmalı.</t>
        </is>
      </c>
      <c r="G134" s="29" t="inlineStr">
        <is>
          <t>aile bileti, çocuk bileti, DDW gençlik, family ticket, öğrenci bileti, 88 euro</t>
        </is>
      </c>
      <c r="H134" s="29" t="inlineStr">
        <is>
          <t>new;settled</t>
        </is>
      </c>
      <c r="I134" s="29" t="inlineStr">
        <is>
          <t>eindhoven:kaynak:184</t>
        </is>
      </c>
      <c r="J134" s="49" t="n">
        <v>46317</v>
      </c>
      <c r="K134" s="51" t="n">
        <v>1208</v>
      </c>
      <c r="L134" s="29" t="inlineStr">
        <is>
          <t>Hayır</t>
        </is>
      </c>
      <c r="M134" s="29" t="inlineStr">
        <is>
          <t>Taslak</t>
        </is>
      </c>
      <c r="N134" s="29" t="inlineStr">
        <is>
          <t>eindhoven:kesif</t>
        </is>
      </c>
      <c r="O134" s="29" t="inlineStr">
        <is>
          <t>11 yaş ve altı çocuklar için bilet alma; girişleri ücretsiz ve aile biletinde çocuk olarak sayılmıyorlar.
12-17 yaş gençler ve geçerli öğrenci kartı olan öğrenciler için online öğrenci/genç biletini seç.
Grubun 1 yetişkin + 3 genç ya da 2 yetişkin + 2 gençse (genç: 12-17 yaş veya öğrenci kartlı öğrenci) ailenin tamamıyla gişeye gidip 88 euroluk aile biletini al.
Grubun 2 yetişkin + 1 gençse aile bileti de geçerli, ama bireysel biletler toplam 84,50 euro (2 × 32,50 + 19,50) tutuyor ve 88 eurodan ucuz.
Bu birleşimlere uymuyorsan bireysel biletleri online al ya da kapıda banka kartıyla öde.</t>
        </is>
      </c>
      <c r="P134" s="29" t="inlineStr">
        <is>
          <t>Kimlik veya öğrenci kartı (12-17 yaş çocuklar ve öğrenciler için)</t>
        </is>
      </c>
      <c r="Q134" s="29" t="inlineStr">
        <is>
          <t>Aile bileti yalnız 17-25 Ekim 2026 arasında gişede satılıyor.</t>
        </is>
      </c>
      <c r="R134" s="29" t="inlineStr">
        <is>
          <t>11 yaş ve altı ücretsiz; 11 Ekim'den itibaren normal bilet 32,50 euro, öğrenci/genç bileti 19,50 euro; aile bileti 88 euro. Bireysel biletlerle toplam: 2 yetişkin + 1 genç 84,50 euro, 2 yetişkin + 2 genç 104 euro, 1 yetişkin + 3 genç 91 euro.</t>
        </is>
      </c>
      <c r="S134" s="29" t="inlineStr">
        <is>
          <t>18 yaş ve üzeri öğrenci olmayan kişiler yetişkin sayılıyor: ya normal bilet alıyor ya da aile biletindeki iki yetişkin kontenjanından birini kullanıyor.</t>
        </is>
      </c>
      <c r="T134" s="29" t="n"/>
    </row>
    <row r="135" ht="54" customHeight="1">
      <c r="A135" s="29" t="inlineStr">
        <is>
          <t>eindhoven:ddw-tek-mekan-bileti</t>
        </is>
      </c>
      <c r="B135" s="29" t="inlineStr">
        <is>
          <t>eindhoven</t>
        </is>
      </c>
      <c r="C135" s="29" t="inlineStr">
        <is>
          <t>ddw-tek-mekan-bileti</t>
        </is>
      </c>
      <c r="D135" s="29" t="inlineStr">
        <is>
          <t>DDW'de tam bilet almadan tek bir mekâna girilir mi?</t>
        </is>
      </c>
      <c r="E135" s="29" t="inlineStr">
        <is>
          <t>Tek mekân biletleri ve ücretsiz mekânlar</t>
        </is>
      </c>
      <c r="F135" s="29" t="inlineStr">
        <is>
          <t>Evet, sınırlı sayıda mekân için tek mekân bileti var: Dutch Invertuals ve Kazerne 5 euro, New Order of Fashion 2,50 euro. Next Nature/Evoluon, Philips Museum ve Van Abbemuseum için o müzenin normal bileti yeterli. Listede olmayan diğer bilet gerektiren mekânlar için normal DDW bileti şart. Bilet gerektirmeyen tüm diğer DDW mekânları ücretsiz.</t>
        </is>
      </c>
      <c r="G135" s="29" t="inlineStr">
        <is>
          <t>DDW tek mekân bileti, Dutch Invertuals, Kazerne, New Order of Fashion, ücretsiz mekân</t>
        </is>
      </c>
      <c r="H135" s="29" t="inlineStr">
        <is>
          <t>new;settled</t>
        </is>
      </c>
      <c r="I135" s="29" t="inlineStr">
        <is>
          <t>eindhoven:kaynak:184;eindhoven:kaynak:185;eindhoven:kaynak:183</t>
        </is>
      </c>
      <c r="J135" s="49" t="n">
        <v>46317</v>
      </c>
      <c r="K135" s="51" t="n">
        <v>1209</v>
      </c>
      <c r="L135" s="29" t="inlineStr">
        <is>
          <t>Hayır</t>
        </is>
      </c>
      <c r="M135" s="29" t="inlineStr">
        <is>
          <t>Taslak</t>
        </is>
      </c>
      <c r="N135" s="29" t="inlineStr">
        <is>
          <t>eindhoven:kesif</t>
        </is>
      </c>
      <c r="O135" s="29" t="inlineStr">
        <is>
          <t>Gitmek istediğin mekânın tek mekân bileti listesinde olup olmadığına bak.
Dutch Invertuals veya Kazerne için 5 euro, New Order of Fashion için 2,50 euro öde.
Next Nature/Evoluon, Philips Museum ve Van Abbemuseum için o müzenin normal biletini al.
Listede olmayan bilet gerektiren mekânlar için normal DDW biletini al.</t>
        </is>
      </c>
      <c r="P135" s="29" t="n"/>
      <c r="Q135" s="29" t="n"/>
      <c r="R135" s="29" t="inlineStr">
        <is>
          <t>Dutch Invertuals 5 euro; Kazerne 5 euro; New Order of Fashion 2,50 euro; Philips Museum 13,50 euro.</t>
        </is>
      </c>
      <c r="S135" s="29" t="inlineStr">
        <is>
          <t>Kazerne sergi girişini normalde ücretsiz tutuyor; Dutch Design Week gibi özel etkinliklerde küçük bir bilet ücreti isteyebiliyor.</t>
        </is>
      </c>
      <c r="T135" s="29" t="n"/>
    </row>
    <row r="136" ht="54" customHeight="1">
      <c r="A136" s="29" t="inlineStr">
        <is>
          <t>eindhoven:ddw-butce-destegi-cultuur-inclusief</t>
        </is>
      </c>
      <c r="B136" s="29" t="inlineStr">
        <is>
          <t>eindhoven</t>
        </is>
      </c>
      <c r="C136" s="29" t="inlineStr">
        <is>
          <t>ddw-butce-destegi-cultuur-inclusief</t>
        </is>
      </c>
      <c r="D136" s="29" t="inlineStr">
        <is>
          <t>DDW'ye bütçen yetmiyorsa 2,50 euroluk bilet nasıl alınır?</t>
        </is>
      </c>
      <c r="E136" s="29" t="inlineStr">
        <is>
          <t>Cultuur Inclusief ile indirimli bilet başvurusu</t>
        </is>
      </c>
      <c r="F136" s="29" t="inlineStr">
        <is>
          <t>Dutch Design Foundation, Cultuur Inclusief ile birlikte her yıl 500 bileti normal bilet ücretini ödeyemeyenlere 2,50 euroya sunuyor. Başvuru 1 Eylül'den itibaren Cultuur Inclusief sitesinden yapılıyor. Kimlerin hak kazandığını ve biletlerin dağıtımını Cultuur Inclusief belirliyor; DDW organizasyonunun seçime etkisi yok.</t>
        </is>
      </c>
      <c r="G136" s="29" t="inlineStr">
        <is>
          <t>Cultuur Inclusief, indirimli bilet, 2,50 euro, DDW bütçe, düşük gelir</t>
        </is>
      </c>
      <c r="H136" s="29" t="inlineStr">
        <is>
          <t>new;settled</t>
        </is>
      </c>
      <c r="I136" s="29" t="inlineStr">
        <is>
          <t>eindhoven:kaynak:185</t>
        </is>
      </c>
      <c r="J136" s="49" t="n">
        <v>46317</v>
      </c>
      <c r="K136" s="51" t="n">
        <v>1210</v>
      </c>
      <c r="L136" s="29" t="inlineStr">
        <is>
          <t>Hayır</t>
        </is>
      </c>
      <c r="M136" s="29" t="inlineStr">
        <is>
          <t>Taslak</t>
        </is>
      </c>
      <c r="N136" s="29" t="inlineStr">
        <is>
          <t>eindhoven:kesif</t>
        </is>
      </c>
      <c r="O136" s="29" t="inlineStr">
        <is>
          <t>Cultuur Inclusief sitesinden kimlerin hak kazandığını oku.
Başvurunu 1 Eylül'den itibaren Cultuur Inclusief sitesi üzerinden yap.</t>
        </is>
      </c>
      <c r="P136" s="29" t="n"/>
      <c r="Q136" s="29" t="inlineStr">
        <is>
          <t>Başvurular 1 Eylül'den itibaren açık.</t>
        </is>
      </c>
      <c r="R136" s="29" t="inlineStr">
        <is>
          <t>Cultuur Inclusief üzerinden 500 bilet, bilet başına 2,50 euro.</t>
        </is>
      </c>
      <c r="S136" s="29" t="inlineStr">
        <is>
          <t>Kontenjan sınırlı; indirim kuponlarını Cultuur Inclusief yönetiyor, Dutch Design Foundation yalnız bileti sağlıyor.</t>
        </is>
      </c>
      <c r="T136" s="29" t="n"/>
    </row>
    <row r="137" ht="54" customHeight="1">
      <c r="A137" s="29" t="inlineStr">
        <is>
          <t>eindhoven:ddw-ulasim-tren-park-ride</t>
        </is>
      </c>
      <c r="B137" s="29" t="inlineStr">
        <is>
          <t>eindhoven</t>
        </is>
      </c>
      <c r="C137" s="29" t="inlineStr">
        <is>
          <t>ddw-ulasim-tren-park-ride</t>
        </is>
      </c>
      <c r="D137" s="29" t="inlineStr">
        <is>
          <t>DDW'ye tren, bisiklet, P+R veya arabayla nasıl gidilir?</t>
        </is>
      </c>
      <c r="E137" s="29" t="inlineStr">
        <is>
          <t>İstasyonlar, NS Combi-Ticket, P+R ve Design Rides</t>
        </is>
      </c>
      <c r="F137" s="29" t="inlineStr">
        <is>
          <t>Trenle Eindhoven Centraal'a (şehir merkezi) veya yerel trenlerle Strijp-S istasyonuna inebilirsin; NS Spoordeelwinkel'den alınan NS Combi-Ticket, kalkış istasyonundan aynı gün gidiş-dönüş tren yolculuğunu DDW ziyaretiyle birleştiriyor. Arabayla gelenler için P+R Meerhoven (Noord-Brabantlaan) ve P+R Genneper Parken (Aalsterweg) var; P+R'den DDW'ye gidiş-dönüş otobüs bileti kişi başı 0,50 euro. Bileklikli ziyaretçiler Polestar Design Rides ile mekânlar arasında her gün 11.00-18.00 arası dolaşabiliyor.</t>
        </is>
      </c>
      <c r="G137" s="29" t="inlineStr">
        <is>
          <t>DDW ulaşım, P+R, NS Combi-Ticket, Strijp-S, Design Rides, Eindhoven Centraal</t>
        </is>
      </c>
      <c r="H137" s="29" t="inlineStr">
        <is>
          <t>new;settled</t>
        </is>
      </c>
      <c r="I137" s="29" t="inlineStr">
        <is>
          <t>eindhoven:kaynak:185;eindhoven:kaynak:184</t>
        </is>
      </c>
      <c r="J137" s="49" t="n">
        <v>46317</v>
      </c>
      <c r="K137" s="51" t="n">
        <v>1211</v>
      </c>
      <c r="L137" s="29" t="inlineStr">
        <is>
          <t>Hayır</t>
        </is>
      </c>
      <c r="M137" s="29" t="inlineStr">
        <is>
          <t>Taslak</t>
        </is>
      </c>
      <c r="N137" s="29" t="inlineStr">
        <is>
          <t>eindhoven:kesif</t>
        </is>
      </c>
      <c r="O137" s="29" t="inlineStr">
        <is>
          <t>Trenle geliyorsan Eindhoven Centraal veya Strijp-S istasyonuna in; seferleri ns.nl'den planla.
Aynı gün gidiş-dönüş yapacaksan NS Combi-Ticket'ı NS Spoordeelwinkel'den al; Eindhoven bölgesinden geliyorsan bu biletin bölgesel özel fiyatına bak.
Arabayla geleceksen P+R Meerhoven veya P+R Genneper Parken'e park et.
P+R'den DDW'ye giden otobüse bin: Meerhoven otobüsü Strijp-S ve Stationsplein'e, Genneper Parken otobüsü Stationsplein'e gidiyor; gidiş-dönüş bileti kişi başı 0,50 euro.
Mekânlar arasında bileklikle Polestar Design Rides'ı kullan.</t>
        </is>
      </c>
      <c r="P137" s="29" t="inlineStr">
        <is>
          <t>DDW bilekliği (Design Rides için)</t>
        </is>
      </c>
      <c r="Q137" s="29" t="inlineStr">
        <is>
          <t>Polestar Design Rides her gün 11.00-18.00 arasında çalışıyor.</t>
        </is>
      </c>
      <c r="R137" s="29" t="inlineStr">
        <is>
          <t>P+R otobüsü gidiş-dönüş bileti kişi başı 0,50 euro.</t>
        </is>
      </c>
      <c r="S137" s="29" t="inlineStr">
        <is>
          <t>DDW SSS'ye göre NS Combi-Ticket bu yıl yine kullanılabiliyor; bilet sayfası ise bu bileti 'olabilir' (may be available) diye veriyor. Design Rides kaydı belirli bir yolculuğu veya kalkış saatini ayırtmıyor; yoğun saatlerde ya da yağmurda araç hemen gelmeyebilir.</t>
        </is>
      </c>
      <c r="T137" s="29" t="n"/>
    </row>
    <row r="138" ht="54" customHeight="1">
      <c r="A138" s="29" t="inlineStr">
        <is>
          <t>eindhoven:ddw-ziyaret-saatleri-kayip-esya-ilk-yardim</t>
        </is>
      </c>
      <c r="B138" s="29" t="inlineStr">
        <is>
          <t>eindhoven</t>
        </is>
      </c>
      <c r="C138" s="29" t="inlineStr">
        <is>
          <t>ddw-ziyaret-saatleri-kayip-esya-ilk-yardim</t>
        </is>
      </c>
      <c r="D138" s="29" t="inlineStr">
        <is>
          <t>DDW ziyaretinde açılış saatleri, kayıp eşya ve ilk yardım nasıl?</t>
        </is>
      </c>
      <c r="E138" s="29" t="inlineStr">
        <is>
          <t>Pratik bilgiler: vestiyer, ilk yardım, emzirme odası</t>
        </is>
      </c>
      <c r="F138" s="29" t="inlineStr">
        <is>
          <t>Çoğu DDW mekânı her gün 11.00-18.00 arası açık; ilk cumartesi Design Academy Eindhoven Graduation Show 13.00'te açılıyor. Çoğu mekânda vestiyer veya dolap yok. İlk yardım noktası Klokgebouw'da, kayıp eşyalar da Klokgebouw'daki bilgi masasında tutuluyor ve DDW'den sonra en fazla bir ay saklanıyor. Acil durumda 112'yi ara.</t>
        </is>
      </c>
      <c r="G138" s="29" t="inlineStr">
        <is>
          <t>DDW saatleri, ilk yardım, kayıp eşya, vestiyer, emzirme odası, Klokgebouw</t>
        </is>
      </c>
      <c r="H138" s="29" t="inlineStr">
        <is>
          <t>new;settled</t>
        </is>
      </c>
      <c r="I138" s="29" t="inlineStr">
        <is>
          <t>eindhoven:kaynak:185</t>
        </is>
      </c>
      <c r="J138" s="49" t="n">
        <v>46317</v>
      </c>
      <c r="K138" s="51" t="n">
        <v>1212</v>
      </c>
      <c r="L138" s="29" t="inlineStr">
        <is>
          <t>Hayır</t>
        </is>
      </c>
      <c r="M138" s="29" t="inlineStr">
        <is>
          <t>Taslak</t>
        </is>
      </c>
      <c r="N138" s="29" t="inlineStr">
        <is>
          <t>eindhoven:kesif</t>
        </is>
      </c>
      <c r="O138" s="29" t="inlineStr">
        <is>
          <t>Ziyaretini 11.00-18.00 aralığına göre planla; mekânın özel saatini programdan kontrol et.
Çantanı ve montunu yanında taşıyacağını hesapla; çoğu mekânda vestiyer ve dolap yok.
İlk yardım gerekirse Klokgebouw'daki ilk yardım noktasına git; başka mekânlarda önce mekân personeline haber ver.
Bir şey kaybettiysen Klokgebouw bilgi masasına git veya eşyanın net tarifiyle e-posta gönder (adres DDW SSS sayfasında).</t>
        </is>
      </c>
      <c r="P138" s="29" t="n"/>
      <c r="Q138" s="29" t="inlineStr">
        <is>
          <t>Çoğu mekân her gün 11.00-18.00; Graduation Show ilk cumartesi 13.00'te açılıyor.</t>
        </is>
      </c>
      <c r="R138" s="29" t="n"/>
      <c r="S138" s="29" t="inlineStr">
        <is>
          <t>Klokgebouw'da emzirme odası var; giriş holündeki bilgi masasına (Klokgebouw 50) başvurarak kullanılıyor.</t>
        </is>
      </c>
      <c r="T138" s="29" t="n"/>
    </row>
    <row r="139" ht="54" customHeight="1">
      <c r="A139" s="29" t="inlineStr">
        <is>
          <t>eindhoven:glow-isik-festivali-tarih-saat</t>
        </is>
      </c>
      <c r="B139" s="29" t="inlineStr">
        <is>
          <t>eindhoven</t>
        </is>
      </c>
      <c r="C139" s="29" t="inlineStr">
        <is>
          <t>glow-isik-festivali-tarih-saat</t>
        </is>
      </c>
      <c r="D139" s="29" t="inlineStr">
        <is>
          <t>GLOW ışık festivali ne zaman, ücretli mi, kaç saat açık?</t>
        </is>
      </c>
      <c r="E139" s="29" t="inlineStr">
        <is>
          <t>7-14 Kasım 2026, Eindhoven ve çevre şehirler</t>
        </is>
      </c>
      <c r="F139" s="29" t="inlineStr">
        <is>
          <t>GLOW Eindhoven 7-14 Kasım 2026 arasında yapılıyor ve giriş ücretsiz. Eindhoven'da rota her gün 18.30-23.00 arası açık; Helmond, Oirschot, Best, Veldhoven ve Lieshout'ta 18.30-22.00. Yaklaşık 5 km'lik yürüyüş rotasında 30 kadar ışık sanatı eseri var. Biletli olan tek şey Philips Stadion'daki drone gösterisi: kişi başı 2 euro.</t>
        </is>
      </c>
      <c r="G139" s="29" t="inlineStr">
        <is>
          <t>GLOW, ışık festivali, Kasım, ücretsiz festival, drone gösterisi, Philips Stadion</t>
        </is>
      </c>
      <c r="H139" s="29" t="inlineStr">
        <is>
          <t>new;settled</t>
        </is>
      </c>
      <c r="I139" s="29" t="inlineStr">
        <is>
          <t>eindhoven:kaynak:186</t>
        </is>
      </c>
      <c r="J139" s="49" t="n">
        <v>46317</v>
      </c>
      <c r="K139" s="51" t="n">
        <v>1213</v>
      </c>
      <c r="L139" s="29" t="inlineStr">
        <is>
          <t>Hayır</t>
        </is>
      </c>
      <c r="M139" s="29" t="inlineStr">
        <is>
          <t>Taslak</t>
        </is>
      </c>
      <c r="N139" s="29" t="inlineStr">
        <is>
          <t>eindhoven:kesif</t>
        </is>
      </c>
      <c r="O139" s="29" t="inlineStr">
        <is>
          <t>7-14 Kasım 2026 arasında akşam 18.30'dan sonra rotaya çık.
Rotaya istediğin noktadan katıl; yaklaşık 5 km yürüyüş, 30 kadar eser.
Drone gösterisi için Philips Stadion biletini önceden al.
Gösteri saat dilimini gösteriden 24 saat öncesine kadar ücretsiz değiştir.</t>
        </is>
      </c>
      <c r="P139" s="29" t="n"/>
      <c r="Q139" s="29" t="inlineStr">
        <is>
          <t>7-14 Kasım 2026; Eindhoven 18.30-23.00, diğer şehirlerde 18.30-22.00.</t>
        </is>
      </c>
      <c r="R139" s="29" t="inlineStr">
        <is>
          <t>Festival ücretsiz; Philips Stadion drone gösterisi (The Breathing Collective) kişi başı 2 euro.</t>
        </is>
      </c>
      <c r="S139" s="29" t="inlineStr">
        <is>
          <t>Rehberli tur da var: rehberle veya kendi kendine gastronomi turu olarak yapılabiliyor.</t>
        </is>
      </c>
      <c r="T139" s="29" t="n"/>
    </row>
    <row r="140" ht="54" customHeight="1">
      <c r="A140" s="29" t="inlineStr">
        <is>
          <t>eindhoven:glow-ulasim-yol-kapama-otopark</t>
        </is>
      </c>
      <c r="B140" s="29" t="inlineStr">
        <is>
          <t>eindhoven</t>
        </is>
      </c>
      <c r="C140" s="29" t="inlineStr">
        <is>
          <t>glow-ulasim-yol-kapama-otopark</t>
        </is>
      </c>
      <c r="D140" s="29" t="inlineStr">
        <is>
          <t>GLOW'a nasıl gidilir: trafik, kapanan yollar ve otopark</t>
        </is>
      </c>
      <c r="E140" s="29" t="inlineStr">
        <is>
          <t>Toplu taşıma, ParkingYou ve girişe kapalı otoparklar</t>
        </is>
      </c>
      <c r="F140" s="29" t="inlineStr">
        <is>
          <t>GLOW sırasında şehir merkezinde birçok yol her gün 18.00-23.55 arası kapalı; en kolay yol toplu taşıma veya bisiklet. Eindhoven Centraal ve Strijp-S istasyonları rotaya yakın; OVpay ile banka kartın veya telefonunla giriş-çıkış yapabilirsin. Arabayla gelirsen ParkingYou'dan önceden rezervasyonla günlüğü 15 euro, rezervasyonsuz giriş 20 euro.</t>
        </is>
      </c>
      <c r="G140" s="29" t="inlineStr">
        <is>
          <t>GLOW ulaşım, yol kapamaları, ParkingYou, OVpay, otopark, Emmasingel</t>
        </is>
      </c>
      <c r="H140" s="29" t="inlineStr">
        <is>
          <t>new;settled</t>
        </is>
      </c>
      <c r="I140" s="29" t="inlineStr">
        <is>
          <t>eindhoven:kaynak:186</t>
        </is>
      </c>
      <c r="J140" s="49" t="n">
        <v>46317</v>
      </c>
      <c r="K140" s="51" t="n">
        <v>1214</v>
      </c>
      <c r="L140" s="29" t="inlineStr">
        <is>
          <t>Hayır</t>
        </is>
      </c>
      <c r="M140" s="29" t="inlineStr">
        <is>
          <t>Taslak</t>
        </is>
      </c>
      <c r="N140" s="29" t="inlineStr">
        <is>
          <t>eindhoven:kesif</t>
        </is>
      </c>
      <c r="O140" s="29" t="inlineStr">
        <is>
          <t>Trenle gelmeyi tercih et: Eindhoven Centraal veya Strijp-S istasyonu; seferleri ns.nl'den bak.
Toplu taşımada OVpay ile banka kartı, kredi kartı veya telefonla giriş-çıkış yap; ayrı bilet gerekmiyor.
Arabayla gideceksen ParkingYou'dan park yerini önceden rezerve et.
Stadhuisplein, Hooghuisstraat, Witte Dame, Admirant otoparkları ile Keizersgracht (Fensterrein) park alanına 18.30-00.30 arası girilemiyor; başka otopark seç.
İstersen Evoluon otoparkına park edip 401, 402 veya 403 numaralı otobüse bin.</t>
        </is>
      </c>
      <c r="P140" s="29" t="n"/>
      <c r="Q140" s="29" t="inlineStr">
        <is>
          <t>Yol kapamaları 7-14 Kasım 2026, her gün 18.00-23.55; otoparklara giriş yasağı 18.30-00.30.</t>
        </is>
      </c>
      <c r="R140" s="29" t="inlineStr">
        <is>
          <t>ParkingYou önceden rezervasyon: günlük 15 euro; rezervasyonsuz giriş: 20 euro.</t>
        </is>
      </c>
      <c r="S140" s="29" t="inlineStr">
        <is>
          <t>Vonderweg'in Boschdijk ile Mecklenburgstraat arasındaki bölümünde 17.00-23.55 arası ağır trafik bekleniyor; çevre yolunu kullan.</t>
        </is>
      </c>
      <c r="T140" s="29" t="n"/>
    </row>
    <row r="141" ht="54" customHeight="1">
      <c r="A141" s="29" t="inlineStr">
        <is>
          <t>eindhoven:glow-harita-tuvalet-erisilebilirlik</t>
        </is>
      </c>
      <c r="B141" s="29" t="inlineStr">
        <is>
          <t>eindhoven</t>
        </is>
      </c>
      <c r="C141" s="29" t="inlineStr">
        <is>
          <t>glow-harita-tuvalet-erisilebilirlik</t>
        </is>
      </c>
      <c r="D141" s="29" t="inlineStr">
        <is>
          <t>GLOW rotasında harita, tuvalet, erişilebilirlik ve kurallar</t>
        </is>
      </c>
      <c r="E141" s="29" t="inlineStr">
        <is>
          <t>Basılı harita 2 euro, rota tekerlekli sandalyeye uygun</t>
        </is>
      </c>
      <c r="F141" s="29" t="inlineStr">
        <is>
          <t>GLOW'un interaktif haritası festivalden önce online yayımlanıyor; telefonunda konum servisi açıksa rotayı ve eserleri izleyebilirsin. Basılı harita festival sırasında Stadhuisplein'deki bilgi konteynerinde 2 euroya satılıyor; festivalden önce De Heuvel'deki VVV'de de bulunuyor. Rota tamamen tekerlekli sandalyeyle erişilebilir.</t>
        </is>
      </c>
      <c r="G141" s="29" t="inlineStr">
        <is>
          <t>GLOW haritası, tuvalet, tekerlekli sandalye, epilepsi, basılı harita, VVV Heuvel</t>
        </is>
      </c>
      <c r="H141" s="29" t="inlineStr">
        <is>
          <t>new;settled</t>
        </is>
      </c>
      <c r="I141" s="29" t="inlineStr">
        <is>
          <t>eindhoven:kaynak:186;eindhoven:kaynak:187</t>
        </is>
      </c>
      <c r="J141" s="49" t="n">
        <v>46317</v>
      </c>
      <c r="K141" s="51" t="n">
        <v>1215</v>
      </c>
      <c r="L141" s="29" t="inlineStr">
        <is>
          <t>Hayır</t>
        </is>
      </c>
      <c r="M141" s="29" t="inlineStr">
        <is>
          <t>Taslak</t>
        </is>
      </c>
      <c r="N141" s="29" t="inlineStr">
        <is>
          <t>eindhoven:kesif</t>
        </is>
      </c>
      <c r="O141" s="29" t="inlineStr">
        <is>
          <t>Festivalden önce interaktif GLOW haritasını telefonunda aç ve konum servisini etkinleştir.
Basılı harita istersen De Heuvel'deki VVV'den önceden al ya da festival sırasında Stadhuisplein'deki bilgi konteynerinden 2 euroya al.
Tuvalet için Heuvel'deki halka açık tuvaleti veya haritada işaretli GLOW Host noktalarını kullan.
Tekerlekli sandalyeyle gidiyorsan park, tuvalet ve dinlenme alanları için Eindhoven Belediyesi'nin erişilebilirlik haritasına bak.
Rotayı yürüyerek gez; bisikletle gelirsen çevredeki trafiği dikkate al.</t>
        </is>
      </c>
      <c r="P141" s="29" t="n"/>
      <c r="Q141" s="29" t="inlineStr">
        <is>
          <t>Bilgi konteynerleri 18.00-22.00 arasında açık.</t>
        </is>
      </c>
      <c r="R141" s="29" t="inlineStr">
        <is>
          <t>Basılı harita 2 euro.</t>
        </is>
      </c>
      <c r="S141" s="29" t="inlineStr">
        <is>
          <t>Epilepsiye duyarlıysan GLOW'u ziyaret etmen önerilmiyor: eserlerde titreşen ışıklar, güçlü flaşlar ve değişen renk desenleri var. Rota boyunca müzik yapmak yasak; yemek arabası ya da başka bir satış noktası kurmak da yasak, yalnızca resmî GLOW Host'lar hariç. Basılı harita için bilgi konteynerlerinin yerini iki GLOW sayfası farklı yazıyor: pratik bilgi sayfası Central Station ve Stadhuisplein, SSS sayfası DOMUSDELA yakını ve Stadhuisplein diyor; Stadhuisplein ikisinde de var.</t>
        </is>
      </c>
      <c r="T141" s="29" t="n"/>
    </row>
    <row r="142" ht="54" customHeight="1">
      <c r="A142" s="29" t="inlineStr">
        <is>
          <t>eindhoven:ucretsiz-ve-butce-dostu-etkinlikler</t>
        </is>
      </c>
      <c r="B142" s="29" t="inlineStr">
        <is>
          <t>eindhoven</t>
        </is>
      </c>
      <c r="C142" s="29" t="inlineStr">
        <is>
          <t>ucretsiz-ve-butce-dostu-etkinlikler</t>
        </is>
      </c>
      <c r="D142" s="29" t="inlineStr">
        <is>
          <t>Eindhoven'da ücretsiz veya düşük bütçeli neler yapılır?</t>
        </is>
      </c>
      <c r="E142" s="29" t="inlineStr">
        <is>
          <t>Festivaller, galeriler, rotalar, pazar ve parklar</t>
        </is>
      </c>
      <c r="F142" s="29" t="inlineStr">
        <is>
          <t>This is Eindhoven'ın bütçe rehberi ücretsiz festivalleri (ör. Dutch Chili Fest, Vanstreek Festival), yürüyüş ve bisiklet rotalarını, sokak sanatı gezintisini, FeelGood Market'i ve parkta pikniği öneriyor. Kasımdaki GLOW ışık festivali ücretsiz; Dutch Design Week'te de bazı mekânlar ücretsiz. 18 Eylül'den Ekim ortasına kadar yürünebilen veya bisikletle gidilebilen Lichtjesroute de listede.</t>
        </is>
      </c>
      <c r="G142" s="29" t="inlineStr">
        <is>
          <t>ücretsiz etkinlik, bütçe dostu, FeelGood Market, sokak sanatı, piknik, Lichtjesroute</t>
        </is>
      </c>
      <c r="H142" s="29" t="inlineStr">
        <is>
          <t>new;settled</t>
        </is>
      </c>
      <c r="I142" s="29" t="inlineStr">
        <is>
          <t>eindhoven:kaynak:188;eindhoven:kaynak:183;eindhoven:kaynak:186;eindhoven:kaynak:179</t>
        </is>
      </c>
      <c r="J142" s="49" t="n">
        <v>46317</v>
      </c>
      <c r="K142" s="51" t="n">
        <v>1216</v>
      </c>
      <c r="L142" s="29" t="inlineStr">
        <is>
          <t>Hayır</t>
        </is>
      </c>
      <c r="M142" s="29" t="inlineStr">
        <is>
          <t>Taslak</t>
        </is>
      </c>
      <c r="N142" s="29" t="inlineStr">
        <is>
          <t>eindhoven:kesif</t>
        </is>
      </c>
      <c r="O142" s="29" t="inlineStr">
        <is>
          <t>This is Eindhoven'ın festival ve etkinlik listesine bak; bilet fiyatları listede yazıyor, bütçene uyanı seç.
Sanat için salı 15.00-17.00 arası Van Abbemuseum'u veya çarşamba günü MU Hybrid Art House'u seç.
Yürüyüş ve bisiklet rotalarıyla, şehirdeki sokak sanatı gezintisiyle bütçesiz bir gün planla.
Strijp-S'te Ketelhuisplein yanındaki FeelGood Market'e uğra; gezmek için alışveriş yapman gerekmiyor.
Kazerne'de sergilere gir; giriş genelde ücretsiz, bazı etkinliklerde yer ayırtman istenebiliyor.</t>
        </is>
      </c>
      <c r="P142" s="29" t="n"/>
      <c r="Q142" s="29" t="inlineStr">
        <is>
          <t>Lichtjesroute: 18 Eylül'den Ekim ortasına kadar.</t>
        </is>
      </c>
      <c r="R142" s="29" t="inlineStr">
        <is>
          <t>GLOW ışık festivali ücretsiz; Kazerne sergileri genelde ücretsiz.</t>
        </is>
      </c>
      <c r="S142" s="29" t="inlineStr">
        <is>
          <t>Kazerne'de DDW gibi özel etkinliklerde küçük bir bilet ücreti çıkabiliyor; etkinliklerin çoğu ücretsiz ama bazen koltuk ayırtman isteniyor.</t>
        </is>
      </c>
      <c r="T142" s="29" t="n"/>
    </row>
    <row r="143" ht="54" customHeight="1">
      <c r="A143" s="29" t="inlineStr">
        <is>
          <t>eindhoven:etkinlik-takvimi-nasil-bulunur</t>
        </is>
      </c>
      <c r="B143" s="29" t="inlineStr">
        <is>
          <t>eindhoven</t>
        </is>
      </c>
      <c r="C143" s="29" t="inlineStr">
        <is>
          <t>etkinlik-takvimi-nasil-bulunur</t>
        </is>
      </c>
      <c r="D143" s="29" t="inlineStr">
        <is>
          <t>Eindhoven'da yaklaşan festival ve etkinlikleri nereden takip edersin?</t>
        </is>
      </c>
      <c r="E143" s="29" t="inlineStr">
        <is>
          <t>Etkinlik listesi, DDW programı ve Kazerne agenda sayfası</t>
        </is>
      </c>
      <c r="F143" s="29" t="inlineStr">
        <is>
          <t>This is Eindhoven sitesi yaklaşan festivallerin ve diğer etkinliklerin güncel listesini tutuyor; listede bilet fiyatları da yazıyor. Dutch Design Week için tüm proje ve tasarımcıların bulunduğu tam bir program sayfası var; çocuk ve gençler (6-18 yaş) için ayrıca DDW Young programı yayımlanıyor. Kazerne sergi ve etkinlik ayrıntılarını kendi agenda sayfasında veriyor.</t>
        </is>
      </c>
      <c r="G143" s="29" t="inlineStr">
        <is>
          <t>etkinlik takvimi, agenda, festival listesi, DDW programı, DDW Young, etkinlik bulma</t>
        </is>
      </c>
      <c r="H143" s="29" t="inlineStr">
        <is>
          <t>new;settled</t>
        </is>
      </c>
      <c r="I143" s="29" t="inlineStr">
        <is>
          <t>eindhoven:kaynak:188;eindhoven:kaynak:185;eindhoven:kaynak:183</t>
        </is>
      </c>
      <c r="J143" s="49" t="n">
        <v>46317</v>
      </c>
      <c r="K143" s="51" t="n">
        <v>1217</v>
      </c>
      <c r="L143" s="29" t="inlineStr">
        <is>
          <t>Hayır</t>
        </is>
      </c>
      <c r="M143" s="29" t="inlineStr">
        <is>
          <t>Taslak</t>
        </is>
      </c>
      <c r="N143" s="29" t="inlineStr">
        <is>
          <t>eindhoven:kesif</t>
        </is>
      </c>
      <c r="O143" s="29" t="inlineStr">
        <is>
          <t>This is Eindhoven'ın yaklaşan festival ve etkinlik listesini aç; bilet fiyatlarına göre ne yapacağına karar ver.
Dutch Design Week için ddw.nl programında proje ve tasarımcılara bak.
Çocukla veya gençle gidiyorsan DDW Young ve Education programını aç (6-18 yaş).
Kazerne'deki sergi ve etkinlikler için kendi agenda sayfasını takip et; bazı etkinliklerde yer ayırtman istenebilir.</t>
        </is>
      </c>
      <c r="P143" s="29" t="n"/>
      <c r="Q143" s="29" t="n"/>
      <c r="R143" s="29" t="n"/>
      <c r="S143" s="29" t="inlineStr">
        <is>
          <t>Etkinlik fiyatlarını listeden kontrol et: This is Eindhoven her etkinlik için bilet ücretini yazdığını belirtiyor.</t>
        </is>
      </c>
      <c r="T143" s="29" t="n"/>
    </row>
    <row r="144" ht="54" customHeight="1">
      <c r="A144" s="29" t="inlineStr">
        <is>
          <t>eindhoven:hazir-yuruyus-rotalari</t>
        </is>
      </c>
      <c r="B144" s="29" t="inlineStr">
        <is>
          <t>eindhoven</t>
        </is>
      </c>
      <c r="C144" s="29" t="inlineStr">
        <is>
          <t>hazir-yuruyus-rotalari</t>
        </is>
      </c>
      <c r="D144" s="29" t="inlineStr">
        <is>
          <t>Eindhoven'da doğada yürüyüş için hazır rotalar hangileri?</t>
        </is>
      </c>
      <c r="E144" s="29" t="inlineStr">
        <is>
          <t>Dört rota: iki park, bir fundalık (heide) ve bir graffiti rotası</t>
        </is>
      </c>
      <c r="F144" s="29" t="inlineStr">
        <is>
          <t>This is Eindhoven dört yürüyüş rotası öneriyor: Genneper Parken, Stadswandelpark, Stratumse Heide ve şehir içi graffiti rotası De Berenkuil. Her rotanın başlangıç noktası ve hangi yapılara uğradığı tarif ediliyor; Stratumse Heide, eski bir kayan kum alanı olan geniş bir fundalık ve rotasının sabit bir sonu yok, istediğin kadar uzatabilirsin. Şehirde toplam 85 park sayılıyor.</t>
        </is>
      </c>
      <c r="G144" s="29" t="inlineStr">
        <is>
          <t>yürüyüş rotası, doğa yürüyüşü, Genneper Parken, Stratumse Heide, De Berenkuil, park</t>
        </is>
      </c>
      <c r="H144" s="29" t="inlineStr">
        <is>
          <t>new;settled</t>
        </is>
      </c>
      <c r="I144" s="29" t="inlineStr">
        <is>
          <t>eindhoven:kaynak:192;eindhoven:kaynak:191</t>
        </is>
      </c>
      <c r="J144" s="49" t="n">
        <v>46317</v>
      </c>
      <c r="K144" s="51" t="n">
        <v>1218</v>
      </c>
      <c r="L144" s="29" t="inlineStr">
        <is>
          <t>Hayır</t>
        </is>
      </c>
      <c r="M144" s="29" t="inlineStr">
        <is>
          <t>Taslak</t>
        </is>
      </c>
      <c r="N144" s="29" t="inlineStr">
        <is>
          <t>eindhoven:kesif</t>
        </is>
      </c>
      <c r="O144" s="29" t="inlineStr">
        <is>
          <t>Rotayı seç: Genneper Parken, Stadswandelpark, Stratumse Heide veya De Berenkuil.
Genneper Parken için Antoon Coolenlaan'dan Genneperweg'e gir; Heempark, su değirmeni, Vleut gölü ve Ton Smitspark yönünde yürü.
Stadswandelpark için Parktheater yanından başla; Radyo Anıtı ve Dr. A.F. Philips Gözlemevi'ne (Sterrenwacht) uğra.
Stratumse Heide için otoparktan başla, Kanunnikesven ve Rietven yönünde ilerle; rotayı istediğin kadar uzat.
De Berenkuil için Merkez İstasyon'un otobüs tarafından başla, TU/e arazisi boyunca yürüyüp graffiti açık hava müzesine ulaş.</t>
        </is>
      </c>
      <c r="P144" s="29" t="n"/>
      <c r="Q144" s="29" t="n"/>
      <c r="R144" s="29" t="n"/>
      <c r="S144" s="29" t="inlineStr">
        <is>
          <t>De Berenkuil bir trafik meydanı olduğu için bisikletliler de çok; Genneper Parken'de istersen Tongelreep Pad ile yan yola sapıp organik çiftlik Genneper Hoeve'ye ulaşabilirsin.</t>
        </is>
      </c>
      <c r="T144" s="29" t="n"/>
    </row>
    <row r="145" ht="54" customHeight="1">
      <c r="A145" s="29" t="inlineStr">
        <is>
          <t>eindhoven:spor-denemek-yetiskin-ve-55-plus</t>
        </is>
      </c>
      <c r="B145" s="29" t="inlineStr">
        <is>
          <t>eindhoven</t>
        </is>
      </c>
      <c r="C145" s="29" t="inlineStr">
        <is>
          <t>spor-denemek-yetiskin-ve-55-plus</t>
        </is>
      </c>
      <c r="D145" s="29" t="inlineStr">
        <is>
          <t>Yetişkinler ve 55+ için Kies je Sport ile spor nasıl denenir?</t>
        </is>
      </c>
      <c r="E145" s="29" t="inlineStr">
        <is>
          <t>kiesjesportenkunst.nl üzerinden tanışma etkinlikleri</t>
        </is>
      </c>
      <c r="F145" s="29" t="inlineStr">
        <is>
          <t>Kies je Sport, Eindhoven'daki spor ve hareket sağlayıcılarının tanışma etkinliklerini kiesjesportenkunst.nl platformunda topluyor. Yetişkinler için 1 Eylül 2023'ten beri etkinlikler listeleniyor; yalnız kadınlara özel etkinlikleri de arayabiliyorsun. 55 yaş üstü için 2023 başından beri etkinlik var; yoğunluk ve engel durumu gibi filtreler kullanılabiliyor. Kayıt online yapılıyor, etkinliklerin çoğu ücretsiz veya küçük bir ücretli.</t>
        </is>
      </c>
      <c r="G145" s="29" t="inlineStr">
        <is>
          <t>Kies je Sport, spor denemek, yetişkin spor, 55+ spor, kadınlara özel spor, kiesjesportenkunst</t>
        </is>
      </c>
      <c r="H145" s="29" t="inlineStr">
        <is>
          <t>new;settled</t>
        </is>
      </c>
      <c r="I145" s="29" t="inlineStr">
        <is>
          <t>eindhoven:kaynak:193</t>
        </is>
      </c>
      <c r="J145" s="49" t="n">
        <v>46317</v>
      </c>
      <c r="K145" s="51" t="n">
        <v>1219</v>
      </c>
      <c r="L145" s="29" t="inlineStr">
        <is>
          <t>Hayır</t>
        </is>
      </c>
      <c r="M145" s="29" t="inlineStr">
        <is>
          <t>Taslak</t>
        </is>
      </c>
      <c r="N145" s="29" t="inlineStr">
        <is>
          <t>eindhoven:kesif</t>
        </is>
      </c>
      <c r="O145" s="29" t="inlineStr">
        <is>
          <t>kiesjesportenkunst.nl'yi aç ve yetişkin veya 55+ bölümünü seç.
Filtrelerle (kadınlara özel, yoğunluk, engel durumu) sana uygun sporu bul.
İlgilendiğin bir veya birkaç etkinliğe online kaydol.
55+ için basılı Kies Je Sport kitapçığı istersen uniekesportvraag@eindhoven.nl adresine e-posta yaz.</t>
        </is>
      </c>
      <c r="P145" s="29" t="n"/>
      <c r="Q145" s="29" t="n"/>
      <c r="R145" s="29" t="inlineStr">
        <is>
          <t>Etkinliklerin çoğu ücretsiz veya küçük bir katılım bedeli var.</t>
        </is>
      </c>
      <c r="S145" s="29" t="inlineStr">
        <is>
          <t>55+ kitapçığı sağlık muayenehaneleri, mahalle binaları ve WIJeindhoven noktalarında da dağıtılıyor.</t>
        </is>
      </c>
      <c r="T145" s="29" t="n"/>
    </row>
    <row r="146" ht="54" customHeight="1">
      <c r="A146" s="29" t="inlineStr">
        <is>
          <t>eindhoven:spor-saglayici-bulma-ucretsiz-tavsiye</t>
        </is>
      </c>
      <c r="B146" s="29" t="inlineStr">
        <is>
          <t>eindhoven</t>
        </is>
      </c>
      <c r="C146" s="29" t="inlineStr">
        <is>
          <t>spor-saglayici-bulma-ucretsiz-tavsiye</t>
        </is>
      </c>
      <c r="D146" s="29" t="inlineStr">
        <is>
          <t>Eindhoven'da spor sağlayıcısı nasıl bulunur, ücretsiz spor tavsiyesi nasıl istenir?</t>
        </is>
      </c>
      <c r="E146" s="29" t="inlineStr">
        <is>
          <t>Eindhoven Sport, Uniek Sporten ve 14 040</t>
        </is>
      </c>
      <c r="F146" s="29" t="inlineStr">
        <is>
          <t>kiesjesportenkunst.nl'de Eindhoven'daki spor ve hareket sağlayıcılarının ve tanışma etkinliklerinin genel listesi var. Eindhoven Sport sitesi bu etkinlikleri mini, çocuk, genç, yetişkin ve 55+ olarak ayırıyor; engeli olanlar için ayrıca Uniek Sporten bölümü var. Eindhoven sakinleri spor sorusu için ücretsiz tavsiye isteyebiliyor; sayfanın iletişim bölümünde belediyenin genel numarası 14 040 yazıyor.</t>
        </is>
      </c>
      <c r="G146" s="29" t="inlineStr">
        <is>
          <t>spor kulübü, sportaanbieders, Uniek Sporten, ücretsiz spor tavsiyesi, 14 040, Eindhoven Sport</t>
        </is>
      </c>
      <c r="H146" s="29" t="inlineStr">
        <is>
          <t>new;settled</t>
        </is>
      </c>
      <c r="I146" s="29" t="inlineStr">
        <is>
          <t>eindhoven:kaynak:194</t>
        </is>
      </c>
      <c r="J146" s="49" t="n">
        <v>46317</v>
      </c>
      <c r="K146" s="51" t="n">
        <v>1220</v>
      </c>
      <c r="L146" s="29" t="inlineStr">
        <is>
          <t>Hayır</t>
        </is>
      </c>
      <c r="M146" s="29" t="inlineStr">
        <is>
          <t>Taslak</t>
        </is>
      </c>
      <c r="N146" s="29" t="inlineStr">
        <is>
          <t>eindhoven:kesif</t>
        </is>
      </c>
      <c r="O146" s="29" t="inlineStr">
        <is>
          <t>Eindhoven Sport'un Sportaanbieders sayfasından hedef grubunu seç: mini, çocuk, genç, yetişkin veya 55+.
kiesjesportenkunst.nl'de sağlayıcıların tanışma etkinliklerine bak.
Engelin varsa Uniek Sporten bölümünü aç.
Eindhoven'da yaşıyorsan "Sport- en beweegadvies aanvragen" ile ücretsiz spor tavsiyesi iste; belediyenin genel numarası 14 040'ı da arayabilirsin.</t>
        </is>
      </c>
      <c r="P146" s="29" t="n"/>
      <c r="Q146" s="29" t="n"/>
      <c r="R146" s="29" t="inlineStr">
        <is>
          <t>Spor ve hareket tavsiyesi ücretsiz (Eindhoven sakinleri için).</t>
        </is>
      </c>
      <c r="S146" s="29" t="inlineStr">
        <is>
          <t>Ücretsiz tavsiye hakkı Eindhoven'da ikamet edenlere açık.</t>
        </is>
      </c>
      <c r="T146" s="29" t="n"/>
    </row>
    <row r="147" ht="54" customHeight="1">
      <c r="A147" s="29" t="inlineStr">
        <is>
          <t>eindhoven:cocuk-genc-spor-sanat-denemeleri</t>
        </is>
      </c>
      <c r="B147" s="29" t="inlineStr">
        <is>
          <t>eindhoven</t>
        </is>
      </c>
      <c r="C147" s="29" t="inlineStr">
        <is>
          <t>cocuk-genc-spor-sanat-denemeleri</t>
        </is>
      </c>
      <c r="D147" s="29" t="inlineStr">
        <is>
          <t>Çocuğun ve gencin için spor ve sanat denemeleri nasıl bulunur?</t>
        </is>
      </c>
      <c r="E147" s="29" t="inlineStr">
        <is>
          <t>Kies je Sport en Kunst: yaş grupları ve duyuru takvimi</t>
        </is>
      </c>
      <c r="F147" s="29" t="inlineStr">
        <is>
          <t>Kies je Sport, 0-3 yaş (mini), 4-12 yaş ve 13-17 yaş grupları için spor tanışma etkinlikleri sunuyor; minilerde etkinlikler spor ve oyun üzerine. Kies je Kunst adıyla gelen kültürel etkinlikler 4-12 yaş çocuklar ve 13-17 yaş gençler için. Her eylülde ilkokullarda etkinlik kitapçığı dağıtılıyor, ilkbaharda okul üzerinden yeniden duyuruluyor; ortaokul ve lise öğrencileri yılda iki kez bilgilendiriliyor. Kayıt online yapılıyor; kiesjesportenkunst.nl platformu Cultuur Eindhoven ile birlikte yürütülüyor.</t>
        </is>
      </c>
      <c r="G147" s="29" t="inlineStr">
        <is>
          <t>çocuk sporu, Kies je Kunst, Kies je Sport, gençler spor, okul kitapçığı, Cultuur Eindhoven</t>
        </is>
      </c>
      <c r="H147" s="29" t="inlineStr">
        <is>
          <t>new;settled</t>
        </is>
      </c>
      <c r="I147" s="29" t="inlineStr">
        <is>
          <t>eindhoven:kaynak:193</t>
        </is>
      </c>
      <c r="J147" s="49" t="n">
        <v>46317</v>
      </c>
      <c r="K147" s="51" t="n">
        <v>1221</v>
      </c>
      <c r="L147" s="29" t="inlineStr">
        <is>
          <t>Hayır</t>
        </is>
      </c>
      <c r="M147" s="29" t="inlineStr">
        <is>
          <t>Taslak</t>
        </is>
      </c>
      <c r="N147" s="29" t="inlineStr">
        <is>
          <t>eindhoven:kesif</t>
        </is>
      </c>
      <c r="O147" s="29" t="inlineStr">
        <is>
          <t>kiesjesportenkunst.nl'de çocuğunun yaş grubunu seç: mini (0-3), çocuk (4-12) veya genç (13-17).
Eylülde okuldan gelen etkinlik kitapçığına bak.
Beğendiğin etkinliğe online kaydol.
Çocuğun 4-17 yaş arasındaysa ve kültürel etkinlik istiyorsan Kies je Kunst bölümünü aç.</t>
        </is>
      </c>
      <c r="P147" s="29" t="n"/>
      <c r="Q147" s="29" t="inlineStr">
        <is>
          <t>Kitapçık her eylülde ilkokullarda dağıtılıyor; teklif yılda en az bir kez yenileniyor.</t>
        </is>
      </c>
      <c r="R147" s="29" t="inlineStr">
        <is>
          <t>Etkinliklerin çoğu ücretsiz veya küçük bir katılım bedeli var.</t>
        </is>
      </c>
      <c r="S147" s="29" t="inlineStr">
        <is>
          <t>Ortaöğretim okulları gençleri yılda iki kez yeni teklif olduğunda bilgilendiriyor.</t>
        </is>
      </c>
      <c r="T147" s="29" t="n"/>
    </row>
    <row r="148" ht="54" customHeight="1">
      <c r="A148" s="29" t="inlineStr">
        <is>
          <t>eindhoven:engelli-ziyaretci-erisilebilirlik</t>
        </is>
      </c>
      <c r="B148" s="29" t="inlineStr">
        <is>
          <t>eindhoven</t>
        </is>
      </c>
      <c r="C148" s="29" t="inlineStr">
        <is>
          <t>engelli-ziyaretci-erisilebilirlik</t>
        </is>
      </c>
      <c r="D148" s="29" t="inlineStr">
        <is>
          <t>Tekerlekli sandalyeyle müze ve festivallere nasıl gidilir?</t>
        </is>
      </c>
      <c r="E148" s="29" t="inlineStr">
        <is>
          <t>Müzelerde sandalye ayırtma, DDW refakatçi bilekliği, GLOW rotası</t>
        </is>
      </c>
      <c r="F148" s="29" t="inlineStr">
        <is>
          <t>Van Abbemuseum'un ziyaretçiler için iki tekerlekli sandalyesi var; e-postayla ayırtılıyor. Philips Museum'da asansör ve erişilebilir tuvalet var, tekerlekli sandalyeyi telefonla önceden ayırtıyorsun. DDW'de erişilebilirlik mekâna göre değişiyor; tekerlekli sandalye kullanıcıları normal bilet öder, refakatçileri bir ücretsiz bileklik alır. GLOW rotası tamamen erişilebilir; DAF Museum engelli kişinin yardımcısını ücretsiz kabul ediyor.</t>
        </is>
      </c>
      <c r="G148" s="29" t="inlineStr">
        <is>
          <t>tekerlekli sandalye, erişilebilirlik, engelli ziyaretçi, refakatçi bilekliği, asansör</t>
        </is>
      </c>
      <c r="H148" s="29" t="inlineStr">
        <is>
          <t>new;settled</t>
        </is>
      </c>
      <c r="I148" s="29" t="inlineStr">
        <is>
          <t>eindhoven:kaynak:179;eindhoven:kaynak:181;eindhoven:kaynak:182;eindhoven:kaynak:184;eindhoven:kaynak:185;eindhoven:kaynak:186</t>
        </is>
      </c>
      <c r="J148" s="49" t="n">
        <v>46317</v>
      </c>
      <c r="K148" s="51" t="n">
        <v>1222</v>
      </c>
      <c r="L148" s="29" t="inlineStr">
        <is>
          <t>Hayır</t>
        </is>
      </c>
      <c r="M148" s="29" t="inlineStr">
        <is>
          <t>Taslak</t>
        </is>
      </c>
      <c r="N148" s="29" t="inlineStr">
        <is>
          <t>eindhoven:kesif</t>
        </is>
      </c>
      <c r="O148" s="29" t="inlineStr">
        <is>
          <t>Van Abbemuseum'da tekerlekli sandalye istiyorsan kassabalie@vanabbemuseum.nl adresine e-posta gönder.
Philips Museum'da tekerlekli sandalyeyi +31 (0)40 235 90 30'u arayarak önceden ayırt.
DDW'ye gitmeden önce programda gideceğin her mekânın güncel erişilebilirlik bilgisine bak.
DDW'de normal bileti al ve refakatçin için ücretsiz bileklik almak üzere fiziksel bilet noktalarından birine git.
GLOW'a gidiyorsan park, tuvalet ve dinlenme alanları için Belediye'nin erişilebilirlik haritasına bak.</t>
        </is>
      </c>
      <c r="P148" s="29" t="n"/>
      <c r="Q148" s="29" t="n"/>
      <c r="R148" s="29" t="inlineStr">
        <is>
          <t>DDW'de tekerlekli sandalye kullanıcısı normal bilet öder, bir refakatçi bileklik ücretsiz; DAF Museum'da engelli kişinin yardımcısı ücretsiz.</t>
        </is>
      </c>
      <c r="S148" s="29" t="inlineStr">
        <is>
          <t>DDW'nin Eindhoven Centraal'daki bilet gişesi tekerlekli sandalye ve hareket kısıtlılığı olanlar için kolay erişilebilir değil; zemin katta personel yardım ediyor.</t>
        </is>
      </c>
      <c r="T148" s="29" t="n"/>
    </row>
    <row r="149" ht="54" customHeight="1">
      <c r="A149" s="29" t="inlineStr">
        <is>
          <t>eindhoven:oturum-izni-gerekli-mi-uyruga-gore</t>
        </is>
      </c>
      <c r="B149" s="29" t="inlineStr">
        <is>
          <t>eindhoven</t>
        </is>
      </c>
      <c r="C149" s="29" t="inlineStr">
        <is>
          <t>oturum-izni-gerekli-mi-uyruga-gore</t>
        </is>
      </c>
      <c r="D149" s="29" t="inlineStr">
        <is>
          <t>Hollanda'da kalmak için oturum izni gerekir mi?</t>
        </is>
      </c>
      <c r="E149" s="29" t="inlineStr">
        <is>
          <t>Uyruğa ve kalış süresine göre kısa rehber</t>
        </is>
      </c>
      <c r="F149" s="29" t="inlineStr">
        <is>
          <t>3 aydan (90 günden) uzun kalacak yabancıların oturum izni (verblijfsvergunning) alması gerekir; başvuru IND'nin (Immigratie- en Naturalisatiedienst, göçmenlik dairesi) loketlerinde işlenir. AB/AEA ülkesi veya İsviçre vatandaşlarının oturum iznine ve (kural olarak) IND'ye kayıt yaptırmasına gerek yoktur; bu ülkelerden verilmiş geçerli pasaport ya da kimlik kartı yasal ikametin kanıtıdır. Türk vatandaşları ve aileleri de oturum izni için başvurur; AB-Türkiye Ortaklık Anlaşması nedeniyle şartlar bazen daha hafiftir, ama bu kolaylıklar herkese değil, Türk çalışanlara, Türk serbest çalışanlara, Türk hizmet sağlayıcılara ve ailelerine uygulanır.</t>
        </is>
      </c>
      <c r="G149" s="29" t="inlineStr">
        <is>
          <t>oturum izni, verblijfsvergunning, IND, 90 gün, AB vatandaşı, Türk vatandaşı, uzun kalış</t>
        </is>
      </c>
      <c r="H149" s="29" t="inlineStr">
        <is>
          <t>before;planning</t>
        </is>
      </c>
      <c r="I149" s="29" t="inlineStr">
        <is>
          <t>eindhoven:kaynak:037;eindhoven:kaynak:020;eindhoven:kaynak:025;eindhoven:kaynak:023;eindhoven:kaynak:029</t>
        </is>
      </c>
      <c r="J149" s="49" t="n">
        <v>46317</v>
      </c>
      <c r="K149" s="51" t="n">
        <v>201</v>
      </c>
      <c r="L149" s="29" t="inlineStr">
        <is>
          <t>Evet</t>
        </is>
      </c>
      <c r="M149" s="29" t="inlineStr">
        <is>
          <t>Taslak</t>
        </is>
      </c>
      <c r="N149" s="29" t="inlineStr">
        <is>
          <t>eindhoven:oturum</t>
        </is>
      </c>
      <c r="O149" s="29" t="inlineStr">
        <is>
          <t>Uyruğuna bak: AB/AEA ülkesi veya İsviçre vatandaşıysan oturum izni almana gerek yok; 3 aydan uzun kalacaksan çalışma, gelir veya öğrenci şartlarını AB vatandaşı kartından kontrol et.
AB/AEA/İsviçre vatandaşı değilsen ve 3 aydan uzun kalacaksan IND'den oturum izni al.
Kalış amacına göre izin türünü seç: çalışma, öğrenim, aile birleşimi veya serbest çalışma.
AB/AEA veya İsviçre vatandaşının bu ülkelerin vatandaşı olmayan aile üyesiysen oturum izni yerine IND'den AB hukuku doğrulaması al; aile üyen Hollanda vatandaşıysa bu yol kural olarak yalnız o serbest dolaşım hakkını kullandıysa (ör. birlikte başka bir AB/AEA ülkesinde ya da İsviçre'de AB hukukuna göre yaşadıysanız) açıktır, aksi halde oturum izni gerekir.
Türk çalışan, serbest çalışan, hizmet sağlayıcı ya da bunların aile üyesiysen Ortaklık Anlaşması kolaylıklarına bak (Türk vatandaşlarına özel kartlar).</t>
        </is>
      </c>
      <c r="P149" s="29" t="n"/>
      <c r="Q149" s="29" t="inlineStr">
        <is>
          <t>3 ay / 90 günden uzun kalışlarda izin zorunlu</t>
        </is>
      </c>
      <c r="R149" s="29" t="n"/>
      <c r="S149" s="29" t="inlineStr">
        <is>
          <t>Türk vatandaşları ve aile üyeleri bazı izinlerde indirimli ücret öder; hangi izinlerde ve kimler için geçerli olduğu Ortaklık Anlaşması ve ücret kartlarında.</t>
        </is>
      </c>
      <c r="T149" s="29" t="n"/>
    </row>
    <row r="150" ht="54" customHeight="1">
      <c r="A150" s="29" t="inlineStr">
        <is>
          <t>eindhoven:mvv-nedir-kimlere-gerekir</t>
        </is>
      </c>
      <c r="B150" s="29" t="inlineStr">
        <is>
          <t>eindhoven</t>
        </is>
      </c>
      <c r="C150" s="29" t="inlineStr">
        <is>
          <t>mvv-nedir-kimlere-gerekir</t>
        </is>
      </c>
      <c r="D150" s="29" t="inlineStr">
        <is>
          <t>MVV (geçici oturum vizesi) nedir, kimlere gerekir?</t>
        </is>
      </c>
      <c r="E150" s="29" t="inlineStr">
        <is>
          <t>Hollanda'ya 90 günden uzun kalmak için giriş vizesi</t>
        </is>
      </c>
      <c r="F150" s="29" t="inlineStr">
        <is>
          <t>MVV (machtiging tot voorlopig verblijf), 90 günden uzun kalacaklar için pasaporta yapıştırılan D tipi bir giriş vizesidir; kişiye özeldir ve tüm Schengen ülkelerinde geçerlidir. Çoğu uyruk için oturum izni ancak MVV varsa verilir. Avustralya, Kanada, Japonya, Monako, Yeni Zelanda, Vatikan, Birleşik Krallık, ABD, Güney Kore, İsviçre ve AB/AEA üyesi ülke vatandaşları MVV almaz; Türkiye bu listede yok.</t>
        </is>
      </c>
      <c r="G150" s="29" t="inlineStr">
        <is>
          <t>MVV, machtiging tot voorlopig verblijf, giriş vizesi, D tipi vize, Schengen, oturum izni</t>
        </is>
      </c>
      <c r="H150" s="29" t="inlineStr">
        <is>
          <t>before;planning</t>
        </is>
      </c>
      <c r="I150" s="29" t="inlineStr">
        <is>
          <t>eindhoven:kaynak:020;eindhoven:kaynak:022</t>
        </is>
      </c>
      <c r="J150" s="49" t="n">
        <v>46317</v>
      </c>
      <c r="K150" s="51" t="n">
        <v>202</v>
      </c>
      <c r="L150" s="29" t="inlineStr">
        <is>
          <t>Hayır</t>
        </is>
      </c>
      <c r="M150" s="29" t="inlineStr">
        <is>
          <t>Taslak</t>
        </is>
      </c>
      <c r="N150" s="29" t="inlineStr">
        <is>
          <t>eindhoven:oturum</t>
        </is>
      </c>
      <c r="O150" s="29" t="inlineStr">
        <is>
          <t>Uyruğunun MVV muafiyet listesinde olup olmadığına bak.
Listede değilsen ve muafiyet durumlarından birine girmiyorsan oturum izni başvurusuyla aynı anda MVV'yi de iste.
Hollanda'daki sponsorun (işveren, okul gibi) varsa başvuruyu genellikle o yapar, bu izin türüne göre değişir; sponsorun yoksa yurt dışından kendin başvur.
MVV çıkınca onunla Hollanda'ya gir ve oturum kartını teslim al.
MVV sürecinde Hollanda'da bulunmak için acil bir nedenin varsa, gelmeden önce bunu IND'ye bildir.</t>
        </is>
      </c>
      <c r="P150" s="29" t="n"/>
      <c r="Q150" s="29" t="n"/>
      <c r="R150" s="29" t="n"/>
      <c r="S150" s="29" t="inlineStr">
        <is>
          <t>Geçerli bir Hollanda oturum izni olanlar, izni son 2 yıl içinde bitip bu sürede hep Hollanda'da yaşayanlar ve Hollanda hariç bir AB/AEA ülkesi ya da İsviçre vatandaşıyla yaşayacak, farklı uyruklu aile üyeleri gibi bazı durumlarda MVV gerekmez. IND, başvuru sürecinde Hollanda'da kalmanı önermiyor.</t>
        </is>
      </c>
      <c r="T150" s="29" t="n"/>
    </row>
    <row r="151" ht="54" customHeight="1">
      <c r="A151" s="29" t="inlineStr">
        <is>
          <t>eindhoven:mvv-ve-oturum-basvurusu-yurt-disindan</t>
        </is>
      </c>
      <c r="B151" s="29" t="inlineStr">
        <is>
          <t>eindhoven</t>
        </is>
      </c>
      <c r="C151" s="29" t="inlineStr">
        <is>
          <t>mvv-ve-oturum-basvurusu-yurt-disindan</t>
        </is>
      </c>
      <c r="D151" s="29" t="inlineStr">
        <is>
          <t>Yurt dışından MVV ve oturum izni başvurusu nasıl yapılır?</t>
        </is>
      </c>
      <c r="E151" s="29" t="inlineStr">
        <is>
          <t>Büyükelçilikte randevu, IND'ye gönderim ve ödeme</t>
        </is>
      </c>
      <c r="F151" s="29" t="inlineStr">
        <is>
          <t>MVV gerekiyorsa MVV'ye ve oturum iznine aynı anda başvurursun. Amacın IND'nin yurt dışı formları arasındaysa (ör. (evli) partner ve reşit olmayan çocuk, serbest çalışma, arama yılı) başvuruyu yabancı (foreign national) olarak Hollanda büyükelçiliğinde ya da konsolosluğunda kendin yapabilirsin; randevuyu uyruğunda olduğun ülkedeki (veya aralıksız ikamet ettiğin ülkedeki) temsilcilikten, orada temsilcilik yoksa en yakın olandan alırsın. Randevuda formu, pasaport fotoğrafını ve geçerli pasaportu götürürsün; büyükelçilik başvuruyu kaydeder, imzanı ve parmak izlerini alır, V-numaranı içeren alındı belgesi verir. Sonra dosyayı kendin IND'ye göndermen ve ücreti ödemen gerekir; ikisi için de süren, büyükelçiliğin forma yazdığı tarihten itibaren 3 haftadır.</t>
        </is>
      </c>
      <c r="G151" s="29" t="inlineStr">
        <is>
          <t>MVV başvurusu, büyükelçilik randevusu, V-numarası, biyometri, başvuru formu, IND</t>
        </is>
      </c>
      <c r="H151" s="29" t="inlineStr">
        <is>
          <t>before;planning</t>
        </is>
      </c>
      <c r="I151" s="29" t="inlineStr">
        <is>
          <t>eindhoven:kaynak:021</t>
        </is>
      </c>
      <c r="J151" s="49" t="n">
        <v>46317</v>
      </c>
      <c r="K151" s="51" t="n">
        <v>203</v>
      </c>
      <c r="L151" s="29" t="inlineStr">
        <is>
          <t>Hayır</t>
        </is>
      </c>
      <c r="M151" s="29" t="inlineStr">
        <is>
          <t>Taslak</t>
        </is>
      </c>
      <c r="N151" s="29" t="inlineStr">
        <is>
          <t>eindhoven:oturum</t>
        </is>
      </c>
      <c r="O151" s="29" t="inlineStr">
        <is>
          <t>netherlandsworldwide.nl üzerinden, uyruğunda olduğun ülkedeki (veya aralıksız ikamet ettiğin ülkedeki) Hollanda büyükelçiliği ya da konsolosluğundan randevu al; orada temsilcilik yoksa en yakın olandan al.
Randevuya doldurulmuş başvuru formunu, pasaport fotoğrafını ve geçerli pasaportunu götür; formda istenen ek belgeleri de getir.
Büyükelçilikte imzanı ve parmak izlerini ver, formu ve V-numaralı alındı belgesini geri al.
Eksiksiz dosyayı formda yazan adrese, büyükelçiliğin forma yazdığı tarihten itibaren 3 hafta içinde IND'ye gönder.
Başvuru ücretini aynı 3 hafta içinde, formda anlatıldığı şekilde öde.</t>
        </is>
      </c>
      <c r="P151" s="29" t="inlineStr">
        <is>
          <t>Doldurulmuş başvuru formu
Pasaport fotoğrafı
Geçerli pasaport
Formda istenen ek belgeler</t>
        </is>
      </c>
      <c r="Q151" s="29" t="inlineStr">
        <is>
          <t>Büyükelçiliğin forma yazdığı tarihten itibaren 3 hafta içinde IND'ye gönderim ve ödeme (IND sayfası, 12 Ağustos 2025)</t>
        </is>
      </c>
      <c r="R151" s="29" t="n"/>
      <c r="S151" s="29" t="inlineStr">
        <is>
          <t>12 yaşından küçük çocuklar yasal temsilcileriyle (velayet sahibi ebeveyn veya vasi) birlikte büyükelçiliğe gitmek zorundadır. Amacın IND'nin yurt dışı başvuru formları arasında yoksa başvuruyu büyük olasılıkla tanınmış sponsor IND'ye yapar.</t>
        </is>
      </c>
      <c r="T151" s="29" t="n"/>
    </row>
    <row r="152" ht="54" customHeight="1">
      <c r="A152" s="29" t="inlineStr">
        <is>
          <t>eindhoven:oturum-izni-basvuru-ucretleri-ind</t>
        </is>
      </c>
      <c r="B152" s="29" t="inlineStr">
        <is>
          <t>eindhoven</t>
        </is>
      </c>
      <c r="C152" s="29" t="inlineStr">
        <is>
          <t>oturum-izni-basvuru-ucretleri-ind</t>
        </is>
      </c>
      <c r="D152" s="29" t="inlineStr">
        <is>
          <t>Oturum izni başvurusu ne kadar tutar (IND ücretleri)?</t>
        </is>
      </c>
      <c r="E152" s="29" t="inlineStr">
        <is>
          <t>Aile, çalışma, öğrenim, serbest meslek, kalıcı oturum ve dönüş vizesi ücretleri; Türk tarifesi</t>
        </is>
      </c>
      <c r="F152" s="29" t="inlineStr">
        <is>
          <t>IND ücretleri izin türüne göre değişir ve her yıl 1 Ocak'ta güncellenir. IND ücret sayfasında aile/partner izni 254 euro, ücretli çalışma (tek izin dahil), nitelikli göçmen ve serbest çalışma 423 euro, öğrenim ve arama yılı 254 euro, kalıcı oturum 254 euro'dur; 18 yaşından küçük çocuk için aile izni ve kalıcı oturum 85 euro'dur. Ortaklık Anlaşması kapsamında çalışma amaçlı izinlerde ve Türk vatandaşının yetişkin aile üyeleri için tutar 85 euro'dur; Türk vatandaşının kalıcı oturum ilk başvurusu da 85 euro'dur (18 yaşından küçükse 46), öğrenim izni ise indirimli listede yok. AB hukuku doğrulaması 85 euro, 18 yaşından küçükler için 46 euro'dur.</t>
        </is>
      </c>
      <c r="G152" s="29" t="inlineStr">
        <is>
          <t>IND ücreti, leges, başvuru ücreti, 423 euro, 254 euro, Türk indirimi, oturum izni maliyeti</t>
        </is>
      </c>
      <c r="H152" s="29" t="inlineStr">
        <is>
          <t>before;planning;new;settled</t>
        </is>
      </c>
      <c r="I152" s="29" t="inlineStr">
        <is>
          <t>eindhoven:kaynak:195;eindhoven:kaynak:198;eindhoven:kaynak:021;eindhoven:kaynak:029;eindhoven:kaynak:023;eindhoven:kaynak:036</t>
        </is>
      </c>
      <c r="J152" s="49" t="n">
        <v>46317</v>
      </c>
      <c r="K152" s="51" t="n">
        <v>204</v>
      </c>
      <c r="L152" s="29" t="inlineStr">
        <is>
          <t>Hayır</t>
        </is>
      </c>
      <c r="M152" s="29" t="inlineStr">
        <is>
          <t>Taslak</t>
        </is>
      </c>
      <c r="N152" s="29" t="inlineStr">
        <is>
          <t>eindhoven:oturum</t>
        </is>
      </c>
      <c r="O152" s="29" t="inlineStr">
        <is>
          <t>Başvuracağın izin türünü belirle: aile/partner, ücretli çalışma, nitelikli göçmen, serbest meslek, öğrenim, arama yılı veya kalıcı oturum.
IND ücret sayfasında izin türünün altındaki tutarı, 18 yaşından küçükler için ayrı tutarı varsa onu da bul.
Türk uyruklu ya da Türk vatandaşının aile üyesiysen izninin Ortaklık Anlaşması'nın indirimli listesinde olup olmadığına bak (Türk vatandaşlarına özel kart).
Online başvuruda ücreti iDEAL | Wero ile hemen öde; yazılı başvuruda gelen mektup ödeme talimatını verir.
Yurt dışından MVV'li başvuruda ücreti büyükelçiliğin forma yazdığı tarihten itibaren 3 hafta içinde öde.</t>
        </is>
      </c>
      <c r="P152" s="29" t="n"/>
      <c r="Q152" s="29" t="inlineStr">
        <is>
          <t>Tutarlar 1 Ocak–31 Aralık arası geçerlidir ve her yıl 1 Ocak'ta değişir; MVV'li yurt dışı başvurusunda ödeme süresi 3 haftadır</t>
        </is>
      </c>
      <c r="R152" s="29" t="inlineStr">
        <is>
          <t>Aile/partner izni (evli ya da değil): 254 euro. Ücretli çalışma (tek izin dahil), nitelikli göçmen, serbest çalışma: 423 euro. Öğrenim: 254 euro. Arama yılı: 254 euro. Kalıcı oturum: 254 euro (Türk vatandaşı 85, 18 yaşından küçük Türk vatandaşı 46). 18 yaşından küçük çocuk (aile izni, kalıcı oturum): 85 euro. Oturum belgesi değişimi (düzenli geçici izin): 171 euro (Türk vatandaşı 85, 18 yaşından küçük Türk vatandaşı 46). AB hukuku doğrulaması: 85 euro (18 yaşından küçük 46). Dönüş vizesi: 197 euro. Ortaklık Anlaşması tarifesi: 85 euro (dönüş vizesi 57). IND ücret sayfası, 22 Ekim 2026'da okundu; sayfa hangi yılın tutarlarını gösterdiğini metinde yazmıyor.</t>
        </is>
      </c>
      <c r="S152" s="29" t="inlineStr">
        <is>
          <t>Ortaklık Anlaşması'nın indirimli listesi çalışma amaçlı izinleri, arama yılını, au pair'i ve Türk vatandaşının aile üyesi olarak ikametini kapsar; kalıcı oturum ve belge değişimi için Türk vatandaşı tutarları ücret tablosunda ayrıca yazılıdır. Türk vatandaşının öğrenim, tıbbi tedavi ya da izin (tatil) iznine bağlı aile üyeleri ile evli olmayan ve kayıtlı partnerliği de olmayan çiftler bu indirimden yararlanamaz.</t>
        </is>
      </c>
      <c r="T152" s="29" t="n"/>
    </row>
    <row r="153" ht="54" customHeight="1">
      <c r="A153" s="29" t="inlineStr">
        <is>
          <t>eindhoven:oturum-izni-gelir-sarti-tutarlari</t>
        </is>
      </c>
      <c r="B153" s="29" t="inlineStr">
        <is>
          <t>eindhoven</t>
        </is>
      </c>
      <c r="C153" s="29" t="inlineStr">
        <is>
          <t>oturum-izni-gelir-sarti-tutarlari</t>
        </is>
      </c>
      <c r="D153" s="29" t="inlineStr">
        <is>
          <t>Oturum izni için aylık gelir şartı ne kadar (2026)?</t>
        </is>
      </c>
      <c r="E153" s="29" t="inlineStr">
        <is>
          <t>Aile, ücretli çalışma, nitelikli göçmen, serbest meslek, öğrenim ve kalıcı oturum için IND tutarları</t>
        </is>
      </c>
      <c r="F153" s="29" t="inlineStr">
        <is>
          <t>IND gelir şartını izin türüne göre brüt aylık tutarla ölçer. 1 Temmuz–31 Aralık 2026 için partner izninde ve ücretli çalışma izninde bu tutar brüt SV maaşı olarak ayda 2.337,00 euro (tatil parasız) ya da 2.523,96 euro'dur (tatil parası dahil); partner dışındaki bir aile üyesi (ör. çocuk) için de sponsor evli, kayıtlı partner ya da birlikte yaşayan çiftse aynı tutar, sponsor tek ebeveynse 1.635,90 / 1.766,77 euro geçerlidir. Nitelikli göçmen için 2026 eşikleri ilk başvuruda 30 yaşından küçüklerde 4.357 euro, 30 ve üzerinde 5.942 euro'dur; düşük eşik 3.122 euro'dur ve başvuru arama yılı izni sürerken ya da (arama yılı izni olmuş veya bu iznin şartlarını karşılayan kişi için) mezuniyet ya da doktora savunması tarihinden, yahut araştırma izninin bitişinden sonraki 3 yıl içinde yapılırsa geçerlidir. Serbest çalışma izninde brüt aylık kâr 1.766,77 euro, kalıcı oturumda kendi gelirini gösterenlerde 1.635,90 / 1.766,77 euro, öğrenim izninde HBO/üniversite için aylık 1.130,77 euro istenir.</t>
        </is>
      </c>
      <c r="G153" s="29" t="inlineStr">
        <is>
          <t>gelir şartı, SV maaşı, brüt maaş, kennismigrant maaş eşiği, 2.337 euro, 5.942 euro, 4.357 euro</t>
        </is>
      </c>
      <c r="H153" s="29" t="inlineStr">
        <is>
          <t>before;planning;new</t>
        </is>
      </c>
      <c r="I153" s="29" t="inlineStr">
        <is>
          <t>eindhoven:kaynak:196</t>
        </is>
      </c>
      <c r="J153" s="49" t="n">
        <v>46317</v>
      </c>
      <c r="K153" s="51" t="n">
        <v>205</v>
      </c>
      <c r="L153" s="29" t="inlineStr">
        <is>
          <t>Hayır</t>
        </is>
      </c>
      <c r="M153" s="29" t="inlineStr">
        <is>
          <t>Taslak</t>
        </is>
      </c>
      <c r="N153" s="29" t="inlineStr">
        <is>
          <t>eindhoven:oturum</t>
        </is>
      </c>
      <c r="O153" s="29" t="inlineStr">
        <is>
          <t>IND tablosunda başvuracağın izin türünün tutarını bul.
Maaş bordrondaki SV maaşıyla (sociaalverzekeringsloon, vergi ve sosyal sigorta primi hesaplanan brüt maaş) tutarı karşılaştır.
Tutarın geçerli olduğu dönemi kontrol et: tablolar 1 Temmuz–31 Aralık 2026 için (öğrenim ve nitelikli göçmen için 2026 yılı için) geçerlidir.
Gelirin her ay aynı değilse ya da iş sözleşmen başvuru tarihinde 6 aydan kısaysa IND'nin önceki dönem tutarlarına da bakabileceğini hesaba kat.
Nitelikli göçmen eşiğinde yalnızca sözleşmede yazılı, her ay hesabına yatan sabit ödemeler (örneğin 13. maaşın 12 eşit parçası) sayılır; tatil parası, ayni ödemeler ve fazla mesai gibi düzensiz ödemeler sayılmaz.</t>
        </is>
      </c>
      <c r="P153" s="29" t="inlineStr">
        <is>
          <t>Maaş bordrosu (SV maaşı bordroda yazar)</t>
        </is>
      </c>
      <c r="Q153" s="29" t="inlineStr">
        <is>
          <t>Partner, ücretli çalışma ve kalıcı oturum tutarları 1 Temmuz–31 Aralık 2026 için, nitelikli göçmen ve öğrenim tutarları 2026 için geçerli</t>
        </is>
      </c>
      <c r="R153" s="29" t="n"/>
      <c r="S153" s="29" t="inlineStr">
        <is>
          <t>Tek ebeveyn sponsor aynı anda partneri için de başvuruyorsa yüksek tutar (2.337,00 / 2.523,96 euro) uygulanır. İlk nitelikli göçmen iznini 30 yaşından önce alan kişi aynı işverende uzatmada 30'unu geçmiş olsa da 4.357 euro eşiğine tabidir (arada işveren değiştirdiyse bu 30 yaşından önce olmalı); 30 yaşından sonra işveren değiştirirse 5.942 euro geçerlidir. Tablolar uyruğa göre ayrım yapmıyor; Ortaklık Anlaşması kapsamındaki Türk vatandaşları için ayrı bir tutar yazmıyor. Önceki dönemde (1 Ocak–30 Haziran 2026) evli ya da birlikte yaşayan çiftler için tutar 2.294,40 euro (tatil parasız) idi.</t>
        </is>
      </c>
      <c r="T153" s="29" t="n"/>
    </row>
    <row r="154" ht="54" customHeight="1">
      <c r="A154" s="29" t="inlineStr">
        <is>
          <t>eindhoven:kennismigrant-nitelikli-calisan-izni</t>
        </is>
      </c>
      <c r="B154" s="29" t="inlineStr">
        <is>
          <t>eindhoven</t>
        </is>
      </c>
      <c r="C154" s="29" t="inlineStr">
        <is>
          <t>kennismigrant-nitelikli-calisan-izni</t>
        </is>
      </c>
      <c r="D154" s="29" t="inlineStr">
        <is>
          <t>Kennismigrant (nitelikli göçmen) oturum izni nasıl alınır?</t>
        </is>
      </c>
      <c r="E154" s="29" t="inlineStr">
        <is>
          <t>Başvuruyu IND'nin tanıdığı işveren yapar; Türk çalışan kendi de yapabilir</t>
        </is>
      </c>
      <c r="F154" s="29" t="inlineStr">
        <is>
          <t>Nitelikli göçmen (highly skilled migrant, kennismigrant) olarak çalışmak için oturum izni gerekir ve izin için yalnızca IND'nin tanıdığı bir işveren (recognised sponsor) başvurabilir. Nitelikli göçmenler ayrıca çalışma izni (TWV) almaz. Türk uyruklu çalışanlar için kural farklıdır: Ortaklık Anlaşması gereği tanınmış sponsor şartı aranmaz ve başvuruyu kendileri de yapabilirler; yine de IND, tanınmış sponsorun başvurusunu daha hızlı karara bağlar.</t>
        </is>
      </c>
      <c r="G154" s="29" t="inlineStr">
        <is>
          <t>kennismigrant, nitelikli göçmen, highly skilled migrant, recognised sponsor, oturum izni, çalışma</t>
        </is>
      </c>
      <c r="H154" s="29" t="inlineStr">
        <is>
          <t>before;planning</t>
        </is>
      </c>
      <c r="I154" s="29" t="inlineStr">
        <is>
          <t>eindhoven:kaynak:019;eindhoven:kaynak:033;eindhoven:kaynak:023;eindhoven:kaynak:020;eindhoven:kaynak:195;eindhoven:kaynak:197;eindhoven:kaynak:196</t>
        </is>
      </c>
      <c r="J154" s="49" t="n">
        <v>46317</v>
      </c>
      <c r="K154" s="51" t="n">
        <v>206</v>
      </c>
      <c r="L154" s="29" t="inlineStr">
        <is>
          <t>Hayır</t>
        </is>
      </c>
      <c r="M154" s="29" t="inlineStr">
        <is>
          <t>Taslak</t>
        </is>
      </c>
      <c r="N154" s="29" t="inlineStr">
        <is>
          <t>eindhoven:oturum</t>
        </is>
      </c>
      <c r="O154" s="29" t="inlineStr">
        <is>
          <t>İşverenin IND tarafından tanınmış sponsor (recognised sponsor) olup olmadığını sor.
İşverenden başvuruyu IND'ye yapmasını iste; izin için yalnızca tanınmış işveren başvurabilir.
Türk vatandaşıysan başvuruyu kendin de yapabilirsin; MVV gerekiyorsa 'Application for admission and residence for working purposes' formunu, gerekmiyorsa AB-Türkiye Sözleşmesi formunu kullan.
IND sayfasında uyruğunu ve mevcut Hollanda oturum durumunu seçip sana uyan şartları gör.</t>
        </is>
      </c>
      <c r="P154" s="29" t="n"/>
      <c r="Q154" s="29" t="inlineStr">
        <is>
          <t>IND karar süresi 90 gün; maaş eşikleri her 1 Ocak'ta değişir</t>
        </is>
      </c>
      <c r="R154" s="29" t="inlineStr">
        <is>
          <t>Normal tarife 423 euro (ilk başvuru ve uzatma); Ortaklık Anlaşması kapsamındaki Türk vatandaşları için 85 euro (IND ücret sayfası, 22 Ekim 2026'da okundu; tutarlar her 1 Ocak'ta değişir)</t>
        </is>
      </c>
      <c r="S154" s="29" t="inlineStr">
        <is>
          <t>IND'nin gelir tablosundaki 2026 maaş eşikleri (brüt aylık, tatil parası sayılmaz): ilk başvuruda 30 yaşından küçükler için 4.357 euro, 30 ve üzeri için 5.942 euro; ilk iznini 30 yaşından önce alan kişi aynı işverende uzatmada 30'unu geçmiş olsa da 4.357 euro'ya tabidir, 30 yaşından sonra işveren değiştirirse 5.942 euro geçerlidir. Düşük eşik 3.122 euro yalnız şu başvurularda geçerlidir: arama yılı izni sürerken; ya da mezuniyet, doktora savunması veya araştırma izninin bitişinden sonraki 3 yıl içinde, arama yılı izni olmuş ya da bu iznin şartlarını karşılayan kişi için. Tablo uyruğa göre ayrım yapmıyor. MVV gereken uyruklarda MVV ve oturum izni birlikte istenir.</t>
        </is>
      </c>
      <c r="T154" s="29" t="n"/>
    </row>
    <row r="155" ht="54" customHeight="1">
      <c r="A155" s="29" t="inlineStr">
        <is>
          <t>eindhoven:tek-izin-gvva-calisma-ve-oturum</t>
        </is>
      </c>
      <c r="B155" s="29" t="inlineStr">
        <is>
          <t>eindhoven</t>
        </is>
      </c>
      <c r="C155" s="29" t="inlineStr">
        <is>
          <t>tek-izin-gvva-calisma-ve-oturum</t>
        </is>
      </c>
      <c r="D155" s="29" t="inlineStr">
        <is>
          <t>Tek izin (GVVA) nedir, kim başvurur?</t>
        </is>
      </c>
      <c r="E155" s="29" t="inlineStr">
        <is>
          <t>Oturum ve çalışma izninin tek belgede birleşmiş hali</t>
        </is>
      </c>
      <c r="F155" s="29" t="inlineStr">
        <is>
          <t>Tek izin (gecombineerde vergunning verblijf en arbeid, GVVA), oturum iznini ve çalışma iznini birleştirir. AB/AEA dışından (İsviçre hariç) Hollanda'da 3 aydan uzun çalışmaya gelenlerin GVVA alması gerekir ve çalışanın kendisi de başvurabilir; 3 aydan kısa çalışanlar ve öğrenim oturum izni olanlar gibi bazı gruplarda ise işveren GVVA yerine TWV alır. İşveren, AB/AEA veya İsviçre'den uygun aday bulamadığını göstermelidir; ilan en az 5 hafta açık kalmış olmalı, zor doldurulan pozisyonlarda bu süre en az 3 aydır. TWV ve GVVA başvurularını UWV aynı ölçütlerle değerlendirir.</t>
        </is>
      </c>
      <c r="G155" s="29" t="inlineStr">
        <is>
          <t>GVVA, tek izin, single permit, çalışma izni, oturum izni, UWV, işveren</t>
        </is>
      </c>
      <c r="H155" s="29" t="inlineStr">
        <is>
          <t>before;planning</t>
        </is>
      </c>
      <c r="I155" s="29" t="inlineStr">
        <is>
          <t>eindhoven:kaynak:031;eindhoven:kaynak:033;eindhoven:kaynak:023;eindhoven:kaynak:195;eindhoven:kaynak:197;eindhoven:kaynak:196</t>
        </is>
      </c>
      <c r="J155" s="49" t="n">
        <v>46317</v>
      </c>
      <c r="K155" s="51" t="n">
        <v>207</v>
      </c>
      <c r="L155" s="29" t="inlineStr">
        <is>
          <t>Hayır</t>
        </is>
      </c>
      <c r="M155" s="29" t="inlineStr">
        <is>
          <t>Taslak</t>
        </is>
      </c>
      <c r="N155" s="29" t="inlineStr">
        <is>
          <t>eindhoven:oturum</t>
        </is>
      </c>
      <c r="O155" s="29" t="inlineStr">
        <is>
          <t>Hollanda'da 3 aydan uzun çalışacaksan GVVA gerektiğini teyit et.
İşverenden, ilanın en az 5 hafta (zor doldurulan pozisyonda en az 3 ay) açık kaldığını ve AB/AEA ya da İsviçre'den uygun aday bulunamadığını göstermesini iste.
IND'nin GVVA sayfasında uyruğunu ve mevcut oturum durumunu seçerek şartları gör.
GVVA başvurusunu yap.</t>
        </is>
      </c>
      <c r="P155" s="29" t="n"/>
      <c r="Q155" s="29" t="inlineStr">
        <is>
          <t>3 aydan uzun çalışmalarda GVVA; ilan süresi en az 5 hafta (zor pozisyonda en az 3 ay); IND karar süresi 90 gün</t>
        </is>
      </c>
      <c r="R155" s="29" t="inlineStr">
        <is>
          <t>423 euro (ilk başvuru ve uzatma, tek izin dahil); Ortaklık Anlaşması kapsamındaki Türk vatandaşları için 85 euro (IND ücret sayfası, 22 Ekim 2026'da okundu; tutarlar her 1 Ocak'ta değişir)</t>
        </is>
      </c>
      <c r="S155" s="29" t="inlineStr">
        <is>
          <t>Ücretli çalışma için IND'nin gelir şartı: brüt SV maaşı ayda 2.337,00 euro (tatil parasız) veya 2.523,96 euro (tatil parası dahil), 1 Temmuz–31 Aralık 2026 için geçerli; tablo uyruğa göre ayrım yapmıyor. Nitelikli göçmen, serbest meslek ve startup izni sahipleri zaten çalışma izni almaz. Türk vatandaşı çalışanın tanınmış sponsora ihtiyacı yoktur; ancak başvurmadan önce işi bulmuş olması gerekir.</t>
        </is>
      </c>
      <c r="T155" s="29" t="n"/>
    </row>
    <row r="156" ht="54" customHeight="1">
      <c r="A156" s="29" t="inlineStr">
        <is>
          <t>eindhoven:twv-calisma-izni-isveren-basvurusu</t>
        </is>
      </c>
      <c r="B156" s="29" t="inlineStr">
        <is>
          <t>eindhoven</t>
        </is>
      </c>
      <c r="C156" s="29" t="inlineStr">
        <is>
          <t>twv-calisma-izni-isveren-basvurusu</t>
        </is>
      </c>
      <c r="D156" s="29" t="inlineStr">
        <is>
          <t>TWV (çalışma izni) işveren tarafından nasıl alınır?</t>
        </is>
      </c>
      <c r="E156" s="29" t="inlineStr">
        <is>
          <t>UWV işveren portalı, eHerkenning ve 5 haftalık karar süresi</t>
        </is>
      </c>
      <c r="F156" s="29" t="inlineStr">
        <is>
          <t>TWV (tewerkstellingsvergunning), çalışma iznidir ve başvuruyu çalışan değil işveren yapar; 3 aydan kısa çalışacaklar ve öğrenim oturum izni olanlar gibi gruplar GVVA yerine TWV ile çalışır. Başvuru UWV'nin işveren portalından yapılır; girişte işverenin eHerkenning'i olmalıdır. Bir büro veya yetkili işveren adına başvuracaksa işverenin eHerkenning için ketenmachtiging (zincir yetkisi) vermesi gerekir. Başvurudan sonra işveren 5 hafta içinde karar alır; ama UWV kararı ancak tüm belge ve bilgiler eline ulaştıktan sonra verir, eksik bilgi için işvereni arar veya mektup gönderir.</t>
        </is>
      </c>
      <c r="G156" s="29" t="inlineStr">
        <is>
          <t>TWV, tewerkstellingsvergunning, çalışma izni, UWV, eHerkenning, werkgeversportaal, işveren</t>
        </is>
      </c>
      <c r="H156" s="29" t="inlineStr">
        <is>
          <t>before;planning;new</t>
        </is>
      </c>
      <c r="I156" s="29" t="inlineStr">
        <is>
          <t>eindhoven:kaynak:032;eindhoven:kaynak:033;eindhoven:kaynak:023</t>
        </is>
      </c>
      <c r="J156" s="49" t="n">
        <v>46317</v>
      </c>
      <c r="K156" s="51" t="n">
        <v>208</v>
      </c>
      <c r="L156" s="29" t="inlineStr">
        <is>
          <t>Hayır</t>
        </is>
      </c>
      <c r="M156" s="29" t="inlineStr">
        <is>
          <t>Taslak</t>
        </is>
      </c>
      <c r="N156" s="29" t="inlineStr">
        <is>
          <t>eindhoven:oturum</t>
        </is>
      </c>
      <c r="O156" s="29" t="inlineStr">
        <is>
          <t>İşverenin UWV işveren portalına eHerkenning ile giriş yapabildiğinden emin ol.
Başvuruyu bir büro veya yetkili yapacaksa işverenin eHerkenning için ketenmachtiging vermesini sağla.
Çalışan grubuna göre hangi belgelerin gerektiğini UWV'nin 'voorwaarden werkvergunning per groep werknemers' sayfasından öğren ve başvuruya ekle.
UWV işvereni telefonla arar veya mektup yollar; istenen eksik bilgi ve belgeleri tamamla.
İzin başka bir işi kapsamadığında ya da süresi dolmak üzereyken yeni TWV başvurusu yap.</t>
        </is>
      </c>
      <c r="P156" s="29" t="inlineStr">
        <is>
          <t>Çalışan grubuna göre UWV'nin istediği belgeler</t>
        </is>
      </c>
      <c r="Q156" s="29" t="inlineStr">
        <is>
          <t>Başvurudan sonra işveren 5 hafta içinde karar alır; UWV kararı ancak tüm belge ve bilgiler tamamlanınca verir</t>
        </is>
      </c>
      <c r="R156" s="29" t="n"/>
      <c r="S156" s="29" t="inlineStr">
        <is>
          <t>Türk uyruklu ücretli çalışan aynı işverende 3 yıl çalıştıktan sonra TWV'den kurtulur (normalde 5 yıl). Aynı Hollandalı işverende en az 1 yıl çalışan Türk çalışan Ortaklık Anlaşması'na dayalı ücretli çalışma oturum izni alabilir; bu izinle o işverenin TWV'sine gerek yoktur, ama başka bir işverene geçer ve aynı işverende toplam 3 yılı doldurmamışsa yeni işverenin TWV alması gerekir (Türk vatandaşlarına özel kartlar). Çalışan bir işe yerleştirme bürosu aracılığıyla çalıştırılıyorsa TWV'yi büro veya işletme alır; çalışanı işe alan kuruluş kimlik belgesi ve TWV fotokopisini asıl kimlikle karşılaştırmalı ve kayıtlarında saklamalıdır.</t>
        </is>
      </c>
      <c r="T156" s="29" t="n"/>
    </row>
    <row r="157" ht="54" customHeight="1">
      <c r="A157" s="29" t="inlineStr">
        <is>
          <t>eindhoven:calisma-izni-gerekmeyen-durumlar</t>
        </is>
      </c>
      <c r="B157" s="29" t="inlineStr">
        <is>
          <t>eindhoven</t>
        </is>
      </c>
      <c r="C157" s="29" t="inlineStr">
        <is>
          <t>calisma-izni-gerekmeyen-durumlar</t>
        </is>
      </c>
      <c r="D157" s="29" t="inlineStr">
        <is>
          <t>Hangi durumlarda çalışma izni (TWV) gerekmez?</t>
        </is>
      </c>
      <c r="E157" s="29" t="inlineStr">
        <is>
          <t>Muaf gruplar ve kolaylaştırılmış kategoriler</t>
        </is>
      </c>
      <c r="F157" s="29" t="inlineStr">
        <is>
          <t>Hollanda, diğer AEA ülkeleri ve İsviçre vatandaşları çalışma izni olmadan çalışabilir. AB/AEA dışından gelenlerden de bazıları muaftır: oturum belgesinde 'arbeid is vrij toegestaan' (çalışma serbest) yazanlar, serbest meslek veya startup oturum izni sahipleri ve nitelikli göçmenler gibi. Yurt dışında yaşayıp kısa süre için ticari görüşmelere (business negotiations) katılmak ya da işverenin sağladığı ekipmanı onarmak gibi belirli işler yapanlar da muaf olabilir. Muaf olsan da oturum izni veya vizen olmalı.</t>
        </is>
      </c>
      <c r="G157" s="29" t="inlineStr">
        <is>
          <t>TWV muafiyeti, çalışma izni gerekmez, arbeid vrij toegestaan, serbest meslek, startup, nitelikli göçmen</t>
        </is>
      </c>
      <c r="H157" s="29" t="inlineStr">
        <is>
          <t>before;planning;new</t>
        </is>
      </c>
      <c r="I157" s="29" t="inlineStr">
        <is>
          <t>eindhoven:kaynak:033;eindhoven:kaynak:036;eindhoven:kaynak:023</t>
        </is>
      </c>
      <c r="J157" s="49" t="n">
        <v>46317</v>
      </c>
      <c r="K157" s="51" t="n">
        <v>209</v>
      </c>
      <c r="L157" s="29" t="inlineStr">
        <is>
          <t>Hayır</t>
        </is>
      </c>
      <c r="M157" s="29" t="inlineStr">
        <is>
          <t>Taslak</t>
        </is>
      </c>
      <c r="N157" s="29" t="inlineStr">
        <is>
          <t>eindhoven:oturum</t>
        </is>
      </c>
      <c r="O157" s="29" t="inlineStr">
        <is>
          <t>Oturum belgende 'arbeid is vrij toegestaan' ibaresi olup olmadığına bak.
Serbest meslek izni, startup izni veya nitelikli göçmen izni taşıyorsan TWV'ye ihtiyacın olmadığını bil.
Yurt dışında yaşıyor ve kısa süre için ticari görüşme (business negotiations) ya da işverenin sağladığı ekipmanın onarımı gibi bir iş yapacaksan muafiyet kapsamına girip girmediğine bak.
Türk uyruklu ücretli çalışansan Ortaklık Anlaşması'ndaki 1 yıl ve 3 yıl kurallarına bak (Türk vatandaşlarına özel kartlar).</t>
        </is>
      </c>
      <c r="P157" s="29" t="n"/>
      <c r="Q157" s="29" t="n"/>
      <c r="R157" s="29" t="n"/>
      <c r="S157" s="29" t="inlineStr">
        <is>
          <t>Kalıcı oturum izni sahipleri de TWV'siz çalışır (iznin arkasında 'Arbeid vrij toegestaan. TWV niet vereist' yazar). Türk çalışanlar için iki ek kural var: aynı Hollandalı işverende en az 1 yıl çalıştıktan sonra alınan Ortaklık Anlaşması ücretli çalışma oturum izniyle o işveren TWV almaz, ama çalışan başka işverene geçer ve aynı işverende toplam 3 yılı doldurmamışsa yeni işveren TWV almak zorundadır; aynı işverende 3 yıl çalışan Türk ücretli çalışan için ise TWV gerekmez (normalde 5 yıl). Haftada en fazla 16 saat çalışan öğrenciler, stajyerler ve praktikanten için TWV şartları daha hafiftir; bu bir muafiyet değil, kolaylaştırmadır.</t>
        </is>
      </c>
      <c r="T157" s="29" t="n"/>
    </row>
    <row r="158" ht="54" customHeight="1">
      <c r="A158" s="29" t="inlineStr">
        <is>
          <t>eindhoven:ogrenci-oturum-izni</t>
        </is>
      </c>
      <c r="B158" s="29" t="inlineStr">
        <is>
          <t>eindhoven</t>
        </is>
      </c>
      <c r="C158" s="29" t="inlineStr">
        <is>
          <t>ogrenci-oturum-izni</t>
        </is>
      </c>
      <c r="D158" s="29" t="inlineStr">
        <is>
          <t>Öğrenci oturum izni nasıl alınır (üniversite veya HBO)?</t>
        </is>
      </c>
      <c r="E158" s="29" t="inlineStr">
        <is>
          <t>Başvuruyu eğitim kurumu yapar</t>
        </is>
      </c>
      <c r="F158" s="29" t="inlineStr">
        <is>
          <t>Üniversitede veya yüksek meslek okulunda (hoger beroepsonderwijs, HBO) okumak için oturum izni gerekir ve izin için yalnızca eğitim kurumu başvurabilir. Okuldan, başvuruyu senin adına IND'ye yapmasını istersin. Öğrenci oturum iznine sahip kişiyi çalıştıracak işveren TWV başvurusu yapar; haftada en fazla 16 saat çalışan öğrenciler için TWV şartları daha hafiftir. AB/AEA ve İsviçre vatandaşı öğrenci izin almaz, ancak okula kayıtlı olmalı, Hollanda'da sağlık sigortası ve yeterli parası olmalıdır.</t>
        </is>
      </c>
      <c r="G158" s="29" t="inlineStr">
        <is>
          <t>öğrenci oturum izni, üniversite, HBO, student residence permit, öğrenci çalışma, sağlık sigortası</t>
        </is>
      </c>
      <c r="H158" s="29" t="inlineStr">
        <is>
          <t>before;planning</t>
        </is>
      </c>
      <c r="I158" s="29" t="inlineStr">
        <is>
          <t>eindhoven:kaynak:026;eindhoven:kaynak:033;eindhoven:kaynak:025;eindhoven:kaynak:195;eindhoven:kaynak:196</t>
        </is>
      </c>
      <c r="J158" s="49" t="n">
        <v>46317</v>
      </c>
      <c r="K158" s="51" t="n">
        <v>210</v>
      </c>
      <c r="L158" s="29" t="inlineStr">
        <is>
          <t>Hayır</t>
        </is>
      </c>
      <c r="M158" s="29" t="inlineStr">
        <is>
          <t>Taslak</t>
        </is>
      </c>
      <c r="N158" s="29" t="inlineStr">
        <is>
          <t>eindhoven:oturum</t>
        </is>
      </c>
      <c r="O158" s="29" t="inlineStr">
        <is>
          <t>Kabul aldığın üniversite veya HBO'dan oturum izni başvurusunu senin adına yapmasını iste.
IND'nin öğrenci izni sayfasında uyruğunu ve mevcut oturum durumunu seçerek sana uyan şartları gör.
Çalışmak istersen işverenin senin için TWV başvurusu yapmasını sağla; haftada 16 saati aşmayan çalışma için şartlar daha hafiftir.</t>
        </is>
      </c>
      <c r="P158" s="29" t="n"/>
      <c r="Q158" s="29" t="n"/>
      <c r="R158" s="29" t="inlineStr">
        <is>
          <t>254 euro (ilk başvuru ve uzatma); Türk vatandaşları için indirimli tarife listesinde öğrenim izni yok (IND ücret sayfası, 22 Ekim 2026'da okundu; tutarlar her 1 Ocak'ta değişir)</t>
        </is>
      </c>
      <c r="S158" s="29" t="inlineStr">
        <is>
          <t>IND'nin gelir tutarları sayfasına göre 2026'da öğrenim izni için aylık tutar HBO/üniversitede 1.130,77 euro'dur (1 Ocak–31 Aralık 2026). AB/AEA veya İsviçre vatandaşı öğrenciler için yurt dışından alınmış, Hollanda'da da geçerli bir sağlık sigortası da yeterlidir.</t>
        </is>
      </c>
      <c r="T158" s="29" t="n"/>
    </row>
    <row r="159" ht="54" customHeight="1">
      <c r="A159" s="29" t="inlineStr">
        <is>
          <t>eindhoven:mezuniyet-sonrasi-arama-yili-izni</t>
        </is>
      </c>
      <c r="B159" s="29" t="inlineStr">
        <is>
          <t>eindhoven</t>
        </is>
      </c>
      <c r="C159" s="29" t="inlineStr">
        <is>
          <t>mezuniyet-sonrasi-arama-yili-izni</t>
        </is>
      </c>
      <c r="D159" s="29" t="inlineStr">
        <is>
          <t>Mezuniyet sonrası iş arama yılı (orientation year) izni nedir?</t>
        </is>
      </c>
      <c r="E159" s="29" t="inlineStr">
        <is>
          <t>Hollanda'da mezun olduktan sonra iş aramak için oturum izni</t>
        </is>
      </c>
      <c r="F159" s="29" t="inlineStr">
        <is>
          <t>Hollanda'da mezun olduktan, doktorayı bitirdikten veya araştırma yaptıktan sonra iş aramak için oturum izni gerekir; bu izin 'orientation year' (arama yılı) iznidir. Yurt dışından başvuracak yüksek eğitimli göçmen, IND'nin 'orientation year' başvuru formunu kullanır. Şartlar ve başvuru adımları IND sayfasında uyruğuna ve mevcut oturum durumuna göre gösterilir. Arama yılı izni uzatılamaz. Süresiz amaçlı oturum izni olan bir Türk çalışanla en az 3 yıl evli olup evliliği bitenler için ayrı bir arama yılı yolu vardır (Türk vatandaşlarına özel kartlara bak).</t>
        </is>
      </c>
      <c r="G159" s="29" t="inlineStr">
        <is>
          <t>orientation year, arama yılı, mezuniyet sonrası, iş arama izni, highly educated migrant, oturum izni</t>
        </is>
      </c>
      <c r="H159" s="29" t="inlineStr">
        <is>
          <t>planning;new</t>
        </is>
      </c>
      <c r="I159" s="29" t="inlineStr">
        <is>
          <t>eindhoven:kaynak:027;eindhoven:kaynak:021;eindhoven:kaynak:023;eindhoven:kaynak:195;eindhoven:kaynak:198;eindhoven:kaynak:196</t>
        </is>
      </c>
      <c r="J159" s="49" t="n">
        <v>46317</v>
      </c>
      <c r="K159" s="51" t="n">
        <v>211</v>
      </c>
      <c r="L159" s="29" t="inlineStr">
        <is>
          <t>Hayır</t>
        </is>
      </c>
      <c r="M159" s="29" t="inlineStr">
        <is>
          <t>Taslak</t>
        </is>
      </c>
      <c r="N159" s="29" t="inlineStr">
        <is>
          <t>eindhoven:oturum</t>
        </is>
      </c>
      <c r="O159" s="29" t="inlineStr">
        <is>
          <t>IND'nin orientation year sayfasında uyruğunu ve mevcut Hollanda oturum durumunu seçerek şartları gör.
Yurt dışından başvuracaksan 'Application for admission and residence for an orientation year as a highly educated migrant seeking employment' formunu doldur.
MVV gereken bir uyruktaysan MVV ve oturum izni başvurusunu Hollanda büyükelçiliğinde birlikte yap.</t>
        </is>
      </c>
      <c r="P159" s="29" t="n"/>
      <c r="Q159" s="29" t="n"/>
      <c r="R159" s="29" t="inlineStr">
        <is>
          <t>254 euro (ilk başvuru); Ortaklık Anlaşması kapsamındaki Türk vatandaşları için 85 euro (IND ücret sayfası, 22 Ekim 2026'da okundu; tutarlar her 1 Ocak'ta değişir)</t>
        </is>
      </c>
      <c r="S159" s="29" t="inlineStr">
        <is>
          <t>Nitelikli göçmen izninde düşük maaş eşiği (brüt aylık 3.122 euro, 2026) üç durumda uygulanır: başvuru arama yılı izni sürerken yapılırsa; arama yılı izni daha önce olmuş kişi mezuniyet ya da doktora savunması tarihinden veya araştırma izninin bitişinden sonraki 3 yıl içinde başvurursa; arama yılı izni hiç olmamış ama bu iznin şartlarını karşılayan (ör. mezun olmuş, doktora almış ya da araştırma yapmış) kişi aynı 3 yıl içinde başvurursa. Ortaklık Anlaşması kapsamında evliliği bittikten sonra arama yılı izni alanın sırası şöyledir: önce aile birleşimi izni, sonra arama yılı izni, sonra bağımsız oturum izni.</t>
        </is>
      </c>
      <c r="T159" s="29" t="n"/>
    </row>
    <row r="160" ht="54" customHeight="1">
      <c r="A160" s="29" t="inlineStr">
        <is>
          <t>eindhoven:partner-oturum-izni-aile-birlesimi</t>
        </is>
      </c>
      <c r="B160" s="29" t="inlineStr">
        <is>
          <t>eindhoven</t>
        </is>
      </c>
      <c r="C160" s="29" t="inlineStr">
        <is>
          <t>partner-oturum-izni-aile-birlesimi</t>
        </is>
      </c>
      <c r="D160" s="29" t="inlineStr">
        <is>
          <t>Yabancı eş veya partner için oturum izni (aile birleşimi) nasıl alınır?</t>
        </is>
      </c>
      <c r="E160" s="29" t="inlineStr">
        <is>
          <t>Partnerin Hollanda'da seninle yaşaması için gerekenler</t>
        </is>
      </c>
      <c r="F160" s="29" t="inlineStr">
        <is>
          <t>Yabancı partnerinin seninle Hollanda'da yaşaması için partnerinin oturum izni alması gerekir. Şartlar hem partnerinin hem senin uyruğuna, ayrıca partnerinin mevcut Hollanda oturum durumuna göre değişir; IND sayfası bu soruları sorup sana özel bilgi gösterir. (Evli) partner ve reşit olmayan çocuk için yurt dışı başvurusunda 'to stay with a family member' formu kullanılır. Sen AB/AEA veya İsviçre vatandaşıysan ve partnerin bu ülkelerden birinin vatandaşı değilse AB hukuku doğrulaması yolu izlenir. Sen Hollanda vatandaşıysan bu yol kural olarak yalnızca serbest dolaşım hakkını kullandıysan geçerlidir; Hollanda'da AB vatandaşı olarak AB hukukuyla yaşarken Hollanda vatandaşı olduysan istisna vardır (AB vatandaşının aile üyesi kartı).</t>
        </is>
      </c>
      <c r="G160" s="29" t="inlineStr">
        <is>
          <t>aile birleşimi, partner oturum izni, eş, residence permit for partner, MVV, evlilik</t>
        </is>
      </c>
      <c r="H160" s="29" t="inlineStr">
        <is>
          <t>before;planning</t>
        </is>
      </c>
      <c r="I160" s="29" t="inlineStr">
        <is>
          <t>eindhoven:kaynak:028;eindhoven:kaynak:021;eindhoven:kaynak:023;eindhoven:kaynak:029;eindhoven:kaynak:195;eindhoven:kaynak:197;eindhoven:kaynak:196</t>
        </is>
      </c>
      <c r="J160" s="49" t="n">
        <v>46317</v>
      </c>
      <c r="K160" s="51" t="n">
        <v>212</v>
      </c>
      <c r="L160" s="29" t="inlineStr">
        <is>
          <t>Hayır</t>
        </is>
      </c>
      <c r="M160" s="29" t="inlineStr">
        <is>
          <t>Taslak</t>
        </is>
      </c>
      <c r="N160" s="29" t="inlineStr">
        <is>
          <t>eindhoven:oturum</t>
        </is>
      </c>
      <c r="O160" s="29" t="inlineStr">
        <is>
          <t>IND'nin partner sayfasında partnerinin uyruğunu, kendi uyruğunu ve partnerinin mevcut Hollanda oturum durumunu seç.
Partnerin MVV gerektiriyorsa MVV ve oturum izni başvurusunu Hollanda büyükelçiliğinde 'to stay with a family member' formuyla yap.
Sen AB/AEA veya İsviçre vatandaşıysan (Hollandalıysan kural olarak yalnızca serbest dolaşım hakkını kullandıysan) ve partnerin bu ülkelerden birinin vatandaşı değilse bu kartın yerine AB hukuku doğrulaması kartındaki yolu izle.
Gelir şartını IND'nin tutar tablosundan kontrol et.</t>
        </is>
      </c>
      <c r="P160" s="29" t="n"/>
      <c r="Q160" s="29" t="inlineStr">
        <is>
          <t>IND karar süresi 90 gün (düzenli geçici izin, MVV'li ya da MVV'siz)</t>
        </is>
      </c>
      <c r="R160" s="29" t="inlineStr">
        <is>
          <t>254 euro (aile/partner izni: ilk başvuru, amaç değişikliği ve uzatma); Türk vatandaşının eşi veya kayıtlı partneri için 85 euro, ancak Hollanda'daki Türk vatandaşının oturum izni öğrenim, tıbbi tedavi ya da izin (verlof) amaçlıysa indirimli ücret uygulanmaz (IND ücret sayfası, 22 Ekim 2026'da okundu; tutarlar her 1 Ocak'ta değişir)</t>
        </is>
      </c>
      <c r="S160" s="29" t="inlineStr">
        <is>
          <t>Gelir şartı (1 Temmuz–31 Aralık 2026): brüt SV maaşı ayda 2.337,00 euro (tatil parasız) veya 2.523,96 euro (tatil parası dahil); IND tablosu uyruğa göre ayrım yapmıyor. Hollanda'da çalışan bir Türk vatandaşı eşini veya kayıtlı partnerini getirecekse, ikisinin de en az 18 yaşında olması yeterlidir (normalde 21). Bu yaş kuralı IND sayfasında eş veya kayıtlı partner için yazılmıştır; evli olmayan ve kayıtlı partnerliği de olmayan çiftte Türk indirimli ücreti uygulanmaz.</t>
        </is>
      </c>
      <c r="T160" s="29" t="n"/>
    </row>
    <row r="161" ht="54" customHeight="1">
      <c r="A161" s="29" t="inlineStr">
        <is>
          <t>eindhoven:serbest-meslek-oturum-izni</t>
        </is>
      </c>
      <c r="B161" s="29" t="inlineStr">
        <is>
          <t>eindhoven</t>
        </is>
      </c>
      <c r="C161" s="29" t="inlineStr">
        <is>
          <t>serbest-meslek-oturum-izni</t>
        </is>
      </c>
      <c r="D161" s="29" t="inlineStr">
        <is>
          <t>Hollanda'da serbest çalışmak için oturum izni nasıl alınır?</t>
        </is>
      </c>
      <c r="E161" s="29" t="inlineStr">
        <is>
          <t>Şirket kurmak veya serbest sanatçı olmak; Türk vatandaşları için puan sistemi yok</t>
        </is>
      </c>
      <c r="F161" s="29" t="inlineStr">
        <is>
          <t>Hollanda'da şirket kurmak veya serbest sanatçı olarak çalışmak için 'self-employed person' oturum izni gerekir ve bu izne sahip olanlar ayrıca çalışma izni (TWV) almaz. Girişimin Hollanda için 'essential interest' (temel çıkar) taşıyıp taşımadığını RVO (Rijksdienst voor Ondernemend Nederland) puan sistemiyle değerlendirir ve şirketin minimum puanı alması gerekir. Türk vatandaşlarına bu puan sistemi uygulanmaz; RVO yalnızca iş planına bakar ve planın her bölümünde finansal açıklama aranır.</t>
        </is>
      </c>
      <c r="G161" s="29" t="inlineStr">
        <is>
          <t>serbest meslek, self-employed, şirket kurma, RVO, iş planı, essential interest, oturum izni</t>
        </is>
      </c>
      <c r="H161" s="29" t="inlineStr">
        <is>
          <t>before;planning</t>
        </is>
      </c>
      <c r="I161" s="29" t="inlineStr">
        <is>
          <t>eindhoven:kaynak:030;eindhoven:kaynak:033;eindhoven:kaynak:023;eindhoven:kaynak:021;eindhoven:kaynak:195;eindhoven:kaynak:196</t>
        </is>
      </c>
      <c r="J161" s="49" t="n">
        <v>46317</v>
      </c>
      <c r="K161" s="51" t="n">
        <v>213</v>
      </c>
      <c r="L161" s="29" t="inlineStr">
        <is>
          <t>Hayır</t>
        </is>
      </c>
      <c r="M161" s="29" t="inlineStr">
        <is>
          <t>Taslak</t>
        </is>
      </c>
      <c r="N161" s="29" t="inlineStr">
        <is>
          <t>eindhoven:oturum</t>
        </is>
      </c>
      <c r="O161" s="29" t="inlineStr">
        <is>
          <t>IND'nin serbest meslek sayfasında uyruğunu ve mevcut oturum durumunu seçerek şartları gör.
Yurt dışından başvuracaksan 'self-employed person' için ayrılmış başvuru formunu kullan.
Türk vatandaşıysan iş planını hazırla: RVO şirketin mali açıdan sağlıklı olmasına, Hollanda'da ihtiyaç duyulan bir şey sunmasına, ekonomiyi büyütmesine, serbest piyasada başarılı olabilmesine ve piyasayı ya da işgücü piyasasını bozmamasına bakar.
İş planının her bölümüne finansal açıklama ekle.</t>
        </is>
      </c>
      <c r="P161" s="29" t="inlineStr">
        <is>
          <t>İş planı (Türk vatandaşları için RVO değerlendirmesi)</t>
        </is>
      </c>
      <c r="Q161" s="29" t="n"/>
      <c r="R161" s="29" t="inlineStr">
        <is>
          <t>423 euro (ilk başvuru ve uzatma); Ortaklık Anlaşması kapsamındaki Türk vatandaşları için 85 euro (IND ücret sayfası, 22 Ekim 2026'da okundu; tutarlar her 1 Ocak'ta değişir)</t>
        </is>
      </c>
      <c r="S161" s="29" t="inlineStr">
        <is>
          <t>RVO'nun puan sisteminde şirketin 'essential interest' taşıması aranır, yani şirket Hollanda'ya değer katmalıdır; Türk vatandaşlarına bu sistem uygulanmaz, RVO yalnızca iş planına bakar. IND'nin gelir tablosunda serbest çalışma izni için brüt aylık kâr 1.766,77 euro (1 Temmuz–31 Aralık 2026); tablo Türk vatandaşları için ayrı bir tutar vermiyor.</t>
        </is>
      </c>
      <c r="T161" s="29" t="n"/>
    </row>
    <row r="162" ht="54" customHeight="1">
      <c r="A162" s="29" t="inlineStr">
        <is>
          <t>eindhoven:ab-vatandasi-uc-aydan-uzun-kalis</t>
        </is>
      </c>
      <c r="B162" s="29" t="inlineStr">
        <is>
          <t>eindhoven</t>
        </is>
      </c>
      <c r="C162" s="29" t="inlineStr">
        <is>
          <t>ab-vatandasi-uc-aydan-uzun-kalis</t>
        </is>
      </c>
      <c r="D162" s="29" t="inlineStr">
        <is>
          <t>AB/AEA veya İsviçre vatandaşı olarak Hollanda'da 3 aydan uzun kalmak için ne gerekir?</t>
        </is>
      </c>
      <c r="E162" s="29" t="inlineStr">
        <is>
          <t>Çalışan, çalışmayan ve öğrenci için ayrı şartlar; belediye kaydı ve sigorta</t>
        </is>
      </c>
      <c r="F162" s="29" t="inlineStr">
        <is>
          <t>AB/AEA ve İsviçre vatandaşları oturum izni almaz ve işverenlerinin çalışma izni (TWV) başvurusu gerekmez; IND'ye kayıt da normalde gerekmez (yalnızca daha önce Hollanda'da AB vatandaşı olarak yasal yaşayıp IND ikametini sonlandırdıysa gerekir). 3 aydan kısa kalışta yalnızca geçerli pasaport veya kimlik kartı yeter. 3 aydan uzun kalışta çalışanlar için 'gerçek ve etkili iş' aranır: gelirin sosyal yardım tutarının en az %50'si ya da normal tam çalışma haftasının en az %40'ında çalışmak; bunun altında kalsan da IND diğer unsurlara bakar. Çalışmayanlarda gelirin asgari ücret artı tatil parası kadar veya fazla olması gerekir (daha azsa geçimin yetmesini göstermelisin); öğrencilerde okul kaydı, Hollanda'da sağlık sigortası ve yeterli para gerekir.</t>
        </is>
      </c>
      <c r="G162" s="29" t="inlineStr">
        <is>
          <t>AB vatandaşı, AEA, İsviçre, 3 ay, gemeente kaydı, sağlık sigortası, BRP, iş arayan</t>
        </is>
      </c>
      <c r="H162" s="29" t="inlineStr">
        <is>
          <t>before;planning;new</t>
        </is>
      </c>
      <c r="I162" s="29" t="inlineStr">
        <is>
          <t>eindhoven:kaynak:025</t>
        </is>
      </c>
      <c r="J162" s="49" t="n">
        <v>46317</v>
      </c>
      <c r="K162" s="51" t="n">
        <v>214</v>
      </c>
      <c r="L162" s="29" t="inlineStr">
        <is>
          <t>Hayır</t>
        </is>
      </c>
      <c r="M162" s="29" t="inlineStr">
        <is>
          <t>Taslak</t>
        </is>
      </c>
      <c r="N162" s="29" t="inlineStr">
        <is>
          <t>eindhoven:oturum</t>
        </is>
      </c>
      <c r="O162" s="29" t="inlineStr">
        <is>
          <t>3 aydan kısa kalacaksan yalnızca geçerli pasaportunu veya AB/AEA/İsviçre kimlik kartını yanında bulundur.
3 aydan uzun kalacaksan durumunu belirle: çalışan veya girişimci, çalışmayan ya da öğrenci.
İş arıyorsan ilk 6 ay boyunca UWV'ye iş arayan olarak kayıtlı olduğunu göster; 6 ayda iş bulamazsan Hollanda'da iş bulma şansının iyi olduğunu kanıtla.
4 aydan uzun kalacaksan olabildiğince çabuk yerel belediyene (gemeente) kayıt ol; bilgilerin BRP'ye (Basisregistratie Personen, nüfus kayıt sistemi) işlenir.
Hollanda'ya vardıktan sonra 4 ay içinde sağlık sigortası yaptır.</t>
        </is>
      </c>
      <c r="P162" s="29" t="n"/>
      <c r="Q162" s="29" t="inlineStr">
        <is>
          <t>3 ay: vizesiz/izinsiz kalış süresi; 4 ay: belediye kaydı ve sağlık sigortası için eşik</t>
        </is>
      </c>
      <c r="R162" s="29" t="n"/>
      <c r="S162" s="29" t="inlineStr">
        <is>
          <t>5 yıl boyunca şartları sağlayarak Hollanda'da kalan AB vatandaşı kalıcı oturum hakkı kazanır ve sosyal yardım başvurusu yapsa da oturum hakkını kaybetmez. 5 yıldan kısa kalanlarda durum değişir: hâlâ gerçek ve etkili iş yapıyorsan sosyal yardım başvurusu oturum hakkını kaybettirmez; çalışmıyorsan ve ne senin ne de aile üyenin geliri yetiyorsa IND gelirini, giderlerini ve Hollanda'da kaldığın süreyi inceler.</t>
        </is>
      </c>
      <c r="T162" s="29" t="n"/>
    </row>
    <row r="163" ht="54" customHeight="1">
      <c r="A163" s="29" t="inlineStr">
        <is>
          <t>eindhoven:ab-vatandasi-aile-uyesi-kimler-basvurabilir</t>
        </is>
      </c>
      <c r="B163" s="29" t="inlineStr">
        <is>
          <t>eindhoven</t>
        </is>
      </c>
      <c r="C163" s="29" t="inlineStr">
        <is>
          <t>ab-vatandasi-aile-uyesi-kimler-basvurabilir</t>
        </is>
      </c>
      <c r="D163" s="29" t="inlineStr">
        <is>
          <t>AB vatandaşının aile üyesi olarak hangi yakınlar oturum belgesi alabilir?</t>
        </is>
      </c>
      <c r="E163" s="29" t="inlineStr">
        <is>
          <t>AB hukuku doğrulaması: kimler kapsanır, hangi şartlar aranır</t>
        </is>
      </c>
      <c r="F163" s="29" t="inlineStr">
        <is>
          <t>AB/AEA veya İsviçre vatandaşıyla yaşamaya gelen ve bu ülkelerin vatandaşı olmayan aile üyeleri IND'den AB hukuku doğrulaması (verification against EU law) almak zorundadır. Eş ve kayıtlı partner, 21 yaşından küçük çocuk (21 ve üzeri ise maddi olarak bağımlıysa), maddi olarak bağımlı ebeveyn ve büyükanne/büyükbaba ile bazı şartlarda amca, hala, kuzen gibi diğer yakınlar kapsanır. Evli olmayan partner için en az 6 ay birlikte yaşamak ya da 6 aylık kalıcı ilişkiyi kanıtlamak gerekir. Hollanda vatandaşının aile üyesi kural olarak ancak o Hollandalı serbest dolaşım hakkını kullandıysa AB hukukundan yararlanır; Hollanda'da AB/AEA ya da İsviçre vatandaşı olarak AB hukukuyla yaşarken sonradan Hollanda vatandaşı olan kişinin aile üyeleri ise AB hukukuna dayanmaya devam edebilir.</t>
        </is>
      </c>
      <c r="G163" s="29" t="inlineStr">
        <is>
          <t>AB hukuku doğrulaması, aile üyesi, verification against EU law, eş, çocuk, ebeveyn, AB vatandaşı</t>
        </is>
      </c>
      <c r="H163" s="29" t="inlineStr">
        <is>
          <t>before;planning;new</t>
        </is>
      </c>
      <c r="I163" s="29" t="inlineStr">
        <is>
          <t>eindhoven:kaynak:029</t>
        </is>
      </c>
      <c r="J163" s="49" t="n">
        <v>46317</v>
      </c>
      <c r="K163" s="51" t="n">
        <v>215</v>
      </c>
      <c r="L163" s="29" t="inlineStr">
        <is>
          <t>Hayır</t>
        </is>
      </c>
      <c r="M163" s="29" t="inlineStr">
        <is>
          <t>Taslak</t>
        </is>
      </c>
      <c r="N163" s="29" t="inlineStr">
        <is>
          <t>eindhoven:oturum</t>
        </is>
      </c>
      <c r="O163" s="29" t="inlineStr">
        <is>
          <t>Yakınlık derecene bak: eş/kayıtlı partner, evli olmayan partner, çocuk/torun/evlatlık, ebeveyn/büyükanne-büyükbaba ya da diğer yakın.
Genel şartları kontrol et: geçerli pasaportun olmalı, kamu düzeni veya ulusal güvenlik için tehdit oluşturmamalısın; AB vatandaşının geçerli pasaport/kimliği, sağlık sigortası ve yeterli geliri olmalı.
Evli olmayan partnersen en az 6 aydır birlikte yaşadığını ya da en az 6 aydır sürdürülebilir bir ilişkiniz olduğunu ortak ev veya ortak mali yükümlülüklerle kanıtla.
21 yaşından büyük çocuksan ya da ebeveyn/büyükanne-büyükbabaysan AB vatandaşına maddi olarak bağımlı olduğunu göster.
Amca, hala, kuzen gibi diğer yakınsan şunlardan en az birini göster: maddi olarak bağımlı olmak ve ülkende en az 1 yıl düzenli para yardımı almış olmak; ülkende AB vatandaşıyla birlikte yaşamış olmak; ağır sağlık sorunu nedeniyle bakıma muhtaç olmak.</t>
        </is>
      </c>
      <c r="P163" s="29" t="inlineStr">
        <is>
          <t>Geçerli pasaport veya seyahat belgesi
Aile bağını gösteren belge (doğum, evlilik veya kayıtlı partnerlik belgesi)
Yasallaştırılmış ve Hollandaca, İngilizce, Fransızca ya da Almanca'ya çevrilmiş yabancı resmi belgeler</t>
        </is>
      </c>
      <c r="Q163" s="29" t="n"/>
      <c r="R163" s="29" t="n"/>
      <c r="S163" s="29" t="inlineStr">
        <is>
          <t>Çocuk, evli olmayan partnerin çocuğuysa 18 yaşından küçük olmalı ve AB vatandaşıyla birlikte yaşamalıdır. Hollandalı aile üyesi istisnası şu durumları kapsar: aile üyen Hollanda vatandaşı olmadan önce Hollanda'da AB vatandaşı olarak AB hukukuyla yaşadıysa ya da Hollanda'da bir AB/AEA ülkesi veya İsviçre uyruğuyla doğup burada yaşarken Hollandalı olduysa; başvuru yine AB hukuku doğrulaması olarak yapılır.</t>
        </is>
      </c>
      <c r="T163" s="29" t="n"/>
    </row>
    <row r="164" ht="54" customHeight="1">
      <c r="A164" s="29" t="inlineStr">
        <is>
          <t>eindhoven:ab-hukuku-dogrulamasi-basvuru-sureci</t>
        </is>
      </c>
      <c r="B164" s="29" t="inlineStr">
        <is>
          <t>eindhoven</t>
        </is>
      </c>
      <c r="C164" s="29" t="inlineStr">
        <is>
          <t>ab-hukuku-dogrulamasi-basvuru-sureci</t>
        </is>
      </c>
      <c r="D164" s="29" t="inlineStr">
        <is>
          <t>AB hukuku doğrulaması (aile üyesi oturum belgesi) başvurusu nasıl yapılır?</t>
        </is>
      </c>
      <c r="E164" s="29" t="inlineStr">
        <is>
          <t>Hollanda'ya giriş, başvuru, 85 euro ücret ve 5 yıl geçerli belge</t>
        </is>
      </c>
      <c r="F164" s="29" t="inlineStr">
        <is>
          <t>AB hukuku doğrulaması başvurusu yalnızca Hollanda içinden yapılabilir; yani önce Hollanda'ya gitmen gerekir. Vize gerektiren uyruktaysan önce yaşadığın ülkede ücretsiz bir Schengen vizesi olan 'visa facilitation' alırsın. Başvuru ücreti 85 euro, reşit olmayanlar için 46 euro; IND 6 ay içinde karar verir. Olumlu kararla gelen oturum belgesi 5 yıl geçerlidir ve çalışmana izin verir, çalışma izni gerekmez.</t>
        </is>
      </c>
      <c r="G164" s="29" t="inlineStr">
        <is>
          <t>AB hukuku doğrulaması, visa facilitation, aile üyesi oturum belgesi, residence endorsement, biyometri, DigiD</t>
        </is>
      </c>
      <c r="H164" s="29" t="inlineStr">
        <is>
          <t>before;planning;new</t>
        </is>
      </c>
      <c r="I164" s="29" t="inlineStr">
        <is>
          <t>eindhoven:kaynak:029</t>
        </is>
      </c>
      <c r="J164" s="49" t="n">
        <v>46317</v>
      </c>
      <c r="K164" s="51" t="n">
        <v>216</v>
      </c>
      <c r="L164" s="29" t="inlineStr">
        <is>
          <t>Hayır</t>
        </is>
      </c>
      <c r="M164" s="29" t="inlineStr">
        <is>
          <t>Taslak</t>
        </is>
      </c>
      <c r="N164" s="29" t="inlineStr">
        <is>
          <t>eindhoven:oturum</t>
        </is>
      </c>
      <c r="O164" s="29" t="inlineStr">
        <is>
          <t>NetherlandsWorldwide'dan Hollanda'ya girmek için visa facilitation gerekip gerekmediğine bak; gerekiyorsa yaşadığın ülkedeki Hollanda büyükelçiliği veya konsolosluğuna başvurup AB vatandaşının aile üyesi olduğunu kanıtla.
Hollanda'ya geçerli pasaportunla ve aile bağını gösteren belgelerle (doğum, evlilik veya kayıtlı partnerlik belgesi) git.
Başvuruyu online ya da posta yoluyla yap; eş veya (torun) çocuksan ve AB vatandaşı Hollandalı değilse AB vatandaşı online başvuruyu senin için DigiD ile yapabilir.
Başvuru ücretini öde; online başvuruda ödeme iDEAL | Wero ile yapılır.
IND'nin mektubuyla pasaporta takılacak 'residence endorsement' (ikamet şerhi) sticker'ı için randevu al; süreç boyunca yasal ikametini gösterir.
Mektupta yazan şekilde IND loketinde biyometri (parmak izi ve fotoğraf) randevusu al.
Karar olumluysa gelen mektupla IND loketinden oturum belgeni almak için randevu al.</t>
        </is>
      </c>
      <c r="P164" s="29" t="inlineStr">
        <is>
          <t>Geçerli pasaport veya seyahat belgesi
Aile bağını gösteren belge (doğum, evlilik veya kayıtlı partnerlik belgesi)
Yasallaştırılmış ve Hollandaca, İngilizce, Fransızca ya da Almanca'ya çevrilmiş yabancı resmi belgeler</t>
        </is>
      </c>
      <c r="Q164" s="29" t="inlineStr">
        <is>
          <t>IND karar süresi 6 ay; oturum belgesi 5 yıl geçerli</t>
        </is>
      </c>
      <c r="R164" s="29" t="inlineStr">
        <is>
          <t>85,00 euro; reşit olmayan için 46,00 euro (IND sayfası, 25 Eylül 2026)</t>
        </is>
      </c>
      <c r="S164" s="29" t="inlineStr">
        <is>
          <t>Bu oturum belgesi uzatılamaz; süresi dolarken yeniden AB hukuku doğrulaması için başvurulur. Sosyal yardım (public funds) başvurusu IND'nin yasal ikametini sonlandırmasına yol açabilir.</t>
        </is>
      </c>
      <c r="T164" s="29" t="n"/>
    </row>
    <row r="165" ht="54" customHeight="1">
      <c r="A165" s="29" t="inlineStr">
        <is>
          <t>eindhoven:turk-vatandasi-ortaklik-anlasmasi-kolayliklari</t>
        </is>
      </c>
      <c r="B165" s="29" t="inlineStr">
        <is>
          <t>eindhoven</t>
        </is>
      </c>
      <c r="C165" s="29" t="inlineStr">
        <is>
          <t>turk-vatandasi-ortaklik-anlasmasi-kolayliklari</t>
        </is>
      </c>
      <c r="D165" s="29" t="inlineStr">
        <is>
          <t>Türk vatandaşlarına AB-Türkiye Ortaklık Anlaşması hangi kolaylıkları sağlar?</t>
        </is>
      </c>
      <c r="E165" s="29" t="inlineStr">
        <is>
          <t>Kimin hangi kolaylığa hakkı var: indirimli ücret, 18 yaş şartı, sponsorsuz başvuru, RVO puan sistemi yok</t>
        </is>
      </c>
      <c r="F165" s="29" t="inlineStr">
        <is>
          <t>1963'te imzalanan AB-Türkiye Ortaklık Anlaşması (1970 Ek Protokol ve 1980 tarihli Decision 1/80 ile tamamlandı) herkese değil, Türk çalışanlara, Türk serbest çalışanlara, Türkiye'den gelen hizmet sağlayıcılara ve bunların aile üyelerine uygulanır; bu kişiler için oturum şartları bazen daha hafiftir. İndirimli ücret çalışma amaçlı izinler, arama yılı, au pair ve Türk vatandaşının aile üyesi olarak ikamet için geçerlidir (ücret tablosunda kalıcı oturum, belge değişimi ve dönüş vizesi için de Türk tutarı var); öğrenim izni indirimli listede yok. Türk çalışanın eşini getirmesinde yaş sınırı 21 yerine 18'dir; Türk çalışan nitelikli göçmen ya da araştırmacı olarak tanınmış sponsor olmadan başvurabilir. Türk serbest çalışanlara RVO'nun puan sistemi uygulanmaz ama RVO şirketi yine de iş planına bakarak değerlendirir (mali sağlık, Hollanda'da ihtiyaç, ekonomiye katkı, piyasayı bozmama; planın her bölümünde finansal açıklama). Aynı işverende 3 yıl çalışan Türk ücretli çalışan TWV'den kurtulur (normalde 5 yıl).</t>
        </is>
      </c>
      <c r="G165" s="29" t="inlineStr">
        <is>
          <t>AB-Türkiye Ortaklık Anlaşması, Decision 1/80, Türk vatandaşı, indirimli ücret, TWV, 18 yaş, ortaklık anlaşması</t>
        </is>
      </c>
      <c r="H165" s="29" t="inlineStr">
        <is>
          <t>planning;new;settled</t>
        </is>
      </c>
      <c r="I165" s="29" t="inlineStr">
        <is>
          <t>eindhoven:kaynak:023;eindhoven:kaynak:195;eindhoven:kaynak:036</t>
        </is>
      </c>
      <c r="J165" s="49" t="n">
        <v>46317</v>
      </c>
      <c r="K165" s="51" t="n">
        <v>217</v>
      </c>
      <c r="L165" s="29" t="inlineStr">
        <is>
          <t>Evet</t>
        </is>
      </c>
      <c r="M165" s="29" t="inlineStr">
        <is>
          <t>Taslak</t>
        </is>
      </c>
      <c r="N165" s="29" t="inlineStr">
        <is>
          <t>eindhoven:oturum</t>
        </is>
      </c>
      <c r="O165" s="29" t="inlineStr">
        <is>
          <t>Hangi gruba girdiğini belirle: Türk ücretli çalışan, Türk serbest çalışan, Türkiye'den gelen hizmet sağlayıcı veya bunların aile üyesi.
İndirimli ücretin iznine uyup uymadığına bak: uzatma, dönüş vizesi ve oturum belgesi değişimi dahil birçok kalemde tutar düşüktür, ama listede olmayan izinlerde (örneğin öğrenim) geçerli değildir.
Nitelikli göçmen veya araştırmacı olarak çalışacaksan başvuruyu tanınmış sponsor olmadan kendin yapabilirsin; diğer ücretli işlerde de sponsor gerekmez ama önce işi bulmuş olmalısın.
MVV gerekiyorsa 'Application for admission and residence for working purposes' formunu, gerekmiyorsa AB-Türkiye Sözleşmesi'ne dayanan başvuru formunu kullan.
Aynı işverende 3 yıl çalıştıktan sonra ücretli çalışma için artık TWV gerekmediğini bil.</t>
        </is>
      </c>
      <c r="P165" s="29" t="inlineStr">
        <is>
          <t>Türk vatandaşıyla yaşamak için başvuran, o kişi aynı zamanda Hollandalıysa: geçerli Türk pasaportu veya kimlik kartı fotokopisi ve bunu düşük ücret için gönderdiğini yazan açıklama</t>
        </is>
      </c>
      <c r="Q165" s="29" t="n"/>
      <c r="R165" s="29" t="inlineStr">
        <is>
          <t>Ortaklık Anlaşması tarifesi: çalışma amaçlı izinlerde 85 euro (normalde ücretli çalışma 423, arama yılı 254); Türk vatandaşının aile üyesi için 85 euro (normalde 254); kalıcı oturumda 85 euro (normalde 254); dönüş vizesi 57 euro (normalde 197) (IND ücret sayfası, 22 Ekim 2026'da okundu; tutarlar her 1 Ocak'ta değişir)</t>
        </is>
      </c>
      <c r="S165" s="29" t="inlineStr">
        <is>
          <t>İndirimli ücret şu durumlarda uygulanmaz: Türk vatandaşının öğrenim, tıbbi tedavi veya Hollanda'da izin (tatil) geçirmek için oturum izni varsa ya da aile üyesiyle Türk vatandaşı evli değilse ve kayıtlı partnerlikleri de yoksa. Türk uyruğuna ek olarak başka bir uyruk (örneğin Hollanda) da sorun değildir, indirim yine geçerlidir. IND, kolaylık olsa bile tanınmış bir sponsorun başvuru yapmasını öneriyor çünkü bu başvurular daha hızlı karara bağlanıyor.</t>
        </is>
      </c>
      <c r="T165" s="29" t="n"/>
    </row>
    <row r="166" ht="54" customHeight="1">
      <c r="A166" s="29" t="inlineStr">
        <is>
          <t>eindhoven:turk-calisan-ve-aile-uyesi-sartlari</t>
        </is>
      </c>
      <c r="B166" s="29" t="inlineStr">
        <is>
          <t>eindhoven</t>
        </is>
      </c>
      <c r="C166" s="29" t="inlineStr">
        <is>
          <t>turk-calisan-ve-aile-uyesi-sartlari</t>
        </is>
      </c>
      <c r="D166" s="29" t="inlineStr">
        <is>
          <t>Ortaklık Anlaşması kapsamında kimler Türk çalışan sayılır, aile üyeleri kimlerdir?</t>
        </is>
      </c>
      <c r="E166" s="29" t="inlineStr">
        <is>
          <t>Çalışan, serbest çalışan, hizmet sağlayıcı ve aile üyeleri için ölçütler</t>
        </is>
      </c>
      <c r="F166" s="29" t="inlineStr">
        <is>
          <t>Türk çalışan sayılmak için Türk uyruklu olman (başka bir uyruğun da, örneğin Hollandalı olması sorun değildir), Hollanda'da yasal çalışman ve kamu düzeni ile ulusal güvenliğe risk oluşturmaman gerekir. 'Gerçek ve etkili iş' için maaşının sosyal yardım seviyesinin en az %50'si olması ya da normal tam çalışma haftasının en az %40'ında çalışman yeterlidir; serbest çalışanlar için de aynı ölçüt geçerlidir. Hizmet sağlayıcı sayılmak için Türkiye'de yaşaman ve Türkiye'de kurulu bir şirketin sahibi ya da çalışanı olarak Hollanda'da geçici ve ücretli hizmet sunman gerekir. Aile üyesi olarak çalışanın eşi, kayıtlı partneri ve 21 yaşından küçük çocukları sayılır; daha büyük çocuklar, ebeveynler ve büyükanne/büyükbabalar ancak Türk çalışana temel ihtiyaçları için bağımlıysa kapsanır.</t>
        </is>
      </c>
      <c r="G166" s="29" t="inlineStr">
        <is>
          <t>Türk çalışan, aile üyesi, Decision 1/80, gerçek ve etkili iş, serbest çalışan, hizmet sağlayıcı</t>
        </is>
      </c>
      <c r="H166" s="29" t="inlineStr">
        <is>
          <t>planning;new;settled</t>
        </is>
      </c>
      <c r="I166" s="29" t="inlineStr">
        <is>
          <t>eindhoven:kaynak:023</t>
        </is>
      </c>
      <c r="J166" s="49" t="n">
        <v>46317</v>
      </c>
      <c r="K166" s="51" t="n">
        <v>218</v>
      </c>
      <c r="L166" s="29" t="inlineStr">
        <is>
          <t>Hayır</t>
        </is>
      </c>
      <c r="M166" s="29" t="inlineStr">
        <is>
          <t>Taslak</t>
        </is>
      </c>
      <c r="N166" s="29" t="inlineStr">
        <is>
          <t>eindhoven:oturum</t>
        </is>
      </c>
      <c r="O166" s="29" t="inlineStr">
        <is>
          <t>Türk uyruklu olduğunu ve Hollanda'da yasal çalıştığını doğrula.
Maaşının sosyal yardım seviyesinin en az %50'si olduğunu ya da normal tam çalışma haftasının en az %40'ında çalıştığını göster.
Serbest çalışacaksan geçerli bir serbest çalışma oturum izninin olduğunu ya da serbest meslek, startup veya arama yılı izni başvurusu yapacağını belirle.
Hizmet sağlayıcıysan Türkiye'de yaşadığını, Türkiye'de kurulu bir şirketin sahibi ya da çalışanı olduğunu ve Hollanda'da geçici, ücretli hizmet sunduğunu doğrula.
Aile üyesiysen yakınlık derecene bak: eş/kayıtlı partner, 21 yaş altı çocuk veya torun, temel ihtiyaçları için bağımlı büyük çocuk veya torun, bağımlı ebeveyn ve büyükanne-büyükbaba (çalışanın ya da eşinin).</t>
        </is>
      </c>
      <c r="P166" s="29" t="n"/>
      <c r="Q166" s="29" t="n"/>
      <c r="R166" s="29" t="n"/>
      <c r="S166" s="29" t="inlineStr">
        <is>
          <t>Bakıma muhtaçlık, temel ihtiyaçların (yemek, giysi, barınma) Türk çalışan tarafından karşılanması anlamına gelir.</t>
        </is>
      </c>
      <c r="T166" s="29" t="n"/>
    </row>
    <row r="167" ht="54" customHeight="1">
      <c r="A167" s="29" t="inlineStr">
        <is>
          <t>eindhoven:turk-calisan-bir-yil-sonra-oturum-izni</t>
        </is>
      </c>
      <c r="B167" s="29" t="inlineStr">
        <is>
          <t>eindhoven</t>
        </is>
      </c>
      <c r="C167" s="29" t="inlineStr">
        <is>
          <t>turk-calisan-bir-yil-sonra-oturum-izni</t>
        </is>
      </c>
      <c r="D167" s="29" t="inlineStr">
        <is>
          <t>Türk çalışan aynı işverende 1 yıl çalıştıktan sonra Ortaklık Anlaşması oturum izni nasıl alır?</t>
        </is>
      </c>
      <c r="E167" s="29" t="inlineStr">
        <is>
          <t>Bu izinle işverenin çalışma izni (TWV) başvurusuna gerek kalmaz</t>
        </is>
      </c>
      <c r="F167" s="29" t="inlineStr">
        <is>
          <t>Aynı Hollandalı işverende en az 1 yıldır çalışıyorsan, o işveren için geçerli bir oturum iznin varsa (izin çalıştığın tüm süreyi kapsamalı) ve hâlâ aynı işverendeysen, AB-Türkiye Sözleşmesi'ne dayanan ücretli çalışma oturum izni başvurusu yapabilirsin. Bu izinle işverenin senin için çalışma izni (TWV) alması gerekmez. Herkes için geçerli genel oturum şartlarını da karşılamalısın.</t>
        </is>
      </c>
      <c r="G167" s="29" t="inlineStr">
        <is>
          <t>Türk çalışan, ücretli çalışma izni, TWV, aynı işveren, 1 yıl, Ortaklık Anlaşması, Decision 1/80</t>
        </is>
      </c>
      <c r="H167" s="29" t="inlineStr">
        <is>
          <t>new;settled</t>
        </is>
      </c>
      <c r="I167" s="29" t="inlineStr">
        <is>
          <t>eindhoven:kaynak:023;eindhoven:kaynak:195</t>
        </is>
      </c>
      <c r="J167" s="49" t="n">
        <v>46317</v>
      </c>
      <c r="K167" s="51" t="n">
        <v>219</v>
      </c>
      <c r="L167" s="29" t="inlineStr">
        <is>
          <t>Hayır</t>
        </is>
      </c>
      <c r="M167" s="29" t="inlineStr">
        <is>
          <t>Taslak</t>
        </is>
      </c>
      <c r="N167" s="29" t="inlineStr">
        <is>
          <t>eindhoven:oturum</t>
        </is>
      </c>
      <c r="O167" s="29" t="inlineStr">
        <is>
          <t>Aynı Hollandalı işverende en az 1 yıldır çalıştığını kontrol et.
Bu işveren için aldığın oturum izninin çalıştığın tüm süre boyunca geçerli olduğunu doğrula.
Hâlâ aynı işverende çalıştığından emin ol.
Herkes için geçerli genel şartları da sağladığını kontrol edip AB-Türkiye Sözleşmesi'ne dayanan oturum izni başvuru formunu doldur.</t>
        </is>
      </c>
      <c r="P167" s="29" t="n"/>
      <c r="Q167" s="29" t="n"/>
      <c r="R167" s="29" t="inlineStr">
        <is>
          <t>Ortaklık Anlaşması kapsamında ücretli çalışma oturum izni: ilk başvuru ve uzatma 85 euro (IND ücret sayfası, 22 Ekim 2026'da okundu; tutarlar her 1 Ocak'ta değişir)</t>
        </is>
      </c>
      <c r="S167" s="29" t="inlineStr">
        <is>
          <t>Başka bir işverene geçersen ve aynı işverende henüz toplam 3 yıl çalışmadıysan yeni işverenin TWV alması gerekir; aynı işverende 3 yıl çalıştıktan sonra ücretli çalışma için TWV artık gerekmez.</t>
        </is>
      </c>
      <c r="T167" s="29" t="n"/>
    </row>
    <row r="168" ht="54" customHeight="1">
      <c r="A168" s="29" t="inlineStr">
        <is>
          <t>eindhoven:turk-aile-uyesi-bagimsiz-oturum-izni</t>
        </is>
      </c>
      <c r="B168" s="29" t="inlineStr">
        <is>
          <t>eindhoven</t>
        </is>
      </c>
      <c r="C168" s="29" t="inlineStr">
        <is>
          <t>turk-aile-uyesi-bagimsiz-oturum-izni</t>
        </is>
      </c>
      <c r="D168" s="29" t="inlineStr">
        <is>
          <t>Türk çalışanın eşi veya çocuğu bağımsız oturum izni nasıl alır?</t>
        </is>
      </c>
      <c r="E168" s="29" t="inlineStr">
        <is>
          <t>3 yıl aile üyesi olarak kalmak, evlilik bitince iş arama izni, arama yılı sonrası bağımsız izin</t>
        </is>
      </c>
      <c r="F168" s="29" t="inlineStr">
        <is>
          <t>Türk bir çalışanla aile üyesi oturum iziniyle en az 3 yıl Hollanda'da yaşadıysan ve aile üyesi iznini uzatma şartlarını karşılıyorsan bağımsız bir oturum izni alabilirsin; bunun için Türk çalışanın süresiz amaçlı bir izni olması ya da hem Türk hem Hollanda vatandaşı olması gerekir. Evlilik veya kayıtlı partnerlik bittiyse ayrı bir yol var: iş arayıp çalışmaya veya serbest çalışmaya başlamak için 'orientation year' iznine başvurabilirsin; bunun için süresiz amaçlı oturum izni olan bir Türk çalışanla en az 3 yıl evli (veya kayıtlı partner) olmuş olman ve bitişten hemen önceki en az 1 yıl eş iziniyle Hollanda'da yaşamış olman gerekir. Arama yılı izninle iş bulup gelir şartını karşılarsan bağımsız oturum iznine geçersin.</t>
        </is>
      </c>
      <c r="G168" s="29" t="inlineStr">
        <is>
          <t>bağımsız oturum izni, aile üyesi, boşanma, Türk çalışanın eşi, arama yılı, Ortaklık Anlaşması</t>
        </is>
      </c>
      <c r="H168" s="29" t="inlineStr">
        <is>
          <t>new;settled</t>
        </is>
      </c>
      <c r="I168" s="29" t="inlineStr">
        <is>
          <t>eindhoven:kaynak:023;eindhoven:kaynak:198</t>
        </is>
      </c>
      <c r="J168" s="49" t="n">
        <v>46317</v>
      </c>
      <c r="K168" s="51" t="n">
        <v>220</v>
      </c>
      <c r="L168" s="29" t="inlineStr">
        <is>
          <t>Hayır</t>
        </is>
      </c>
      <c r="M168" s="29" t="inlineStr">
        <is>
          <t>Taslak</t>
        </is>
      </c>
      <c r="N168" s="29" t="inlineStr">
        <is>
          <t>eindhoven:oturum</t>
        </is>
      </c>
      <c r="O168" s="29" t="inlineStr">
        <is>
          <t>Türk çalışanla aile üyesi izniyle en az 3 yıl Hollanda'da yaşadığını ve çalışanın süresiz amaçlı izni olduğunu (veya hem Türk hem Hollanda vatandaşı olduğunu) doğrula.
Evlilik veya kayıtlı partnerlik bittiyse: süresiz amaçlı oturum izni olan bir Türk çalışanla en az 3 yıl evli veya kayıtlı partner olduğunu ve bitişten hemen önceki en az 1 yıl, eş oturum iziniyle Hollanda'da yaşadığını kontrol et.
Başvuruyu evlilik veya kayıtlı partnerlik bittikten sonra ya da artık birlikte yaşamadığında yap.
Arama yılı izninle iş bulduysan, izin geçerliyken gelir şartını sağlayıp bağımsız oturum izni başvurusu yap; arama yılı izni uzatılamaz.
Her durumda AB-Türkiye Sözleşmesi'ne dayanan oturum izni başvuru formunu kullan.</t>
        </is>
      </c>
      <c r="P168" s="29" t="n"/>
      <c r="Q168" s="29" t="n"/>
      <c r="R168" s="29" t="n"/>
      <c r="S168" s="29" t="inlineStr">
        <is>
          <t>Evliliği bittikten sonra arama yılı izni alacaksan sıra şöyledir: önce aile birleşimi izni, sonra arama yılı izni, sonra devam eden ikamet için bağımsız oturum izni.</t>
        </is>
      </c>
      <c r="T168" s="29" t="n"/>
    </row>
    <row r="169" ht="54" customHeight="1">
      <c r="A169" s="29" t="inlineStr">
        <is>
          <t>eindhoven:oturum-izni-karar-suresi-ve-uzatma</t>
        </is>
      </c>
      <c r="B169" s="29" t="inlineStr">
        <is>
          <t>eindhoven</t>
        </is>
      </c>
      <c r="C169" s="29" t="inlineStr">
        <is>
          <t>oturum-izni-karar-suresi-ve-uzatma</t>
        </is>
      </c>
      <c r="D169" s="29" t="inlineStr">
        <is>
          <t>Oturum izni başvurusu ne kadar sürer, süresi dolmadan nasıl uzatılır?</t>
        </is>
      </c>
      <c r="E169" s="29" t="inlineStr">
        <is>
          <t>IND karar süreleri, uzatmanın zamanı, oturum boşluğu ve Türk vatandaşları için 3 yıl politikası</t>
        </is>
      </c>
      <c r="F169" s="29" t="inlineStr">
        <is>
          <t>IND karar süreleri izin türüne göre değişir: düzenli geçici izin başvurusu ve uzatmasında, ücretli çalışma ve nitelikli göçmen izninde 90 gün; öğrenim ve araştırma izninde 60 gün; kalıcı oturum ve AB hukuku doğrulamasında 6 ay; oturum belgesi değişiminde 8 hafta. Süre IND'nin başvuruyu aldığı gün başlar ve IND süreyi gerektiğinde uzatabilir. Düzenli geçici izni uzatmak için izin bitmeden en fazla 3 ay önce başvurursun; daha erken başvuru yapılamaz. İznin yeni bittiyse en geç 4 hafta içinde başvurursan izinlerin arası kopmaz, 2 yıldan uzun süre geçtiyse yeni izin gerekir ve MVV için ülkene dönmen gerekebilir.</t>
        </is>
      </c>
      <c r="G169" s="29" t="inlineStr">
        <is>
          <t>oturum izni uzatma, IND karar süresi, 90 gün, 3 ay kala, oturum boşluğu, 3 yıl politikası, belge yenileme</t>
        </is>
      </c>
      <c r="H169" s="29" t="inlineStr">
        <is>
          <t>new;settled</t>
        </is>
      </c>
      <c r="I169" s="29" t="inlineStr">
        <is>
          <t>eindhoven:kaynak:197;eindhoven:kaynak:198;eindhoven:kaynak:023;eindhoven:kaynak:195</t>
        </is>
      </c>
      <c r="J169" s="49" t="n">
        <v>46317</v>
      </c>
      <c r="K169" s="51" t="n">
        <v>221</v>
      </c>
      <c r="L169" s="29" t="inlineStr">
        <is>
          <t>Hayır</t>
        </is>
      </c>
      <c r="M169" s="29" t="inlineStr">
        <is>
          <t>Taslak</t>
        </is>
      </c>
      <c r="N169" s="29" t="inlineStr">
        <is>
          <t>eindhoven:oturum</t>
        </is>
      </c>
      <c r="O169" s="29" t="inlineStr">
        <is>
          <t>Uzatılabilen bir iznin olduğundan emin ol: Working Holiday, kültürel değişim, au pair, stajyer ve arama yılı izinleri uzatılamaz.
İznin bitmesine 3 ay kala (daha erken değil) uzatma başvurusunu yap; çoğunlukla kendin başvurabilirsin.
Nitelikli göçmen, araştırmacı veya yüksek öğrenim öğrencisiysen başvuruyu tanınmış sponsorunun yapmasını sağla.
Başvuruyu online (DigiD ile) ya da yazılı olarak (posta) yap; online'da ücreti iDEAL | Wero ile hemen öde, yazılı başvuruda gelen mektuptaki talimatı izle.
İznin yeni bittiyse başvuruyu en geç 4 hafta içinde yap; 4 haftayı geçtiysen hemen başvur ve neden geç kaldığını anlatan bir mektup ekle.
Karar çıkınca belge IND loketinde hazır olduğunda gelen mektupla randevu alıp belgeni teslim al.</t>
        </is>
      </c>
      <c r="P169" s="29" t="inlineStr">
        <is>
          <t>Yazılı başvuruda ilgili başvuru formu
Yasallaştırılmış ve Hollandaca, İngilizce, Fransızca ya da Almanca'ya çevrilmiş yabancı resmi belgeler</t>
        </is>
      </c>
      <c r="Q169" s="29" t="inlineStr">
        <is>
          <t>Karar süreleri: düzenli geçici izin 90 gün, ücretli çalışma 90 gün, nitelikli göçmen 90 gün, öğrenim ve araştırma 60 gün, kalıcı oturum 6 ay, AB hukuku doğrulaması 6 ay, belge değişimi 8 hafta (IND, 1 Ekim 2026 güncellemesi)</t>
        </is>
      </c>
      <c r="R169" s="29" t="inlineStr">
        <is>
          <t>Kalıcı oturum belgesinin 5 yıllık yenilenmesi 85 euro (18 yaşından küçük 46); kayıp, çalıntı, hasar veya bilgi değişikliğinde belge değişimi 171 euro (Türk vatandaşı için 85) (IND ücret sayfası, 22 Ekim 2026'da okundu; tutarlar her 1 Ocak'ta değişir)</t>
        </is>
      </c>
      <c r="S169" s="29" t="inlineStr">
        <is>
          <t>Türk uyruklu olup Ortaklık Anlaşması kapsamına ücretli çalıştığın için ya da serbest çalıştığın veya serbest çalışmak istediğin için giriyorsan ve IND başvurunu 3 yıldır karara bağlamadıysa, istediğin izni '3 yıl politikası' gereği vermesini IND'ye yazacağın bir mektupla isteyebilirsin; form yoktur ve mektubu IND nihai karar vermeden göndermelisin. Bekleme boyunca Hollanda'da kalmana izin verilmiş, gecikme senin hatan olmamış ve reddi gerektiren bir neden (örneğin kamu düzeni riski) bulunmamalı. Posta adresi IND iletişim sayfasındadır.</t>
        </is>
      </c>
      <c r="T169" s="29" t="n"/>
    </row>
    <row r="170" ht="54" customHeight="1">
      <c r="A170" s="29" t="inlineStr">
        <is>
          <t>eindhoven:donus-vizesi-oturum-izniyle-yurt-disi-seyahat</t>
        </is>
      </c>
      <c r="B170" s="29" t="inlineStr">
        <is>
          <t>eindhoven</t>
        </is>
      </c>
      <c r="C170" s="29" t="inlineStr">
        <is>
          <t>donus-vizesi-oturum-izniyle-yurt-disi-seyahat</t>
        </is>
      </c>
      <c r="D170" s="29" t="inlineStr">
        <is>
          <t>Oturum izniyle yurt dışına çıkarken ne gerekir, dönüş vizesi (TKV) nedir?</t>
        </is>
      </c>
      <c r="E170" s="29" t="inlineStr">
        <is>
          <t>Pasaport, geçerli oturum izni, vize ve dönüş vizesi ücreti (Türk tarifesi dahil)</t>
        </is>
      </c>
      <c r="F170" s="29" t="inlineStr">
        <is>
          <t>Yurt dışına çıkarken geçerli bir seyahat belgesi (pasaport veya kimlik kartı) ve geçerli bir oturum izni gerekir; oturum izni seyahat belgesi sayılmaz. Hollanda'ya izninin son geçerli gününe kadar yeniden girebilirsin. Geçerli Hollanda oturum izni ve seyahat belgenle Schengen alanında vize gerekmez; bazı başka ülkeler vize ister ve vizeyi gideceğin ülkenin büyükelçiliğinden ya da konsolosluğundan alırsın. İznin geçici olarak geçersizse ya da yolculuk sırasında bitecekse Hollanda'ya dönmek için dönüş vizesi (terugkeervisum, TKV) gerekir.</t>
        </is>
      </c>
      <c r="G170" s="29" t="inlineStr">
        <is>
          <t>dönüş vizesi, TKV, terugkeervisum, oturum izni seyahat, Schengen, pasaport, yurt dışına çıkış</t>
        </is>
      </c>
      <c r="H170" s="29" t="inlineStr">
        <is>
          <t>new;settled</t>
        </is>
      </c>
      <c r="I170" s="29" t="inlineStr">
        <is>
          <t>eindhoven:kaynak:199;eindhoven:kaynak:195;eindhoven:kaynak:023</t>
        </is>
      </c>
      <c r="J170" s="49" t="n">
        <v>46317</v>
      </c>
      <c r="K170" s="51" t="n">
        <v>222</v>
      </c>
      <c r="L170" s="29" t="inlineStr">
        <is>
          <t>Hayır</t>
        </is>
      </c>
      <c r="M170" s="29" t="inlineStr">
        <is>
          <t>Taslak</t>
        </is>
      </c>
      <c r="N170" s="29" t="inlineStr">
        <is>
          <t>eindhoven:oturum</t>
        </is>
      </c>
      <c r="O170" s="29" t="inlineStr">
        <is>
          <t>Pasaportunun (veya kimlik kartının) geçerli olduğunu kontrol et; yoksa uyruğunda olduğun ülkenin büyükelçiliğinden yenisini al.
Oturum izninin Hollanda'ya döneceğin güne kadar geçerli olduğunu kontrol et.
Gideceğin ülke vize istiyorsa ayrılmadan önce o ülkenin büyükelçiliğine veya konsolosluğuna başvur; Schengen alanında geçerli Hollanda oturum izni ve seyahat belgesiyle vize gerekmez.
İznin geçici olarak geçersizse ya da yolculuk sırasında bitecekse dönüş vizesi (TKV) iste.</t>
        </is>
      </c>
      <c r="P170" s="29" t="inlineStr">
        <is>
          <t>Geçerli pasaport veya kimlik kartı
Geçerli Hollanda oturum izni</t>
        </is>
      </c>
      <c r="Q170" s="29" t="n"/>
      <c r="R170" s="29" t="inlineStr">
        <is>
          <t>Dönüş vizesi 197 euro; Ortaklık Anlaşması'ndan doğan hakları olan yabancılar için 57 euro (IND ücret sayfası, 22 Ekim 2026'da okundu; tutarlar her 1 Ocak'ta değişir)</t>
        </is>
      </c>
      <c r="S170" s="29" t="inlineStr">
        <is>
          <t>57 euro'luk düşük dönüş vizesi ücreti IND ücret tablosunda Ortaklık Anlaşması'ndan hak doğan yabancılar için yazılıdır; Anlaşma Türk çalışanlara ve serbest çalışanlara, bunların aile üyelerine ve Türk hizmet sağlayıcılara uygulanır. IND, Türk vatandaşları ve aile üyelerinin 'çoğu zaman' (often) daha düşük ücret ödediğini, dönüş vizesinde de ücretin daha düşük olduğunu yazar.</t>
        </is>
      </c>
      <c r="T170" s="29" t="n"/>
    </row>
    <row r="171" ht="54" customHeight="1">
      <c r="A171" s="29" t="inlineStr">
        <is>
          <t>eindhoven:kalici-oturum-izni-sartlari-ve-basvuru</t>
        </is>
      </c>
      <c r="B171" s="29" t="inlineStr">
        <is>
          <t>eindhoven</t>
        </is>
      </c>
      <c r="C171" s="29" t="inlineStr">
        <is>
          <t>kalici-oturum-izni-sartlari-ve-basvuru</t>
        </is>
      </c>
      <c r="D171" s="29" t="inlineStr">
        <is>
          <t>Süresiz (kalıcı) oturum izni için şartlar ve başvuru</t>
        </is>
      </c>
      <c r="E171" s="29" t="inlineStr">
        <is>
          <t>5 yıl kesintisiz oturum, 254 euro ücret, 6 ay karar süresi</t>
        </is>
      </c>
      <c r="F171" s="29" t="inlineStr">
        <is>
          <t>Kalıcı oturum izni (permanent residence permit) için en az 5 yıl kesintisiz geçerli Hollanda oturum izni, bu sürede ana ikametin Hollanda'da olması, şu an süresiz amaçlı bir izne sahip olman, gelir şartı, BRP kaydı ve en az A2 seviyesinde uyum sınavı (inburgering) ya da muafiyet gerekir. Başvuru online (DigiD ile) veya posta ile yapılır; ücret 254 euro, IND karar süresi 6 aydır. Kalıcı izinle çalışmak serbesttir, işverenin çalışma izni (TWV) başvurusu gerekmez. Başvurduğunda IND önce AB uzun dönem oturum şartlarına bakar; bunun için sen bir şey yapmazsın.</t>
        </is>
      </c>
      <c r="G171" s="29" t="inlineStr">
        <is>
          <t>kalıcı oturum, süresiz oturum, permanent residence permit, 5 yıl, AB uzun dönem oturum, DigiD, 254 euro</t>
        </is>
      </c>
      <c r="H171" s="29" t="inlineStr">
        <is>
          <t>settled</t>
        </is>
      </c>
      <c r="I171" s="29" t="inlineStr">
        <is>
          <t>eindhoven:kaynak:036;eindhoven:kaynak:196;eindhoven:kaynak:195;eindhoven:kaynak:024</t>
        </is>
      </c>
      <c r="J171" s="49" t="n">
        <v>46317</v>
      </c>
      <c r="K171" s="51" t="n">
        <v>223</v>
      </c>
      <c r="L171" s="29" t="inlineStr">
        <is>
          <t>Hayır</t>
        </is>
      </c>
      <c r="M171" s="29" t="inlineStr">
        <is>
          <t>Taslak</t>
        </is>
      </c>
      <c r="N171" s="29" t="inlineStr">
        <is>
          <t>eindhoven:oturum</t>
        </is>
      </c>
      <c r="O171" s="29" t="inlineStr">
        <is>
          <t>5 yıllık süreyi say: yalnızca 8 yaşından sonraki yıllar sayılır.
Bu sürede ana ikametinin Hollanda'da olduğunu, izinlerini hep zamanında uzattığını ve şartları sürekli sağladığını doğrula.
Süresiz amaçlı geçerli bir izne sahip olduğunu, gelir şartını karşıladığını ve BRP'ye kayıtlı olduğunu kontrol et.
En az A2 seviyesinde uyum sınavını geçtiğini ya da muaf olduğunu doğrula.
Gerekli belgeleri topla, yabancı resmi belgeleri yasallaştırıp çevirt.
Mevcut iznin bitmesine en fazla 3 ay kala başvur; Hollanda'da 5 yıldan uzun süredir izinle yaşıyorsan başvuru zamanını sen seçersin.
Online başvurduysan ücreti iDEAL | Wero ile hemen öde; posta başvurusunda gelen mektup ödeme talimatını verir.</t>
        </is>
      </c>
      <c r="P171" s="29" t="inlineStr">
        <is>
          <t>Başvuru formunda sayılan belgeler (online başvuruda yüklenir)
Yasallaştırılmış ve Hollandaca, İngilizce, Fransızca ya da Almanca'ya çevrilmiş yabancı resmi belgeler</t>
        </is>
      </c>
      <c r="Q171" s="29" t="inlineStr">
        <is>
          <t>IND karar süresi 6 ay; mevcut iznin bitiminden en fazla 3 ay önce başvurulabilir</t>
        </is>
      </c>
      <c r="R171" s="29" t="inlineStr">
        <is>
          <t>254,00 euro; 18 yaşından küçükler için 85 euro; Türk vatandaşı için IND ücret tablosunda 85 euro (18 yaşından küçük Türk çocuk için 46 euro) (IND sayfası, 20 Mayıs 2026; ücret tablosu 22 Ekim 2026'da okundu)</t>
        </is>
      </c>
      <c r="S171" s="29" t="inlineStr">
        <is>
          <t>Gelir şartı (1 Temmuz–31 Aralık 2026): kendi gelirini gösteriyorsan brüt SV maaşı ayda 1.635,90 euro (tatil parasız) ya da 1.766,77 euro (tatil parası dahil); gelirini evli, kayıtlı partner veya birlikte yaşayan bir aile üyesi gösteriyorsa 2.337,00 / 2.523,96 euro. Türk vatandaşları 1 Ocak 2025'ten beri bu başvuruda inburgering diploması da göstermek zorundadır (Türk vatandaşlarına özel kart). Kalıcı iznin bitiş tarihi yoktur; oturum belgesi 5 yıl geçerlidir ve her 5 yılda yenilenir. Hollanda'da doğup 18 yaşına gelenler ile 3 yaşından küçükken gelip hep burada yaşayanlar için IND başvuruyu yalnızca kamu düzeni veya ulusal güvenlik tehdidi varsa reddedebilir.</t>
        </is>
      </c>
      <c r="T171" s="29" t="n"/>
    </row>
    <row r="172" ht="54" customHeight="1">
      <c r="A172" s="29" t="inlineStr">
        <is>
          <t>eindhoven:inburgering-diplomasi-ve-muafiyetler</t>
        </is>
      </c>
      <c r="B172" s="29" t="inlineStr">
        <is>
          <t>eindhoven</t>
        </is>
      </c>
      <c r="C172" s="29" t="inlineStr">
        <is>
          <t>inburgering-diplomasi-ve-muafiyetler</t>
        </is>
      </c>
      <c r="D172" s="29" t="inlineStr">
        <is>
          <t>Kalıcı oturum için inburgering (uyum) diploması gerekir mi, kimler muaf?</t>
        </is>
      </c>
      <c r="E172" s="29" t="inlineStr">
        <is>
          <t>IND'nin uyum şartı ile DUO'nun inburgeringsplicht yükümlülüğü farklı şeylerdir</t>
        </is>
      </c>
      <c r="F172" s="29" t="inlineStr">
        <is>
          <t>Kalıcı oturum, AB uzun dönem oturum veya süresiz insani oturum için genellikle inburgering sınavını geçip diploma almak gerekir; bu şartı IND değerlendirir. Bu şart, DUO'nun (Dienst Uitvoering Onderwijs) yürüttüğü inburgeringsplicht (uyum yükümlülüğü) ile aynı şey değildir: bazı kişiler ilk oturum izninden hemen sonra bu yükümlülüğe girer ve uyum için 3 yılları olur. Belçika veya Lüksemburg vatandaşları, 18 yaşından küçükler, emeklilik yaşına gelenler, okul çağında 8 yıl veya daha uzun Hollanda'da yaşayanlar ve sınava tıbbi nedenle giremeyenler gibi gruplar muaf olabilir.</t>
        </is>
      </c>
      <c r="G172" s="29" t="inlineStr">
        <is>
          <t>inburgering, uyum diploması, muafiyet, DUO, inburgeringsplicht, kalıcı oturum, civic integration</t>
        </is>
      </c>
      <c r="H172" s="29" t="inlineStr">
        <is>
          <t>settled</t>
        </is>
      </c>
      <c r="I172" s="29" t="inlineStr">
        <is>
          <t>eindhoven:kaynak:035;eindhoven:kaynak:034</t>
        </is>
      </c>
      <c r="J172" s="49" t="n">
        <v>46317</v>
      </c>
      <c r="K172" s="51" t="n">
        <v>224</v>
      </c>
      <c r="L172" s="29" t="inlineStr">
        <is>
          <t>Hayır</t>
        </is>
      </c>
      <c r="M172" s="29" t="inlineStr">
        <is>
          <t>Taslak</t>
        </is>
      </c>
      <c r="N172" s="29" t="inlineStr">
        <is>
          <t>eindhoven:oturum</t>
        </is>
      </c>
      <c r="O172" s="29" t="inlineStr">
        <is>
          <t>Muafiyet veya istisna listesine bak ve hangi maddeye girdiğini belirle.
'Appendix Civic integration requirement' ekini doldur.
Diploma, sertifika, tıbbi görüş gibi kanıtları topla; ek hangi kanıtın gerektiğini gösterir.
Eki ve kanıtların onaylı kopyalarını (tarih, imza ve mühür taşıyan) başvuruyla birlikte gönder; asılları asla gönderme.
IND loketinde başvuruyorsan asıl belgeleri göster.</t>
        </is>
      </c>
      <c r="P172" s="29" t="inlineStr">
        <is>
          <t>Appendix Civic integration requirement (PDF)
Kanıt belgeleri (diploma, sertifika, tıbbi görüş vb.) ve onaylı kopyaları</t>
        </is>
      </c>
      <c r="Q172" s="29" t="inlineStr">
        <is>
          <t>inburgeringsplicht kapsamındaysan uyum için 3 yıl</t>
        </is>
      </c>
      <c r="R172" s="29" t="n"/>
      <c r="S172" s="29" t="inlineStr">
        <is>
          <t>İnburgeringsplicht kapsamında ağır fiziksel veya zihinsel rahatsızlığı olan ve sınava giremeyenler DUO sitesi üzerinden muafiyet başvurusu yapabilir (DUO sayfası, 1 Ocak 2022 tarihli).</t>
        </is>
      </c>
      <c r="T172" s="29" t="n"/>
    </row>
    <row r="173" ht="54" customHeight="1">
      <c r="A173" s="29" t="inlineStr">
        <is>
          <t>eindhoven:turk-vatandasi-kalici-oturum-inburgering</t>
        </is>
      </c>
      <c r="B173" s="29" t="inlineStr">
        <is>
          <t>eindhoven</t>
        </is>
      </c>
      <c r="C173" s="29" t="inlineStr">
        <is>
          <t>turk-vatandasi-kalici-oturum-inburgering</t>
        </is>
      </c>
      <c r="D173" s="29" t="inlineStr">
        <is>
          <t>Türk vatandaşları için kalıcı oturumda inburgering diploması şartı</t>
        </is>
      </c>
      <c r="E173" s="29" t="inlineStr">
        <is>
          <t>1 Ocak 2025'ten sonraki başvurular; standstill istisnası yalnızca süresiz insani oturum için</t>
        </is>
      </c>
      <c r="F173" s="29" t="inlineStr">
        <is>
          <t>1 Ocak 2025'ten itibaren kalıcı oturum izni başvurusu yapan Türk vatandaşlarının inburgering diploması sunabilmesi gerekir; hükümet bu önlemi 2022 başında aldı, 3 yıllık geçiş dönemi 1 Ocak 2025'te sona erdi. Aynı kural AB uzun dönem oturum izni ve aile bireyi olarak kaldıktan sonra verilen süresiz insani oturum için de geçerlidir. Ortaklık Anlaşması'nın standstill hükmü kapsamındaki Türkler (örneğin Hollanda'da çalışanlar veya aileleri) yalnızca aile bireyi olarak kaldıktan sonra süresiz insani oturum başvurusunda diploma göstermek zorunda değildir. Bu istisna kalıcı oturum ve AB uzun dönem oturum için geçerli değildir; onlarda diploma ya da yaş gibi bir muafiyet gerekir.</t>
        </is>
      </c>
      <c r="G173" s="29" t="inlineStr">
        <is>
          <t>Türk vatandaşı, inburgering diploması, kalıcı oturum, standstill, 1 Ocak 2025, insani oturum</t>
        </is>
      </c>
      <c r="H173" s="29" t="inlineStr">
        <is>
          <t>settled</t>
        </is>
      </c>
      <c r="I173" s="29" t="inlineStr">
        <is>
          <t>eindhoven:kaynak:024;eindhoven:kaynak:035;eindhoven:kaynak:023;eindhoven:kaynak:195</t>
        </is>
      </c>
      <c r="J173" s="49" t="n">
        <v>46317</v>
      </c>
      <c r="K173" s="51" t="n">
        <v>225</v>
      </c>
      <c r="L173" s="29" t="inlineStr">
        <is>
          <t>Hayır</t>
        </is>
      </c>
      <c r="M173" s="29" t="inlineStr">
        <is>
          <t>Taslak</t>
        </is>
      </c>
      <c r="N173" s="29" t="inlineStr">
        <is>
          <t>eindhoven:oturum</t>
        </is>
      </c>
      <c r="O173" s="29" t="inlineStr">
        <is>
          <t>Başvuracağın izin türünü belirle: kalıcı oturum, AB uzun dönem oturum veya aile bireyi olarak kaldıktan sonra süresiz insani oturum.
Kalıcı oturum ya da AB uzun dönem oturum başvuruyorsan inburgering diplomanı (veya muafiyet belgeni) başvuruya ekle; standstill bu iki izin için diploma muafiyeti sağlamaz.
Aile bireyi olarak kaldıktan sonra süresiz insani oturum başvuruyorsan şuna bak: Hollanda'da yasal çalışıyorsan, yasal çalışmayı planlıyorsan ya da bu grupların aile üyesiysen diploma gerekmez.
18 yaşından küçüksen ya da AOW yaşına geldiysen muafiyet için başvur.</t>
        </is>
      </c>
      <c r="P173" s="29" t="inlineStr">
        <is>
          <t>İnburgering diploması (kalıcı oturum ve AB uzun dönem oturumda; muafiyet yoksa)</t>
        </is>
      </c>
      <c r="Q173" s="29" t="n"/>
      <c r="R173" s="29" t="inlineStr">
        <is>
          <t>Aile bireyi olarak kaldıktan sonra devam eden ikamet (süresiz insani oturum): Ortaklık Anlaşması tarifesi 85 euro, 18 yaşından küçükler için 44 euro; normal tarife 254 / 85 euro (IND ücret sayfası, 22 Ekim 2026'da okundu; tutarlar her 1 Ocak'ta değişir)</t>
        </is>
      </c>
      <c r="S173" s="29" t="inlineStr">
        <is>
          <t>Başvuru 1 Ocak 2025'ten önce yapılmış ve diğer şartlar o tarihten önce karşılanmışsa diploma istenmiyordu; bunun için en az 5 yıllık yasal ikamet de aranıyordu.</t>
        </is>
      </c>
      <c r="T173" s="29" t="n"/>
    </row>
    <row r="174" ht="54" customHeight="1">
      <c r="A174" s="29" t="inlineStr">
        <is>
          <t>eindhoven:eindhoven-ind-loketi-den-bosch</t>
        </is>
      </c>
      <c r="B174" s="29" t="inlineStr">
        <is>
          <t>eindhoven</t>
        </is>
      </c>
      <c r="C174" s="29" t="inlineStr">
        <is>
          <t>eindhoven-ind-loketi-den-bosch</t>
        </is>
      </c>
      <c r="D174" s="29" t="inlineStr">
        <is>
          <t>Eindhoven'da oturum izni işlemleri için IND loketi nerede, randevu nasıl alınır?</t>
        </is>
      </c>
      <c r="E174" s="29" t="inlineStr">
        <is>
          <t>En yakın IND loketi Den Bosch'ta; randevu telefonla</t>
        </is>
      </c>
      <c r="F174" s="29" t="inlineStr">
        <is>
          <t>Hollanda'da 3 aydan uzun kalacak yabancılar oturum izni için IND loketlerinden birine gider; Eindhoven'a en yakın IND loketi Den Bosch'tadır. IND yalnızca randevuyla çalışır ve randevu ulusal numara 088 043 04 30 üzerinden telefonla alınır. Loketlerde oturum belgesini veya oturum sticker'ını teslim alma, AB vatandaşı kaydı ve oturum belgesinin kaybolduğunu bildirme gibi işler yapılabilir.</t>
        </is>
      </c>
      <c r="G174" s="29" t="inlineStr">
        <is>
          <t>IND loketi, Den Bosch, Eindhoven, randevu, 088 043 04 30, oturum belgesi teslim, verblijfssticker</t>
        </is>
      </c>
      <c r="H174" s="29" t="inlineStr">
        <is>
          <t>new;settled</t>
        </is>
      </c>
      <c r="I174" s="29" t="inlineStr">
        <is>
          <t>eindhoven:kaynak:037;eindhoven:kaynak:025</t>
        </is>
      </c>
      <c r="J174" s="49" t="n">
        <v>46317</v>
      </c>
      <c r="K174" s="51" t="n">
        <v>226</v>
      </c>
      <c r="L174" s="29" t="inlineStr">
        <is>
          <t>Hayır</t>
        </is>
      </c>
      <c r="M174" s="29" t="inlineStr">
        <is>
          <t>Taslak</t>
        </is>
      </c>
      <c r="N174" s="29" t="inlineStr">
        <is>
          <t>eindhoven:oturum</t>
        </is>
      </c>
      <c r="O174" s="29" t="inlineStr">
        <is>
          <t>088 043 04 30 numarasını ara ve Den Bosch'taki IND loketi için randevu al.
Randevu gününde IND loketine git ve oturum belgeni veya oturum sticker'ını teslim al.
Oturum belgen kaybolursa bunu IND loketine bildir.</t>
        </is>
      </c>
      <c r="P174" s="29" t="n"/>
      <c r="Q174" s="29" t="inlineStr">
        <is>
          <t>IND yalnızca randevuyla çalışır</t>
        </is>
      </c>
      <c r="R174" s="29" t="n"/>
      <c r="S174" s="29" t="inlineStr">
        <is>
          <t>Eindhoven belediyesinin sayfası AB vatandaşlarının oturum izni almasına ve IND'ye kayıt yaptırmasına gerek olmadığını, istedikleri kadar kalabileceklerini yazıyor; IND ise 3 aydan uzun kalışta çalışma, yeterli gelir veya öğrenci şartlarını arıyor ve IND kaydını yalnızca IND'nin ikametini daha önce sonlandırdığı kişilerden istiyor. AB vatandaşıysan IND'nin şartlarını esas al (AB vatandaşı kartı).</t>
        </is>
      </c>
      <c r="T174" s="29" t="n"/>
    </row>
    <row r="175" ht="54" customHeight="1">
      <c r="A175" s="29" t="inlineStr">
        <is>
          <t>eindhoven:banka-hesabi-acma</t>
        </is>
      </c>
      <c r="B175" s="29" t="inlineStr">
        <is>
          <t>eindhoven</t>
        </is>
      </c>
      <c r="C175" s="29" t="inlineStr">
        <is>
          <t>banka-hesabi-acma</t>
        </is>
      </c>
      <c r="D175" s="29" t="inlineStr">
        <is>
          <t>Hollanda'da banka hesabı nasıl açılır, hangi belgeler gerekir?</t>
        </is>
      </c>
      <c r="E175" s="29" t="inlineStr">
        <is>
          <t>Online veya şubede; pasaport, adres kanıtı, işveren yazısı ve BSN. Hesap açılmazsa temel ödeme hesabı hakkı</t>
        </is>
      </c>
      <c r="F175" s="29" t="inlineStr">
        <is>
          <t>Hollanda'da çalışanların ve bir süre yaşayacak olanların Hollanda banka hesabına ihtiyacı vardır. Birçok banka hesabı online açtırır; şubede açmak için randevu gerekebilir. İstenenler: pasaport, adres kanıtı (belediye kayıt onayı veya kira sözleşmesi), işveren yazısı ya da iş sözleşmesi kopyası ve BSN. Bazı bankalar yeni gelenlere BSN olmadan sınırlı süre hesap açar; BSN o süre içinde verilmezse hesap kapatılır. Normal hesap açılamıyorsa ABN AMRO, ING, Rabobank veya SNS'den temel ödeme hesabı (basisbetaalrekening) isteme hakkınız vardır.</t>
        </is>
      </c>
      <c r="G175" s="29" t="inlineStr">
        <is>
          <t>banka hesabı, bankrekening, betaalrekening, pinpas, BSN, basisbetaalrekening, IBAN</t>
        </is>
      </c>
      <c r="H175" s="29" t="inlineStr">
        <is>
          <t>planning;new</t>
        </is>
      </c>
      <c r="I175" s="29" t="inlineStr">
        <is>
          <t>eindhoven:kaynak:006;eindhoven:kaynak:200</t>
        </is>
      </c>
      <c r="J175" s="49" t="n">
        <v>46317</v>
      </c>
      <c r="K175" s="51" t="n">
        <v>601</v>
      </c>
      <c r="L175" s="29" t="inlineStr">
        <is>
          <t>Evet</t>
        </is>
      </c>
      <c r="M175" s="29" t="inlineStr">
        <is>
          <t>Taslak</t>
        </is>
      </c>
      <c r="N175" s="29" t="inlineStr">
        <is>
          <t>eindhoven:para</t>
        </is>
      </c>
      <c r="O175" s="29" t="inlineStr">
        <is>
          <t>Pasaportunuzu, adres kanıtınızı (belediye kayıt onayı veya kira sözleşmesi), iş sözleşmesi kopyanızı ya da işveren yazınızı ve BSN'nizi hazırlayın.
Bankanın sitesinden online hesap açmayı deneyin; şubeye gitmeyi tercih ediyorsanız randevu alın.
BSN'niz henüz yoksa BSN'siz geçici hesap açan bir banka seçin ve BSN'yi verme süresini kaçırmayın; verilmezse hesap kapatılır.
Banka kartınız (pinpas) ve PIN'iniz birkaç gün sonra ayrı ayrı gelir; ilk günler için nakit, kredi kartı ya da yurt dışındaki hesabınızı hazır tutun.
Bir banka reddederse başka bir bankadan normal hesap deneyin; olmazsa dört bankadan birine temel ödeme hesabı için başvurun.
Reddi kabul etmiyorsanız önce bankaya şikâyet edin; yanıt yetmezse çoğu durumda ücretsiz olarak Kifid'e şikâyet edebilirsiniz.</t>
        </is>
      </c>
      <c r="P175" s="29" t="inlineStr">
        <is>
          <t>Pasaport
Adres kanıtı (belediye kayıt onayı veya kira sözleşmesi)
İşveren yazısı veya iş sözleşmesi kopyası
BSN (burgerservicenummer)</t>
        </is>
      </c>
      <c r="Q175" s="29" t="inlineStr">
        <is>
          <t>Banka kartı ve PIN, hesap açıldıktan birkaç gün sonra ayrı ayrı gelir.</t>
        </is>
      </c>
      <c r="R175" s="29" t="inlineStr">
        <is>
          <t>Çoğu banka hesap ve banka kartı için ücret alır; Hollanda kredi kartı istenirse ek ücret ister.</t>
        </is>
      </c>
      <c r="S175" s="29" t="inlineStr">
        <is>
          <t>Bazı uyruklardan ek belge istenebilir. Banka kimliğiniz ve paranızın kaynağı hakkında soru sorabilir; risk fazla görülür ve gerekli önlem alınamazsa başvuruyu reddedebilir. Temel ödeme hesabında banka, kara para aklamayı ve terörün finansmanını önleme yasasına (Wet ter voorkoming van witwassen en financieren van terrorisme) uyamıyorsa başvurunuzu reddetmek zorundadır; bunun dışında şu durumlarda reddedebilir: Hollanda bankasında zaten normal hesabınız ya da başvurunuz varsa, başka bir bankada temel hesabınız varsa (bunu imzalı beyanla teyit edersiniz), Hollanda ile gerçek bağınızı (burada yaşamak, okumak veya çalışmak) kanıtlayamıyorsanız, son 2 yılda temel hesabınız kapatıldıysa ya da son 8 yıl içinde bir suçtan (misdrijf) mahkûm olduysanız ve mahkeme kararı kesinleştiyse. Hesabınız kapatıldıysa ve temel hesap açamıyorsanız Convenant Basisbankrekening kapsamında başvurabilirsiniz; banka bunu tanınmış bir yardım kuruluşuyla birlikte yapmanızı isteyebilir.</t>
        </is>
      </c>
      <c r="T175" s="29" t="n"/>
    </row>
    <row r="176" ht="54" customHeight="1">
      <c r="A176" s="29" t="inlineStr">
        <is>
          <t>eindhoven:belastingaangifte-kim-verir-son-tarih</t>
        </is>
      </c>
      <c r="B176" s="29" t="inlineStr">
        <is>
          <t>eindhoven</t>
        </is>
      </c>
      <c r="C176" s="29" t="inlineStr">
        <is>
          <t>belastingaangifte-kim-verir-son-tarih</t>
        </is>
      </c>
      <c r="D176" s="29" t="inlineStr">
        <is>
          <t>Gelir vergisi beyanını kim vermek zorunda, son tarih ne zaman?</t>
        </is>
      </c>
      <c r="E176" s="29" t="inlineStr">
        <is>
          <t>Davet mektubu, 1 Mayıs tarihi ve davetsiz beyan için 5 yıl</t>
        </is>
      </c>
      <c r="F176" s="29" t="inlineStr">
        <is>
          <t>Vergi ödemek ya da fazla ödediğiniz vergiyi geri almak için gelir vergisi beyanı vermeniz gerekir; Belastingdienst bunu genellikle geçici bir aanslag (voorlopige aanslag) ile bildirir. Aanslag göndermemiş olsa da beyan vermeniz gerekebilir; ödeyeceğiniz ya da geri alacağınız tutarı Belastingdienst'in gelir vergisi beyan programı gösterir. Belastingdienst'ten davet aldıysanız beyan 1 Mayıs'tan önce ulaşmış olmalı; 1 Nisan'dan önce verirseniz 1 Temmuz'dan önce haber alırsınız. Davet almadıysanız ilgili vergi yılının bitiminden sonra 5 yıl içinde beyan verebilirsiniz. Yılın yalnız bir bölümünde Hollanda'da yaşadıysanız M formu kullanılır.</t>
        </is>
      </c>
      <c r="G176" s="29" t="inlineStr">
        <is>
          <t>belastingaangifte, beyan son tarihi, 1 Mayıs, uitnodiging, voorlopige aanslag, M formu, gelir vergisi</t>
        </is>
      </c>
      <c r="H176" s="29" t="inlineStr">
        <is>
          <t>new;settled</t>
        </is>
      </c>
      <c r="I176" s="29" t="inlineStr">
        <is>
          <t>eindhoven:kaynak:201;eindhoven:kaynak:202</t>
        </is>
      </c>
      <c r="J176" s="49" t="n">
        <v>46317</v>
      </c>
      <c r="K176" s="51" t="n">
        <v>602</v>
      </c>
      <c r="L176" s="29" t="inlineStr">
        <is>
          <t>Hayır</t>
        </is>
      </c>
      <c r="M176" s="29" t="inlineStr">
        <is>
          <t>Taslak</t>
        </is>
      </c>
      <c r="N176" s="29" t="inlineStr">
        <is>
          <t>eindhoven:para</t>
        </is>
      </c>
      <c r="O176" s="29" t="inlineStr">
        <is>
          <t>Belastingdienst'ten gelen bir davet mektubunuz (uitnodiging) olup olmadığına bakın.
Davet aldıysanız beyanın 1 Mayıs'tan önce Belastingdienst'e ulaşmasını sağlayın; 1 Nisan'dan önce verirseniz 1 Temmuz'dan önce haber alırsınız.
Davet almadıysanız da vergi ödemeniz gerekip gerekmediğini ya da fazla vergi geri alıp alamayacağınızı Belastingdienst'in beyan programıyla görün.
Davet almadıysanız beyanı ilgili vergi yılının bitiminden sonra 5 yıl içinde verin.
Yılın yalnız bir bölümünde Hollanda'da yaşadıysanız M formunu ya da online M beyanını kullanın (taşınma yılı kartına bakın).</t>
        </is>
      </c>
      <c r="P176" s="29" t="n"/>
      <c r="Q176" s="29" t="inlineStr">
        <is>
          <t>Davet alanlar için 1 Mayıs'tan önce; 1 Nisan'dan önce verilen beyan için 1 Temmuz'dan önce bildirim; davetsiz beyan için vergi yılının bitiminden sonra 5 yıl.</t>
        </is>
      </c>
      <c r="R176" s="29" t="n"/>
      <c r="S176" s="29" t="inlineStr">
        <is>
          <t>Belastingdienst tarihi "before 1 May in the relevant tax year" (ilgili vergi yılında 1 Mayıs'tan önce) diye veriyor; kesin yılı mektubunuzdaki tarihten teyit edin. Belastingdienst'in beyanı işleme süresi resmen 3 yıldır.</t>
        </is>
      </c>
      <c r="T176" s="29" t="n"/>
    </row>
    <row r="177" ht="54" customHeight="1">
      <c r="A177" s="29" t="inlineStr">
        <is>
          <t>eindhoven:belastingaangifte-yapma-yollari</t>
        </is>
      </c>
      <c r="B177" s="29" t="inlineStr">
        <is>
          <t>eindhoven</t>
        </is>
      </c>
      <c r="C177" s="29" t="inlineStr">
        <is>
          <t>belastingaangifte-yapma-yollari</t>
        </is>
      </c>
      <c r="D177" s="29" t="inlineStr">
        <is>
          <t>Hollanda'da gelir vergisi beyanı (belastingaangifte) nasıl verilir?</t>
        </is>
      </c>
      <c r="E177" s="29" t="inlineStr">
        <is>
          <t>Mijn Belastingdienst, uygulama veya kağıt: beyandan önce bakılacak başlıklar</t>
        </is>
      </c>
      <c r="F177" s="29" t="inlineStr">
        <is>
          <t>Gelir vergisi beyanı, Belastingdienst'in Mijn Belastingdienst sayfasına DigiD ile giriş yapılarak verilir; sayfa beyanın online, uygulamayla veya kağıt üzerinde verilebileceğini belirtiyor. İşlem dört adımdır (hazırlık, beyanı açma, kontrol, imzalayıp gönderme) ve istenirse parçalara bölünebilir. Giriş bilgilerini kaybedenler digid.nl'den yenisini ister. Güncel beyan 2025 yılı içindir; eşle birlikte beyan, önceden doldurulmuş verilerin yanlış çıkması ve erteleme (uitstel) için ayrı yardım başlıkları var.</t>
        </is>
      </c>
      <c r="G177" s="29" t="inlineStr">
        <is>
          <t>belastingaangifte, gelir vergisi beyanı, aangifte 2025, Mijn Belastingdienst, DigiD, uitstel</t>
        </is>
      </c>
      <c r="H177" s="29" t="inlineStr">
        <is>
          <t>new;settled</t>
        </is>
      </c>
      <c r="I177" s="29" t="inlineStr">
        <is>
          <t>eindhoven:kaynak:087;eindhoven:kaynak:088;eindhoven:kaynak:201</t>
        </is>
      </c>
      <c r="J177" s="49" t="n">
        <v>46317</v>
      </c>
      <c r="K177" s="51" t="n">
        <v>603</v>
      </c>
      <c r="L177" s="29" t="inlineStr">
        <is>
          <t>Hayır</t>
        </is>
      </c>
      <c r="M177" s="29" t="inlineStr">
        <is>
          <t>Taslak</t>
        </is>
      </c>
      <c r="N177" s="29" t="inlineStr">
        <is>
          <t>eindhoven:para</t>
        </is>
      </c>
      <c r="O177" s="29" t="inlineStr">
        <is>
          <t>Hazırlık yapın: DigiD'iniz (veya Avrupa girişiniz), BSN'iniz, IBAN'ınız, 2025 yıllık gelir özetiniz ve hesap özetleriniz elinizde olsun.
Mijn Belastingdienst'e DigiD ile girip "Inkomstenbelasting" ve "Belastingjaar 2025" bölümünü açın.
Belastingdienst'in sizin için girdiği bilgileri kendi belgelerinizle karşılaştırın; eksik veya yanlışsa düzeltin ("De vooraf ingevulde gegevens in mijn aangifte kloppen niet" başlığı da var).
Vergi partneriniz varsa ortak beyan için "Wilt u samen aangifte doen?" sorusuna "ja" deyin.
Beyanı DigiD ile imzalayıp "Verzenden" tuşuna basın; "Ontvangstbevestiging" sayfası görününce işlem tamamdır.
Süre yetmeyecekse "Kan ik nog uitstel aanvragen voor de belastingaangifte 2025?" başlığından erteleme seçeneğini inceleyin.</t>
        </is>
      </c>
      <c r="P177" s="29" t="inlineStr">
        <is>
          <t>DigiD veya Avrupa girişi (European login)
BSN (varsa partnerinizin ve çocuklarınızın BSN'leri)
IBAN (tercihen Hollanda banka hesabı)
2025 yıllık gelir özetleriniz; yoksa maaş bordroları
Kendinizin, partnerinizin ve 18 yaşından küçük çocuklarınızın 2025 yıllık hesap, tasarruf ve yatırım hesabı özetleri</t>
        </is>
      </c>
      <c r="Q177" s="29" t="n"/>
      <c r="R177" s="29" t="n"/>
      <c r="S177" s="29" t="inlineStr">
        <is>
          <t>Yılın yalnız bir bölümünde Hollanda'da yaşadıysanız (taşınma yılı) online "deel van het jaar buiten Nederland wonen" seçeneği ya da kağıt M formu kullanılır; ayrıntısı "Hollanda'ya taşındığım yılın vergi beyanı" kartında. 2025 yılının tamamını Hollanda dışında geçirenler için sayfada "Buitenland" bölümüne yönlendirme var. Mijn Belastingdienst'te 15 dakika işlem yapmazsanız otomatik çıkış yapılır, ama girdiğiniz bilgiler kaydedilir; ara vermek için "Opslaan" ve "Sluiten" kullanın.</t>
        </is>
      </c>
      <c r="T177" s="29" t="n"/>
    </row>
    <row r="178" ht="54" customHeight="1">
      <c r="A178" s="29" t="inlineStr">
        <is>
          <t>eindhoven:tasinma-yili-vergi-beyani-m-formu</t>
        </is>
      </c>
      <c r="B178" s="29" t="inlineStr">
        <is>
          <t>eindhoven</t>
        </is>
      </c>
      <c r="C178" s="29" t="inlineStr">
        <is>
          <t>tasinma-yili-vergi-beyani-m-formu</t>
        </is>
      </c>
      <c r="D178" s="29" t="inlineStr">
        <is>
          <t>Hollanda'ya taşındığım yılın vergi beyanı nasıl verilir (M-formu)?</t>
        </is>
      </c>
      <c r="E178" s="29" t="inlineStr">
        <is>
          <t>Yılın bir kısmında Hollanda dışında yaşayanlar için online beyan veya kağıt M formu</t>
        </is>
      </c>
      <c r="F178" s="29" t="inlineStr">
        <is>
          <t>Hollanda'ya taşınılan (veya Hollanda'dan ayrılınan) yılın gelir vergisi beyanı online ya da kağıt M formu (migration) ile verilir. Online için Mijn Belastingdienst'e girilir ve "Inkomstenbelasting", "Belastingaangifte", "Belastingjaar" altındaki "Aangifte inkomstenbelasting voor belastingplichtigen die een deel van het jaar buiten Nederland wonen doen" seçilir. Online vermek istemeyenler için M formu 2021'den 2025'e kadar her yıl için ayrı isteniyor. Beyan konusunda yardım için Vergi İdaresi çalışanıyla randevu alınabilir.</t>
        </is>
      </c>
      <c r="G178" s="29" t="inlineStr">
        <is>
          <t>M formu, göç yılı beyanı, formulier M, taşınma yılı vergi, aangifte emigratie immigratie, DigiD</t>
        </is>
      </c>
      <c r="H178" s="29" t="inlineStr">
        <is>
          <t>new</t>
        </is>
      </c>
      <c r="I178" s="29" t="inlineStr">
        <is>
          <t>eindhoven:kaynak:088</t>
        </is>
      </c>
      <c r="J178" s="49" t="n">
        <v>46317</v>
      </c>
      <c r="K178" s="51" t="n">
        <v>604</v>
      </c>
      <c r="L178" s="29" t="inlineStr">
        <is>
          <t>Hayır</t>
        </is>
      </c>
      <c r="M178" s="29" t="inlineStr">
        <is>
          <t>Taslak</t>
        </is>
      </c>
      <c r="N178" s="29" t="inlineStr">
        <is>
          <t>eindhoven:para</t>
        </is>
      </c>
      <c r="O178" s="29" t="inlineStr">
        <is>
          <t>Mijn Belastingdienst'e giriş yapın; DigiD'iniz yoksa Hollanda'dan veya yurt dışından DigiD başvurusuna ya da ikamet ettiğiniz ülkeden Avrupa girişine (European login) bakın.
"Inkomstenbelasting", "Belastingaangifte", "Belastingjaar" altında "Aangifte inkomstenbelasting voor belastingplichtigen die een deel van het jaar buiten Nederland wonen doen" seçeneğini tıklayın.
Online vermiyorsanız ilgili yılın kağıt M formunu isteyin (2021, 2022, 2023, 2024 ve 2025 formları listeleniyor).
Kağıt M formuyla girişimci olarak beyan veriyorsanız M yıllık rapor kitapçığını da doldurun; kitapçığı "Tax information line for non-resident tax issues" hattından isteyin.
Yardım isterseniz Vergi İdaresi çalışanıyla randevu alın.</t>
        </is>
      </c>
      <c r="P178" s="29" t="inlineStr">
        <is>
          <t>DigiD veya Avrupa girişi (European login)
Kağıt beyan için ilgili yılın M formu</t>
        </is>
      </c>
      <c r="Q178" s="29" t="n"/>
      <c r="R178" s="29" t="n"/>
      <c r="S178" s="29" t="inlineStr">
        <is>
          <t>M harfi "migration" sözcüğünden geliyor; aynı form Hollanda'ya taşınan kadar Hollanda'dan ayrılan için de kullanılıyor.</t>
        </is>
      </c>
      <c r="T178" s="29" t="n"/>
    </row>
    <row r="179" ht="54" customHeight="1">
      <c r="A179" s="29" t="inlineStr">
        <is>
          <t>eindhoven:tasinma-yili-beyani-sonucu-ne-zaman-gelir</t>
        </is>
      </c>
      <c r="B179" s="29" t="inlineStr">
        <is>
          <t>eindhoven</t>
        </is>
      </c>
      <c r="C179" s="29" t="inlineStr">
        <is>
          <t>tasinma-yili-beyani-sonucu-ne-zaman-gelir</t>
        </is>
      </c>
      <c r="D179" s="29" t="inlineStr">
        <is>
          <t>Taşınma yılı beyanımın sonucu ne zaman gelir?</t>
        </is>
      </c>
      <c r="E179" s="29" t="inlineStr">
        <is>
          <t>Belastingdienst'in 3 aylık ilk bildirimi ve 3 yıllık nihai karar süresi</t>
        </is>
      </c>
      <c r="F179" s="29" t="inlineStr">
        <is>
          <t>Göç yılı beyanı verildikten sonra genellikle 3 ay içinde bilgi gelir: ya beyanın alındığını ve en kısa sürede aanslag (vergi kararı) göndereceklerini yazan bir mektup ya da geçici (voorlopige) aanslag. Resmî olarak nihai karar için 3 yıl süre var; örneğin 2025 için en geç 31 Aralık 2028'e kadar karar verilmiş olmalı. Erteleme almışsanız, ertelenen süre bu 3 yıla eklenir.</t>
        </is>
      </c>
      <c r="G179" s="29" t="inlineStr">
        <is>
          <t>aanslag, voorlopige aanslag, beyan sonucu, M formu, nihai karar, uitstel</t>
        </is>
      </c>
      <c r="H179" s="29" t="inlineStr">
        <is>
          <t>new;settled</t>
        </is>
      </c>
      <c r="I179" s="29" t="inlineStr">
        <is>
          <t>eindhoven:kaynak:088</t>
        </is>
      </c>
      <c r="J179" s="49" t="n">
        <v>46317</v>
      </c>
      <c r="K179" s="51" t="n">
        <v>605</v>
      </c>
      <c r="L179" s="29" t="inlineStr">
        <is>
          <t>Hayır</t>
        </is>
      </c>
      <c r="M179" s="29" t="inlineStr">
        <is>
          <t>Taslak</t>
        </is>
      </c>
      <c r="N179" s="29" t="inlineStr">
        <is>
          <t>eindhoven:para</t>
        </is>
      </c>
      <c r="O179" s="29" t="inlineStr">
        <is>
          <t>Beyanı verin ve bildirimi bekleyin; genellikle 3 ay içinde bir yazı gelir.
Gelen yazının beyanın alındığını bildiren mektup mu, yoksa geçici aanslag mı olduğuna bakın.
Bildirimin ne zaman geleceğini yurt dışı vergi sorunları bilgi hattından (Tax information line for non-resident tax issues) öğrenmeyi beklemeyin: hattın çalışanları ne zaman bilgilendirileceğinizi göremiyor.</t>
        </is>
      </c>
      <c r="P179" s="29" t="n"/>
      <c r="Q179" s="29" t="inlineStr">
        <is>
          <t>Genellikle beyandan sonra 3 ay içinde ilk bildirim; nihai karar için en geç 3 yıl (2025 için 31 Aralık 2028).</t>
        </is>
      </c>
      <c r="R179" s="29" t="n"/>
      <c r="S179" s="29" t="inlineStr">
        <is>
          <t>Erteleme (uitstel) almış olmanız Belastingdienst'in nihai kararı verme süresini uzatır; ertelenen süre 3 yıla eklenir.</t>
        </is>
      </c>
      <c r="T179" s="29" t="n"/>
    </row>
    <row r="180" ht="54" customHeight="1">
      <c r="A180" s="29" t="inlineStr">
        <is>
          <t>eindhoven:gelir-vergisi-dilimleri-box-1-2026</t>
        </is>
      </c>
      <c r="B180" s="29" t="inlineStr">
        <is>
          <t>eindhoven</t>
        </is>
      </c>
      <c r="C180" s="29" t="inlineStr">
        <is>
          <t>gelir-vergisi-dilimleri-box-1-2026</t>
        </is>
      </c>
      <c r="D180" s="29" t="inlineStr">
        <is>
          <t>Hollanda'da gelir vergisi oranları nedir (box 1 dilimleri 2026 ve 2025)?</t>
        </is>
      </c>
      <c r="E180" s="29" t="inlineStr">
        <is>
          <t>Çalışma ve konut geliri için üç dilim; AOW yaşına gelmemiş kişiler için</t>
        </is>
      </c>
      <c r="F180" s="29" t="inlineStr">
        <is>
          <t>2026'da AOW yaşına henüz gelmemiş biri için çalışma ve konut gelirinde (box 1) 38.883 euroya kadar %35,75, 38.883 ile 78.426 euro arası %37,56, bunun üstü %49,50 vergilenir. 2025 dilimleri 38.441 ve 76.817 euro sınırlarıyla %35,82, %37,48 ve %49,50. Belastingdienst'e göre ödeyeceğiniz ya da geri alacağınız tutar, kişisel duruma bağlı heffingskortingen (vergi indirimleri) yüzünden de değişir. AOW yaşına gelenler için oranlar daha düşüktür.</t>
        </is>
      </c>
      <c r="G180" s="29" t="inlineStr">
        <is>
          <t>inkomstenbelasting, box 1, vergi dilimleri, belastingschijf, vergi oranı 2026, heffingskorting, AOW</t>
        </is>
      </c>
      <c r="H180" s="29" t="inlineStr">
        <is>
          <t>before;planning;new;settled</t>
        </is>
      </c>
      <c r="I180" s="29" t="inlineStr">
        <is>
          <t>eindhoven:kaynak:089</t>
        </is>
      </c>
      <c r="J180" s="49" t="n">
        <v>46317</v>
      </c>
      <c r="K180" s="51" t="n">
        <v>606</v>
      </c>
      <c r="L180" s="29" t="inlineStr">
        <is>
          <t>Hayır</t>
        </is>
      </c>
      <c r="M180" s="29" t="inlineStr">
        <is>
          <t>Taslak</t>
        </is>
      </c>
      <c r="N180" s="29" t="inlineStr">
        <is>
          <t>eindhoven:para</t>
        </is>
      </c>
      <c r="O180" s="29" t="inlineStr">
        <is>
          <t>Gelirinizin (inkomen uit werk en woning) hangi dilime girdiğini özetteki sınırlarla karşılaştırın.
Belastingdienst'in örneği: 30.000 euro gelirde 2026'da 30.000 euro üzerinden %35,75 ödenir.
Kesin tutar için Mijn Belastingdienst'te beyan verin; heffingskortingen kişisel duruma göre eklenir.</t>
        </is>
      </c>
      <c r="P180" s="29" t="n"/>
      <c r="Q180" s="29" t="inlineStr">
        <is>
          <t>2026 ve 2025 tarifeleri; AOW yaşına gelmemiş kişiler için</t>
        </is>
      </c>
      <c r="R180" s="29" t="n"/>
      <c r="S180" s="29" t="inlineStr">
        <is>
          <t>AOW yaşına 2026'da ulaşanlar veya ulaşmış olanlar için daha düşük oranlar geçerli; sayfa bu oranlar için box 1 sayfasına yönlendiriyor.</t>
        </is>
      </c>
      <c r="T180" s="29" t="n"/>
    </row>
    <row r="181" ht="54" customHeight="1">
      <c r="A181" s="29" t="inlineStr">
        <is>
          <t>eindhoven:box-3-birikim-yatirim-vergisi</t>
        </is>
      </c>
      <c r="B181" s="29" t="inlineStr">
        <is>
          <t>eindhoven</t>
        </is>
      </c>
      <c r="C181" s="29" t="inlineStr">
        <is>
          <t>box-3-birikim-yatirim-vergisi</t>
        </is>
      </c>
      <c r="D181" s="29" t="inlineStr">
        <is>
          <t>Birikim ve yatırım vergisi (box 3) nasıl hesaplanır, ne kadarı vergisiz?</t>
        </is>
      </c>
      <c r="E181" s="29" t="inlineStr">
        <is>
          <t>Varsayılan getiri üzerinden %36; kişi başına vergisiz varlık payı</t>
        </is>
      </c>
      <c r="F181" s="29" t="inlineStr">
        <is>
          <t>Box 3'te Belastingdienst, varlığınızın bir getiri sağladığını varsayar ve bu getiriyi kendi hesabıyla bulur; hesaplanan getiri gerçek getirinizle aynı olmak zorunda değildir. Bu hesaplanan getiri üzerinden %36 vergi ödenir. Heffingsvrij vermogen (vergisiz varlık payı) kişi başına 2026'da 59.357 euro, 2025'te 57.684 euro. Beyan sayfası gerçek getirinin (werkelijk rendement) bildirilmesi ve kripto paralar için de ayrı başlıklar sunuyor.</t>
        </is>
      </c>
      <c r="G181" s="29" t="inlineStr">
        <is>
          <t>box 3, vermogensrendementsheffing, heffingsvrij vermogen, tasarruf vergisi, yatırım vergisi, kripto, werkelijk rendement</t>
        </is>
      </c>
      <c r="H181" s="29" t="inlineStr">
        <is>
          <t>new;settled</t>
        </is>
      </c>
      <c r="I181" s="29" t="inlineStr">
        <is>
          <t>eindhoven:kaynak:089;eindhoven:kaynak:087</t>
        </is>
      </c>
      <c r="J181" s="49" t="n">
        <v>46317</v>
      </c>
      <c r="K181" s="51" t="n">
        <v>607</v>
      </c>
      <c r="L181" s="29" t="inlineStr">
        <is>
          <t>Hayır</t>
        </is>
      </c>
      <c r="M181" s="29" t="inlineStr">
        <is>
          <t>Taslak</t>
        </is>
      </c>
      <c r="N181" s="29" t="inlineStr">
        <is>
          <t>eindhoven:para</t>
        </is>
      </c>
      <c r="O181" s="29" t="inlineStr">
        <is>
          <t>Birikim ve yatırımlarınızın (bezittingen ve schulden) box 3'e girip girmediğini Belastingdienst'in "Lees welke bezittingen en schulden bij uw inkomen uit sparen en beleggen horen" bağlantısından kontrol edin.
Varlığınızın bir kısmının vergisiz olduğunu bilin (heffingsvrij vermogen): kişi başına 2026'da 59.357 euro, 2025'te 57.684 euro.
Gerçek getirinizin hesaplanan getiriden farklı olduğunu düşünüyorsanız beyandaki "Werkelijk rendement in belastingaangifte 2025" başlığına bakın.
Kripto paranız varsa "Moet ik aangifte doen en belasting betalen over mijn crypto's?" başlığını okuyun.</t>
        </is>
      </c>
      <c r="P181" s="29" t="n"/>
      <c r="Q181" s="29" t="inlineStr">
        <is>
          <t>Vergisiz pay 2026 için 59.357 euro, 2025 için 57.684 euro (kişi başına).</t>
        </is>
      </c>
      <c r="R181" s="29" t="n"/>
      <c r="S181" s="29" t="inlineStr">
        <is>
          <t>Çalışma ve konut geliri (box 1) ile birikim ve yatırım geliri (box 3) farklı tarifelerle vergilenir ve tarifeler yıldan yıla farklıdır.</t>
        </is>
      </c>
      <c r="T181" s="29" t="n"/>
    </row>
    <row r="182" ht="54" customHeight="1">
      <c r="A182" s="29" t="inlineStr">
        <is>
          <t>eindhoven:otuz-yuzde-kurali-expat-regelingi-nedir</t>
        </is>
      </c>
      <c r="B182" s="29" t="inlineStr">
        <is>
          <t>eindhoven</t>
        </is>
      </c>
      <c r="C182" s="29" t="inlineStr">
        <is>
          <t>otuz-yuzde-kurali-expat-regelingi-nedir</t>
        </is>
      </c>
      <c r="D182" s="29" t="inlineStr">
        <is>
          <t>%30 kuralı (expat regelingi) nedir, kime yarar?</t>
        </is>
      </c>
      <c r="E182" s="29" t="inlineStr">
        <is>
          <t>Yurt dışından getirilen uzman çalışanlar için işveren aracılığıyla vergi avantajı</t>
        </is>
      </c>
      <c r="F182" s="29" t="inlineStr">
        <is>
          <t>Expat regelingi (eski adıyla %30 kuralı), Hollanda'ya özel uzmanlıkla yurt dışından gelen çalışanın taşınma ve yaşam masraflarını (extraterritorial costs) vergi avantajıyla karşılayan bir düzenlemedir. Yararlanmak için şartların hepsi gerekir: işverenle maaşlı iş ilişkisi, Hollanda iş gücü piyasasında kıt bir uzmanlık ve bunu yansıtan asgari maaş (toetsloon; belirlenmiş bir araştırma kurumunda bilimsel araştırma yapanlar ve uzmanlık eğitimindeki doktorlar bu maaş şartından muaf), yurt dışından işe alınmış ya da çok uluslu şirket içinde nakledilmiş olmak ve Hollanda'daki ilk iş gününden önceki 24 ayın 16'dan fazlasında Hollanda sınırlarından 150 kilometreden uzakta yaşamış olmak. En fazla 5 yıl uygulanır ve iki yoldan biriyle kullanılır: maaşın bir yüzdesi vergisiz ödenir ya da çalışan gerçek masraflarını iş gideri olarak yazar ve işveren tamamını geri öder. Bu bir vergi avantajıdır; IND'nin verdiği highly skilled migrant oturum izni değildir. Başvuruyu işveren, ilk iş gününüzden sonraki 4 ay içinde yapar; düzenleme bir işverenden diğerine kendiliğinden geçmez, önceki karar henüz sona ermediyse yeni işverenle birlikte Vergi İdaresi'ne yeni talep verilir.</t>
        </is>
      </c>
      <c r="G182" s="29" t="inlineStr">
        <is>
          <t>30% ruling, expat regelingi, %30 kuralı, extraterritorial costs, vergi avantajı, highly skilled migrant</t>
        </is>
      </c>
      <c r="H182" s="29" t="inlineStr">
        <is>
          <t>before;planning;new</t>
        </is>
      </c>
      <c r="I182" s="29" t="inlineStr">
        <is>
          <t>eindhoven:kaynak:090</t>
        </is>
      </c>
      <c r="J182" s="49" t="n">
        <v>46317</v>
      </c>
      <c r="K182" s="51" t="n">
        <v>608</v>
      </c>
      <c r="L182" s="29" t="inlineStr">
        <is>
          <t>Evet</t>
        </is>
      </c>
      <c r="M182" s="29" t="inlineStr">
        <is>
          <t>Taslak</t>
        </is>
      </c>
      <c r="N182" s="29" t="inlineStr">
        <is>
          <t>eindhoven:para</t>
        </is>
      </c>
      <c r="O182" s="29" t="inlineStr">
        <is>
          <t>İşvereninize, sizin için expat regelingi başvurusu yapıp yapamayacağını sorun.
İşveren, ilk iş gününüzden sonraki 4 ay içinde Vergi İdaresi'ne başvurup onay (beschikking) alır; sonuç 8 hafta içinde gelir.
İşveren her yılın ilk bordro döneminde vergisiz yüzde ile gerçek masraf iadesi arasında seçimini yapar.
Bu seçim, 5 yıllık süre bitene kadar her yıl yeniden yapılır.</t>
        </is>
      </c>
      <c r="P182" s="29" t="n"/>
      <c r="Q182" s="29" t="inlineStr">
        <is>
          <t>En fazla 5 yıl. İşverenin onay talebi ilk iş gününden sonraki 4 ay içinde verilir; sonuç 8 hafta içinde gelir.</t>
        </is>
      </c>
      <c r="R182" s="29" t="n"/>
      <c r="S182" s="29" t="inlineStr">
        <is>
          <t>İngilizce'de hâlâ "30% ruling" denmesine rağmen resmî ad Hollandaca expatregeling'dir. Masraf iadesini seçen işveren için masraflar makul ve kanıtlanabilir olmalı.</t>
        </is>
      </c>
      <c r="T182" s="29" t="n"/>
    </row>
    <row r="183" ht="54" customHeight="1">
      <c r="A183" s="29" t="inlineStr">
        <is>
          <t>eindhoven:expat-regelingi-sartlari-150-km-kurali</t>
        </is>
      </c>
      <c r="B183" s="29" t="inlineStr">
        <is>
          <t>eindhoven</t>
        </is>
      </c>
      <c r="C183" s="29" t="inlineStr">
        <is>
          <t>expat-regelingi-sartlari-150-km-kurali</t>
        </is>
      </c>
      <c r="D183" s="29" t="inlineStr">
        <is>
          <t>Expat regelingi (%30 kuralı) şartları nelerdir?</t>
        </is>
      </c>
      <c r="E183" s="29" t="inlineStr">
        <is>
          <t>Maaşlı çalışma, kıt uzmanlık, asgari maaş (toetsloon) ve 150 km kuralı</t>
        </is>
      </c>
      <c r="F183" s="29" t="inlineStr">
        <is>
          <t>Çalışanın şirketle maaşlı bir iş ilişkisi olmalı ve Hollanda iş gücü piyasasında kıt olan (bazı durumlarda eşsiz olması gereken) belirli bir uzmanlığa sahip olmalı. Uzmanlığı yansıtan asgari bir maaş (toetsloon) kazanması gerekir; daha düşük maaşta vergisiz tutar, vergiye esas maaş yine ölçütü sağlayacak biçimde azaltılır. Yalnız belirlenmiş (designated) bir araştırma kurumunda bilimsel araştırma yapanlar ile uzmanlık eğitimi gören doktorlar bu gelir ölçütünden muaftır. Çalışan yurt dışından işe alınmış ya da çok uluslu şirket içinde nakledilmiş olmalı ve Hollanda'daki ilk iş gününden önceki 24 ayın 16'dan fazlasında Hollanda sınırlarından 150 kilometreden uzakta yaşamış olmalı. İşverenin Vergi İdaresi'nden aldığı karar (beschikking) de şart.</t>
        </is>
      </c>
      <c r="G183" s="29" t="inlineStr">
        <is>
          <t>expat regelingi şartları, toetsloon, 150 kilometre, 16 ay, specific expertise, 30% ruling koşulları</t>
        </is>
      </c>
      <c r="H183" s="29" t="inlineStr">
        <is>
          <t>before;planning</t>
        </is>
      </c>
      <c r="I183" s="29" t="inlineStr">
        <is>
          <t>eindhoven:kaynak:090</t>
        </is>
      </c>
      <c r="J183" s="49" t="n">
        <v>46317</v>
      </c>
      <c r="K183" s="51" t="n">
        <v>609</v>
      </c>
      <c r="L183" s="29" t="inlineStr">
        <is>
          <t>Hayır</t>
        </is>
      </c>
      <c r="M183" s="29" t="inlineStr">
        <is>
          <t>Taslak</t>
        </is>
      </c>
      <c r="N183" s="29" t="inlineStr">
        <is>
          <t>eindhoven:para</t>
        </is>
      </c>
      <c r="O183" s="29" t="inlineStr">
        <is>
          <t>İşvereninizle maaşlı çalışma ilişkiniz olduğunu teyit edin.
Uzmanlığınızın Hollanda iş gücü piyasasında kıt olduğunu işverenle birlikte değerlendirin.
Maaşınızın toetsloon asgarisine ulaştığını kontrol edin; tablo belastingdienst.nl'de "when do I have a specific expertise" sorusunun altında. Maaşınız daha düşükse vergisiz tutar azaltılır.
Belirlenmiş bir araştırma kurumunda bilimsel araştırma yapıyorsanız ya da uzmanlık eğitimi gören bir doktorsanız maaş ölçütü aranmaz.
İşe başlamadan önceki 24 ayın 16'dan fazlasında Hollanda sınırlarından 150 kilometreden uzakta yaşadığınızı teyit edin.
İşverenin Vergi İdaresi'nden karar (beschikking) aldığından emin olun.</t>
        </is>
      </c>
      <c r="P183" s="29" t="inlineStr">
        <is>
          <t>İş sözleşmesi
Uzmanlığı gösteren belgeler</t>
        </is>
      </c>
      <c r="Q183" s="29" t="inlineStr">
        <is>
          <t>Önceki 24 ayın 16'dan fazlasında sınırdan 150 km'den uzakta yaşamış olmak.</t>
        </is>
      </c>
      <c r="R183" s="29" t="n"/>
      <c r="S183" s="29" t="inlineStr">
        <is>
          <t>Asgari maaş, yıllık endekslemeye ek olarak 1 Ocak 2027'den itibaren ayrıca artıyor; bu artış 1 Ocak 2024 ve sonrasında düzenlemeyi kullanmaya başlayanlar için geçerli.</t>
        </is>
      </c>
      <c r="T183" s="29" t="n"/>
    </row>
    <row r="184" ht="54" customHeight="1">
      <c r="A184" s="29" t="inlineStr">
        <is>
          <t>eindhoven:expat-regelingi-2027-yuzde-27-degisiklik</t>
        </is>
      </c>
      <c r="B184" s="29" t="inlineStr">
        <is>
          <t>eindhoven</t>
        </is>
      </c>
      <c r="C184" s="29" t="inlineStr">
        <is>
          <t>expat-regelingi-2027-yuzde-27-degisiklik</t>
        </is>
      </c>
      <c r="D184" s="29" t="inlineStr">
        <is>
          <t>Expat regelingi 2027'de nasıl değişiyor (%30'dan %27'ye)?</t>
        </is>
      </c>
      <c r="E184" s="29" t="inlineStr">
        <is>
          <t>Maksimum maaş sınırı, kısmi yabancı vergi mükellefiyetinin sona ermesi ve geçiş dönemleri</t>
        </is>
      </c>
      <c r="F184" s="29" t="inlineStr">
        <is>
          <t>1 Ocak 2024'ten önce düzenlemeyi kullanmaya başlayanlar eski kurallara tabi; işveren onlara 5 yıl boyunca maaşın %30'unu vergisiz ödeyebilir ya da masrafları karşılayabilir. 1 Ocak 2024'ten sonra hak kazananlar için 1 Ocak 2027'den itibaren üst sınır %30'dan %27'ye iniyor. Ayrıca vergisiz indirim yalnız yıllık belirlenen azami ücret (Balkenende-norm) tutarına kadar uygulanıyor. 1 Ocak 2025'ten beri düzenlemeden yararlananlar, box 2 ve box 3 gelirleri için kısmi yabancı vergi mükellefiyetini (partiële buitenlandse belastingplicht) artık kullanamıyor.</t>
        </is>
      </c>
      <c r="G184" s="29" t="inlineStr">
        <is>
          <t>expat regelingi 2027, %27, Balkenende-norm, partiële buitenlandse belastingplicht, 30% ruling değişiklik, box 2 box 3</t>
        </is>
      </c>
      <c r="H184" s="29" t="inlineStr">
        <is>
          <t>before;planning;new;settled</t>
        </is>
      </c>
      <c r="I184" s="29" t="inlineStr">
        <is>
          <t>eindhoven:kaynak:090</t>
        </is>
      </c>
      <c r="J184" s="49" t="n">
        <v>46317</v>
      </c>
      <c r="K184" s="51" t="n">
        <v>610</v>
      </c>
      <c r="L184" s="29" t="inlineStr">
        <is>
          <t>Hayır</t>
        </is>
      </c>
      <c r="M184" s="29" t="inlineStr">
        <is>
          <t>Taslak</t>
        </is>
      </c>
      <c r="N184" s="29" t="inlineStr">
        <is>
          <t>eindhoven:para</t>
        </is>
      </c>
      <c r="O184" s="29" t="inlineStr">
        <is>
          <t>Düzenlemeyi kullanmaya başladığınız tarihe bakın: 1 Ocak 2024'ten önceyse eski kurallar geçerli.
1 Ocak 2024'ten sonra hak kazandıysanız 2027'den itibaren vergisiz ödemenin %27'yle sınırlı olacağını hesaba katın.
Brüt maaşınız azami ücret (Balkenende-norm) tutarını aşıyorsa vergisiz indirimin yalnız bu tutara kadar uygulanacağını işverenle konuşun.
Box 2 ve box 3 gelirlerinizi 2025'ten itibaren Hollanda'da beyan edin.</t>
        </is>
      </c>
      <c r="P184" s="29" t="n"/>
      <c r="Q184" s="29" t="inlineStr">
        <is>
          <t>%27 sınırı 1 Ocak 2027'den itibaren; kısmi yabancı mükellefiyet 1 Ocak 2025'te sona erdi, 2023'ün son bordro döneminde hak kazananlar için geçiş 2026 sonuna kadar.</t>
        </is>
      </c>
      <c r="R184" s="29" t="n"/>
      <c r="S184" s="29" t="inlineStr">
        <is>
          <t>Azami ücret sınırı, 1 Ocak 2023'ten önce düzenlemeyi kullanmaya başlayanlar için 1 Ocak 2024'ten itibaren uygulanmadı; 1 Ocak 2026'dan itibaren onlar için de uygulanıyor. Düzenlemenin gelecek yıllardaki değişiklikleri devam eden 5 yıllık süreyi de etkileyebilir.</t>
        </is>
      </c>
      <c r="T184" s="29" t="n"/>
    </row>
    <row r="185" ht="54" customHeight="1">
      <c r="A185" s="29" t="inlineStr">
        <is>
          <t>eindhoven:expat-regelingi-basvuru-isveren-degisikligi</t>
        </is>
      </c>
      <c r="B185" s="29" t="inlineStr">
        <is>
          <t>eindhoven</t>
        </is>
      </c>
      <c r="C185" s="29" t="inlineStr">
        <is>
          <t>expat-regelingi-basvuru-isveren-degisikligi</t>
        </is>
      </c>
      <c r="D185" s="29" t="inlineStr">
        <is>
          <t>Expat regelingi başvurusu nasıl yapılır, işveren değişirse ne olur?</t>
        </is>
      </c>
      <c r="E185" s="29" t="inlineStr">
        <is>
          <t>İşveren 4 ay içinde başvurur, sonuç 8 haftada gelir; işveren değişince yeniden başvuru gerekir</t>
        </is>
      </c>
      <c r="F185" s="29" t="inlineStr">
        <is>
          <t>Başvuruyu çalışan adına işveren yapar ve önce Vergi İdaresi'nden onay (beschikking) alınması gerekir. Başvuru çalışanın ilk iş gününden sonraki 4 ay içinde verilmeli, sonuç 8 hafta içinde bildirilir. Başvuruya iş sözleşmesi ve nitelik belgeleri gibi ekler konur. Hak bir işverenden diğerine kendiliğinden geçmez; önceki işverenin kararı henüz bitmediyse çalışan ve yeni işveren Vergi İdaresi'ne birlikte yeni talep verir.</t>
        </is>
      </c>
      <c r="G185" s="29" t="inlineStr">
        <is>
          <t>expat regelingi başvuru, beschikking, işveren değişikliği, 4 ay, 8 hafta, Belastingdienst onayı, 30% ruling</t>
        </is>
      </c>
      <c r="H185" s="29" t="inlineStr">
        <is>
          <t>before;planning;new</t>
        </is>
      </c>
      <c r="I185" s="29" t="inlineStr">
        <is>
          <t>eindhoven:kaynak:090</t>
        </is>
      </c>
      <c r="J185" s="49" t="n">
        <v>46317</v>
      </c>
      <c r="K185" s="51" t="n">
        <v>611</v>
      </c>
      <c r="L185" s="29" t="inlineStr">
        <is>
          <t>Hayır</t>
        </is>
      </c>
      <c r="M185" s="29" t="inlineStr">
        <is>
          <t>Taslak</t>
        </is>
      </c>
      <c r="N185" s="29" t="inlineStr">
        <is>
          <t>eindhoven:para</t>
        </is>
      </c>
      <c r="O185" s="29" t="inlineStr">
        <is>
          <t>İşvereninizden, ilk iş gününüzden sonraki 4 ay içinde Vergi İdaresi'ne onay talebi göndermesini isteyin.
Başvuruya iş sözleşmesi ve nitelik belgeleri gibi formda belirtilen ekleri koyun.
Sonucu 8 hafta içinde bekleyin; bitiş tarihi kararda (beschikking) yazar.
İşveren değiştirirseniz önceki karar henüz bitmediyse yeni işverenle birlikte Vergi İdaresi'ne yeni talep verin.
Aynı şirket içinde görev değiştiriyorsanız yeni başvuru gerekip gerekmediğini Tax Information Line'dan sorun.</t>
        </is>
      </c>
      <c r="P185" s="29" t="inlineStr">
        <is>
          <t>İş sözleşmesi
Nitelik (yeterlilik) belgeleri</t>
        </is>
      </c>
      <c r="Q185" s="29" t="inlineStr">
        <is>
          <t>Başvuru, ilk iş gününden sonra 4 ay içinde; sonuç 8 hafta içinde.</t>
        </is>
      </c>
      <c r="R185" s="29" t="n"/>
      <c r="S185" s="29" t="inlineStr">
        <is>
          <t>Şirketiniz başka bir işletme tarafından devralınırsa düzenlemeyi yeni şirkete geçerken korursunuz.</t>
        </is>
      </c>
      <c r="T185" s="29" t="n"/>
    </row>
    <row r="186" ht="54" customHeight="1">
      <c r="A186" s="29" t="inlineStr">
        <is>
          <t>eindhoven:toeslagen-devlet-destekleri-genel-bakis</t>
        </is>
      </c>
      <c r="B186" s="29" t="inlineStr">
        <is>
          <t>eindhoven</t>
        </is>
      </c>
      <c r="C186" s="29" t="inlineStr">
        <is>
          <t>toeslagen-devlet-destekleri-genel-bakis</t>
        </is>
      </c>
      <c r="D186" s="29" t="inlineStr">
        <is>
          <t>Toeslagen nedir: sağlık, kira, çocuk bakımı ve çocuk için hangi devlet desteği var?</t>
        </is>
      </c>
      <c r="E186" s="29" t="inlineStr">
        <is>
          <t>Dört destek türü, Mijn toeslagen girişi ve gelir değişikliğini bildirme</t>
        </is>
      </c>
      <c r="F186" s="29" t="inlineStr">
        <is>
          <t>Toeslagen, sağlık sigortası, çocuklar, kira ve kreş masraflarına devletin yaptığı katkıdır: zorgtoeslag, huurtoeslag, kinderopvangtoeslag ve kindgebonden budget. Toeslag, beklenen gelirinize dayalı bir avans (voorschot) olduğundan gelirinizin değiştiğini kendiniz bildirmeniz gerekir. Hak olup olmadığını "Heb ik recht op een toeslag?" bölümünden, tutarı proefberekening (deneme hesabı) ile görebilirsiniz. Hesap bilgilerinizi değiştirmek için Mijn toeslagen'e giriş yapılır.</t>
        </is>
      </c>
      <c r="G186" s="29" t="inlineStr">
        <is>
          <t>toeslagen, Dienst Toeslagen, zorgtoeslag, huurtoeslag, kinderopvangtoeslag, kindgebonden budget, voorschot, Mijn toeslagen</t>
        </is>
      </c>
      <c r="H186" s="29" t="inlineStr">
        <is>
          <t>new;settled</t>
        </is>
      </c>
      <c r="I186" s="29" t="inlineStr">
        <is>
          <t>eindhoven:kaynak:093</t>
        </is>
      </c>
      <c r="J186" s="49" t="n">
        <v>46317</v>
      </c>
      <c r="K186" s="51" t="n">
        <v>612</v>
      </c>
      <c r="L186" s="29" t="inlineStr">
        <is>
          <t>Hayır</t>
        </is>
      </c>
      <c r="M186" s="29" t="inlineStr">
        <is>
          <t>Taslak</t>
        </is>
      </c>
      <c r="N186" s="29" t="inlineStr">
        <is>
          <t>eindhoven:para</t>
        </is>
      </c>
      <c r="O186" s="29" t="inlineStr">
        <is>
          <t>"Heb ik recht op een toeslag?" bölümünden hangi toeslag için hak sahibi olabileceğinize bakın.
"Maak een proefberekening" ile tutarı deneyin.
İlgili toeslag için sayfadaki "Hoe vraag ik ... aan?" başlığından başvuruyu yapın.
Gelir veya durumunuz değişirse "Log in en geef uw wijziging door" bölümünden hemen bildirin.
Başvuruda yardım gerekirse "Zoek een toeslagenservicepunt" bağlantısından hizmet noktası arayın.</t>
        </is>
      </c>
      <c r="P186" s="29" t="n"/>
      <c r="Q186" s="29" t="n"/>
      <c r="R186" s="29" t="n"/>
      <c r="S186" s="29" t="inlineStr">
        <is>
          <t>Sayfa ayrıca 2025'in nihai hesaplaması (definitieve berekening) ve toeslag geri ödemesi için ayrı başlıklar sunuyor; nihai hesaplamanın yanlış olduğunu düşünüyorsanız "Bezwaar tegen definitieve berekening" formu var.</t>
        </is>
      </c>
      <c r="T186" s="29" t="n"/>
    </row>
    <row r="187" ht="54" customHeight="1">
      <c r="A187" s="29" t="inlineStr">
        <is>
          <t>eindhoven:zorgtoeslag-saglik-sigortasi-destegi</t>
        </is>
      </c>
      <c r="B187" s="29" t="inlineStr">
        <is>
          <t>eindhoven</t>
        </is>
      </c>
      <c r="C187" s="29" t="inlineStr">
        <is>
          <t>zorgtoeslag-saglik-sigortasi-destegi</t>
        </is>
      </c>
      <c r="D187" s="29" t="inlineStr">
        <is>
          <t>Zorgtoeslag (sağlık sigortası yardımı) nasıl alınır ve ne zaman yatar?</t>
        </is>
      </c>
      <c r="E187" s="29" t="inlineStr">
        <is>
          <t>Mijn toeslagen üzerinden başvuru, 2025 için 31 Aralık son tarihi</t>
        </is>
      </c>
      <c r="F187" s="29" t="inlineStr">
        <is>
          <t>Zorgtoeslag, sağlık sigortası masraflarına yapılan devlet katkısıdır. Başvuru ya da bilgi değişikliği Mijn toeslagen'e giriş yaparak veya App Toeslagen ile yapılır. 2025 için zorgtoeslag başvurusu 31 Aralık'a kadar yapılabilir. Aralık 2026 ayı için ödeme, 20 Kasım Cuma günü saat 24.00'dan önce yatar. Rijksoverheid'e göre nispeten düşük gelirli olanlar zorgtoeslag isteyebilir ve zorgtoeslag içinde eigen risico için de bir katkı bulunur.</t>
        </is>
      </c>
      <c r="G187" s="29" t="inlineStr">
        <is>
          <t>zorgtoeslag, sağlık sigortası yardımı, Mijn toeslagen, App Toeslagen, toeslag başvurusu, düşük gelir</t>
        </is>
      </c>
      <c r="H187" s="29" t="inlineStr">
        <is>
          <t>new;settled</t>
        </is>
      </c>
      <c r="I187" s="29" t="inlineStr">
        <is>
          <t>eindhoven:kaynak:094;eindhoven:kaynak:098</t>
        </is>
      </c>
      <c r="J187" s="49" t="n">
        <v>46317</v>
      </c>
      <c r="K187" s="51" t="n">
        <v>613</v>
      </c>
      <c r="L187" s="29" t="inlineStr">
        <is>
          <t>Hayır</t>
        </is>
      </c>
      <c r="M187" s="29" t="inlineStr">
        <is>
          <t>Taslak</t>
        </is>
      </c>
      <c r="N187" s="29" t="inlineStr">
        <is>
          <t>eindhoven:para</t>
        </is>
      </c>
      <c r="O187" s="29" t="inlineStr">
        <is>
          <t>Zorgtoeslag için "Kan ik zorgtoeslag krijgen? Bekijk de voorwaarden" bölümünden koşulları inceleyin.
"Maak een proefberekening" ile tutarı deneyin.
Mijn toeslagen'e giriş yapıp zorgtoeslag başvurusunu verin; telefon kullanıyorsanız App Toeslagen'i indirin.
2025 için hâlâ başvurmadıysanız 31 Aralık'tan önce başvurun.
Bilgilerinizde değişiklik olursa aynı yerden bildirin.</t>
        </is>
      </c>
      <c r="P187" s="29" t="n"/>
      <c r="Q187" s="29" t="inlineStr">
        <is>
          <t>2025 başvurusu için son gün 31 Aralık; Aralık 2026 ödemesi 20 Kasım Cuma 24.00'den önce.</t>
        </is>
      </c>
      <c r="R187" s="29" t="n"/>
      <c r="S187" s="29" t="inlineStr">
        <is>
          <t>Hollanda vatandaşı olmayanlar, Hollanda'ya öğrenci olarak gelenler ve yurt dışında yaşayanlar için sayfada "Zorgtoeslag internationaal" altında ayrı başlıklar var. Sayfada hangi sigorta şartı arandığı da ayrı bir başlıkta ("Welke zorgverzekering moet ik hebben voor zorgtoeslag?") anlatılıyor.</t>
        </is>
      </c>
      <c r="T187" s="29" t="n"/>
    </row>
    <row r="188" ht="54" customHeight="1">
      <c r="A188" s="29" t="inlineStr">
        <is>
          <t>eindhoven:kinderopvangtoeslag-kres-destegi</t>
        </is>
      </c>
      <c r="B188" s="29" t="inlineStr">
        <is>
          <t>eindhoven</t>
        </is>
      </c>
      <c r="C188" s="29" t="inlineStr">
        <is>
          <t>kinderopvangtoeslag-kres-destegi</t>
        </is>
      </c>
      <c r="D188" s="29" t="inlineStr">
        <is>
          <t>Kinderopvangtoeslag (kreş desteği) nasıl yönetilir, nelerin bildirilmesi gerekir?</t>
        </is>
      </c>
      <c r="E188" s="29" t="inlineStr">
        <is>
          <t>Mijn toeslagen girişi; gelir, sözleşme ve bakım saati değişiklikleri</t>
        </is>
      </c>
      <c r="F188" s="29" t="inlineStr">
        <is>
          <t>Kinderopvangtoeslag, çocuk bakımı masraflarına yapılan devlet katkısıdır. Bilgilerinizi Mijn toeslagen'e giriş yaparak ya da uygulamayla değiştirirsiniz. Geliriniz değişirse yeni toetsingsinkomen'inizi tahmin edip bildirirsiniz; kreşle sözleşmeniz değişirse, çocuğunuz kreşe daha çok, daha az gidiyorsa ya da artık gitmiyorsa bunu da bildirmeniz gerekir. Aralık 2026 ayı için ödeme 20 Kasım Cuma günü saat 24.00'dan önce yatar.</t>
        </is>
      </c>
      <c r="G188" s="29" t="inlineStr">
        <is>
          <t>kinderopvangtoeslag, kreş desteği, çocuk bakımı, kinderopvang, toeslag, Mijn toeslagen, zzp, flexwerker</t>
        </is>
      </c>
      <c r="H188" s="29" t="inlineStr">
        <is>
          <t>new;settled</t>
        </is>
      </c>
      <c r="I188" s="29" t="inlineStr">
        <is>
          <t>eindhoven:kaynak:095</t>
        </is>
      </c>
      <c r="J188" s="49" t="n">
        <v>46317</v>
      </c>
      <c r="K188" s="51" t="n">
        <v>614</v>
      </c>
      <c r="L188" s="29" t="inlineStr">
        <is>
          <t>Hayır</t>
        </is>
      </c>
      <c r="M188" s="29" t="inlineStr">
        <is>
          <t>Taslak</t>
        </is>
      </c>
      <c r="N188" s="29" t="inlineStr">
        <is>
          <t>eindhoven:para</t>
        </is>
      </c>
      <c r="O188" s="29" t="inlineStr">
        <is>
          <t>Mijn toeslagen'e giriş yapın veya uygulamayı kullanın.
Geliriniz değişiyorsa "Maak een schatting van uw toetsingsinkomen" ile yeni geliri hesaplayıp bildirin.
Kreşle sözleşmeniz değiştiyse, çocuğunuz kreşe daha çok veya daha az gidiyorsa ya da hiç gitmiyorsa bunu bildirin.
Kreşin onaylı (goedgekeurd) olup olmadığını "Hoe kan ik checken of de opvang goedgekeurd is?" başlığından kontrol edin.
Toeslağın doğrudan kreşe ödenmesini isterseniz ilgili başlığı açın.</t>
        </is>
      </c>
      <c r="P188" s="29" t="n"/>
      <c r="Q188" s="29" t="inlineStr">
        <is>
          <t>Aralık 2026 ödemesi 20 Kasım Cuma 24.00'den önce.</t>
        </is>
      </c>
      <c r="R188" s="29" t="n"/>
      <c r="S188" s="29" t="inlineStr">
        <is>
          <t>Sayfada zzp'er (serbest çalışan), flexwerker, işsiz kalma, eğitim görme, inburgering kursu, hastalık ve hamilelik için ayrı başlıklar var; çocuğun 4 yaşına gelmesi de ayrı bir durum değişikliği olarak listeleniyor.</t>
        </is>
      </c>
      <c r="T188" s="29" t="n"/>
    </row>
    <row r="189" ht="54" customHeight="1">
      <c r="A189" s="29" t="inlineStr">
        <is>
          <t>eindhoven:kinderbijslag-kindgebonden-budget-cocuk-destegi</t>
        </is>
      </c>
      <c r="B189" s="29" t="inlineStr">
        <is>
          <t>eindhoven</t>
        </is>
      </c>
      <c r="C189" s="29" t="inlineStr">
        <is>
          <t>kinderbijslag-kindgebonden-budget-cocuk-destegi</t>
        </is>
      </c>
      <c r="D189" s="29" t="inlineStr">
        <is>
          <t>Çocuk parası (kinderbijslag) ve kindgebonden budget: 18 yaşına kadar çocuk için hangi katkılar var?</t>
        </is>
      </c>
      <c r="E189" s="29" t="inlineStr">
        <is>
          <t>Tutar çocuğun yaşına ve yaşadığı yere göre değişir; iki düzenlemenin birleştirilmesi planlanıyor</t>
        </is>
      </c>
      <c r="F189" s="29" t="inlineStr">
        <is>
          <t>18 yaşına kadar çocuğun yetiştirilme masrafları için bir katkı alınabilir; tutar çocuğun yaşına ve nerede yaşadığına bağlıdır. Rijksoverheid sayfası bu başlıkta kindgebonden budget, kinderopvangtoeslag ve inkomensafhankelijke combinatiekorting'i öne çıkarıyor. Kindgebonden budget için başvuru, Dienst Toeslagen sayfasındaki "Hoe vraag ik kindgebonden budget aan?" başlığından yapılır. Kabinet, kinderbijslag ve kindgebonden budget'i tek bir çocuk düzenlemesinde birleştirmek için çalışıyor.</t>
        </is>
      </c>
      <c r="G189" s="29" t="inlineStr">
        <is>
          <t>kinderbijslag, çocuk parası, kindgebonden budget, çocuk yardımı, combinatiekorting, toeslagen</t>
        </is>
      </c>
      <c r="H189" s="29" t="inlineStr">
        <is>
          <t>new;settled</t>
        </is>
      </c>
      <c r="I189" s="29" t="inlineStr">
        <is>
          <t>eindhoven:kaynak:096;eindhoven:kaynak:093</t>
        </is>
      </c>
      <c r="J189" s="49" t="n">
        <v>46317</v>
      </c>
      <c r="K189" s="51" t="n">
        <v>615</v>
      </c>
      <c r="L189" s="29" t="inlineStr">
        <is>
          <t>Hayır</t>
        </is>
      </c>
      <c r="M189" s="29" t="inlineStr">
        <is>
          <t>Taslak</t>
        </is>
      </c>
      <c r="N189" s="29" t="inlineStr">
        <is>
          <t>eindhoven:para</t>
        </is>
      </c>
      <c r="O189" s="29" t="inlineStr">
        <is>
          <t>Çocuğunuz 18 yaşından küçükse Rijksoverheid'in kinderbijslag sayfasında yaşına ve yaşadığı yere göre tutarı kontrol edin.
Kindgebonden budget için Dienst Toeslagen sayfasında "Hoe vraag ik kindgebonden budget aan?" başlığını açın.
Kindgebonden budget alıyorsanız geliriniz ya da bilgileriniz değiştiğinde bunu Toeslagen'de "Log in en geef uw wijziging door" bölümünden hemen kendiniz bildirin; toeslag, beklenen gelirinize göre ödenen bir avanstır.</t>
        </is>
      </c>
      <c r="P189" s="29" t="n"/>
      <c r="Q189" s="29" t="n"/>
      <c r="R189" s="29" t="n"/>
      <c r="S189" s="29" t="inlineStr">
        <is>
          <t>Rijksoverheid'in 18-06-2026 tarihli haberine göre kabine, kinderbijslag ve kindgebonden budget'in birleştirileceği tek bir basit çocuk düzenlemesi için çalışıyor; Rijksoverheid ayrıca 1 Temmuz 2026 itibarıyla bazı uitkering tutarlarının ayarlandığını duyurdu.</t>
        </is>
      </c>
      <c r="T189" s="29" t="n"/>
    </row>
    <row r="190" ht="54" customHeight="1">
      <c r="A190" s="29" t="inlineStr">
        <is>
          <t>eindhoven:cifte-vergilendirme-onleme-ve-itiraz</t>
        </is>
      </c>
      <c r="B190" s="29" t="inlineStr">
        <is>
          <t>eindhoven</t>
        </is>
      </c>
      <c r="C190" s="29" t="inlineStr">
        <is>
          <t>cifte-vergilendirme-onleme-ve-itiraz</t>
        </is>
      </c>
      <c r="D190" s="29" t="inlineStr">
        <is>
          <t>Hem Hollanda'da hem yurt dışında gelirim varsa iki kez vergi öder miyim?</t>
        </is>
      </c>
      <c r="E190" s="29" t="inlineStr">
        <is>
          <t>Vergi anlaşmaları ve onderlinge overlegprocedure (karşılıklı anlaşma usulü)</t>
        </is>
      </c>
      <c r="F190" s="29" t="inlineStr">
        <is>
          <t>Gelir veya varlığınız üzerinden yalnızca 1 kez vergi ödemeniz gerekir. Yurt dışından geliriniz varsa hangi ülkede vergi ödeyeceğinizi uluslararası anlaşmalar belirler; Hollanda birçok ülkeyle vergi anlaşması yapmıştır. Anlaşma olmayan ülkelerde Besluit voorkoming dubbele belasting 2001 kuralları geçerli. Anlaşmaya rağmen iki kez vergi ödüyorsanız onderlinge overlegprocedure başlatabilirsiniz; Hollanda bu durumda diğer ülkeyle birlikte çözüm arar.</t>
        </is>
      </c>
      <c r="G190" s="29" t="inlineStr">
        <is>
          <t>çifte vergilendirme, dubbele belasting, vergi anlaşması, onderlinge overlegprocedure, FATCA, Common Reporting Standard</t>
        </is>
      </c>
      <c r="H190" s="29" t="inlineStr">
        <is>
          <t>new;settled</t>
        </is>
      </c>
      <c r="I190" s="29" t="inlineStr">
        <is>
          <t>eindhoven:kaynak:091;eindhoven:kaynak:092</t>
        </is>
      </c>
      <c r="J190" s="49" t="n">
        <v>46317</v>
      </c>
      <c r="K190" s="51" t="n">
        <v>616</v>
      </c>
      <c r="L190" s="29" t="inlineStr">
        <is>
          <t>Hayır</t>
        </is>
      </c>
      <c r="M190" s="29" t="inlineStr">
        <is>
          <t>Taslak</t>
        </is>
      </c>
      <c r="N190" s="29" t="inlineStr">
        <is>
          <t>eindhoven:para</t>
        </is>
      </c>
      <c r="O190" s="29" t="inlineStr">
        <is>
          <t>Yurt dışı gelirinizin hangi ülkede vergilendirileceğini ilgili ülkeyle yapılmış vergi anlaşmasına bakarak belirleyin.
Olası bir anlaşma yoksa Besluit voorkoming dubbele belasting 2001 kurallarına göre hareket edin.
Anlaşmaya rağmen iki kez vergilendirildiyseniz onderlinge overlegprocedure başlatın.
Türkiye–Hollanda anlaşmasına göre durumunuzu mukim olduğunuz devletin yetkili makamına sunun; ayrımcılık yasağı maddesi kapsamında bir durumsa vatandaşı olduğunuz devletin yetkili makamına sunun.</t>
        </is>
      </c>
      <c r="P190" s="29" t="n"/>
      <c r="Q190" s="29" t="n"/>
      <c r="R190" s="29" t="n"/>
      <c r="S190" s="29" t="inlineStr">
        <is>
          <t>Amerikan vatandaşıysanız Belastingdienst, FATCA anlaşması gereği bilgileri ABD vergi idaresiyle paylaşır; ABD dışında bir vergi mukimliğiniz varsa ve Amerikan vatandaşı değilseniz Common Reporting Standard uyarınca diğer ülkelerin vergi idareleriyle bilgi alışverişi yapılır.</t>
        </is>
      </c>
      <c r="T190" s="29" t="n"/>
    </row>
    <row r="191" ht="54" customHeight="1">
      <c r="A191" s="29" t="inlineStr">
        <is>
          <t>eindhoven:turkiye-hollanda-anlasmasi-maas-183-gun</t>
        </is>
      </c>
      <c r="B191" s="29" t="inlineStr">
        <is>
          <t>eindhoven</t>
        </is>
      </c>
      <c r="C191" s="29" t="inlineStr">
        <is>
          <t>turkiye-hollanda-anlasmasi-maas-183-gun</t>
        </is>
      </c>
      <c r="D191" s="29" t="inlineStr">
        <is>
          <t>Türkiye–Hollanda vergi anlaşmasına göre maaş hangi ülkede vergilenir?</t>
        </is>
      </c>
      <c r="E191" s="29" t="inlineStr">
        <is>
          <t>Mukimlik tespiti, işin yapıldığı yer ve 183 gün istisnası</t>
        </is>
      </c>
      <c r="F191" s="29" t="inlineStr">
        <is>
          <t>1986'da Ankara'da imzalanan anlaşmaya göre maaş ve ücret, kural olarak yalnız mukim olduğunuz devlette vergilenir; iş öbür devlette yapılıyorsa o devlet de vergilendirebilir. Yönetim kurulu üyeliği, emekli maaşı, kamu görevi ve profesör/öğretmen gelirleri için anlaşmada ayrı maddeler var. Çalıştığınız öbür devlette takvim yılında toplam 183 günden fazla bulunmadıysanız (çalışılan günler değil, o devlette bulunulan günler sayılır), ücretiniz o devletin mukimi olmayan bir işveren tarafından ya da onun adına ödeniyorsa ve ücret işverenin o devletteki işyeri ya da sabit yerince (fixed base) karşılanmıyorsa ücret yalnız mukim olduğunuz devlette vergilenir; üç şartın hepsi gerekir. İki devlette birden mukim sayılırsanız sırayla kalıcı konut, yaşamsal çıkar merkezi, olağan ikametgah, uyruk ve ortak anlaşma esas alınır.</t>
        </is>
      </c>
      <c r="G191" s="29" t="inlineStr">
        <is>
          <t>Türkiye Hollanda vergi anlaşması, 183 gün, maaş vergilendirme, mukimlik, çifte vergilendirme, dubbele belasting verdrag</t>
        </is>
      </c>
      <c r="H191" s="29" t="inlineStr">
        <is>
          <t>before;planning;new;settled</t>
        </is>
      </c>
      <c r="I191" s="29" t="inlineStr">
        <is>
          <t>eindhoven:kaynak:092</t>
        </is>
      </c>
      <c r="J191" s="49" t="n">
        <v>46317</v>
      </c>
      <c r="K191" s="51" t="n">
        <v>617</v>
      </c>
      <c r="L191" s="29" t="inlineStr">
        <is>
          <t>Hayır</t>
        </is>
      </c>
      <c r="M191" s="29" t="inlineStr">
        <is>
          <t>Taslak</t>
        </is>
      </c>
      <c r="N191" s="29" t="inlineStr">
        <is>
          <t>eindhoven:para</t>
        </is>
      </c>
      <c r="O191" s="29" t="inlineStr">
        <is>
          <t>Hangi devletin mukimi olduğunuzu belirleyin: mukimlik, her devletin kendi yasasına göre ikametgah, yerleşim veya benzeri ölçütlerle vergiye tabi olmanıza bağlıdır.
İki devlette birden mukim sayılıyorsanız anlaşma sırasıyla kalıcı konutunuza, yaşamsal çıkar merkezinize, olağan ikametgahınıza ve uyruğunuza bakar; sonuç çıkmazsa iki devletin yetkili makamları ortak anlaşmayla karar verir.
Çalışmayı hangi devlette yaptığınızı not edin.
Mukim olduğunuz devletin dışında çalışıyorsanız o devlette bulunduğunuz günleri takvim yılı içinde toplayın (istisna için toplam 183 günü aşmamalı); işveren ve işyeri şartlarını da kontrol edin.
Üç şart sağlanmıyorsa ücretin çalışma yapılan devlette de vergilenebileceğini hesaba katın.</t>
        </is>
      </c>
      <c r="P191" s="29" t="n"/>
      <c r="Q191" s="29" t="inlineStr">
        <is>
          <t>İstisna için öbür devlette bulunulan günler takvim yılında toplam 183 günü aşmamalı.</t>
        </is>
      </c>
      <c r="R191" s="29" t="n"/>
      <c r="S191" s="29" t="inlineStr">
        <is>
          <t>183 gün istisnası, mukim olduğunuz devletin dışında bir devlette çalışan kişiler içindir. Anlaşma Ankara'da 27-03-1986 tarihinde imzalandı; wetten.overheid.nl'de 30-09-1988'den bugüne geçerli olarak gösteriliyor.</t>
        </is>
      </c>
      <c r="T191" s="29" t="n"/>
    </row>
    <row r="192" ht="54" customHeight="1">
      <c r="A192" s="29" t="inlineStr">
        <is>
          <t>eindhoven:turkiye-hollanda-anlasmasi-ogrenci-akademisyen</t>
        </is>
      </c>
      <c r="B192" s="29" t="inlineStr">
        <is>
          <t>eindhoven</t>
        </is>
      </c>
      <c r="C192" s="29" t="inlineStr">
        <is>
          <t>turkiye-hollanda-anlasmasi-ogrenci-akademisyen</t>
        </is>
      </c>
      <c r="D192" s="29" t="inlineStr">
        <is>
          <t>Türkiye'den gelen öğrenci veya akademisyen Hollanda'da vergi öder mi?</t>
        </is>
      </c>
      <c r="E192" s="29" t="inlineStr">
        <is>
          <t>Öğrenci harçlığı, öğrenci çalışması (183 gün) ve 2 yıllık öğretim/araştırma istisnası</t>
        </is>
      </c>
      <c r="F192" s="29" t="inlineStr">
        <is>
          <t>Anlaşmaya göre öğrenci veya iş stajyeri öbür devletin mukimiyse (ya da gelmeden hemen önce mukimiydiyse) ve bu devlette yalnızca eğitim ya da staj için bulunuyorsa, geçimi, eğitimi ve stajı için aldığı ve kaynağı bu devletin dışında olan ödemeler vergilendirilmez. Eğitimiyle ilgili pratik deneyim için takvim yılında toplam 183 günü aşmayan çalışmadan elde edilen ücret de çalıştığı devlette vergilenmez. Profesör veya öğretmen öbür devletin mukimiyse ve oradaki bir üniversite, kolej ya da öğretim/araştırma kurumunda en fazla 2 yıl öğretim veya bilimsel araştırma için bulunuyorsa, kaynağı bulunduğu devletin dışında olan ödemeler yalnız kendi devletinde vergilenir. Öğrencinin geçim ödemeleri ile profesör ve öğretmen ödemelerinde kaynak Hollanda'daysa bu istisna uygulanmaz.</t>
        </is>
      </c>
      <c r="G192" s="29" t="inlineStr">
        <is>
          <t>öğrenci vergi, Eindhoven öğrenci, TU/e, akademisyen vergi, Türkiye Hollanda anlaşması, 183 gün, bursu vergi</t>
        </is>
      </c>
      <c r="H192" s="29" t="inlineStr">
        <is>
          <t>before;planning;new</t>
        </is>
      </c>
      <c r="I192" s="29" t="inlineStr">
        <is>
          <t>eindhoven:kaynak:092</t>
        </is>
      </c>
      <c r="J192" s="49" t="n">
        <v>46317</v>
      </c>
      <c r="K192" s="51" t="n">
        <v>618</v>
      </c>
      <c r="L192" s="29" t="inlineStr">
        <is>
          <t>Hayır</t>
        </is>
      </c>
      <c r="M192" s="29" t="inlineStr">
        <is>
          <t>Taslak</t>
        </is>
      </c>
      <c r="N192" s="29" t="inlineStr">
        <is>
          <t>eindhoven:para</t>
        </is>
      </c>
      <c r="O192" s="29" t="inlineStr">
        <is>
          <t>Öğrenciyseniz Hollanda'ya gelmeden hemen önce Türkiye'de mukim olduğunuzu ve yalnız eğitim veya staj için bulunduğunuzu kontrol edin.
Geçim ve eğitim için aldığınız ödemenin kaynağının Hollanda dışında olduğunu kontrol edin.
Eğitiminizle ilgili pratik deneyim için çalışıyorsanız bir takvim yılındaki toplam çalışma süresinin 183 günü aşmadığını kontrol edin.
Akademisyenseniz öğretim veya araştırma süresinin en fazla 2 yıl olduğunu ve ödemenin Hollanda dışından geldiğini teyit edin.</t>
        </is>
      </c>
      <c r="P192" s="29" t="n"/>
      <c r="Q192" s="29" t="inlineStr">
        <is>
          <t>Öğrenci çalışmasında takvim yılında toplam 183 gün; profesör ve öğretmenler için en fazla 2 yıl.</t>
        </is>
      </c>
      <c r="R192" s="29" t="n"/>
      <c r="S192" s="29" t="inlineStr">
        <is>
          <t>183 günlük istisna yalnız eğitimle ilgili pratik deneyim için yapılan çalışmayı kapsar; eğitimle ilgisi olmayan bir işten elde edilen ücret bu madde kapsamında değildir. Araştırma kamu yararına değil, öncelikle belirli kişilerin özel yararına yapılıyorsa profesör ve öğretmen istisnası uygulanmaz.</t>
        </is>
      </c>
      <c r="T192" s="29" t="n"/>
    </row>
    <row r="193" ht="54" customHeight="1">
      <c r="A193" s="29" t="inlineStr">
        <is>
          <t>eindhoven:arac-sigortasi-zorunlu-wa</t>
        </is>
      </c>
      <c r="B193" s="29" t="inlineStr">
        <is>
          <t>eindhoven</t>
        </is>
      </c>
      <c r="C193" s="29" t="inlineStr">
        <is>
          <t>arac-sigortasi-zorunlu-wa</t>
        </is>
      </c>
      <c r="D193" s="29" t="inlineStr">
        <is>
          <t>Hollanda'da araç sigortası zorunlu mu, hangi seçenekler var?</t>
        </is>
      </c>
      <c r="E193" s="29" t="inlineStr">
        <is>
          <t>WA, WA + beperkt casco ve volledig casco; kaza formu</t>
        </is>
      </c>
      <c r="F193" s="29" t="inlineStr">
        <is>
          <t>Hollanda'da sahip olduğunuz her araç için en azından üçüncü şahıs sorumluluk sigortası (WA) yaptırmak zorunludur. Sigortayı araç sahibi yaptırır ve sorumluluk, aracı kimin kullandığından bağımsız olarak sahibine aittir. Üç seçenek var: yalnız WA, WA + beperkt casco (sınırlı kasko) veya WA + volledig casco (tam kasko). Sigorta belgeleri araçta bulundurulmalı; kazada ilgili herkes bir hasar formu doldurup kendi sigorta şirketine gönderir.</t>
        </is>
      </c>
      <c r="G193" s="29" t="inlineStr">
        <is>
          <t>araç sigortası, autoverzekering, WA verzekering, casco, hasar formu, schadeformulier, zorunlu sigorta</t>
        </is>
      </c>
      <c r="H193" s="29" t="inlineStr">
        <is>
          <t>new;settled</t>
        </is>
      </c>
      <c r="I193" s="29" t="inlineStr">
        <is>
          <t>eindhoven:kaynak:097</t>
        </is>
      </c>
      <c r="J193" s="49" t="n">
        <v>46317</v>
      </c>
      <c r="K193" s="51" t="n">
        <v>619</v>
      </c>
      <c r="L193" s="29" t="inlineStr">
        <is>
          <t>Hayır</t>
        </is>
      </c>
      <c r="M193" s="29" t="inlineStr">
        <is>
          <t>Taslak</t>
        </is>
      </c>
      <c r="N193" s="29" t="inlineStr">
        <is>
          <t>eindhoven:para</t>
        </is>
      </c>
      <c r="O193" s="29" t="inlineStr">
        <is>
          <t>Sahip olduğunuz her araç için en az WA (wettelijke aansprakelijkheid) sigortası yaptırın.
İsterseniz WA + beperkt casco ya da WA + volledig casco seçin.
Sigorta belgelerini araçta bulundurun.
Kaza olursa ilgili herkes hasar formunu (schadeformulier) doldurup kendi sigorta şirketine göndersin; formun bir örneğini araçta tutun.</t>
        </is>
      </c>
      <c r="P193" s="29" t="inlineStr">
        <is>
          <t>Sigorta belgeleri (araçta taşınır)
Hasar formu (schadeformulier)</t>
        </is>
      </c>
      <c r="Q193" s="29" t="n"/>
      <c r="R193" s="29" t="n"/>
      <c r="S193" s="29" t="inlineStr">
        <is>
          <t>Araç sahibi aracı sigortalar ve sürücü kim olursa olsun sorumlu tutulur. Poliçe kapsamı şirketten şirkete değiştiği için bir şirketin temel poliçesinde olan bir şey başka birinde isteğe bağlı ek olabilir.</t>
        </is>
      </c>
      <c r="T193" s="29" t="n"/>
    </row>
    <row r="194" ht="54" customHeight="1">
      <c r="A194" s="29" t="inlineStr">
        <is>
          <t>eindhoven:ev-sigortalari-opstal-inboedel-aansprakelijkheid</t>
        </is>
      </c>
      <c r="B194" s="29" t="inlineStr">
        <is>
          <t>eindhoven</t>
        </is>
      </c>
      <c r="C194" s="29" t="inlineStr">
        <is>
          <t>ev-sigortalari-opstal-inboedel-aansprakelijkheid</t>
        </is>
      </c>
      <c r="D194" s="29" t="inlineStr">
        <is>
          <t>Ev sahibi ya da kiracı olarak hangi sigortalar gerekir (opstal, inboedel, aansprakelijkheid)?</t>
        </is>
      </c>
      <c r="E194" s="29" t="inlineStr">
        <is>
          <t>Holland Expat Center South'a göre bina sigortası mülk sahipleri için zorunlu; ev eşyası ve sorumluluk sigortası ayrı</t>
        </is>
      </c>
      <c r="F194" s="29" t="inlineStr">
        <is>
          <t>Holland Expat Center South'a göre opstalverzekering (bina sigortası) mülk sahipleri için zorunludur. Opstal, ağır hasarda evin aynı arsada yeniden yapım masrafını karşılar. Daire aldıysanız sigortayı bazen apartman sahipleri birliği sağlar; bunu teyit etmek önemli. Mobilyalı kiralık evlerde opstal genellikle ev sahibi öder (ev sahibinden teyit edilmeli), ama kiracı kişisel eşyaları için yine de inboedelverzekering (ev eşyası sigortası) yaptırmalı. Aansprakelijkheidsverzekering (AVP, kişisel sorumluluk sigortası) zorunlu değil, yine de Hollanda'da çok kişi yaptırıyor.</t>
        </is>
      </c>
      <c r="G194" s="29" t="inlineStr">
        <is>
          <t>opstalverzekering, inboedelverzekering, ev eşyası sigortası, bina sigortası, aansprakelijkheidsverzekering, AVP, kiracı sigortası</t>
        </is>
      </c>
      <c r="H194" s="29" t="inlineStr">
        <is>
          <t>new;settled</t>
        </is>
      </c>
      <c r="I194" s="29" t="inlineStr">
        <is>
          <t>eindhoven:kaynak:097</t>
        </is>
      </c>
      <c r="J194" s="49" t="n">
        <v>46317</v>
      </c>
      <c r="K194" s="51" t="n">
        <v>620</v>
      </c>
      <c r="L194" s="29" t="inlineStr">
        <is>
          <t>Hayır</t>
        </is>
      </c>
      <c r="M194" s="29" t="inlineStr">
        <is>
          <t>Taslak</t>
        </is>
      </c>
      <c r="N194" s="29" t="inlineStr">
        <is>
          <t>eindhoven:para</t>
        </is>
      </c>
      <c r="O194" s="29" t="inlineStr">
        <is>
          <t>Evi satın aldıysanız opstalverzekering yaptırın. Daire aldıysanız sigortayı apartman sahipleri birliğinin sağlayıp sağlamadığını teyit edin.
Kiracıysanız ev sahibine opstal sigortasını kimin ödediğini sorun.
Kiracı da olsanız eşyalarınız için inboedelverzekering yaptırın; sigorta bedelinin (sum insured) güncel olduğundan emin olun.
Kişisel sorumluluk (AVP) sigortası istiyorsanız poliçeyi kendiniz seçin; zorunlu değildir.</t>
        </is>
      </c>
      <c r="P194" s="29" t="n"/>
      <c r="Q194" s="29" t="n"/>
      <c r="R194" s="29" t="n"/>
      <c r="S194" s="29" t="inlineStr">
        <is>
          <t>Holland Expat Center South, mülk sahipleri için opstal sigortasını zorunlu olarak belirtiyor. Ev eşyası sigortasında sigorta bedeli genellikle orantı (average) kuralına tabi; bu yüzden bedelin güncel tutulması önemli. AVP, örneğin sizin veya aile üyelerinizin istemeden bir başkasına ya da malına zarar vermesi durumunu kapsar.</t>
        </is>
      </c>
      <c r="T194" s="29" t="n"/>
    </row>
    <row r="195" ht="54" customHeight="1">
      <c r="A195" s="29" t="inlineStr">
        <is>
          <t>eindhoven:diger-sigortalar-hukuki-koruma-seyahat-kaza-ipotek</t>
        </is>
      </c>
      <c r="B195" s="29" t="inlineStr">
        <is>
          <t>eindhoven</t>
        </is>
      </c>
      <c r="C195" s="29" t="inlineStr">
        <is>
          <t>diger-sigortalar-hukuki-koruma-seyahat-kaza-ipotek</t>
        </is>
      </c>
      <c r="D195" s="29" t="inlineStr">
        <is>
          <t>Hukuki koruma, kaza, yıllık seyahat ve ipotek hayat sigortası ne işe yarar?</t>
        </is>
      </c>
      <c r="E195" s="29" t="inlineStr">
        <is>
          <t>İsteğe bağlı sigortalar; nereden alınır, işyeri indirimi</t>
        </is>
      </c>
      <c r="F195" s="29" t="inlineStr">
        <is>
          <t>Rechtsbijstandsverzekering (hukuki koruma sigortası) hukuki uyuşmazlık masraflarını, seçilen kapsama göre sosyal, sözleşme, iş hukuku, tüketici veya konut uyuşmazlıklarını karşılayabilir ve genellikle danışma için telefon hattı içerir. Ongevallenverzekering (kaza sigortası) kaza sonucu kalıcı sakatlık ya da ölümde sabit bir tutar öder. Ev alıp ipotek çekerseniz, ipoteğe bağlı bir hayat sigortası (overlijdensrisicoverzekering) çoğu zaman zorunludur. Sık seyahat ediyorsanız yıllık poliçe genellikle her gezi için ayrı poliçeden ucuzdur.</t>
        </is>
      </c>
      <c r="G195" s="29" t="inlineStr">
        <is>
          <t>rechtsbijstandsverzekering, ongevallenverzekering, overlijdensrisicoverzekering, doorlopende reisverzekering, seyahat sigortası, hukuki koruma</t>
        </is>
      </c>
      <c r="H195" s="29" t="inlineStr">
        <is>
          <t>planning;new;settled</t>
        </is>
      </c>
      <c r="I195" s="29" t="inlineStr">
        <is>
          <t>eindhoven:kaynak:097</t>
        </is>
      </c>
      <c r="J195" s="49" t="n">
        <v>46317</v>
      </c>
      <c r="K195" s="51" t="n">
        <v>621</v>
      </c>
      <c r="L195" s="29" t="inlineStr">
        <is>
          <t>Hayır</t>
        </is>
      </c>
      <c r="M195" s="29" t="inlineStr">
        <is>
          <t>Taslak</t>
        </is>
      </c>
      <c r="N195" s="29" t="inlineStr">
        <is>
          <t>eindhoven:para</t>
        </is>
      </c>
      <c r="O195" s="29" t="inlineStr">
        <is>
          <t>Sigortayı sigorta şirketinden, bankadan veya mali danışmandan alabilirsiniz; işyerinizde toplu sigorta anlaşması varsa indirimli yaptırabilirsiniz.
Poliçenin temel kapsamında neler olduğunu dikkatle okuyun; bir şirkette temel olan başka şirkette ek seçenek olabilir.
Sık seyahat ediyorsanız yıllık seyahat poliçesini (doorlopende reisverzekering) tek tek gezi poliçeleriyle karşılaştırın.
İpotek çekiyorsanız bankanın ipoteğe bağlı hayat sigortası isteyip istemediğini sorun.</t>
        </is>
      </c>
      <c r="P195" s="29" t="n"/>
      <c r="Q195" s="29" t="n"/>
      <c r="R195" s="29" t="n"/>
      <c r="S195" s="29" t="inlineStr">
        <is>
          <t>Yıllık seyahat poliçesinde bagaj kaybı, kış sporları ve iptal gibi kalemler ek seçenek olabilir. Hollanda'daki sağlık sigortası yurt dışında tedavi masraflarını yalnız Hollanda'daki aynı tedavinin maliyeti kadar karşıladığı için ek tıbbi masraf teminatı gerekip gerekmediğine bakılmalı.</t>
        </is>
      </c>
      <c r="T195" s="29" t="n"/>
    </row>
    <row r="196" ht="54" customHeight="1">
      <c r="A196" s="29" t="inlineStr">
        <is>
          <t>eindhoven:eindhoven-borc-yardimi-wijeindhoven</t>
        </is>
      </c>
      <c r="B196" s="29" t="inlineStr">
        <is>
          <t>eindhoven</t>
        </is>
      </c>
      <c r="C196" s="29" t="inlineStr">
        <is>
          <t>eindhoven-borc-yardimi-wijeindhoven</t>
        </is>
      </c>
      <c r="D196" s="29" t="inlineStr">
        <is>
          <t>Eindhoven'da borç ve para sıkıntısında nereden yardım alınır (WIJeindhoven, budgetbeheer)?</t>
        </is>
      </c>
      <c r="E196" s="29" t="inlineStr">
        <is>
          <t>Önce WIJeindhoven; schuldregeling, budgetbeheer ve budgetcoaching ücretsiz</t>
        </is>
      </c>
      <c r="F196" s="29" t="inlineStr">
        <is>
          <t>Eindhoven'da para sıkıntısı başınızı aşıyorsa belediye, şehir sakinlerine schuldregeling (borçların tamamını çözmeye yönelik) veya budgetbeheer (sabit giderlerin sizin yerinize ödenmesi) ile yardım eder. Önce mahallenizdeki WIJeindhoven ekibine başvurulur; ekipteki iletişim kişiniz borç durumunu sizinle birlikte değerlendirir. Budgetbeheer ücretsizdir; budgetcoaching de ücretsizdir ve ortalama 6 ila 12 ay sürer. Şu anda başvuruların işlenmesinde gecikme var; acil durumda 14 040'ı arayın.</t>
        </is>
      </c>
      <c r="G196" s="29" t="inlineStr">
        <is>
          <t>Eindhoven borç yardımı, schuldhulpverlening, WIJeindhoven, budgetbeheer, budgetcoaching, schuldregeling, 14 040</t>
        </is>
      </c>
      <c r="H196" s="29" t="inlineStr">
        <is>
          <t>new;settled</t>
        </is>
      </c>
      <c r="I196" s="29" t="inlineStr">
        <is>
          <t>eindhoven:kaynak:099</t>
        </is>
      </c>
      <c r="J196" s="49" t="n">
        <v>46317</v>
      </c>
      <c r="K196" s="51" t="n">
        <v>622</v>
      </c>
      <c r="L196" s="29" t="inlineStr">
        <is>
          <t>Hayır</t>
        </is>
      </c>
      <c r="M196" s="29" t="inlineStr">
        <is>
          <t>Taslak</t>
        </is>
      </c>
      <c r="N196" s="29" t="inlineStr">
        <is>
          <t>eindhoven:para</t>
        </is>
      </c>
      <c r="O196" s="29" t="inlineStr">
        <is>
          <t>Önce mahallenizdeki WIJeindhoven ekibine ulaşın; borç veya para sorununuzu iletişim kişinizle (generalist) birlikte inceleyin.
Sizinle, WIJeindhoven ve belediye bir plan van aanpak hazırlar; plana göre schuldregeling ya da budgetbeheer yürütülür.
Budgetbeheerde gelir ve toeslagen belediyenin toplu hesabına yatar; bütçe yöneticiniz sabit giderleri öder ve size her ay hesap özeti gönderilir.
Gün sonunu getirememek sizi uğraştırıyorsa budgetcoaching seçeneğini sorun.
Acil bir sorun varsa 14 040'ı arayın veya schulddienstverlening@eindhoven.nl adresine yazın.</t>
        </is>
      </c>
      <c r="P196" s="29" t="n"/>
      <c r="Q196" s="29" t="inlineStr">
        <is>
          <t>Budgetcoaching ortalama 6 ila 12 ay sürer. Başvuruların işlenmesinde şu an gecikme var; başvurunuz kayıtlı kalır, yeniden başvurmanız gerekmez.</t>
        </is>
      </c>
      <c r="R196" s="29" t="inlineStr">
        <is>
          <t>Budgetbeheer ve budgetcoaching ücretsizdir.</t>
        </is>
      </c>
      <c r="S196" s="29" t="inlineStr">
        <is>
          <t>Belediye vergisi aanslag'ı aldıysanız ve ödeyemeyeceğinizi kanıtlayabiliyorsanız kwijtschelding (silme) hakkınız olabilir. Geçmişte fazla bijstand ya da bijzondere bijstand aldıysanız bunu belediyeye geri ödersiniz; bazı durumlarda borcun tamamı ya da bir kısmı silinebilir, koşullar sıkıdır. Bu silme için sizin başvurmanız gerekmez: uygunsanız belediye durumunuzu yeniden incelemek için sizinle iletişime geçer.</t>
        </is>
      </c>
      <c r="T196" s="29" t="n"/>
    </row>
    <row r="197" ht="54" customHeight="1">
      <c r="A197" s="29" t="inlineStr">
        <is>
          <t>eindhoven:eindhoven-meedoenbijdrage-inkomenstoeslag</t>
        </is>
      </c>
      <c r="B197" s="29" t="inlineStr">
        <is>
          <t>eindhoven</t>
        </is>
      </c>
      <c r="C197" s="29" t="inlineStr">
        <is>
          <t>eindhoven-meedoenbijdrage-inkomenstoeslag</t>
        </is>
      </c>
      <c r="D197" s="29" t="inlineStr">
        <is>
          <t>Eindhoven'da düşük gelirliler için Meedoenbijdrage ve individuele inkomenstoeslag nedir?</t>
        </is>
      </c>
      <c r="E197" s="29" t="inlineStr">
        <is>
          <t>Belediyeden yılda bir kez ödenen iki destek ve başvuru yerleri</t>
        </is>
      </c>
      <c r="F197" s="29" t="inlineStr">
        <is>
          <t>Eindhoven'da 18 yaşını doldurmuş, şehirde yaşayan ve düşük gelirli olanlar, 1 Şubat ile 31 Aralık 2026 arasında 2026 yılı için Meedoenbijdrage'yi online başvurabilir; kendiniz, eşiniz ve reşit olmayan çocuklarınız için istenebilir ve yılda bir kez, serbestçe harcanabilecek bir tutar olarak ödenir. 22 yaşını doldurmuş, emekli olmamış ve 4 yıl veya daha uzun süredir düşük gelirli olanlar yılda bir kez ödenen individuele inkomenstoeslag isteyebilir. 2025 ve 2026'da daha fazla kişi bu iki desteğe hak kazanıyor.</t>
        </is>
      </c>
      <c r="G197" s="29" t="inlineStr">
        <is>
          <t>Meedoenbijdrage, individuele inkomenstoeslag, Eindhoven düşük gelir desteği, Bereken Je Recht, WIJeindhoven, gemeente Eindhoven</t>
        </is>
      </c>
      <c r="H197" s="29" t="inlineStr">
        <is>
          <t>new;settled</t>
        </is>
      </c>
      <c r="I197" s="29" t="inlineStr">
        <is>
          <t>eindhoven:kaynak:100</t>
        </is>
      </c>
      <c r="J197" s="49" t="n">
        <v>46317</v>
      </c>
      <c r="K197" s="51" t="n">
        <v>623</v>
      </c>
      <c r="L197" s="29" t="inlineStr">
        <is>
          <t>Hayır</t>
        </is>
      </c>
      <c r="M197" s="29" t="inlineStr">
        <is>
          <t>Taslak</t>
        </is>
      </c>
      <c r="N197" s="29" t="inlineStr">
        <is>
          <t>eindhoven:para</t>
        </is>
      </c>
      <c r="O197" s="29" t="inlineStr">
        <is>
          <t>Bereken Je Recht sitesinde hangi ulusal ve Eindhoven'a özel desteklere hakkınız olduğunu hesaplayın.
Meedoenbijdrage için 1 Şubat ile 31 Aralık 2026 arasında online başvuru yapın; kendiniz, eşiniz ve reşit olmayan çocuklarınız için isteyebilirsiniz.
İndividuele inkomenstoeslag için 22 yaşını doldurduğunuzu, emekli olmadığınızı ve 4 yıl veya daha uzun süredir düşük gelirli olduğunuzu kontrol edip başvurun.
Yardıma ihtiyacınız varsa WIJeindhoven iletişim kişinize, Lumens Sociaal Raadsliedenwerk'e (040) 219 33 00 veya Werkplaats Financiën'e (040) 760 17 77 ulaşın.</t>
        </is>
      </c>
      <c r="P197" s="29" t="n"/>
      <c r="Q197" s="29" t="inlineStr">
        <is>
          <t>Meedoenbijdrage 2026 başvurusu 1 Şubat - 31 Aralık 2026; her iki destek yılda bir kez ödenir.</t>
        </is>
      </c>
      <c r="R197" s="29" t="n"/>
      <c r="S197" s="29" t="inlineStr">
        <is>
          <t>Eskiden bu desteklere hakkı olmayanlar, 2025 ve 2026'da hak kazanmış olabilir; sayfa bunu özellikle vurguluyor.</t>
        </is>
      </c>
      <c r="T197" s="29" t="n"/>
    </row>
    <row r="198" ht="54" customHeight="1">
      <c r="A198" s="29" t="inlineStr">
        <is>
          <t>eindhoven:eindhoven-spor-kultur-agiz-dis-destegi</t>
        </is>
      </c>
      <c r="B198" s="29" t="inlineStr">
        <is>
          <t>eindhoven</t>
        </is>
      </c>
      <c r="C198" s="29" t="inlineStr">
        <is>
          <t>eindhoven-spor-kultur-agiz-dis-destegi</t>
        </is>
      </c>
      <c r="D198" s="29" t="inlineStr">
        <is>
          <t>Eindhoven'da spor, kültür ve diş bakımı için belediye desteği var mı?</t>
        </is>
      </c>
      <c r="E198" s="29" t="inlineStr">
        <is>
          <t>Volwassenenfonds Sport &amp; Cultuur ve mondzorgregeling</t>
        </is>
      </c>
      <c r="F198" s="29" t="inlineStr">
        <is>
          <t>Eindhoven'da geliri bijstandsnorm'un %120'sine kadar olanlar, spor ve kültür için Volwassenenfonds Sport &amp; Cultuur üzerinden mali katkı alabilir; volwassenenfonds.nl/eindhoven sayfasında bir aracı (intermediair) seçip onunla iletişime geçilir. Diş ve ağız bakımı masraflarını karşılayamayanlar için belediyenin Nisan 2025'ten Nisan 2027'ye kadar süren bir mondzorgregeling'i var. Sayfada ayrıca bijzondere bijstand, gemeentepolis, studietoeslag, kinderopvangbijdrage ve kwijtschelding gemeentelijke belastingen de ayrı düzenlemeler olarak listeleniyor.</t>
        </is>
      </c>
      <c r="G198" s="29" t="inlineStr">
        <is>
          <t>Volwassenenfonds, spor ve kültür desteği, mondzorgregeling, diş desteği, bijzondere bijstand, gemeentepolis, Eindhoven</t>
        </is>
      </c>
      <c r="H198" s="29" t="inlineStr">
        <is>
          <t>new;settled</t>
        </is>
      </c>
      <c r="I198" s="29" t="inlineStr">
        <is>
          <t>eindhoven:kaynak:100</t>
        </is>
      </c>
      <c r="J198" s="49" t="n">
        <v>46317</v>
      </c>
      <c r="K198" s="51" t="n">
        <v>624</v>
      </c>
      <c r="L198" s="29" t="inlineStr">
        <is>
          <t>Hayır</t>
        </is>
      </c>
      <c r="M198" s="29" t="inlineStr">
        <is>
          <t>Taslak</t>
        </is>
      </c>
      <c r="N198" s="29" t="inlineStr">
        <is>
          <t>eindhoven:para</t>
        </is>
      </c>
      <c r="O198" s="29" t="inlineStr">
        <is>
          <t>Gelirinizin bijstandsnorm'un %120'sini aşmadığını kontrol edin.
volwassenenfonds.nl/eindhoven adresine gidin ve belediyenin kurallarını okuyun.
Bir aracı (intermediair) seçip onunla iletişime geçin.
Diş ve ağız bakımı masrafı için belediyenin mondzorgregeling sayfasında hak sahibi olup olmadığınıza bakın.</t>
        </is>
      </c>
      <c r="P198" s="29" t="n"/>
      <c r="Q198" s="29" t="inlineStr">
        <is>
          <t>Mondzorgregeling Nisan 2025 - Nisan 2027 arasında geçerli.</t>
        </is>
      </c>
      <c r="R198" s="29" t="n"/>
      <c r="S198" s="29" t="inlineStr">
        <is>
          <t>Sayfa sporun ve yaratıcı hobilerin (resim, tiyatro, görsel sanat) sağlığa olumlu etkisini vurgulayarak bu desteği tanıtıyor.</t>
        </is>
      </c>
      <c r="T198" s="29" t="n"/>
    </row>
    <row r="199" ht="54" customHeight="1">
      <c r="A199" s="29" t="inlineStr">
        <is>
          <t>eindhoven:hec-south-randevu-kapsami</t>
        </is>
      </c>
      <c r="B199" s="29" t="inlineStr">
        <is>
          <t>eindhoven</t>
        </is>
      </c>
      <c r="C199" s="29" t="inlineStr">
        <is>
          <t>hec-south-randevu-kapsami</t>
        </is>
      </c>
      <c r="D199" s="29" t="inlineStr">
        <is>
          <t>Holland Expat Center South nedir, kimler randevu alabilir?</t>
        </is>
      </c>
      <c r="E199" s="29" t="inlineStr">
        <is>
          <t>Belediye kaydı ve IND işlemleri tek randevuda</t>
        </is>
      </c>
      <c r="F199" s="29" t="inlineStr">
        <is>
          <t>Holland Expat Center South (HEC), belediye kaydını (BRP ve BSN) ve IND işlemlerini tek randevuda birleştiren hızlandırılmış bir yöntem sunar; adresi Stadhuisplein 10, Eindhoven. Eindhoven'da oturuyorsanız BSN'nizi randevuda alırsınız; yerel belediyede bu 30 güne kadar sürebilir. Kennismigrant (nitelikli göçmen), mavi kart, şirket içi transfer, araştırmacı, zoekjaar ve start-up kategorilerindekiler, işvereni IND tanınmış sponsoru olan AB/AEA/İsviçre vatandaşları ve bunların aile bireyleri başvurabilir.</t>
        </is>
      </c>
      <c r="G199" s="29" t="inlineStr">
        <is>
          <t>HEC, Holland Expat Center South, expat center, BSN, belediye kaydı, IND, randevu</t>
        </is>
      </c>
      <c r="H199" s="29" t="inlineStr">
        <is>
          <t>before;planning;new</t>
        </is>
      </c>
      <c r="I199" s="29" t="inlineStr">
        <is>
          <t>eindhoven:kaynak:002;eindhoven:kaynak:011;eindhoven:kaynak:001</t>
        </is>
      </c>
      <c r="J199" s="49" t="n">
        <v>46317</v>
      </c>
      <c r="K199" s="51" t="n">
        <v>101</v>
      </c>
      <c r="L199" s="29" t="inlineStr">
        <is>
          <t>Evet</t>
        </is>
      </c>
      <c r="M199" s="29" t="inlineStr">
        <is>
          <t>Taslak</t>
        </is>
      </c>
      <c r="N199" s="29" t="inlineStr">
        <is>
          <t>eindhoven:planlama</t>
        </is>
      </c>
      <c r="O199" s="29" t="inlineStr">
        <is>
          <t>Kategorinizin listede olup olmadığına bakın: kennismigrant, mavi kart, şirket içi transfer, araştırmacı, zoekjaar, start-up veya bunların aile bireyi.
Hizmet verilen belediyelerden birinde yaşadığınızı ve/veya çalıştığınızı doğrulayın.
Belediye kaydı istiyorsanız adresteki kira sözleşmesinin başlangıç tarihinin randevu tarihinden geç olmadığından emin olun.
Üç randevu türünden birini seçin: birleşik, yalnız belediye kaydı veya yalnız IND işlemleri.
Randevuyu e-postayla isteyin.</t>
        </is>
      </c>
      <c r="P199" s="29" t="n"/>
      <c r="Q199" s="29" t="inlineStr">
        <is>
          <t>Pazartesi-cuma 09:00-17:00; yalnızca randevuyla</t>
        </is>
      </c>
      <c r="R199" s="29" t="n"/>
      <c r="S199" s="29" t="inlineStr">
        <is>
          <t>Bu kategorilerden biri değilseniz ya da AB/AEA/İsviçre vatandaşının AB dışı aile bireyiyseniz BRP/BSN kaydını yerel belediyede, göç işlemlerini IND ofisinde yaparsınız; en yakın IND ofisi genellikle s-Hertogenbosch'tadır.</t>
        </is>
      </c>
      <c r="T199" s="29" t="n"/>
    </row>
    <row r="200" ht="54" customHeight="1">
      <c r="A200" s="29" t="inlineStr">
        <is>
          <t>eindhoven:hec-south-randevu-alma</t>
        </is>
      </c>
      <c r="B200" s="29" t="inlineStr">
        <is>
          <t>eindhoven</t>
        </is>
      </c>
      <c r="C200" s="29" t="inlineStr">
        <is>
          <t>hec-south-randevu-alma</t>
        </is>
      </c>
      <c r="D200" s="29" t="inlineStr">
        <is>
          <t>HEC South'tan randevu nasıl alınır?</t>
        </is>
      </c>
      <c r="E200" s="29" t="inlineStr">
        <is>
          <t>Yalnızca e-postayla; güvenli form bağlantısı gelir</t>
        </is>
      </c>
      <c r="F200" s="29" t="inlineStr">
        <is>
          <t>HEC randevusu yalnızca e-postayla alınır, çünkü size güvenli bir form bağlantısı gönderilmesi gerekir. Her kişi için pasaporttaki yazılışıyla tam ad, V numarası (yoksa doğum tarihi) ve istenen hizmet e-postada yazılır. Formu doldurduktan sonra randevu tarihi ve ayrıntıları e-postayla size gelir.</t>
        </is>
      </c>
      <c r="G200" s="29" t="inlineStr">
        <is>
          <t>HEC randevu, expat center randevu, V numarası, e-posta randevu, oturum izni yenileme</t>
        </is>
      </c>
      <c r="H200" s="29" t="inlineStr">
        <is>
          <t>before;planning;new</t>
        </is>
      </c>
      <c r="I200" s="29" t="inlineStr">
        <is>
          <t>eindhoven:kaynak:002;eindhoven:kaynak:011</t>
        </is>
      </c>
      <c r="J200" s="49" t="n">
        <v>46317</v>
      </c>
      <c r="K200" s="51" t="n">
        <v>102</v>
      </c>
      <c r="L200" s="29" t="inlineStr">
        <is>
          <t>Hayır</t>
        </is>
      </c>
      <c r="M200" s="29" t="inlineStr">
        <is>
          <t>Taslak</t>
        </is>
      </c>
      <c r="N200" s="29" t="inlineStr">
        <is>
          <t>eindhoven:planlama</t>
        </is>
      </c>
      <c r="O200" s="29" t="inlineStr">
        <is>
          <t>Her kişi için pasaporttaki yazılışıyla tam adı, V numarasını (yoksa veya bilmiyorsanız doğum tarihini) ve istediğiniz hizmeti HEC'e e-postayla yazın.
Size gönderilen e-postadaki güvenli bağlantıdan online formu doldurun.
Randevu tarihi ve ayrıntıları içeren e-postayı bekleyin.
Randevu günü 5-10 dakika erken gidip karşılama masasında kaydınızı yaptırın.</t>
        </is>
      </c>
      <c r="P200" s="29" t="n"/>
      <c r="Q200" s="29" t="inlineStr">
        <is>
          <t>Belediye kaydı için Hollanda'ya varıştan sonra 5 gün içinde randevu alınmalı</t>
        </is>
      </c>
      <c r="R200" s="29" t="n"/>
      <c r="S200" s="29" t="inlineStr">
        <is>
          <t>Oturum izni yenilemesi de aynı yolla yapılır: e-postada tam adınızı ve V numaranızı yazıp yenileme randevusu istediğinizi belirtin.</t>
        </is>
      </c>
      <c r="T200" s="29" t="n"/>
    </row>
    <row r="201" ht="54" customHeight="1">
      <c r="A201" s="29" t="inlineStr">
        <is>
          <t>eindhoven:hec-randevu-belgeleri</t>
        </is>
      </c>
      <c r="B201" s="29" t="inlineStr">
        <is>
          <t>eindhoven</t>
        </is>
      </c>
      <c r="C201" s="29" t="inlineStr">
        <is>
          <t>hec-randevu-belgeleri</t>
        </is>
      </c>
      <c r="D201" s="29" t="inlineStr">
        <is>
          <t>HEC randevusuna hangi belgelerle gidilir?</t>
        </is>
      </c>
      <c r="E201" s="29" t="inlineStr">
        <is>
          <t>Pasaport, adres kanıtı, doğum ve evlilik belgesi</t>
        </is>
      </c>
      <c r="F201" s="29" t="inlineStr">
        <is>
          <t>Herkesten geçerli pasaport ve adres kanıtı istenir; ehliyet kimlik olarak kabul edilmez, AB vatandaşları kimlik kartıyla da gelebilir. Adres kanıtı kira sözleşmesi ya da mülkiyet belgesidir. Ayrıca doğum belgesinin aslı veya legalize kopyası, varsa evlilik ya da boşanma belgesi gerekir; evlilik/boşanma belgesi 6 aydan eski olmamalıdır. AB/AEA/İsviçre vatandaşı değilsen pasaportunda kalma ve çalışma izni notu ya da etiketi de olmalıdır.</t>
        </is>
      </c>
      <c r="G201" s="29" t="inlineStr">
        <is>
          <t>HEC belgeler, doğum belgesi, evlilik belgesi, kira sözleşmesi, adres kanıtı, biyometri</t>
        </is>
      </c>
      <c r="H201" s="29" t="inlineStr">
        <is>
          <t>before;planning;new</t>
        </is>
      </c>
      <c r="I201" s="29" t="inlineStr">
        <is>
          <t>eindhoven:kaynak:002</t>
        </is>
      </c>
      <c r="J201" s="49" t="n">
        <v>46317</v>
      </c>
      <c r="K201" s="51" t="n">
        <v>103</v>
      </c>
      <c r="L201" s="29" t="inlineStr">
        <is>
          <t>Hayır</t>
        </is>
      </c>
      <c r="M201" s="29" t="inlineStr">
        <is>
          <t>Taslak</t>
        </is>
      </c>
      <c r="N201" s="29" t="inlineStr">
        <is>
          <t>eindhoven:planlama</t>
        </is>
      </c>
      <c r="O201" s="29" t="inlineStr">
        <is>
          <t>Geçerli pasaportunuzu hazırlayın; AB vatandaşıysanız kimlik kartı da olur, ehliyet olmaz.
Kira sözleşmesi veya mülkiyet belgesini (akte) alın; sözleşmede adınız yoksa asıl kiracı ya da ev sahibinden imzalı beyan (veya belediyeden alınan form) ile onun pasaport fotokopisini edinin.
Doğum belgenizin aslını ya da legalize kopyasını, varsa evlilik veya boşanma belgesini hazırlayın.
Belge Hollandaca, İngilizce, Almanca veya Fransızca dışındaysa yeminli tercümana çevirtin.</t>
        </is>
      </c>
      <c r="P201" s="29" t="inlineStr">
        <is>
          <t>Geçerli pasaport (AB vatandaşları kimlik kartı da kullanabilir; ehliyet kabul edilmez)
AB dışı vatandaşlar için geçerli oturum izni ya da izin başvurusu sürecinde olduğunu gösteren belge
Adres kanıtı: kira sözleşmesi veya mülkiyet belgesi (tapu/akte)
Doğum belgesinin aslı veya legalize edilmiş kopyası
Varsa evlilik veya boşanma belgesinin aslı ya da legalize kopyası (6 aydan eski olmamalı)
AB, Liechtenstein, Norveç, İzlanda ya da İsviçre vatandaşı değilsen: pasaportunda Hollanda'da kalmana ve çalışmana izin veren not/etiket (sticker)</t>
        </is>
      </c>
      <c r="Q201" s="29" t="n"/>
      <c r="R201" s="29" t="n"/>
      <c r="S201" s="29" t="inlineStr">
        <is>
          <t>Başörtüsüyle biyometri randevusuna gidenler tek renkli, beyaz olmayan bir başörtüsü takmalıdır; çok renkli ya da beyazsa IND fotoğraf çekemez ve randevu ileri bir tarihe kalır. Fotoğraf getirmeniz yalnızca istenmişse gerekir.</t>
        </is>
      </c>
      <c r="T201" s="29" t="n"/>
    </row>
    <row r="202" ht="54" customHeight="1">
      <c r="A202" s="29" t="inlineStr">
        <is>
          <t>eindhoven:hec-hizmet-veren-belediyeler</t>
        </is>
      </c>
      <c r="B202" s="29" t="inlineStr">
        <is>
          <t>eindhoven</t>
        </is>
      </c>
      <c r="C202" s="29" t="inlineStr">
        <is>
          <t>hec-hizmet-veren-belediyeler</t>
        </is>
      </c>
      <c r="D202" s="29" t="inlineStr">
        <is>
          <t>HEC South hangi belediyelere hizmet verir?</t>
        </is>
      </c>
      <c r="E202" s="29" t="inlineStr">
        <is>
          <t>Eindhoven ve çevresindeki belediyeler</t>
        </is>
      </c>
      <c r="F202" s="29" t="inlineStr">
        <is>
          <t>Eindhoven, HEC South'un hizmet verdiği belediyelerin başında gelir; Veldhoven, Son en Breugel, Nuenen, Waalre, Valkenswaard, Tilburg, Breda ve s-Hertogenbosch de listededir. Bu belediyelerde oturmak tek başına yetmez: HEC yalnız belirli izin gruplarına (kennismigrant, mavi kart, şirket içi transfer, araştırmacı, zoekjaar, start-up girişimcisi ve gerekli start-up personeli), işvereni IND tanınmış sponsoru olan AB/AEA/İsviçre vatandaşlarına ve bunların aile bireylerine hizmet verir; AB/AEA/İsviçre vatandaşlarının AB dışı aile bireyleri kapsam dışıdır. Bu gruplardaysanız belediye kaydı hizmeti için listedeki bir belediyede oturmanız ve kira sözleşmenizin başlangıç tarihinin randevu tarihinden sonra olmaması, IND hizmetleri için bölgede çalışmanız gerekir. Eindhoven dışındaki katılımcı belediyede oturuyorsanız BSN randevuda verilmez, 5 iş günü içinde postayla evinize gelir.</t>
        </is>
      </c>
      <c r="G202" s="29" t="inlineStr">
        <is>
          <t>HEC belediyeler, Veldhoven, Son en Breugel, Nuenen, Tilburg, BSN posta</t>
        </is>
      </c>
      <c r="H202" s="29" t="inlineStr">
        <is>
          <t>before;planning</t>
        </is>
      </c>
      <c r="I202" s="29" t="inlineStr">
        <is>
          <t>eindhoven:kaynak:003;eindhoven:kaynak:002</t>
        </is>
      </c>
      <c r="J202" s="49" t="n">
        <v>46317</v>
      </c>
      <c r="K202" s="51" t="n">
        <v>104</v>
      </c>
      <c r="L202" s="29" t="inlineStr">
        <is>
          <t>Hayır</t>
        </is>
      </c>
      <c r="M202" s="29" t="inlineStr">
        <is>
          <t>Taslak</t>
        </is>
      </c>
      <c r="N202" s="29" t="inlineStr">
        <is>
          <t>eindhoven:planlama</t>
        </is>
      </c>
      <c r="O202" s="29" t="inlineStr">
        <is>
          <t>Önce izin türünüzün (AB vatandaşıysanız işvereninizin tanınmış sponsor olmasının) HEC kapsamına girdiğini kontrol edin; girmiyorsa nüfus kaydı için kendi belediyenize, izin işlemleri için bir IND ofisine gidersiniz.
Oturacağınız veya çalışacağınız belediyenin katılımcı listesinde olup olmadığına bakın.
Listede görmüyorsanız HEC'e mesaj yazın; belediyenizin listedeki belediyelerden birine bağlı olup olmadığına bakarlar.
Eindhoven dışındaki katılımcı belediyede oturuyorsanız BSN'nizin 5 iş günü içinde postayla geleceğini hesaba katın.</t>
        </is>
      </c>
      <c r="P202" s="29" t="n"/>
      <c r="Q202" s="29" t="inlineStr">
        <is>
          <t>BSN, Eindhoven dışındaki katılımcı belediyelerde 5 iş günü içinde postayla gelir</t>
        </is>
      </c>
      <c r="R202" s="29" t="n"/>
      <c r="S202" s="29" t="inlineStr">
        <is>
          <t>Belediyeniz listede yoksa bile bağlı olduğu belediye listede yer alıyorsa HEC sizi kaydedebilir.</t>
        </is>
      </c>
      <c r="T202" s="29" t="n"/>
    </row>
    <row r="203" ht="54" customHeight="1">
      <c r="A203" s="29" t="inlineStr">
        <is>
          <t>eindhoven:izin-karti-hec-teslim-alma</t>
        </is>
      </c>
      <c r="B203" s="29" t="inlineStr">
        <is>
          <t>eindhoven</t>
        </is>
      </c>
      <c r="C203" s="29" t="inlineStr">
        <is>
          <t>izin-karti-hec-teslim-alma</t>
        </is>
      </c>
      <c r="D203" s="29" t="inlineStr">
        <is>
          <t>Oturum ve çalışma izni kartı HEC'ten nasıl teslim alınır?</t>
        </is>
      </c>
      <c r="E203" s="29" t="inlineStr">
        <is>
          <t>VVR ve TEV yollarında biyometri ve teslim sırası</t>
        </is>
      </c>
      <c r="F203" s="29" t="inlineStr">
        <is>
          <t>IND, izin hazır olduğunda size veya sponsorunuza mektup gönderir. VVR (normal oturum izni) yolunda önce biyometri randevusu verilir; IND fotoğrafınızı, parmak izlerinizi ve imzanızı alır, izin hazır olunca ikinci mektup gelir. TEV (giriş ve ikamet prosedürü) yolunda izni genellikle ilk ziyarette alırsınız.</t>
        </is>
      </c>
      <c r="G203" s="29" t="inlineStr">
        <is>
          <t>oturum izni teslim, VVR, TEV, MVV, biyometri, IND mektubu, çalışma izni</t>
        </is>
      </c>
      <c r="H203" s="29" t="inlineStr">
        <is>
          <t>before;planning;new</t>
        </is>
      </c>
      <c r="I203" s="29" t="inlineStr">
        <is>
          <t>eindhoven:kaynak:002;eindhoven:kaynak:001</t>
        </is>
      </c>
      <c r="J203" s="49" t="n">
        <v>46317</v>
      </c>
      <c r="K203" s="51" t="n">
        <v>105</v>
      </c>
      <c r="L203" s="29" t="inlineStr">
        <is>
          <t>Hayır</t>
        </is>
      </c>
      <c r="M203" s="29" t="inlineStr">
        <is>
          <t>Taslak</t>
        </is>
      </c>
      <c r="N203" s="29" t="inlineStr">
        <is>
          <t>eindhoven:planlama</t>
        </is>
      </c>
      <c r="O203" s="29" t="inlineStr">
        <is>
          <t>IND'nin size veya sponsorunuza gönderdiği mektubu bekleyin; mektup ne yapmanız gerektiğini açıklar.
VVR yolundaysanız önce biyometri randevusu alın; IND fotoğraf, parmak izi ve imzanızı alır.
İzin hazır olduğunu bildiren ikinci mektup gelince izin teslimi için HEC'ten randevu isteyin.
TEV yolundaysanız izni genellikle ilk ziyaretinizde alırsınız.
MVV ile girdiyseniz izni MVV süresi dolmadan teslim alın.</t>
        </is>
      </c>
      <c r="P203" s="29" t="n"/>
      <c r="Q203" s="29" t="inlineStr">
        <is>
          <t>VVR: önce biyometri, sonra ikinci mektupla teslim; TEV: genellikle ilk ziyarette</t>
        </is>
      </c>
      <c r="R203" s="29" t="n"/>
      <c r="S203" s="29" t="inlineStr">
        <is>
          <t>MVV'siz girenler vize başlangıç tarihini beklemek zorundadır; MVV ile girenler ve işvereni tanınmış sponsor olan AB/AEA/İsviçre vatandaşları ise aktif bir konut sözleşmesi olur olmaz kayıt yaptırabilir.</t>
        </is>
      </c>
      <c r="T203" s="29" t="n"/>
    </row>
    <row r="204" ht="54" customHeight="1">
      <c r="A204" s="29" t="inlineStr">
        <is>
          <t>eindhoven:izin-turleri-basvuruyu-kim-yapar</t>
        </is>
      </c>
      <c r="B204" s="29" t="inlineStr">
        <is>
          <t>eindhoven</t>
        </is>
      </c>
      <c r="C204" s="29" t="inlineStr">
        <is>
          <t>izin-turleri-basvuruyu-kim-yapar</t>
        </is>
      </c>
      <c r="D204" s="29" t="inlineStr">
        <is>
          <t>HEC'ten alınabilen izin türleri: başvuruyu kim yapar?</t>
        </is>
      </c>
      <c r="E204" s="29" t="inlineStr">
        <is>
          <t>Kennismigrant, mavi kart, şirket içi transfer, zoekjaar, start-up</t>
        </is>
      </c>
      <c r="F204" s="29" t="inlineStr">
        <is>
          <t>Başvuruyu kimin yapacağı izin türüne göre değişir. Kennismigrant, araştırmacı ve şirket içi transfer izninde işveren başvurur; start-up izninde başvuruyu facilitator online yapabilir ya da siz kendiniz posta ile yazılı olarak başvurabilirsiniz; zoekjaar için kendiniz online veya posta ile başvurursunuz; mavi kartta siz ya da işveren posta ile başvurursunuz. Kennismigrant ve araştırmacı izni için işvereninizin IND tanınmış sponsoru olması şarttır.</t>
        </is>
      </c>
      <c r="G204" s="29" t="inlineStr">
        <is>
          <t>kennismigrant, mavi kart, zoekjaar, şirket içi transfer, tanınmış sponsor, start-up izni, IND</t>
        </is>
      </c>
      <c r="H204" s="29" t="inlineStr">
        <is>
          <t>before;planning</t>
        </is>
      </c>
      <c r="I204" s="29" t="inlineStr">
        <is>
          <t>eindhoven:kaynak:001</t>
        </is>
      </c>
      <c r="J204" s="49" t="n">
        <v>46317</v>
      </c>
      <c r="K204" s="51" t="n">
        <v>106</v>
      </c>
      <c r="L204" s="29" t="inlineStr">
        <is>
          <t>Hayır</t>
        </is>
      </c>
      <c r="M204" s="29" t="inlineStr">
        <is>
          <t>Taslak</t>
        </is>
      </c>
      <c r="N204" s="29" t="inlineStr">
        <is>
          <t>eindhoven:planlama</t>
        </is>
      </c>
      <c r="O204" s="29" t="inlineStr">
        <is>
          <t>İşvereninizin IND'nin tanınmış sponsor kayıt listesinde olup olmadığına bakın.
İzin türünüze göre başvuruyu kimin yapacağını belirleyin: işveren, facilitator veya siz.
Zoekjaar için online ya da posta yoluyla, mavi kart için posta yoluyla başvurun.
IND izin hazır olduğunda gönderecek mektubu bekleyin.</t>
        </is>
      </c>
      <c r="P204" s="29" t="n"/>
      <c r="Q204" s="29" t="n"/>
      <c r="R204" s="29" t="n"/>
      <c r="S204" s="29" t="inlineStr">
        <is>
          <t>Kennismigrant iznine başvururken Türk vatandaşları için vize kuralları bazı durumlarda daha esnektir; ayrıntılar IND sitesinde. Şirket içi transfer izni AB/AEA/İsviçre dışı vatandaş yöneticiler, uzmanlar ve stajyerler içindir; bu izinde ve mavi kartta işverenin tanınmış sponsor olması şart değildir ama süreç daha kolay ve hızlıdır. Start-up'ın gerekli personeli için siz ya da işvereniniz posta ile başvurur.</t>
        </is>
      </c>
      <c r="T204" s="29" t="n"/>
    </row>
    <row r="205" ht="54" customHeight="1">
      <c r="A205" s="29" t="inlineStr">
        <is>
          <t>eindhoven:belge-apostil-ceviri-hazirligi</t>
        </is>
      </c>
      <c r="B205" s="29" t="inlineStr">
        <is>
          <t>eindhoven</t>
        </is>
      </c>
      <c r="C205" s="29" t="inlineStr">
        <is>
          <t>belge-apostil-ceviri-hazirligi</t>
        </is>
      </c>
      <c r="D205" s="29" t="inlineStr">
        <is>
          <t>Taşınmadan önce belgeler apostil ve çeviriye nasıl hazırlanır?</t>
        </is>
      </c>
      <c r="E205" s="29" t="inlineStr">
        <is>
          <t>Doğum, evlilik, bekârlık belgesi ve diploma için sıra</t>
        </is>
      </c>
      <c r="F205" s="29" t="inlineStr">
        <is>
          <t>IND başvurusunda genellikle yabancı resmî belgeler istenir ve bunların legalize edilip çevrilmesi gerekir; legalizasyon çok zaman alabildiği için erken başlayın. Türkiye'den belgelerde apostil Türk makamlarınca yapılır; ancak nüfus kayıtlarının çok dilli örnekleri ile büyükelçilik/konsolosluk belgeleri legalizasyon istemez. Belgeniz Türkçeyse ve çok dilli örnek alamıyorsanız yeminli tercümana çevirtirsiniz: çeviriyi Türkiye'de yaptırırsanız aslına da çeviriye de apostil gerekir; aslına Türkiye'de apostil yaptırıp çeviriyi Hollanda'da yeminli tercümana yaptırırsanız çeviriye apostil gerekmez.</t>
        </is>
      </c>
      <c r="G205" s="29" t="inlineStr">
        <is>
          <t>apostil, legalizasyon, doğum belgesi, bekârlık belgesi, diploma, IND belge, çeviri</t>
        </is>
      </c>
      <c r="H205" s="29" t="inlineStr">
        <is>
          <t>before;planning</t>
        </is>
      </c>
      <c r="I205" s="29" t="inlineStr">
        <is>
          <t>eindhoven:kaynak:012;eindhoven:kaynak:013;eindhoven:kaynak:002</t>
        </is>
      </c>
      <c r="J205" s="49" t="n">
        <v>46317</v>
      </c>
      <c r="K205" s="51" t="n">
        <v>107</v>
      </c>
      <c r="L205" s="29" t="inlineStr">
        <is>
          <t>Hayır</t>
        </is>
      </c>
      <c r="M205" s="29" t="inlineStr">
        <is>
          <t>Taslak</t>
        </is>
      </c>
      <c r="N205" s="29" t="inlineStr">
        <is>
          <t>eindhoven:planlama</t>
        </is>
      </c>
      <c r="O205" s="29" t="inlineStr">
        <is>
          <t>İhtiyacınız olan belgeleri listeleyin: doğum, evlilik, bekârlık belgesi, diploma.
Mümkünse nüfus müdürlüğünden çok dilli örnek isteyin; çeviri ve legalizasyon gerektirmez.
Diploma ve mesleki sertifikalarınızı apostille ile legalize ettirin.
Belgeniz Türkçeyse ve çok dilli örnek alamıyorsanız Hollandaca, İngilizce, Fransızca veya Almancaya yeminli tercümanla çevirtin: Türkiye'de çevirtirseniz aslı ve çeviriyi apostille legalize ettirin; Hollanda'da çevirtecekseniz yalnız aslını Türkiye'de legalize ettirip çeviriyi Hollanda'da yeminli tercümana yaptırın.
Daha yeni bir belge gerekirse belgeyi yeniden alın ve yeniden legalize ettirin; legalize edilmiş belge ikinci kez legalize edilemez.</t>
        </is>
      </c>
      <c r="P205" s="29" t="n"/>
      <c r="Q205" s="29" t="inlineStr">
        <is>
          <t>Legalizasyon çok zaman alabilir, erken başlayın</t>
        </is>
      </c>
      <c r="R205" s="29" t="n"/>
      <c r="S205" s="29" t="inlineStr">
        <is>
          <t>IND bekârlık belgesini yalnızca 6 aydan eski değilse kabul eder; doğum, evlilik ve ölüm belgelerinde düzenlenme veya legalize tarihine bakmaz. HEC belediye kaydında ise evlilik/boşanma belgesi için 6 ay sınırı vardır. IND belge çevirisi ve legalizasyonu yapmaz. Belge orijinal ve eksiksiz olmalı; başka belgelere ya da eklere atıf yapıyorsa onlar da eklenmelidir.</t>
        </is>
      </c>
      <c r="T205" s="29" t="n"/>
    </row>
    <row r="206" ht="54" customHeight="1">
      <c r="A206" s="29" t="inlineStr">
        <is>
          <t>eindhoven:turkiye-belgeleri-apostilsiz</t>
        </is>
      </c>
      <c r="B206" s="29" t="inlineStr">
        <is>
          <t>eindhoven</t>
        </is>
      </c>
      <c r="C206" s="29" t="inlineStr">
        <is>
          <t>turkiye-belgeleri-apostilsiz</t>
        </is>
      </c>
      <c r="D206" s="29" t="inlineStr">
        <is>
          <t>Türkiye'den hangi belgeler apostil olmadan kullanılır?</t>
        </is>
      </c>
      <c r="E206" s="29" t="inlineStr">
        <is>
          <t>Çok dilli örnekler, konsolosluk belgeleri, uyruk ve ikametgâh</t>
        </is>
      </c>
      <c r="F206" s="29" t="inlineStr">
        <is>
          <t>Doğum, evlilik, boşanma ve ölüm kayıtlarının çok dilli örnekleri Hollanda'da ne çeviri ne legalizasyon ister; bunları kayıtlı olduğunuz ilçenin nüfus müdürlüğünden alırsınız. Türk büyükelçilik veya konsolosluğunun düzenlediği belgeler de legalizasyonsuz kullanılır. Diploma ve mesleki ya da eğitim sertifikaları ise apostille ile legalize edilmelidir.</t>
        </is>
      </c>
      <c r="G206" s="29" t="inlineStr">
        <is>
          <t>çok dilli nüfus kaydı, nüfus müdürlüğü, apostil, konsolosluk belgesi, bekârlık belgesi, diploma</t>
        </is>
      </c>
      <c r="H206" s="29" t="inlineStr">
        <is>
          <t>before;planning</t>
        </is>
      </c>
      <c r="I206" s="29" t="inlineStr">
        <is>
          <t>eindhoven:kaynak:013</t>
        </is>
      </c>
      <c r="J206" s="49" t="n">
        <v>46317</v>
      </c>
      <c r="K206" s="51" t="n">
        <v>108</v>
      </c>
      <c r="L206" s="29" t="inlineStr">
        <is>
          <t>Hayır</t>
        </is>
      </c>
      <c r="M206" s="29" t="inlineStr">
        <is>
          <t>Taslak</t>
        </is>
      </c>
      <c r="N206" s="29" t="inlineStr">
        <is>
          <t>eindhoven:planlama</t>
        </is>
      </c>
      <c r="O206" s="29" t="inlineStr">
        <is>
          <t>Kayıtlı olduğunuz ilçenin nüfus müdürlüğünden doğum, evlilik, boşanma veya ölüm kaydının çok dilli örneğini isteyin.
Evlenme ehliyet belgesi gerekiyorsa çok dilli standart formu isteyin; çeviri ve legalizasyon gerekmez.
Bekârlık belgesini kayıtlı olduğunuz ilçenin nüfus müdürlüğünden alın; bu belge legalizasyonsuz kullanılan belgeler arasında sayılmadığı için apostil gerekip gerekmediğini belgeyi isteyen Hollanda kurumuna sorun.
Konsolosluk belgelerini (medeni hal beyanı, ikametgâh, hayatta olma belgesi) ve uyruk ya da ikamet belgelerini legalizasyonsuz kullanın; Türkçeyse Hollandaca, İngilizce, Fransızca veya Almancaya çevirtin.
Diplomanız varsa apostil için Türk makamlarına başvurun.</t>
        </is>
      </c>
      <c r="P206" s="29" t="n"/>
      <c r="Q206" s="29" t="n"/>
      <c r="R206" s="29" t="n"/>
      <c r="S206" s="29" t="inlineStr">
        <is>
          <t>Konsolosluk belgesi Türkçeyse Hollanda'da yaptırdığınız çevirinin ayrıca legalize edilmesi gerekmez.</t>
        </is>
      </c>
      <c r="T206" s="29" t="n"/>
    </row>
    <row r="207" ht="54" customHeight="1">
      <c r="A207" s="29" t="inlineStr">
        <is>
          <t>eindhoven:turkce-belge-yeminli-ceviri</t>
        </is>
      </c>
      <c r="B207" s="29" t="inlineStr">
        <is>
          <t>eindhoven</t>
        </is>
      </c>
      <c r="C207" s="29" t="inlineStr">
        <is>
          <t>turkce-belge-yeminli-ceviri</t>
        </is>
      </c>
      <c r="D207" s="29" t="inlineStr">
        <is>
          <t>Türkçe belgeler nerede ve nasıl çevrilir?</t>
        </is>
      </c>
      <c r="E207" s="29" t="inlineStr">
        <is>
          <t>Türkiye'de mi Hollanda'da mı çevirtmeli?</t>
        </is>
      </c>
      <c r="F207" s="29" t="inlineStr">
        <is>
          <t>Hollandaca, İngilizce, Fransızca veya Almanca olmayan belgeler bu dillerden birine çevrilmelidir. Çeviriyi Türkiye'de ya da Hollanda'da yeminli tercümana yaptırabilirsiniz ve sıra ikisinde farklıdır. Çok dilli nüfus kaydı örneği alabiliyorsanız çeviri hiç gerekmez.</t>
        </is>
      </c>
      <c r="G207" s="29" t="inlineStr">
        <is>
          <t>yeminli tercüman, belge çevirisi, sworn translator, legalizasyon, Türkçe belge, apostil</t>
        </is>
      </c>
      <c r="H207" s="29" t="inlineStr">
        <is>
          <t>before;planning</t>
        </is>
      </c>
      <c r="I207" s="29" t="inlineStr">
        <is>
          <t>eindhoven:kaynak:013;eindhoven:kaynak:012</t>
        </is>
      </c>
      <c r="J207" s="49" t="n">
        <v>46317</v>
      </c>
      <c r="K207" s="51" t="n">
        <v>109</v>
      </c>
      <c r="L207" s="29" t="inlineStr">
        <is>
          <t>Hayır</t>
        </is>
      </c>
      <c r="M207" s="29" t="inlineStr">
        <is>
          <t>Taslak</t>
        </is>
      </c>
      <c r="N207" s="29" t="inlineStr">
        <is>
          <t>eindhoven:planlama</t>
        </is>
      </c>
      <c r="O207" s="29" t="inlineStr">
        <is>
          <t>Önce çok dilli örnek alıp alamayacağınıza bakın; alabiliyorsanız çeviri yaptırmayın.
Türkiye'de çevirtecekseniz belgeyi yeminli tercümana çevirtin, sonra aslını ve çeviriyi legalize ettirin.
Hollanda'da çevirtecekseniz önce aslını Türkiye'de legalize ettirin, sonra Hollanda'da yeminli tercümana çevirtin.
Hollanda'daki yeminli tercümanı Legal Aid Council web sitesinden bulun.</t>
        </is>
      </c>
      <c r="P207" s="29" t="n"/>
      <c r="Q207" s="29" t="n"/>
      <c r="R207" s="29" t="n"/>
      <c r="S207" s="29" t="inlineStr">
        <is>
          <t>Hollanda'da yeminli tercüman bir Hollanda mahkemesi önünde yemin etmiş olmalıdır; Hollanda'da yapılan çevirinin ayrıca legalize edilmesi gerekmez.</t>
        </is>
      </c>
      <c r="T207" s="29" t="n"/>
    </row>
    <row r="208" ht="54" customHeight="1">
      <c r="A208" s="29" t="inlineStr">
        <is>
          <t>eindhoven:evlilik-belgesi-lahey-kaydi</t>
        </is>
      </c>
      <c r="B208" s="29" t="inlineStr">
        <is>
          <t>eindhoven</t>
        </is>
      </c>
      <c r="C208" s="29" t="inlineStr">
        <is>
          <t>evlilik-belgesi-lahey-kaydi</t>
        </is>
      </c>
      <c r="D208" s="29" t="inlineStr">
        <is>
          <t>Yurtdışında alınan evlilik belgesi Hollanda belgesine nasıl çevrilir?</t>
        </is>
      </c>
      <c r="E208" s="29" t="inlineStr">
        <is>
          <t>Lahey belediyesine kayıt; henüz Hollanda'da yaşamasanız da</t>
        </is>
      </c>
      <c r="F208" s="29" t="inlineStr">
        <is>
          <t>Yabancı evlilik belgenizi Lahey (Den Haag) belediyesinin Landelijke Taken (Ulusal Görevler) bölümüne kaydettirebilirsiniz; henüz Hollanda'da yaşamıyor olsanız bile. Belge Hollanda evlilik belgesine dönüştürülür, aslı arşivlenir ve Lahey belediyesinden kopya isteyebilirsiniz. IND başvurusunda bu kopyayı kullanırsınız, yabancı legalize edilmiş evlilik belgesini yeniden sunmanız gerekmez.</t>
        </is>
      </c>
      <c r="G208" s="29" t="inlineStr">
        <is>
          <t>evlilik belgesi, Lahey, Den Haag, Landelijke Taken, IND, aile birleşimi, legalizasyon</t>
        </is>
      </c>
      <c r="H208" s="29" t="inlineStr">
        <is>
          <t>before;planning</t>
        </is>
      </c>
      <c r="I208" s="29" t="inlineStr">
        <is>
          <t>eindhoven:kaynak:012</t>
        </is>
      </c>
      <c r="J208" s="49" t="n">
        <v>46317</v>
      </c>
      <c r="K208" s="51" t="n">
        <v>110</v>
      </c>
      <c r="L208" s="29" t="inlineStr">
        <is>
          <t>Hayır</t>
        </is>
      </c>
      <c r="M208" s="29" t="inlineStr">
        <is>
          <t>Taslak</t>
        </is>
      </c>
      <c r="N208" s="29" t="inlineStr">
        <is>
          <t>eindhoven:planlama</t>
        </is>
      </c>
      <c r="O208" s="29" t="inlineStr">
        <is>
          <t>Yabancı evlilik belgenizi Lahey belediyesinin Landelijke Taken bölümüne kaydettirin.
Belgenin Hollanda evlilik belgesine dönüştürülmesini bekleyin; asıl belge arşivlenir.
Lahey belediyesinden evlilik belgesinin kopyasını isteyin.
IND başvurunuzda bu kopyayı kullanın.</t>
        </is>
      </c>
      <c r="P208" s="29" t="inlineStr">
        <is>
          <t>Yabancı evlilik belgesi</t>
        </is>
      </c>
      <c r="Q208" s="29" t="n"/>
      <c r="R208" s="29" t="n"/>
      <c r="S208" s="29" t="inlineStr">
        <is>
          <t>Kopyayı istediğiniz zaman Lahey belediyesinden yeniden alabilirsiniz; bu yüzden asıl belgeyi tekrar tekrar legalize ettirmeniz gerekmez.</t>
        </is>
      </c>
      <c r="T208" s="29" t="n"/>
    </row>
    <row r="209" ht="54" customHeight="1">
      <c r="A209" s="29" t="inlineStr">
        <is>
          <t>eindhoven:saglik-sigortasi-ne-zaman</t>
        </is>
      </c>
      <c r="B209" s="29" t="inlineStr">
        <is>
          <t>eindhoven</t>
        </is>
      </c>
      <c r="C209" s="29" t="inlineStr">
        <is>
          <t>saglik-sigortasi-ne-zaman</t>
        </is>
      </c>
      <c r="D209" s="29" t="inlineStr">
        <is>
          <t>Hollanda'da sağlık sigortası ne zaman yaptırılmalı?</t>
        </is>
      </c>
      <c r="E209" s="29" t="inlineStr">
        <is>
          <t>Varıştan en geç 4 ay içinde; kapsam varış gününden başlar</t>
        </is>
      </c>
      <c r="F209" s="29" t="inlineStr">
        <is>
          <t>Hollanda'da yaşayan veya çalışan herkes, kendi ülkesinde sigortası olsa bile, Hollandalı bir sigortacıdan temel sağlık sigortası yaptırmak zorundadır; istisnalar notta. Sigortayı mümkün olan en kısa sürede, en geç varıştan 4 ay sonra yaptırmanız gerekir; kapsam varış gününden başlar. 4 aydan sonra yaptırırsanız government.nl'ye göre prim yalnız yaptırdığınız tarihten itibaren ödenir ve geriye dönük prim ödemezsiniz, ama varışınızla sigorta tarihiniz arasındaki bakım masrafları karşılanmaz; HEC South ise geçmiş dönemin primini ödemeniz gerektiğini ve para cezası alabileceğinizi yazıyor. İki kaynak çelişiyor: resmî kaynak government.nl esas alınır, ama geriye dönük prim ve ceza riskine girmemek için sigortayı 4 ay dolmadan başlatın.</t>
        </is>
      </c>
      <c r="G209" s="29" t="inlineStr">
        <is>
          <t>sağlık sigortası, zorgverzekering, basisverzekering, 4 ay kuralı, CAK, Zorgwijzer, zorunlu sigorta</t>
        </is>
      </c>
      <c r="H209" s="29" t="inlineStr">
        <is>
          <t>before;planning;new</t>
        </is>
      </c>
      <c r="I209" s="29" t="inlineStr">
        <is>
          <t>eindhoven:kaynak:015;eindhoven:kaynak:014;eindhoven:kaynak:005</t>
        </is>
      </c>
      <c r="J209" s="49" t="n">
        <v>46317</v>
      </c>
      <c r="K209" s="51" t="n">
        <v>111</v>
      </c>
      <c r="L209" s="29" t="inlineStr">
        <is>
          <t>Evet</t>
        </is>
      </c>
      <c r="M209" s="29" t="inlineStr">
        <is>
          <t>Taslak</t>
        </is>
      </c>
      <c r="N209" s="29" t="inlineStr">
        <is>
          <t>eindhoven:planlama</t>
        </is>
      </c>
      <c r="O209" s="29" t="inlineStr">
        <is>
          <t>Belediyeye kayıt olun; sigortanız olmasa bile kayıt zorunludur.
Sigortacıları Zorgwijzer sitesinde karşılaştırın ve işvereninizin toplu sigorta anlaşması olup olmadığını sorun.
Varıştan itibaren 4 ay dolmadan temel sağlık sigortasını başlatın.
Belediyeye kayıt olduktan sonra sigortanız yoksa CAK'tan mektup gelir; mektubu beklemeyin ve sigortayı hemen yaptırın, çok beklerseniz para cezası alabilirsiniz.</t>
        </is>
      </c>
      <c r="P209" s="29" t="n"/>
      <c r="Q209" s="29" t="inlineStr">
        <is>
          <t>Varıştan en geç 4 ay içinde; kapsam varış gününden başlar</t>
        </is>
      </c>
      <c r="R209" s="29" t="n"/>
      <c r="S209" s="29" t="inlineStr">
        <is>
          <t>Sığınmacılar için sağlık sigortası kuralları farklıdır. Hollanda dışındaki bir işverenle çalışıyorsanız kendi ülkenizdeki sigorta yeterli olabilir; kuralları SVB (Sociale Verzekeringsbank) açıklar. Yalnızca bir AB kurumunda çalışanlar Hollandalı sigortacıdan sigorta yaptıramaz, AB'nin JSIS sistemine bağlıdır. Yurt dışından gelen öğrencilerin çoğu zaten kendi ülkesinde sigortalıdır; 30 yaşından küçük olup Hollanda'ya yalnızca burslu öğrenim ya da araştırma için gelen ve 3 yıldan kısa kalanlar Hollanda sosyal güvenlik kuralları kapsamında sayılmaz. Okumanın yanında yarı zamanlı iş ya da ücretli staj yapıyorsanız Hollanda sigortası yaptırmanız gerekebilir; durumunuz için Studyinholland.nl'ye ya da SVB'ye bakın.</t>
        </is>
      </c>
      <c r="T209" s="29" t="n"/>
    </row>
    <row r="210" ht="54" customHeight="1">
      <c r="A210" s="29" t="inlineStr">
        <is>
          <t>eindhoven:saglik-sigortasi-2026-maliyet</t>
        </is>
      </c>
      <c r="B210" s="29" t="inlineStr">
        <is>
          <t>eindhoven</t>
        </is>
      </c>
      <c r="C210" s="29" t="inlineStr">
        <is>
          <t>saglik-sigortasi-2026-maliyet</t>
        </is>
      </c>
      <c r="D210" s="29" t="inlineStr">
        <is>
          <t>Zorunlu sağlık sigortası 2026'da ne kadar tutar?</t>
        </is>
      </c>
      <c r="E210" s="29" t="inlineStr">
        <is>
          <t>Aylık prim, eigen risico ve poliçe türleri</t>
        </is>
      </c>
      <c r="F210" s="29" t="inlineStr">
        <is>
          <t>2026'da temel paketin ortalama aylık primi 18 yaş üstü kişi başına 159 euro. Devletin belirlediği zorunlu eigen risico (muafiyet; masrafların ilk kısmını kendiniz ödersiniz) 385 euro'dur ve 18 yaş altı çocuklara uygulanmaz; gönüllü olarak 885 euro'ya çıkarıp primde indirim alabilirsiniz. 18 yaş altı çocuklar prim ödemez ama sigortacıya kaydedilmelidir; bebeği doğumdan sonraki 4 ay içinde kaydettirirsiniz ve sigorta doğum tarihinden başlar.</t>
        </is>
      </c>
      <c r="G210" s="29" t="inlineStr">
        <is>
          <t>sağlık sigortası primi, eigen risico, naturapolis, combinatiepolis, aanvullende verzekering, 2026</t>
        </is>
      </c>
      <c r="H210" s="29" t="inlineStr">
        <is>
          <t>before;planning;new</t>
        </is>
      </c>
      <c r="I210" s="29" t="inlineStr">
        <is>
          <t>eindhoven:kaynak:005;eindhoven:kaynak:014;eindhoven:kaynak:149</t>
        </is>
      </c>
      <c r="J210" s="49" t="n">
        <v>46317</v>
      </c>
      <c r="K210" s="51" t="n">
        <v>112</v>
      </c>
      <c r="L210" s="29" t="inlineStr">
        <is>
          <t>Hayır</t>
        </is>
      </c>
      <c r="M210" s="29" t="inlineStr">
        <is>
          <t>Taslak</t>
        </is>
      </c>
      <c r="N210" s="29" t="inlineStr">
        <is>
          <t>eindhoven:planlama</t>
        </is>
      </c>
      <c r="O210" s="29" t="inlineStr">
        <is>
          <t>Aynı temel paket için sigortacıların fiyatlarını karşılaştırın; paket devletçe belirlenir, prim şirketten şirkete değişir.
Poliçe türünü seçin: naturapolis (anlaşmalı sağlayıcılar, genelde daha ucuz) veya combinatiepolis (serbest seçim, daha pahalı).
Primde indirim için eigen risico'yu gönüllü artırmak istiyorsanız sigortacınızla konuşun.
Fizyoterapi veya 18 yaş üstü diş bakımı gibi kalemler için isterseniz ek sigorta (aanvullende verzekering) ekleyin.
Bebeğinizi doğumdan sonraki 4 ay içinde, daha büyük çocuklarınızı da sigortacınıza kaydettirin; 18 yaş altı çocuklar prim ödemez ama kayıt zorunludur.</t>
        </is>
      </c>
      <c r="P210" s="29" t="n"/>
      <c r="Q210" s="29" t="n"/>
      <c r="R210" s="29" t="inlineStr">
        <is>
          <t>Ortalama 159 euro/ay (18 yaş üstü, 2026); zorunlu eigen risico 385 euro (2026); gönüllü üst sınır 885 euro</t>
        </is>
      </c>
      <c r="S210" s="29" t="inlineStr">
        <is>
          <t>Eigen risico aile hekimi (huisarts) bakımına, doğum öncesi ve doğum bakımına ve 18 yaş altı diş paketine uygulanmaz. Ek sigorta zorunlu değildir ve sigortacılar başvuran herkesi kabul etmek zorunda değildir; temel pakette ise kabul zorunludur. Çocuğun kaydı için government.nl 'dört aylıktan itibaren' diyor; Hollandaca resmî kaynak rijksoverheid.nl ise bebeği doğumdan sonraki 4 ay içinde kaydettirmenizi ve sigortanın doğum tarihinden başladığını söylüyor. Bebeğin 4 aylık olmasını beklemeyin.</t>
        </is>
      </c>
      <c r="T210" s="29" t="n"/>
    </row>
    <row r="211" ht="54" customHeight="1">
      <c r="A211" s="29" t="inlineStr">
        <is>
          <t>eindhoven:zorgtoeslag-destegi</t>
        </is>
      </c>
      <c r="B211" s="29" t="inlineStr">
        <is>
          <t>eindhoven</t>
        </is>
      </c>
      <c r="C211" s="29" t="inlineStr">
        <is>
          <t>zorgtoeslag-destegi</t>
        </is>
      </c>
      <c r="D211" s="29" t="inlineStr">
        <is>
          <t>Sağlık sigortası primi için zorgtoeslag (sağlık yardımı) alınır mı?</t>
        </is>
      </c>
      <c r="E211" s="29" t="inlineStr">
        <is>
          <t>Gelire bağlı devlet katkısı</t>
        </is>
      </c>
      <c r="F211" s="29" t="inlineStr">
        <is>
          <t>Zorgtoeslag, düşük gelirlilere sağlık sigortası primi için verilen devlet katkısıdır. Hak kazanırsanız sigorta yaptırma zorunluluğunuzun başladığı andan itibaren almaya başlayabilirsiniz. Tutarı Toeslagen.nl üzerinde kendiniz hesaplayabilir ve oradan başvurabilirsiniz; site Hollandacadır.</t>
        </is>
      </c>
      <c r="G211" s="29" t="inlineStr">
        <is>
          <t>zorgtoeslag, sağlık yardımı, toeslagen, belastingdienst, prim desteği, düşük gelir</t>
        </is>
      </c>
      <c r="H211" s="29" t="inlineStr">
        <is>
          <t>planning;new</t>
        </is>
      </c>
      <c r="I211" s="29" t="inlineStr">
        <is>
          <t>eindhoven:kaynak:005;eindhoven:kaynak:015</t>
        </is>
      </c>
      <c r="J211" s="49" t="n">
        <v>46317</v>
      </c>
      <c r="K211" s="51" t="n">
        <v>113</v>
      </c>
      <c r="L211" s="29" t="inlineStr">
        <is>
          <t>Hayır</t>
        </is>
      </c>
      <c r="M211" s="29" t="inlineStr">
        <is>
          <t>Taslak</t>
        </is>
      </c>
      <c r="N211" s="29" t="inlineStr">
        <is>
          <t>eindhoven:planlama</t>
        </is>
      </c>
      <c r="O211" s="29" t="inlineStr">
        <is>
          <t>Toeslagen.nl'de tahmini zorgtoeslag tutarınızı kendiniz hesaplayın.
Hak kazanıyorsanız aynı sitede zorgtoeslag için başvurun.
Sorularınız için vergi dairesi (belastingdienst) ile iletişime geçin.</t>
        </is>
      </c>
      <c r="P211" s="29" t="n"/>
      <c r="Q211" s="29" t="inlineStr">
        <is>
          <t>Sigorta yaptırma zorunluluğunuzun başladığı andan itibaren alınabilir</t>
        </is>
      </c>
      <c r="R211" s="29" t="n"/>
      <c r="S211" s="29" t="inlineStr">
        <is>
          <t>Toeslagen.nl sitesi Hollandaca olduğundan hesaplama ve başvuru sırasında çeviri aracı kullanmanız gerekebilir.</t>
        </is>
      </c>
      <c r="T211" s="29" t="n"/>
    </row>
    <row r="212" ht="54" customHeight="1">
      <c r="A212" s="29" t="inlineStr">
        <is>
          <t>eindhoven:banka-hesabi-belgeleri</t>
        </is>
      </c>
      <c r="B212" s="29" t="inlineStr">
        <is>
          <t>eindhoven</t>
        </is>
      </c>
      <c r="C212" s="29" t="inlineStr">
        <is>
          <t>banka-hesabi-belgeleri</t>
        </is>
      </c>
      <c r="D212" s="29" t="inlineStr">
        <is>
          <t>Hollanda'da banka hesabı açmak için hangi belgeler gerekir?</t>
        </is>
      </c>
      <c r="E212" s="29" t="inlineStr">
        <is>
          <t>Pasaport, adres kanıtı, işveren mektubu ve BSN</t>
        </is>
      </c>
      <c r="F212" s="29" t="inlineStr">
        <is>
          <t>Hollanda'da çalışanların ve bir süre yaşayacakların banka hesabına ihtiyacı vardır. Banka pasaport, adres kanıtı (belediye kayıt onayı veya kira sözleşmesi), işveren mektubu ya da iş sözleşmesi kopyası ve BSN ister. Bazı bankalar BSN olmadan sınırlı süreli hesap açar; BSN'yi bu sürede vermezseniz hesap kapatılır.</t>
        </is>
      </c>
      <c r="G212" s="29" t="inlineStr">
        <is>
          <t>banka hesabı, bankrekening, pinpas, BSN, adres kanıtı, işveren mektubu, Geldmaat</t>
        </is>
      </c>
      <c r="H212" s="29" t="inlineStr">
        <is>
          <t>planning;new</t>
        </is>
      </c>
      <c r="I212" s="29" t="inlineStr">
        <is>
          <t>eindhoven:kaynak:006</t>
        </is>
      </c>
      <c r="J212" s="49" t="n">
        <v>46317</v>
      </c>
      <c r="K212" s="51" t="n">
        <v>114</v>
      </c>
      <c r="L212" s="29" t="inlineStr">
        <is>
          <t>Hayır</t>
        </is>
      </c>
      <c r="M212" s="29" t="inlineStr">
        <is>
          <t>Taslak</t>
        </is>
      </c>
      <c r="N212" s="29" t="inlineStr">
        <is>
          <t>eindhoven:planlama</t>
        </is>
      </c>
      <c r="O212" s="29" t="inlineStr">
        <is>
          <t>Online hesap açma imkânı sunan bankaları karşılaştırın; şubeye gitmek isterseniz randevu gerekebilir.
Pasaportunuzu, adres kanıtınızı, işveren mektubunuzu ve BSN'nizi hazırlayın.
BSN'niz henüz yoksa BSN'siz geçici hesap açan bir banka seçin ve süre dolmadan BSN'nizi bankaya iletin.
Banka kartınızı (pinpas) ve PIN'inizi birkaç gün sonra ayrı ayrı alın.</t>
        </is>
      </c>
      <c r="P212" s="29" t="inlineStr">
        <is>
          <t>Pasaport
Adres kanıtı (belediyeden kayıt onayı veya kira sözleşmesi)
İşveren mektubu veya iş sözleşmesi kopyası
BSN (burgerservicenummer, vatandaşlık hizmet numarası)</t>
        </is>
      </c>
      <c r="Q212" s="29" t="n"/>
      <c r="R212" s="29" t="inlineStr">
        <is>
          <t>Çoğu banka hesap ve banka kartı için ücret alır; Hollanda kredi kartı için ek ücret vardır</t>
        </is>
      </c>
      <c r="S212" s="29" t="inlineStr">
        <is>
          <t>Bazı uyruklar için ek evrak istenebilir. Hollanda'da ilk günlerde yeterli nakit, kredi kartı veya kendi ülkenizdeki bir hesaba erişim bulundurun.</t>
        </is>
      </c>
      <c r="T212" s="29" t="n"/>
    </row>
    <row r="213" ht="54" customHeight="1">
      <c r="A213" s="29" t="inlineStr">
        <is>
          <t>eindhoven:ev-arama-kira-turleri</t>
        </is>
      </c>
      <c r="B213" s="29" t="inlineStr">
        <is>
          <t>eindhoven</t>
        </is>
      </c>
      <c r="C213" s="29" t="inlineStr">
        <is>
          <t>ev-arama-kira-turleri</t>
        </is>
      </c>
      <c r="D213" s="29" t="inlineStr">
        <is>
          <t>Eindhoven'da ev arama: kiralık konut türleri ve piyasa nasıl işliyor?</t>
        </is>
      </c>
      <c r="E213" s="29" t="inlineStr">
        <is>
          <t>Emlakçılar, woningcorporaties ve eşyalı/eşyasız seçenekleri</t>
        </is>
      </c>
      <c r="F213" s="29" t="inlineStr">
        <is>
          <t>Bölgedeki konut piyasasını çoğunlukla ticari emlakçılar yönetir; ayrıca kâr amacı gütmeyen woningcorporaties (konut kuruluşları) vardır. Uygun konut şu anda zor bulunuyor, özellikle öğrenci ve üniversite personelinin geldiği Ağustos/Eylül ve Ocak/Şubat aylarında. Kiralık evler üç türdür: ongemeubileerd/kaal (boş), gestoffeerd (zemin kaplaması, perde, lamba) ve gemeubileerd (eşyalı).</t>
        </is>
      </c>
      <c r="G213" s="29" t="inlineStr">
        <is>
          <t>ev arama, kiralık ev, makelaar, woningcorporatie, gemeubileerd, kaal, emlakçı ücreti</t>
        </is>
      </c>
      <c r="H213" s="29" t="inlineStr">
        <is>
          <t>before;planning;new</t>
        </is>
      </c>
      <c r="I213" s="29" t="inlineStr">
        <is>
          <t>eindhoven:kaynak:007</t>
        </is>
      </c>
      <c r="J213" s="49" t="n">
        <v>46317</v>
      </c>
      <c r="K213" s="51" t="n">
        <v>115</v>
      </c>
      <c r="L213" s="29" t="inlineStr">
        <is>
          <t>Hayır</t>
        </is>
      </c>
      <c r="M213" s="29" t="inlineStr">
        <is>
          <t>Taslak</t>
        </is>
      </c>
      <c r="N213" s="29" t="inlineStr">
        <is>
          <t>eindhoven:planlama</t>
        </is>
      </c>
      <c r="O213" s="29" t="inlineStr">
        <is>
          <t>Mümkünse taşınmadan yaklaşık bir ay önce bölgeye gelip ev bakın; olmuyorsa ilk dönem için otel veya kısa süreli konaklama ayarlayın.
Ağustos/Eylül ve Ocak/Şubat dönemlerinde ev bulmanın daha zor olacağını hesaba katın.
İsterseniz profesyonel kiralama danışmanı tutun; sözleşmeyi inceler, evraklara yardım eder ve bazen siz gelmeden aramaya başlar.
Aracı kuruma arabuluculuk ücreti alıp almadığını sorun; ev sahibini temsil eden bir aracı kiracıdan ücret alamaz.
Evde duman dedektörü olup olmadığını kontrol edin; takmak ev sahibinin sorumluluğundadır.</t>
        </is>
      </c>
      <c r="P213" s="29" t="n"/>
      <c r="Q213" s="29" t="n"/>
      <c r="R213" s="29" t="n"/>
      <c r="S213" s="29" t="inlineStr">
        <is>
          <t>Boş (kaal) evde zemin kaplaması, perde, lamba ve mobilya olmaz, büyük olasılıkla beyaz eşya da yoktur; gestoffeerd evde zemin, perde ve lambalar bulunur, bazen bazı cihazlar da; gemeubileerd evde eşya ve cihazlar da vardır.</t>
        </is>
      </c>
      <c r="T213" s="29" t="n"/>
    </row>
    <row r="214" ht="54" customHeight="1">
      <c r="A214" s="29" t="inlineStr">
        <is>
          <t>eindhoven:kira-sozlesmesi-kontrol-listesi</t>
        </is>
      </c>
      <c r="B214" s="29" t="inlineStr">
        <is>
          <t>eindhoven</t>
        </is>
      </c>
      <c r="C214" s="29" t="inlineStr">
        <is>
          <t>kira-sozlesmesi-kontrol-listesi</t>
        </is>
      </c>
      <c r="D214" s="29" t="inlineStr">
        <is>
          <t>Kira sözleşmesinde (huurovereenkomst) nelere bakılmalı?</t>
        </is>
      </c>
      <c r="E214" s="29" t="inlineStr">
        <is>
          <t>Kira, depozito, süre, bakım sorumluluğu ve Huurcommissie</t>
        </is>
      </c>
      <c r="F214" s="29" t="inlineStr">
        <is>
          <t>Sözleşmede kira bedelini, hizmet ve enerji giderlerinin dahil olup olmadığını, depozitoyu, giriş tarihini, süreyi ve bakım-onarım sorumluluğunu kontrol edin. Depozito normalde 1-2 aylık kiradır ve en fazla 2 aylık temel kira olabilir. Sözleşmelerin çoğu bir yıl sabit süreli olur ve 12 ay sonrasında her iki taraf için bir ay ihbar süresi vardır.</t>
        </is>
      </c>
      <c r="G214" s="29" t="inlineStr">
        <is>
          <t>kira sözleşmesi, huurovereenkomst, depozito, ihbar süresi, huurcommissie, bakım onarım</t>
        </is>
      </c>
      <c r="H214" s="29" t="inlineStr">
        <is>
          <t>planning;new</t>
        </is>
      </c>
      <c r="I214" s="29" t="inlineStr">
        <is>
          <t>eindhoven:kaynak:007</t>
        </is>
      </c>
      <c r="J214" s="49" t="n">
        <v>46317</v>
      </c>
      <c r="K214" s="51" t="n">
        <v>116</v>
      </c>
      <c r="L214" s="29" t="inlineStr">
        <is>
          <t>Hayır</t>
        </is>
      </c>
      <c r="M214" s="29" t="inlineStr">
        <is>
          <t>Taslak</t>
        </is>
      </c>
      <c r="N214" s="29" t="inlineStr">
        <is>
          <t>eindhoven:planlama</t>
        </is>
      </c>
      <c r="O214" s="29" t="inlineStr">
        <is>
          <t>Kira bedelinin doğru olduğunu ve hizmet bedelleri ile enerji faturalarının dahil olup olmadığını kontrol edin.
Depozitonun 2 aylık temel kirayı aşmadığına bakın.
Giriş tarihini ve sözleşme süresini kontrol edin.
Bakım ve onarımdan, bahçe dahil, kimin sorumlu olduğunu netleştirin.
Ev sahibi evi bir gün geri isteyebilecek biriyse (örneğin yurtdışı görevdeyse) sözleşmeyi daha uzun süreye sabitlemeyi düşünün.</t>
        </is>
      </c>
      <c r="P214" s="29" t="n"/>
      <c r="Q214" s="29" t="inlineStr">
        <is>
          <t>Çoğu sözleşme 1 yıl sabittir; 12 aydan sonra her iki taraf 1 ay önceden ihbar edebilir</t>
        </is>
      </c>
      <c r="R214" s="29" t="inlineStr">
        <is>
          <t>Depozito: normalde 1-2 aylık kira; üst sınır 2 aylık temel kira (yan giderler hariç)</t>
        </is>
      </c>
      <c r="S214" s="29" t="inlineStr">
        <is>
          <t>Kira artışı veya hizmet bedeli konusunda ev sahibiyle anlaşamazsanız Huurcommissie'den (kira kurulu) karar isteyebilirsiniz; kararı hem kiracıyı hem ev sahibini bağlar.</t>
        </is>
      </c>
      <c r="T214" s="29" t="n"/>
    </row>
    <row r="215" ht="54" customHeight="1">
      <c r="A215" s="29" t="inlineStr">
        <is>
          <t>eindhoven:eindhoven-esyali-kira-fiyatlari</t>
        </is>
      </c>
      <c r="B215" s="29" t="inlineStr">
        <is>
          <t>eindhoven</t>
        </is>
      </c>
      <c r="C215" s="29" t="inlineStr">
        <is>
          <t>eindhoven-esyali-kira-fiyatlari</t>
        </is>
      </c>
      <c r="D215" s="29" t="inlineStr">
        <is>
          <t>Eindhoven'da eşyalı konutların kira fiyatları ne kadar?</t>
        </is>
      </c>
      <c r="E215" s="29" t="inlineStr">
        <is>
          <t>Özel piyasada stüdyo, bir ve iki yatak odalı daire, ev</t>
        </is>
      </c>
      <c r="F215" s="29" t="inlineStr">
        <is>
          <t>Eindhoven özel piyasasında eşyalı stüdyolar tipik olarak 1.100-1.400 euro, bir yatak odalı daireler 1.400-1.750 euro, iki yatak odalı daireler 1.700-2.500 euro, eşyalı evler ise 1.700-3.000 euro aralığındadır. Bu tutarlara enerji, su gibi giderler dahil değildir.</t>
        </is>
      </c>
      <c r="G215" s="29" t="inlineStr">
        <is>
          <t>Eindhoven kira, eşyalı daire, stüdyo kira, kira fiyatları, gemeubileerd, konut bütçesi</t>
        </is>
      </c>
      <c r="H215" s="29" t="inlineStr">
        <is>
          <t>before;planning</t>
        </is>
      </c>
      <c r="I215" s="29" t="inlineStr">
        <is>
          <t>eindhoven:kaynak:007;eindhoven:kaynak:018</t>
        </is>
      </c>
      <c r="J215" s="49" t="n">
        <v>46317</v>
      </c>
      <c r="K215" s="51" t="n">
        <v>117</v>
      </c>
      <c r="L215" s="29" t="inlineStr">
        <is>
          <t>Hayır</t>
        </is>
      </c>
      <c r="M215" s="29" t="inlineStr">
        <is>
          <t>Taslak</t>
        </is>
      </c>
      <c r="N215" s="29" t="inlineStr">
        <is>
          <t>eindhoven:planlama</t>
        </is>
      </c>
      <c r="O215" s="29" t="inlineStr">
        <is>
          <t>Aradığınız konut tipine göre aylık kira aralığını belirleyin.
Kira bedeline enerji ve diğer giderlerin dahil olup olmadığını sorun; yukarıdaki tutarlar bunlar hariçtir.
Hanenize uygun bütçeyi Nibud'un Persoonlijk Budgetadvies aracıyla görün.</t>
        </is>
      </c>
      <c r="P215" s="29" t="n"/>
      <c r="Q215" s="29" t="n"/>
      <c r="R215" s="29" t="inlineStr">
        <is>
          <t>Eşyalı stüdyo 1.100-1.400 euro; bir yatak odalı 1.400-1.750 euro; iki yatak odalı 1.700-2.500 euro; ev 1.700-3.000 euro (aylık, giderler hariç)</t>
        </is>
      </c>
      <c r="S215" s="29" t="inlineStr">
        <is>
          <t>Rakamlar yalnızca eşyalı (gemeubileerd) konutları kapsar; boş (kaal) veya gestoffeerd konutların fiyatı bu kaynakta verilmiyor.</t>
        </is>
      </c>
      <c r="T215" s="29" t="n"/>
    </row>
    <row r="216" ht="54" customHeight="1">
      <c r="A216" s="29" t="inlineStr">
        <is>
          <t>eindhoven:expat-scheme-sartlari</t>
        </is>
      </c>
      <c r="B216" s="29" t="inlineStr">
        <is>
          <t>eindhoven</t>
        </is>
      </c>
      <c r="C216" s="29" t="inlineStr">
        <is>
          <t>expat-scheme-sartlari</t>
        </is>
      </c>
      <c r="D216" s="29" t="inlineStr">
        <is>
          <t>%30 vergi kolaylığı (Expat Scheme) için şartlar neler?</t>
        </is>
      </c>
      <c r="E216" s="29" t="inlineStr">
        <is>
          <t>Maaş eşiği, 150 km kuralı ve dışarıdan işe alınma</t>
        </is>
      </c>
      <c r="F216" s="29" t="inlineStr">
        <is>
          <t>Expat Scheme (eski adıyla %30 kuralı), işverenin ödeyeceği vergisiz tazminatla Hollanda'ya taşınma, ek yaşam maliyeti ve ev ülkesine seyahat gibi sınır ötesi giderleri karşılar. Ücretli bir iş sözleşmeniz olmalı ve Hollanda iş piyasasında az bulunan özel bir uzmanlığa sahip olmalısınız; 2026'da bu, vergisiz tazminat hariç yıllık maaşınızın 48.013 euro'nun üstünde olması demektir. Ayrıca Hollanda dışından işe alınmış olmanız ve işe başlamadan önceki 24 ayın 16'dan fazlasında Hollanda sınırından 150 km'den uzakta yaşamış olmanız gerekir; Hollanda'da doktora yapanlar ile daha önce Expat Scheme'den yararlanmış ve önceki işi en fazla 5 yıl önce başlamış olanlar için bu şartın istisnaları vardır.</t>
        </is>
      </c>
      <c r="G216" s="29" t="inlineStr">
        <is>
          <t>%30 kuralı, 30% ruling, expat scheme, vergi kolaylığı, Belastingdienst, maaş eşiği, 150 km</t>
        </is>
      </c>
      <c r="H216" s="29" t="inlineStr">
        <is>
          <t>before;planning</t>
        </is>
      </c>
      <c r="I216" s="29" t="inlineStr">
        <is>
          <t>eindhoven:kaynak:008;eindhoven:kaynak:009</t>
        </is>
      </c>
      <c r="J216" s="49" t="n">
        <v>46317</v>
      </c>
      <c r="K216" s="51" t="n">
        <v>118</v>
      </c>
      <c r="L216" s="29" t="inlineStr">
        <is>
          <t>Hayır</t>
        </is>
      </c>
      <c r="M216" s="29" t="inlineStr">
        <is>
          <t>Taslak</t>
        </is>
      </c>
      <c r="N216" s="29" t="inlineStr">
        <is>
          <t>eindhoven:planlama</t>
        </is>
      </c>
      <c r="O216" s="29" t="inlineStr">
        <is>
          <t>İş sözleşmenizin olduğundan ve yıllık maaşınızın 2026 eşiği olan 48.013 euro'nun üstünde kaldığından emin olun.
30 yaşından küçükseniz ve Hollanda'da (veya başka ülkede dengi) akademik yüksek lisans yaptıysanız eşiğin 36.497 euro olduğunu bilin.
İlk çalışma gününüzden önceki 24 ayın 16'dan fazlasında Hollanda sınırına kuş uçuşu 150 km'den uzakta yaşadığınızı kontrol edin; Hollanda'da doktora yaptıysanız bu 24 ay doktora araştırmanızın başlangıcından geriye sayılır.
Hollanda dışından işe alındığınızı ya da çok uluslu şirket içinde transfer edildiğinizi doğrulayın.
Tazminatın ne kadarını ödeyeceğini işvereninizle önceden konuşun; işveren maaşın tamamını %30 vermek zorunda değildir.</t>
        </is>
      </c>
      <c r="P216" s="29" t="n"/>
      <c r="Q216" s="29" t="n"/>
      <c r="R216" s="29" t="n"/>
      <c r="S216" s="29" t="inlineStr">
        <is>
          <t>Belçika, Lüksemburg ile Almanya, Fransa ve Birleşik Krallık'ın bazı bölgelerinde yaşadıysanız sınır bölgesi şartını sağlamazsınız. 150 km şartının iki istisnası var. Hollanda'da doktora yaptıysanız şarta doktora araştırmanızın başlamasından önceki 24 aya göre bakılır; doktora sırasında ve doktoradan işe başlayana kadar Hollanda'da ya da sınıra 150 km'den yakın yaşamış olmanız sorun olmaz. Daha önce Expat Scheme'den yararlanıp Hollanda dışına taşındıysanız şu üç koşulun hepsini sağladığınızda 150 km şartı aranmaz: önceki işiniz en fazla 5 yıl önce başladı; o işe başlarken önceki 24 ayın 16'dan fazlasında sınıra 150 km'den uzakta yaşıyordunuz; o dönemde geçerli bir Expat Scheme kararınız vardı ya da o dönemin şartlarını sağladığınızı inandırıcı biçimde gösterebiliyorsunuz. Bilimsel araştırmayı belirlenmiş bir araştırma kurumunda yapanlar ile uzmanlık eğitimi alan doktorlar için maaş eşiği aranmaz.</t>
        </is>
      </c>
      <c r="T216" s="29" t="n"/>
    </row>
    <row r="217" ht="54" customHeight="1">
      <c r="A217" s="29" t="inlineStr">
        <is>
          <t>eindhoven:expat-scheme-basvuru-takvimi</t>
        </is>
      </c>
      <c r="B217" s="29" t="inlineStr">
        <is>
          <t>eindhoven</t>
        </is>
      </c>
      <c r="C217" s="29" t="inlineStr">
        <is>
          <t>expat-scheme-basvuru-takvimi</t>
        </is>
      </c>
      <c r="D217" s="29" t="inlineStr">
        <is>
          <t>%30 vergi kolaylığı başvurusu nasıl yapılır, hangi tarihlere dikkat etmeli?</t>
        </is>
      </c>
      <c r="E217" s="29" t="inlineStr">
        <is>
          <t>4 ay kuralı, süre, 2027 değişikliği ve işveren değişimi</t>
        </is>
      </c>
      <c r="F217" s="29" t="inlineStr">
        <is>
          <t>Başvuru formunu işvereninizle birlikte doldurup (çalışan da imzalar) Belastingdienst'e gönderirsiniz; Belastingdienst 8 hafta içinde bildirdiğini söyler, HEC ise onayın aylar sürebileceğini belirtir. Süre kaybetmemek için başvuru, işe başlamanızdan sonraki 4 ay içinde yapılmalıdır. İşveren, Belastingdienst resmen onaylayana kadar kolaylığı uygulayamaz.</t>
        </is>
      </c>
      <c r="G217" s="29" t="inlineStr">
        <is>
          <t>%30 başvurusu, expat scheme başvuru, Belastingdienst, 4 ay, 27%, işveren değişikliği, 78.600</t>
        </is>
      </c>
      <c r="H217" s="29" t="inlineStr">
        <is>
          <t>planning;new</t>
        </is>
      </c>
      <c r="I217" s="29" t="inlineStr">
        <is>
          <t>eindhoven:kaynak:008;eindhoven:kaynak:009</t>
        </is>
      </c>
      <c r="J217" s="49" t="n">
        <v>46317</v>
      </c>
      <c r="K217" s="51" t="n">
        <v>119</v>
      </c>
      <c r="L217" s="29" t="inlineStr">
        <is>
          <t>Hayır</t>
        </is>
      </c>
      <c r="M217" s="29" t="inlineStr">
        <is>
          <t>Taslak</t>
        </is>
      </c>
      <c r="N217" s="29" t="inlineStr">
        <is>
          <t>eindhoven:planlama</t>
        </is>
      </c>
      <c r="O217" s="29" t="inlineStr">
        <is>
          <t>Başvuru formunu işvereninizle birlikte doldurun; ikiniz de imzalayın.
Formu işe başlamanızdan sonraki 4 ay içinde Belastingdienst'e iletin.
Onay gelene kadar işverenin kolaylığı uygulayamayacağını bilin.
İşveren değiştirirseniz: yeni işveren aynı bordro grubundaysa ve yeni işte de Expat Scheme şartlarını sağlıyorsanız karar geçerli kalır, yeni başvuru gerekmez; grup dışındaysa eski işinizden ayrıldıktan sonra 3 ay içinde yeni işe başlamalı ve yeni işe başladıktan sonra 4 ay içinde başvurmalısınız, o zaman kolaylığı yeni işteki ilk günden kullanırsınız.</t>
        </is>
      </c>
      <c r="P217" s="29" t="inlineStr">
        <is>
          <t>Belastingdienst'in Expat Scheme başvuru formu (işveren ve çalışan tarafından imzalı)</t>
        </is>
      </c>
      <c r="Q217" s="29" t="inlineStr">
        <is>
          <t>Başvuru işe başlamadan sonraki 4 ay içinde; Belastingdienst 8 hafta içinde bildirir</t>
        </is>
      </c>
      <c r="R217" s="29" t="inlineStr">
        <is>
          <t>Vergisiz tazminat maaşın en fazla %30'u ve en çok 5 yıl; 1 Ocak 2027'den itibaren %27 (2024'ten önce başlatanlar için bazı istisnalar var); 2026 üst sınırı 78.600 euro (262.000 euro ve üstü maaşta, kolaylık tüm yıl kullanılırsa; yılın bir kısmında kullanılırsa üst sınır orantılı düşer)</t>
        </is>
      </c>
      <c r="S217" s="29" t="inlineStr">
        <is>
          <t>1 Ocak 2025'ten beri Box 2 ve Box 3'te kısmi yabancı vergi mükellefiyeti seçeneği yoktur; 2023'ün son maaş döneminde %30 kuralından yararlananlar bunu 2026 yılı dahil (2026 vergi beyannamesine kadar) kullanmaya devam edebilir. Tazminata ek olarak uluslararası okul harçları da işverenden vergisiz karşılanabilir. Kararın süresi en çok 5 yıldır ve daha önce Hollanda'da çalıştığınız ya da oturduğunuz süre kadar kısaltılır; o dönem 25 yıldan eskiyse, son 25 yılda yılda toplam 20 günden az çalıştıysanız ya da tatil, aile ziyareti gibi kalışlarınız yılda toplam 6 haftayı veya art arda 3 ayı geçmediyse süre kısaltılmaz.</t>
        </is>
      </c>
      <c r="T217" s="29" t="n"/>
    </row>
    <row r="218" ht="54" customHeight="1">
      <c r="A218" s="29" t="inlineStr">
        <is>
          <t>eindhoven:ev-esyasi-ve-arac-getirme</t>
        </is>
      </c>
      <c r="B218" s="29" t="inlineStr">
        <is>
          <t>eindhoven</t>
        </is>
      </c>
      <c r="C218" s="29" t="inlineStr">
        <is>
          <t>ev-esyasi-ve-arac-getirme</t>
        </is>
      </c>
      <c r="D218" s="29" t="inlineStr">
        <is>
          <t>Ev eşyasını ve arabayı Hollanda'ya getirirken nelere dikkat edilir?</t>
        </is>
      </c>
      <c r="E218" s="29" t="inlineStr">
        <is>
          <t>Taşınma eşyası muafiyeti, yabancı plakalı araç yasağı</t>
        </is>
      </c>
      <c r="F218" s="29" t="inlineStr">
        <is>
          <t>Taşınma eşyanızı (removal goods) genelde vergi ödemeden getirebilirsiniz; AB dışından taşınıyorsanız ilgili muafiyeti başvuruyla almanız gerekir. Yabancı plakalı arabanızı getirirseniz ithalat ve tescil adımlarını izlemeniz gerekir. BRP'ye kayıtlıysanız (ya da olmanız gerekiyorsa) Hollanda'da yabancı plakalı araçla araç kullanamazsınız.</t>
        </is>
      </c>
      <c r="G218" s="29" t="inlineStr">
        <is>
          <t>taşınma eşyası, gümrük, douane, araç ithalatı, RDW, kenteken, yabancı plaka</t>
        </is>
      </c>
      <c r="H218" s="29" t="inlineStr">
        <is>
          <t>before;planning</t>
        </is>
      </c>
      <c r="I218" s="29" t="inlineStr">
        <is>
          <t>eindhoven:kaynak:004;eindhoven:kaynak:008</t>
        </is>
      </c>
      <c r="J218" s="49" t="n">
        <v>46317</v>
      </c>
      <c r="K218" s="51" t="n">
        <v>120</v>
      </c>
      <c r="L218" s="29" t="inlineStr">
        <is>
          <t>Hayır</t>
        </is>
      </c>
      <c r="M218" s="29" t="inlineStr">
        <is>
          <t>Taslak</t>
        </is>
      </c>
      <c r="N218" s="29" t="inlineStr">
        <is>
          <t>eindhoven:planlama</t>
        </is>
      </c>
      <c r="O218" s="29" t="inlineStr">
        <is>
          <t>AB dışından taşınıyorsanız Hollanda Gümrüğü'nden (Douane) taşınma eşyası vergi muafiyeti için başvurun.
Çıkış ülkesindeki ihracat formalitelerini taşıma şirketinizle ya da oradaki makamlarla taşınma tarihinden çok önce netleştirin.
Aracı getirecekseniz ithalat ve tescil adımlarını RDW ve Netherlands Worldwide sitelerinden izleyin.
BRP kaydınız olduktan sonra yabancı plakalı araçla Hollanda'da araç kullanmayın.</t>
        </is>
      </c>
      <c r="P218" s="29" t="n"/>
      <c r="Q218" s="29" t="n"/>
      <c r="R218" s="29" t="n"/>
      <c r="S218" s="29" t="inlineStr">
        <is>
          <t>%30 kolaylığını alan çalışanlar yabancı ehliyetlerini Hollanda ehliyetine çevirebilir. Kedi veya köpek getirecekseniz ayrı kurallar geçerlidir.</t>
        </is>
      </c>
      <c r="T218" s="29" t="n"/>
    </row>
    <row r="219" ht="54" customHeight="1">
      <c r="A219" s="29" t="inlineStr">
        <is>
          <t>eindhoven:evcil-hayvan-getirme</t>
        </is>
      </c>
      <c r="B219" s="29" t="inlineStr">
        <is>
          <t>eindhoven</t>
        </is>
      </c>
      <c r="C219" s="29" t="inlineStr">
        <is>
          <t>evcil-hayvan-getirme</t>
        </is>
      </c>
      <c r="D219" s="29" t="inlineStr">
        <is>
          <t>Kedi veya köpeği Hollanda'ya getirmek için ne gerekir?</t>
        </is>
      </c>
      <c r="E219" s="29" t="inlineStr">
        <is>
          <t>Mikroçip, kuduz aşısı, pet pasaportu ve köpek kaydı</t>
        </is>
      </c>
      <c r="F219" s="29" t="inlineStr">
        <is>
          <t>En fazla 5 evcil hayvan getirebilirsiniz. Her kedi veya köpek için en az şunlar gerekir: AB pet pasaportu (AB'den geliyorsanız) ya da geçerli veteriner sertifikası ile sahip beyan formu; yolculuktan en az 21 gün önce yapılmış kuduz aşısı; kuduz aşısından önce veya aynı gün takılmış mikroçip. Kuduz aşısı 12 haftalıktan önce yapılamadığı için 15 haftadan küçük kedi ve köpekler getirilemez.</t>
        </is>
      </c>
      <c r="G219" s="29" t="inlineStr">
        <is>
          <t>evcil hayvan, kedi köpek, kuduz aşısı, mikroçip, pet pasaportu, hondenbelasting, UBN</t>
        </is>
      </c>
      <c r="H219" s="29" t="inlineStr">
        <is>
          <t>before;planning;new</t>
        </is>
      </c>
      <c r="I219" s="29" t="inlineStr">
        <is>
          <t>eindhoven:kaynak:004;eindhoven:kaynak:010</t>
        </is>
      </c>
      <c r="J219" s="49" t="n">
        <v>46317</v>
      </c>
      <c r="K219" s="51" t="n">
        <v>121</v>
      </c>
      <c r="L219" s="29" t="inlineStr">
        <is>
          <t>Hayır</t>
        </is>
      </c>
      <c r="M219" s="29" t="inlineStr">
        <is>
          <t>Taslak</t>
        </is>
      </c>
      <c r="N219" s="29" t="inlineStr">
        <is>
          <t>eindhoven:planlama</t>
        </is>
      </c>
      <c r="O219" s="29" t="inlineStr">
        <is>
          <t>Hayvanınıza kuduz aşısından önce veya aynı gün mikroçip taktırın; çip tarihi ve numarası pasaportta yazmalıdır.
Yolculuktan en az 21 gün önce kuduz aşısını yaptırın.
AB'den geliyorsanız AB pet pasaportunu, AB dışından geliyorsanız veteriner sertifikası ve sahip beyan formunu hazırlayın.
Köpek 3 aydan uzun kalacaksa varıştan sonra 2 hafta içinde veterinerle köpeği belirlenen veri tabanına kaydettirin; gerekirse önce RVO'dan UBN isteyin.
Köpek vergisi (hondenbelasting) için belediyeye bildirimde bulunun.</t>
        </is>
      </c>
      <c r="P219" s="29" t="inlineStr">
        <is>
          <t>AB pet pasaportu (AB'den geliyorsanız) ya da geçerli veteriner sertifikası ve sahip beyan formu
Kuduz aşısı kaydı
Mikroçip tarihi ve numarası (pasaportta yazılı)</t>
        </is>
      </c>
      <c r="Q219" s="29" t="inlineStr">
        <is>
          <t>Kuduz aşısı en az 21 gün önce; köpek kaydı varıştan sonra 2 hafta içinde</t>
        </is>
      </c>
      <c r="R219" s="29" t="n"/>
      <c r="S219" s="29" t="inlineStr">
        <is>
          <t>Eindhoven'da köpek vergisi yıllıktır; köpeğinizi DigiD ile belediyeye online bildirirsiniz. Yüksek kuduz riskli AB dışı ülkelerden gelen kedi ve köpek en az 7 aylık olmalıdır. Çıkış ülkesine ve güzergâha göre ek koşullar olabilir: kan testi, varıştan önce parazit tedavisi, gümrüğe bildirim ya da vergi ödeme. Hayvanın sahibi veya sahibinin yetkili temsilcisi olmanız gerekir; 5'ten fazla hayvanla seyahat ticari taşıma sayılır ve farklı kurallar geçerli olabilir.</t>
        </is>
      </c>
      <c r="T219" s="29" t="n"/>
    </row>
    <row r="220" ht="54" customHeight="1">
      <c r="A220" s="29" t="inlineStr">
        <is>
          <t>eindhoven:aylik-gida-butcesi-ve-enflasyon</t>
        </is>
      </c>
      <c r="B220" s="29" t="inlineStr">
        <is>
          <t>eindhoven</t>
        </is>
      </c>
      <c r="C220" s="29" t="inlineStr">
        <is>
          <t>aylik-gida-butcesi-ve-enflasyon</t>
        </is>
      </c>
      <c r="D220" s="29" t="inlineStr">
        <is>
          <t>Taşınmadan önce aylık yemek bütçesi nasıl planlanır?</t>
        </is>
      </c>
      <c r="E220" s="29" t="inlineStr">
        <is>
          <t>Nibud asgari gıda maliyetleri ve fiyat artışı</t>
        </is>
      </c>
      <c r="F220" s="29" t="inlineStr">
        <is>
          <t>Nibud'a göre sağlıklı beslenmenin asgari maliyeti tek kişilik hanede ayda 272,52 euro, çiftte 495,48 euro, 8 ve 13 yaşında iki çocuklu ailede 743,38 euro'dur (Temmuz 2026 hesabı). Bunlar asgari tutarlardır; gerçek harcama gelire bağlıdır. Fiyat artışını da hesaba katın: CBS'ye göre Eylül 2026'da yıllık enflasyon yüzde 3,4'tür.</t>
        </is>
      </c>
      <c r="G220" s="29" t="inlineStr">
        <is>
          <t>yaşam maliyeti, gıda bütçesi, Nibud, enflasyon, CBS, Persoonlijk Budgetadvies, alışveriş</t>
        </is>
      </c>
      <c r="H220" s="29" t="inlineStr">
        <is>
          <t>before;planning;new</t>
        </is>
      </c>
      <c r="I220" s="29" t="inlineStr">
        <is>
          <t>eindhoven:kaynak:017;eindhoven:kaynak:018;eindhoven:kaynak:016</t>
        </is>
      </c>
      <c r="J220" s="49" t="n">
        <v>46317</v>
      </c>
      <c r="K220" s="51" t="n">
        <v>122</v>
      </c>
      <c r="L220" s="29" t="inlineStr">
        <is>
          <t>Hayır</t>
        </is>
      </c>
      <c r="M220" s="29" t="inlineStr">
        <is>
          <t>Taslak</t>
        </is>
      </c>
      <c r="N220" s="29" t="inlineStr">
        <is>
          <t>eindhoven:planlama</t>
        </is>
      </c>
      <c r="O220" s="29" t="inlineStr">
        <is>
          <t>Hane tipinize göre aylık asgari gıda maliyetine bakın: tek kişi, çift veya çocuklu aile.
Hanenize özel asgari ve ortalama referans bütçeyi Nibud'un Persoonlijk Budgetadvies aracıyla görün.
Haftalık plan yapıp haftada bir belirli bir günde alışveriş yapın; her gün alışveriş genelde daha pahalıya gelir.
Yüksek konut masrafınız varsa gıdaya ayırabileceğiniz payın azalacağını hesaba katın.</t>
        </is>
      </c>
      <c r="P220" s="29" t="n"/>
      <c r="Q220" s="29" t="n"/>
      <c r="R220" s="29" t="inlineStr">
        <is>
          <t>Asgari gıda: tek kişi 272,52 euro/ay; çift 495,48 euro/ay; çift ve iki çocuk 743,38 euro/ay (Nibud, Temmuz 2026)</t>
        </is>
      </c>
      <c r="S220" s="29" t="inlineStr">
        <is>
          <t>Tıbbi nedenle diyet gerekiyorsa (örneğin glütensiz) ek maliyet için belediyeden bijzondere bijstand ya da Belastingdienst'ten özel sağlık gideri indirimi istenebilir; bunun için doktor veya diyetisyenden diyet raporu gerekir. Nibud kişi başı günlük asgari maliyeti iki kişilik hane esasına göre hesaplar: tek kişilik hane %10 daha pahalı, üç kişilik %15, dört kişilik %25, beş ve daha büyük hane %30 daha ucuza gelir.</t>
        </is>
      </c>
      <c r="T220" s="29" t="n"/>
    </row>
    <row r="221" ht="54" customHeight="1">
      <c r="A221" s="29" t="inlineStr">
        <is>
          <t>eindhoven:eindhoven-yeni-gelen-belediye-bilgileri</t>
        </is>
      </c>
      <c r="B221" s="29" t="inlineStr">
        <is>
          <t>eindhoven</t>
        </is>
      </c>
      <c r="C221" s="29" t="inlineStr">
        <is>
          <t>eindhoven-yeni-gelen-belediye-bilgileri</t>
        </is>
      </c>
      <c r="D221" s="29" t="inlineStr">
        <is>
          <t>Eindhoven'a yeni gelenler için belediye hizmetleri ve ilk bilgiler</t>
        </is>
      </c>
      <c r="E221" s="29" t="inlineStr">
        <is>
          <t>Atık, köpek vergisi, sorun bildirimi ve park</t>
        </is>
      </c>
      <c r="F221" s="29" t="inlineStr">
        <is>
          <t>Belediye hizmetlerinin çoğunu online halledebilirsiniz; gerektiğinde Inwonersplein'a (Stadhuisplein 1A) gidersiniz. Belediyeye 14 040 numarasından ulaşılır. Atık toplama Cure Afvalbeheer'e aittir; sorunlarda 040 2500130 aranır. Yeraltı konteynerleri ve milieustraat için milieupas gerekir.</t>
        </is>
      </c>
      <c r="G221" s="29" t="inlineStr">
        <is>
          <t>Eindhoven belediye, atık, milieupas, 14 040, Inwonersplein, hondenbelasting, Buiten Beter</t>
        </is>
      </c>
      <c r="H221" s="29" t="inlineStr">
        <is>
          <t>new;settled</t>
        </is>
      </c>
      <c r="I221" s="29" t="inlineStr">
        <is>
          <t>eindhoven:kaynak:010</t>
        </is>
      </c>
      <c r="J221" s="49" t="n">
        <v>46317</v>
      </c>
      <c r="K221" s="51" t="n">
        <v>123</v>
      </c>
      <c r="L221" s="29" t="inlineStr">
        <is>
          <t>Hayır</t>
        </is>
      </c>
      <c r="M221" s="29" t="inlineStr">
        <is>
          <t>Taslak</t>
        </is>
      </c>
      <c r="N221" s="29" t="inlineStr">
        <is>
          <t>eindhoven:planlama</t>
        </is>
      </c>
      <c r="O221" s="29" t="inlineStr">
        <is>
          <t>Atık takvimi ve milieustraat bilgisi için Cure Afvalbeheer sitesine bakın; konteyner veya kliko sorunlarında 040 2500130'u arayın.
Yeraltı konteynerleri ve milieustraat için milieupas edinin.
Köpeğiniz varsa DigiD ile belediyeye online bildirin; Eindhoven'da köpek vergisi her yıl ödenir.
Reklam broşürü istemiyorsanız posta kutunuza nee/nee etiketi yapıştırın; etiket Inwonersplein'da ücretsiz verilir.
Lamba arızası, kırık kaldırım taşı gibi sorunları Buiten Beter uygulamasıyla ya da belediye sitesi üzerinden bildirin.
Yeni insanlarla tanışmak için İngilizce üç etkinlikten oluşan Homewards Social Onboarding Programma'ya kaydolun.</t>
        </is>
      </c>
      <c r="P221" s="29" t="n"/>
      <c r="Q221" s="29" t="n"/>
      <c r="R221" s="29" t="n"/>
      <c r="S221" s="29" t="inlineStr">
        <is>
          <t>Şehir merkezinde ücretli park uygulanır; cep telefonu ya da banka kartıyla ödenir. Park izni bölgesinde oturuyorsanız P-loket üzerinden online park izni isteyebilirsiniz.</t>
        </is>
      </c>
      <c r="T221" s="29" t="n"/>
    </row>
    <row r="222" ht="54" customHeight="1">
      <c r="A222" s="29" t="inlineStr">
        <is>
          <t>eindhoven:yurt-disindan-eindhoven-kayit</t>
        </is>
      </c>
      <c r="B222" s="29" t="inlineStr">
        <is>
          <t>eindhoven</t>
        </is>
      </c>
      <c r="C222" s="29" t="inlineStr">
        <is>
          <t>yurt-disindan-eindhoven-kayit</t>
        </is>
      </c>
      <c r="D222" s="29" t="inlineStr">
        <is>
          <t>Yurt dışından Eindhoven'a taşınınca belediye kaydı (inschrijving) nasıl yapılır?</t>
        </is>
      </c>
      <c r="E222" s="29" t="inlineStr">
        <is>
          <t>Varıştan sonra 5 gün içinde Inwonersplein tezgâhında şahsen kayıt</t>
        </is>
      </c>
      <c r="F222" s="29" t="inlineStr">
        <is>
          <t>Hollanda'da kalıcı olarak oturacaksan ya da önümüzdeki yarım yıl içinde en az 4 ay kalacaksan, varıştan sonra 5 gün içinde belediyeye kayıt (inschrijving) yaptırırsın. Hollanda vatandaşı değilsen ve AB üyesi olmayan bir ülkeden geliyorsan (Türk vatandaşları dahil), kayıttan önce IND ile iletişime geçmen gerekir. Eindhoven'da kayıt, Inwonersplein (vatandaş hizmet merkezi) tezgâhında şahsen ve randevuyla yapılır; partnerin ve çocukların seninle taşınıyorsa hep birlikte gidersiniz. Kayıttan sonra 4 hafta içinde onay mektubu gelir.</t>
        </is>
      </c>
      <c r="G222" s="29" t="inlineStr">
        <is>
          <t>inschrijving, belediye kaydı, Inwonersplein, gemeente, yurt dışından taşınma, BRP</t>
        </is>
      </c>
      <c r="H222" s="29" t="inlineStr">
        <is>
          <t>new</t>
        </is>
      </c>
      <c r="I222" s="29" t="inlineStr">
        <is>
          <t>eindhoven:kaynak:038;eindhoven:kaynak:047;eindhoven:kaynak:040</t>
        </is>
      </c>
      <c r="J222" s="49" t="n">
        <v>46317</v>
      </c>
      <c r="K222" s="51" t="n">
        <v>301</v>
      </c>
      <c r="L222" s="29" t="inlineStr">
        <is>
          <t>Evet</t>
        </is>
      </c>
      <c r="M222" s="29" t="inlineStr">
        <is>
          <t>Taslak</t>
        </is>
      </c>
      <c r="N222" s="29" t="inlineStr">
        <is>
          <t>eindhoven:resmi</t>
        </is>
      </c>
      <c r="O222" s="29" t="inlineStr">
        <is>
          <t>Hollanda vatandaşı değilsen ve AB üyesi olmayan bir ülkeden geliyorsan (Türk vatandaşları dahil), kayıttan önce IND ile iletişime geç: ind.nl ya da 088 043 04 30.
Varıştan sonraki 5 gün içinde internetten ya da telefonla kayıt randevusu al (14 040; yurt dışından +31 40 2386000).
Randevu gün ve saatinde Inwonersplein tezgâhına git; partnerin ve çocukların da taşınıyorsa hep birlikte gidin.
Yanına kendinin ve çocuklarının yurt dışı belgelerinin aslını (fotokopi olmaz; çoğu zaman legalize, yani tasdik ettirilmiş olmalı) ve kaydı yapılacak herkesin geçerli pasaport ya da kimlik kartını al; birinin yanına taşınıyorsan ve o kişi randevuya gelmiyorsa onun yazılı onayını da götür.
Memur seni yeni adresine kaydeder; kayıttan sonra 4 hafta içinde onay mektubu postayla gelir.</t>
        </is>
      </c>
      <c r="P222" s="29" t="inlineStr">
        <is>
          <t>Kendinin ve çocuklarının yurt dışı belgelerinin aslı (doğum, evlilik, boşanma belgesi gibi); fotokopi kabul edilmez, belgelerin çoğu legalize (tasdik) ettirilmiş olmalı, bilgi nederlandwereldwijd.nl'de
Kaydı yapılacak herkesin geçerli pasaportu ya da kimlik kartı
Belçika, Aruba, Bonaire, Curaçao, Saba, Sint Eustatius veya Sint Maarten'dan geliyorsan kayıt silme belgesi (bewijs van uitschrijving)
Birinin yanına taşınıyorsan ve ev sahibi ya da asıl oturan randevuya gelmiyorsa onun yazılı onayı (Toestemmingsverklaring voor inwoning)</t>
        </is>
      </c>
      <c r="Q222" s="29" t="inlineStr">
        <is>
          <t>Varıştan sonra 5 gün içinde kayıt; onay mektubu kayıttan sonra 4 hafta içinde.</t>
        </is>
      </c>
      <c r="R222" s="29" t="n"/>
      <c r="S222" s="29" t="inlineStr">
        <is>
          <t>Randevu sayfasında yoğunluk uyarısı var: takvimde 'Er zijn geen beschikbare dagen gevonden' (uygun gün bulunamadı) yazarsa daha sonra tekrar dene; her gün 4 hafta sonrası için yeni randevu ekleniyor. İşvereni IND'nin tanıdığı sponsor olan AB vatandaşları ile belirli oturum izni türü olan AB dışı kişiler için Holland Expat Center South hızlandırılmış birleşik prosedür sunuyor; bu prosedüre uygun değilsen yerel belediyede kayıt şart.</t>
        </is>
      </c>
      <c r="T222" s="29" t="inlineStr">
        <is>
          <t>{"kind": "steps", "title": "Eindhoven'da belediye kaydı", "note": "Şematik", "items": [{"key": "1", "title": "IND ile görüş", "text": "AB dışından geliyor ve Hollanda vatandaşı değilsen, kayıttan önce"}, {"key": "2", "title": "Randevu al", "text": "Varıştan sonra 5 gün içinde, online veya 14 040"}, {"key": "3", "title": "Tezgâha git", "text": "Inwonersplein, partner ve çocuklarla birlikte"}, {"key": "4", "title": "Belgeleri göster", "text": "Yurt dışı belgelerin aslı, herkesin pasaportu/kimliği, gerekirse ev sahibi onayı"}, {"key": "5", "title": "Onay mektubu", "text": "Kayıttan sonra 4 hafta içinde"}]}</t>
        </is>
      </c>
    </row>
    <row r="223" ht="54" customHeight="1">
      <c r="A223" s="29" t="inlineStr">
        <is>
          <t>eindhoven:kayit-randevusu-gerekli-belgeler</t>
        </is>
      </c>
      <c r="B223" s="29" t="inlineStr">
        <is>
          <t>eindhoven</t>
        </is>
      </c>
      <c r="C223" s="29" t="inlineStr">
        <is>
          <t>kayit-randevusu-gerekli-belgeler</t>
        </is>
      </c>
      <c r="D223" s="29" t="inlineStr">
        <is>
          <t>Eindhoven'da belediye kaydı için randevuya hangi belgelerle gidilir?</t>
        </is>
      </c>
      <c r="E223" s="29" t="inlineStr">
        <is>
          <t>Kopya değil orijinal belge, legalizasyon ve ev sahibi izni</t>
        </is>
      </c>
      <c r="F223" s="29" t="inlineStr">
        <is>
          <t>Kayıt randevusuna yurt dışında düzenlenmiş belgelerin kopyasını değil aslını götürürsün: kendin ve çocukların için doğum, evlilik ya da boşanma belgesi gibi. Kayıt olacak herkesin geçerli pasaportu veya kimlik kartı gerekir. Hollanda vatandaşı değilsen ve AB üyesi olmayan bir ülkeden geliyorsan (Türk vatandaşları dahil), kayıt olmadan önce IND ile de iletişime geçmen gerekir. Yurt dışı belgeler çoğunlukla legalize edilmelidir (legalisatie); belirli durumlarda belediye ek bilgi ve belge de isteyebilir.</t>
        </is>
      </c>
      <c r="G223" s="29" t="inlineStr">
        <is>
          <t>kayıt belgeleri, legalizasyon, doğum belgesi, evlilik belgesi, toestemmingsverklaring, inschrijving</t>
        </is>
      </c>
      <c r="H223" s="29" t="inlineStr">
        <is>
          <t>new</t>
        </is>
      </c>
      <c r="I223" s="29" t="inlineStr">
        <is>
          <t>eindhoven:kaynak:038</t>
        </is>
      </c>
      <c r="J223" s="49" t="n">
        <v>46317</v>
      </c>
      <c r="K223" s="51" t="n">
        <v>302</v>
      </c>
      <c r="L223" s="29" t="inlineStr">
        <is>
          <t>Hayır</t>
        </is>
      </c>
      <c r="M223" s="29" t="inlineStr">
        <is>
          <t>Taslak</t>
        </is>
      </c>
      <c r="N223" s="29" t="inlineStr">
        <is>
          <t>eindhoven:resmi</t>
        </is>
      </c>
      <c r="O223" s="29" t="inlineStr">
        <is>
          <t>Hollanda vatandaşı değilsen ve AB üyesi olmayan bir ülkeden geliyorsan (Türk vatandaşları dahil), randevudan önce IND ile iletişime geç: ind.nl ya da 088 043 04 30.
Kendin ve çocukların için yurt dışından alınmış orijinal belgeleri (doğum, evlilik, boşanma belgesi gibi) hazırla; fotokopi kabul edilmez.
Belgelerin legalize edilmesi gerekip gerekmediğini nederlandwereldwijd.nl sayfasından kontrol et.
Birinin evinde oturacaksan ve ev sahibi randevuya gelmeyecekse, Toestemmingsverklaring voor inwoning (birlikte oturma izin beyanı) formunu doldurtup yazdır.
Hepsini ve kayıt olacak herkesin geçerli kimliğini randevuya götür.</t>
        </is>
      </c>
      <c r="P223" s="29" t="inlineStr">
        <is>
          <t>Yurt dışından alınmış orijinal belgeler: kendin ve çocukların için (doğum, evlilik, boşanma belgesi gibi), kopya olmaz
Kayıt olacak her kişi için geçerli pasaport ya da kimlik kartı
Belçika, Aruba, Bonaire, Curaçao, Saba, Sint Eustatius veya Sint Maarten'dan geliyorsan oradaki kaydının silindiğine dair belge (bewijs van uitschrijving)
Biriyle birlikte oturuyorsan ve ev sahibi/asıl oturan randevuya gelmiyorsa onun yazılı beyanı</t>
        </is>
      </c>
      <c r="Q223" s="29" t="n"/>
      <c r="R223" s="29" t="n"/>
      <c r="S223" s="29" t="inlineStr">
        <is>
          <t>Belediye bu listeyi 'belirli durumlarda' genişletebiliyor; yurt dışı belgelerin çoğu için legalizasyon şartı var, bilgi nederlandwereldwijd.nl sayfasında.</t>
        </is>
      </c>
      <c r="T223" s="29" t="n"/>
    </row>
    <row r="224" ht="54" customHeight="1">
      <c r="A224" s="29" t="inlineStr">
        <is>
          <t>eindhoven:ab-disindan-gelenler-ind-ve-siginma</t>
        </is>
      </c>
      <c r="B224" s="29" t="inlineStr">
        <is>
          <t>eindhoven</t>
        </is>
      </c>
      <c r="C224" s="29" t="inlineStr">
        <is>
          <t>ab-disindan-gelenler-ind-ve-siginma</t>
        </is>
      </c>
      <c r="D224" s="29" t="inlineStr">
        <is>
          <t>AB dışından geliyorsan belediye kaydından önce ne yapılır?</t>
        </is>
      </c>
      <c r="E224" s="29" t="inlineStr">
        <is>
          <t>IND ile iletişim, sığınma başvurusu ve AB'den gelenler için kurallar</t>
        </is>
      </c>
      <c r="F224" s="29" t="inlineStr">
        <is>
          <t>Hollanda vatandaşı değilsen ve AB üyesi olmayan bir ülkeden geliyorsan, belediyeye kayıttan önce IND (göç ve vatandaşlık dairesi) ile iletişime geçmen gerekir; IND telefonu 088 043 04 30. Sığınma başvurusu yaptıysan ve sığınma ya da kabul merkezinde kalıyorsan ilk 6 ay belediye kaydı yapılmaz. AB'den gelip Hollanda'da çalışıp yaşamak istiyorsan bilgi IND sitesinde. Eindhoven'ın taşınma sihirbazı AB içinden ve AB dışından gelenler için ayrı kayıt randevusu sunar.</t>
        </is>
      </c>
      <c r="G224" s="29" t="inlineStr">
        <is>
          <t>IND, AB dışı, sığınma, asiel, vestiging, oturum izni, yurt dışından taşınma</t>
        </is>
      </c>
      <c r="H224" s="29" t="inlineStr">
        <is>
          <t>before;new</t>
        </is>
      </c>
      <c r="I224" s="29" t="inlineStr">
        <is>
          <t>eindhoven:kaynak:038;eindhoven:kaynak:040</t>
        </is>
      </c>
      <c r="J224" s="49" t="n">
        <v>46317</v>
      </c>
      <c r="K224" s="51" t="n">
        <v>303</v>
      </c>
      <c r="L224" s="29" t="inlineStr">
        <is>
          <t>Hayır</t>
        </is>
      </c>
      <c r="M224" s="29" t="inlineStr">
        <is>
          <t>Taslak</t>
        </is>
      </c>
      <c r="N224" s="29" t="inlineStr">
        <is>
          <t>eindhoven:resmi</t>
        </is>
      </c>
      <c r="O224" s="29" t="inlineStr">
        <is>
          <t>AB üyesi olmayan bir ülkeden geliyorsan ve Hollanda vatandaşı değilsen, kayıttan önce IND ile ind.nl üzerinden ya da 088 043 04 30 numarasından görüş.
Eindhoven belediyesinin taşınma sihirbazında geldiğin yeri seç: AB içinden mi, AB dışından mı; sihirbaz ona göre ayrı kayıt randevusu sunar.
AB'den geliyorsan çalışma ve yerleşme bilgisi için IND sitesine bak.
Sığınma başvurusu yaptıysan ve bir sığınma ya da kabul merkezinde kalıyorsan, ilk 6 ay belediye kaydı için başvurma.</t>
        </is>
      </c>
      <c r="P224" s="29" t="n"/>
      <c r="Q224" s="29" t="inlineStr">
        <is>
          <t>İlk 6 ay: sığınma/kabul merkezinde kalanlar için belediye kaydı yok.</t>
        </is>
      </c>
      <c r="R224" s="29" t="n"/>
      <c r="S224" s="29" t="inlineStr">
        <is>
          <t>Türkiye AB üyesi olmadığı için Türk vatandaşları da bu kuralın kapsamındadır; Hollanda vatandaşlığın da varsa kural senin için geçerli değildir. Sığınma merkezi kuralı yalnızca sığınma başvurusu yapıp sığınma ya da kabul merkezinde kalanlar içindir.</t>
        </is>
      </c>
      <c r="T224" s="29" t="n"/>
    </row>
    <row r="225" ht="54" customHeight="1">
      <c r="A225" s="29" t="inlineStr">
        <is>
          <t>eindhoven:rni-kaydi-4-aydan-kisa-kalis</t>
        </is>
      </c>
      <c r="B225" s="29" t="inlineStr">
        <is>
          <t>eindhoven</t>
        </is>
      </c>
      <c r="C225" s="29" t="inlineStr">
        <is>
          <t>rni-kaydi-4-aydan-kisa-kalis</t>
        </is>
      </c>
      <c r="D225" s="29" t="inlineStr">
        <is>
          <t>Hollanda'da 4 aydan kısa kalacaksan RNI kaydı nedir, nasıl yapılır?</t>
        </is>
      </c>
      <c r="E225" s="29" t="inlineStr">
        <is>
          <t>Registratie Niet-Ingezetenen: kısa süreli iş veya okul için BSN</t>
        </is>
      </c>
      <c r="F225" s="29" t="inlineStr">
        <is>
          <t>Önümüzdeki yarım yıl içinde Hollanda'da 4 aydan kısa kalacaksan (ör. çalışmak ya da okumak için), belediye kaydı yerine RNI'ye (Registratie Niet-Ingezetenen, yerleşik olmayanlar kaydı) yazılırsın. RNI yalnızca belirli belediyelerde yapılır; Hollanda genelindeki 19 belediyeden biri Eindhoven'dır. BSN'ni randevuda alırsın; bu geçici değil, ömür boyu geçerli bir numaradır.</t>
        </is>
      </c>
      <c r="G225" s="29" t="inlineStr">
        <is>
          <t>RNI, niet-ingezetenen, kısa süreli kalış, BSN, 4 ay, geçici kayıt</t>
        </is>
      </c>
      <c r="H225" s="29" t="inlineStr">
        <is>
          <t>before;new</t>
        </is>
      </c>
      <c r="I225" s="29" t="inlineStr">
        <is>
          <t>eindhoven:kaynak:038;eindhoven:kaynak:040;eindhoven:kaynak:041;eindhoven:kaynak:047;eindhoven:kaynak:048</t>
        </is>
      </c>
      <c r="J225" s="49" t="n">
        <v>46317</v>
      </c>
      <c r="K225" s="51" t="n">
        <v>304</v>
      </c>
      <c r="L225" s="29" t="inlineStr">
        <is>
          <t>Hayır</t>
        </is>
      </c>
      <c r="M225" s="29" t="inlineStr">
        <is>
          <t>Taslak</t>
        </is>
      </c>
      <c r="N225" s="29" t="inlineStr">
        <is>
          <t>eindhoven:resmi</t>
        </is>
      </c>
      <c r="O225" s="29" t="inlineStr">
        <is>
          <t>Eindhoven belediyesinin taşınma sihirbazında 4 aydan kısa kalacağını ve amacının BSN gerektiren iş ya da okul olduğunu seç.
RNI için randevu al.
Randevuya orijinal ve geçerli pasaportunu götür.
BSN'ni randevu sırasında al.</t>
        </is>
      </c>
      <c r="P225" s="29" t="inlineStr">
        <is>
          <t>Orijinal ve geçerli pasaport</t>
        </is>
      </c>
      <c r="Q225" s="29" t="inlineStr">
        <is>
          <t>Önümüzdeki yarım yılda 4 aydan kısa kalışlar için.</t>
        </is>
      </c>
      <c r="R225" s="29" t="n"/>
      <c r="S225" s="29" t="inlineStr">
        <is>
          <t>Sonradan 4 aydan uzun kalırsan RNI'den BRP kaydına geçersin ve BSN'in aynı kalır. Tatil ya da arkadaş ziyareti gibi dinlenme amacıyla 4 aydan kısa kalıyorsan belediyeye bildirim gerekmez.</t>
        </is>
      </c>
      <c r="T225" s="29" t="n"/>
    </row>
    <row r="226" ht="54" customHeight="1">
      <c r="A226" s="29" t="inlineStr">
        <is>
          <t>eindhoven:bsn-numarasi-alma-ve-bulma</t>
        </is>
      </c>
      <c r="B226" s="29" t="inlineStr">
        <is>
          <t>eindhoven</t>
        </is>
      </c>
      <c r="C226" s="29" t="inlineStr">
        <is>
          <t>bsn-numarasi-alma-ve-bulma</t>
        </is>
      </c>
      <c r="D226" s="29" t="inlineStr">
        <is>
          <t>BSN (burgerservicenummer) nasıl alınır, nerede yazar, ne için gerekir?</t>
        </is>
      </c>
      <c r="E226" s="29" t="inlineStr">
        <is>
          <t>BRP kaydıyla otomatik verilen, Hollanda'daki kişisel numaran</t>
        </is>
      </c>
      <c r="F226" s="29" t="inlineStr">
        <is>
          <t>BSN, Hollanda'da yaşayan, okuyan ya da çalışan herkesin ihtiyaç duyduğu kişisel numaradır. Başka uyruklular, belediyeye yerleşik olarak kayıt oldukları anda BSN'i otomatik alır; ayrıca başvuru yapılmaz. Numara 8 veya 9 haneli olur. Sigorta, banka hesabı, maaş, çocuğun okul kaydı ve yardım başvurularında gerekir. Eindhoven'da kayıt Inwonersplein tezgâhında şahsen yapılır; partnerin ve çocukların da şahsen gelmesi gerekir.</t>
        </is>
      </c>
      <c r="G226" s="29" t="inlineStr">
        <is>
          <t>BSN, burgerservicenummer, vatandaşlık numarası, kayıt, BRP, persoonsnummer</t>
        </is>
      </c>
      <c r="H226" s="29" t="inlineStr">
        <is>
          <t>new</t>
        </is>
      </c>
      <c r="I226" s="29" t="inlineStr">
        <is>
          <t>eindhoven:kaynak:041;eindhoven:kaynak:048;eindhoven:kaynak:051</t>
        </is>
      </c>
      <c r="J226" s="49" t="n">
        <v>46317</v>
      </c>
      <c r="K226" s="51" t="n">
        <v>305</v>
      </c>
      <c r="L226" s="29" t="inlineStr">
        <is>
          <t>Evet</t>
        </is>
      </c>
      <c r="M226" s="29" t="inlineStr">
        <is>
          <t>Taslak</t>
        </is>
      </c>
      <c r="N226" s="29" t="inlineStr">
        <is>
          <t>eindhoven:resmi</t>
        </is>
      </c>
      <c r="O226" s="29" t="inlineStr">
        <is>
          <t>4 aydan fazla kalacaksan, varıştan sonra 5 gün içinde yaşayacağın belediyede kayıt ol.
Eindhoven'da Inwonersplein tezgâhına şahsen git; randevu için 14 040'ı ara. Partnerin ve çocukların da şahsen gelmeli.
BSN'in kayıt anında otomatik verilir.
Numaranı Hollanda pasaportunda ('persoonsnummer'), kimlik kartında, ehliyette, vergi dairesi yazılarında, maaş bordronda ve yıllık gelir özetinde bulursun.</t>
        </is>
      </c>
      <c r="P226" s="29" t="n"/>
      <c r="Q226" s="29" t="inlineStr">
        <is>
          <t>Kayıt varıştan sonra 5 gün içinde yapılır; BSN kayıt anında verilir.</t>
        </is>
      </c>
      <c r="R226" s="29" t="n"/>
      <c r="S226" s="29" t="inlineStr">
        <is>
          <t>Hollanda'da oturmuyorsan da BSN alınabilir: yurt dışında yaşayanlar vergi dairesinden yardım (toeslag) istemek ya da SVB'den AOW (emeklilik aylığı) başvurusu için BSN'e ihtiyaç duyar. Numarada her zaman sıfır rakamı kullanılır, O harfi değil.</t>
        </is>
      </c>
      <c r="T226" s="29" t="inlineStr">
        <is>
          <t>{"kind": "steps", "title": "BSN'e giden yol", "note": "Şematik", "items": [{"key": "1", "title": "Kayıt randevusu", "text": "14 040 veya online"}, {"key": "2", "title": "Tezgâhta kayıt", "text": "Inwonersplein, şahsen"}, {"key": "3", "title": "BSN verilir", "text": "Kayıt anında otomatik"}, {"key": "4", "title": "Numara belgelerinde", "text": "Pasaport, vergi yazısı, maaş bordrosu"}]}</t>
        </is>
      </c>
    </row>
    <row r="227" ht="54" customHeight="1">
      <c r="A227" s="29" t="inlineStr">
        <is>
          <t>eindhoven:bsn-brp-rni-farki</t>
        </is>
      </c>
      <c r="B227" s="29" t="inlineStr">
        <is>
          <t>eindhoven</t>
        </is>
      </c>
      <c r="C227" s="29" t="inlineStr">
        <is>
          <t>bsn-brp-rni-farki</t>
        </is>
      </c>
      <c r="D227" s="29" t="inlineStr">
        <is>
          <t>BSN, BRP ve RNI ne demek, aralarındaki fark nedir?</t>
        </is>
      </c>
      <c r="E227" s="29" t="inlineStr">
        <is>
          <t>Numara, nüfus kayıt sistemi ve kısa süreli kayıt sisteminin kısa özeti</t>
        </is>
      </c>
      <c r="F227" s="29" t="inlineStr">
        <is>
          <t>BSN kişisel numaradır; BRP (Basisregistratie Personen) belediyelerde tutulan kişisel kayıt veritabanıdır; RNI ise Hollanda'da 4 aydan kısa kalanlar için kayıt sistemidir. Önümüzdeki yarım yılda 4 aydan uzun kalacaksan BRP'ye yazılırsın; daha kısa kalıp iş ya da okul için BSN'e ihtiyacın varsa RNI'ye yazılırsın; iki kayıtta da BSN verilir. Tatil ya da arkadaş ziyareti gibi dinlenme amaçlı 4 aydan kısa kalışta Eindhoven belediyesine bir şey bildirmezsin. Her belediyenin kendi BRP'si vardır; adres değiştirirsen ya da ülkeden kalıcı veya uzun süreliğine ayrılırsan belediyeye haber verirsin; Eindhoven'da bu, yurt dışına taşınmak ya da önümüzdeki 12 ayın en az 8 ayını yurt dışında geçirmek demektir.</t>
        </is>
      </c>
      <c r="G227" s="29" t="inlineStr">
        <is>
          <t>BSN, BRP, RNI, nüfus kaydı, basisregistratie personen, kayıt farkı</t>
        </is>
      </c>
      <c r="H227" s="29" t="inlineStr">
        <is>
          <t>before;new</t>
        </is>
      </c>
      <c r="I227" s="29" t="inlineStr">
        <is>
          <t>eindhoven:kaynak:048;eindhoven:kaynak:047;eindhoven:kaynak:040;eindhoven:kaynak:226</t>
        </is>
      </c>
      <c r="J227" s="49" t="n">
        <v>46317</v>
      </c>
      <c r="K227" s="51" t="n">
        <v>306</v>
      </c>
      <c r="L227" s="29" t="inlineStr">
        <is>
          <t>Hayır</t>
        </is>
      </c>
      <c r="M227" s="29" t="inlineStr">
        <is>
          <t>Taslak</t>
        </is>
      </c>
      <c r="N227" s="29" t="inlineStr">
        <is>
          <t>eindhoven:resmi</t>
        </is>
      </c>
      <c r="O227" s="29" t="inlineStr">
        <is>
          <t>Hollanda'da 6 ay içinde ne kadar kalacağını belirle: 4 aydan uzun mu, kısa mı?
4 aydan uzunsa belediyenin BRP'sine kayıt ol; BSN'ini bu kayıtta alırsın.
4 aydan kısaysa ve iş ya da okul için BSN gerekiyorsa RNI'ye yazıl, BSN'ini bu kayıtta alırsın; tatil ya da ziyaret için geliyorsan kayıt gerekmez.
Adres değiştirdiğinde, yurt dışına taşındığında ya da önümüzdeki 12 ayın en az 8 ayını yurt dışında geçireceğinde belediyeye haber ver; daha kısa yurt dışı kalışından aynı adrese dönüyorsan bildirim gerekmez.</t>
        </is>
      </c>
      <c r="P227" s="29" t="n"/>
      <c r="Q227" s="29" t="n"/>
      <c r="R227" s="29" t="n"/>
      <c r="S227" s="29" t="inlineStr">
        <is>
          <t>Hollanda vatandaşları ve Hollanda'da doğan tüm çocuklar BSN'i doğumda alır ve nüfus kaydına yazılır. Holland Expat Center South, 6 ayda 4 aydan kısa kalan herkesin RNI'ye kaydolması gerektiğini yazıyor; Eindhoven belediyesi ise RNI randevusunu BSN gerektiren iş ya da okul için veriyor ve dinlenme amaçlı kısa kalışta bildirim istemiyor, bu durumda belediyenin kuralına uy. Kalıcı ayrılırken belediyedeki BRP kaydını silmek gerekir; bu işlem ancak fiilen ayrılmadan önceki 5 gün içinde (hafta sonu ve tatil dahil) yapılabilir.</t>
        </is>
      </c>
      <c r="T227" s="29" t="n"/>
    </row>
    <row r="228" ht="54" customHeight="1">
      <c r="A228" s="29" t="inlineStr">
        <is>
          <t>eindhoven:eindhoven-tasinma-bildirimi-digid</t>
        </is>
      </c>
      <c r="B228" s="29" t="inlineStr">
        <is>
          <t>eindhoven</t>
        </is>
      </c>
      <c r="C228" s="29" t="inlineStr">
        <is>
          <t>eindhoven-tasinma-bildirimi-digid</t>
        </is>
      </c>
      <c r="D228" s="29" t="inlineStr">
        <is>
          <t>Eindhoven'a veya Eindhoven içinde taşınınca adres değişikliği nasıl bildirilir?</t>
        </is>
      </c>
      <c r="E228" s="29" t="inlineStr">
        <is>
          <t>DigiD ile internetten, randevusuz: taşınmadan 4 hafta önce ile 5 gün sonrası arası</t>
        </is>
      </c>
      <c r="F228" s="29" t="inlineStr">
        <is>
          <t>Başka bir Hollanda şehrinden Eindhoven'a ya da Eindhoven içinde yeni bir adrese taşınıyorsan, taşınmadan 4 hafta öncesinden taşındıktan en geç 5 gün sonrasına kadar DigiD ile internetten bildirirsin; randevu gerekmez. Ailenden biri eski adreste kalıyorsa DigiD yolu geçerli değildir, tezgâhta randevuyla şahsen bildirirsin. Belediye seni yeni adrese yazar ve eski adresten kaydını siler; başka şehirden geliyorsan veriler geceleyin aktarılır, ertesi iş günü kayıtlı olursun. Taşınma tarihinden sonra 5 iş günü içinde onay mektubu gelir. Yurt dışından geliyorsan bu yol geçerli değil; kayıt randevusu gerekir.</t>
        </is>
      </c>
      <c r="G228" s="29" t="inlineStr">
        <is>
          <t>adres değişikliği, verhuizen, taşınma bildirimi, DigiD, BRP, Eindhoven</t>
        </is>
      </c>
      <c r="H228" s="29" t="inlineStr">
        <is>
          <t>new;settled</t>
        </is>
      </c>
      <c r="I228" s="29" t="inlineStr">
        <is>
          <t>eindhoven:kaynak:039;eindhoven:kaynak:040</t>
        </is>
      </c>
      <c r="J228" s="49" t="n">
        <v>46317</v>
      </c>
      <c r="K228" s="51" t="n">
        <v>307</v>
      </c>
      <c r="L228" s="29" t="inlineStr">
        <is>
          <t>Hayır</t>
        </is>
      </c>
      <c r="M228" s="29" t="inlineStr">
        <is>
          <t>Taslak</t>
        </is>
      </c>
      <c r="N228" s="29" t="inlineStr">
        <is>
          <t>eindhoven:resmi</t>
        </is>
      </c>
      <c r="O228" s="29" t="inlineStr">
        <is>
          <t>Taşınmadan 4 hafta öncesi ile taşındıktan sonraki 5 gün arasında DigiD ile taşınmanı internetten bildir.
Belediye seni yeni adresine yazar ve eski adresinden siler.
Taşınma tarihinden sonra 5 iş günü içinde gelen onay mektubunu kontrol et.
Belediyenin bilgilendirdiği kurumların dışında kalan kurumlara kendin haber ver.</t>
        </is>
      </c>
      <c r="P228" s="29" t="n"/>
      <c r="Q228" s="29" t="inlineStr">
        <is>
          <t>Taşınmadan 4 hafta öncesinden taşınma tarihinden en geç 5 gün sonrasına kadar; onay mektubu 5 iş günü içinde.</t>
        </is>
      </c>
      <c r="R228" s="29" t="n"/>
      <c r="S228" s="29" t="inlineStr">
        <is>
          <t>Belediye taşınmanı şu kurumlara iletir: Belastingdienst (vergi dairesi), CAK, DUO, emeklilik fonları, RDW (karayolu trafik dairesi), SVB, UWV ve sağlık sigortacıları. Bunların dışındaki kurumları kendin bilgilendirirsin. Başka bir Hollanda belediyesine taşınıyorsan Eindhoven'a bildirim gerekmez, yeni belediyede kayıt olursun.</t>
        </is>
      </c>
      <c r="T228" s="29" t="n"/>
    </row>
    <row r="229" ht="54" customHeight="1">
      <c r="A229" s="29" t="inlineStr">
        <is>
          <t>eindhoven:tasinma-bildirimi-tezgah-veya-posta</t>
        </is>
      </c>
      <c r="B229" s="29" t="inlineStr">
        <is>
          <t>eindhoven</t>
        </is>
      </c>
      <c r="C229" s="29" t="inlineStr">
        <is>
          <t>tasinma-bildirimi-tezgah-veya-posta</t>
        </is>
      </c>
      <c r="D229" s="29" t="inlineStr">
        <is>
          <t>Taşınmayı DigiD olmadan nasıl bildirirsin? (tezgâh veya posta)</t>
        </is>
      </c>
      <c r="E229" s="29" t="inlineStr">
        <is>
          <t>Randevuyla Inwonersplein ya da yazdırılan form ve postayla bildirim</t>
        </is>
      </c>
      <c r="F229" s="29" t="inlineStr">
        <is>
          <t>DigiD'in yoksa taşınmanı Inwonersplein tezgâhında randevuyla ya da formu doldurup postayla bildirebilirsin. Tezgâh için 14 040'ı ara veya internetten randevu al. Posta yolunda online formu doldurup yazdırır, belgelerle birlikte Gemeente Eindhoven, afdeling BEO, Postbus 90150, 5600 RB Eindhoven adresine gönderirsin; bildirim 5 iş günü içinde işlenir. İki yolda da geçerli kimlik ve yeni evin kira ya da satış sözleşmesi gerekir.</t>
        </is>
      </c>
      <c r="G229" s="29" t="inlineStr">
        <is>
          <t>taşınma bildirimi, balie, posta, huurcontract, inwonen, toestemmingsverklaring</t>
        </is>
      </c>
      <c r="H229" s="29" t="inlineStr">
        <is>
          <t>new;settled</t>
        </is>
      </c>
      <c r="I229" s="29" t="inlineStr">
        <is>
          <t>eindhoven:kaynak:039;eindhoven:kaynak:040</t>
        </is>
      </c>
      <c r="J229" s="49" t="n">
        <v>46317</v>
      </c>
      <c r="K229" s="51" t="n">
        <v>308</v>
      </c>
      <c r="L229" s="29" t="inlineStr">
        <is>
          <t>Hayır</t>
        </is>
      </c>
      <c r="M229" s="29" t="inlineStr">
        <is>
          <t>Taslak</t>
        </is>
      </c>
      <c r="N229" s="29" t="inlineStr">
        <is>
          <t>eindhoven:resmi</t>
        </is>
      </c>
      <c r="O229" s="29" t="inlineStr">
        <is>
          <t>Tezgâhta bildirecekseniz 14 040'ı arayarak ya da internetten randevu alın; postayla bildirecekseniz online formu doldurup yazdırın.
Geçerli kimliğinizi ve yeni evin kira ya da satış sözleşmesini hazırlayın.
Biriyle birlikte oturacaksanız ev sahibinin kimlik kopyasını ve yazılı onayını da ekleyin.
Belgeleri randevuya götürün ya da postayla Postbus 90150, 5600 RB Eindhoven adresine gönderin.</t>
        </is>
      </c>
      <c r="P229" s="29" t="inlineStr">
        <is>
          <t>Geçerli kimlik belgesi
Yeni evin kira sözleşmesi (huurcontract) veya satış sözleşmesi (koopovereenkomst)
Birinin yanına taşınıyorsan: ev sahibi/asıl oturanın geçerli kimliğinin kopyası
Birinin yanına taşınıyorsan: ev sahibinin yazılı onayı (Toestemmingsverklaring voor inwoning)</t>
        </is>
      </c>
      <c r="Q229" s="29" t="inlineStr">
        <is>
          <t>Posta yoluyla bildirim 5 iş günü içinde işlenir.</t>
        </is>
      </c>
      <c r="R229" s="29" t="n"/>
      <c r="S229" s="29" t="inlineStr">
        <is>
          <t>Kendi taşınmanı 16 yaş ve üzerindeysen sen bildirirsin. Aynı adreste yaşayan ebeveyn ve çocukların için de bildirebilirsin; evli ya da kayıtlı ortaksan eşin için de. Aile bireylerinden biri eski adreste kalıyorsa taşınmayı her zaman randevuyla tezgâhta şahsen bildirmen gerekir.</t>
        </is>
      </c>
      <c r="T229" s="29" t="n"/>
    </row>
    <row r="230" ht="54" customHeight="1">
      <c r="A230" s="29" t="inlineStr">
        <is>
          <t>eindhoven:briefadres-ve-zorg-instelling-tasinma</t>
        </is>
      </c>
      <c r="B230" s="29" t="inlineStr">
        <is>
          <t>eindhoven</t>
        </is>
      </c>
      <c r="C230" s="29" t="inlineStr">
        <is>
          <t>briefadres-ve-zorg-instelling-tasinma</t>
        </is>
      </c>
      <c r="D230" s="29" t="inlineStr">
        <is>
          <t>Bakım kurumuna taşınırken kayıt ve briefadres (posta adresi) nasıl işler?</t>
        </is>
      </c>
      <c r="E230" s="29" t="inlineStr">
        <is>
          <t>Kurumun adresine kayıt ya da kamu kurumlarının bildiği ayrı bir posta adresi</t>
        </is>
      </c>
      <c r="F230" s="29" t="inlineStr">
        <is>
          <t>Bir bakım kurumuna ya da başka bir kuruma taşınırsan iki seçeneğin var: kurumun adresine kayıt olursun ve tüm postan oraya gelir, ya da briefadres seçersin. Briefadres, oturmadığın ama kayıtlı olduğun ve tüm kurumlarca bilinen adrestir; postan orada ulaşır. Briefadres için adres sahibi 'Verklaring toestemming briefadres' formunu doldurup imzalamalı ve kimlik kopyasıyla sana vermelidir. Başvuru yazılı (Postbus 90150, 5600 RB, Eindhoven) ya da Inwonersplein'da randevuyla yapılır.</t>
        </is>
      </c>
      <c r="G230" s="29" t="inlineStr">
        <is>
          <t>briefadres, zorginstelling, bakım kurumu, posta adresi, verhuizen instelling</t>
        </is>
      </c>
      <c r="H230" s="29" t="inlineStr">
        <is>
          <t>settled</t>
        </is>
      </c>
      <c r="I230" s="29" t="inlineStr">
        <is>
          <t>eindhoven:kaynak:039</t>
        </is>
      </c>
      <c r="J230" s="49" t="n">
        <v>46317</v>
      </c>
      <c r="K230" s="51" t="n">
        <v>309</v>
      </c>
      <c r="L230" s="29" t="inlineStr">
        <is>
          <t>Hayır</t>
        </is>
      </c>
      <c r="M230" s="29" t="inlineStr">
        <is>
          <t>Taslak</t>
        </is>
      </c>
      <c r="N230" s="29" t="inlineStr">
        <is>
          <t>eindhoven:resmi</t>
        </is>
      </c>
      <c r="O230" s="29" t="inlineStr">
        <is>
          <t>Kurumun adresine mi, yoksa briefadresine mi kayıt olmak istediğine karar ver.
Kurum adresini seçtiysen 'verhuizen naar een (zorg)instelling' formunu doldurup imzala; kimlik kopyanla birlikte yazılı ya da şahsen ilet.
Briefadres seçtiysen adres sahibine 'Verklaring toestemming briefadres' formunu doldurtup imzalat ve kimlik kopyasını da al.
Tüm belgeleri Gemeente Eindhoven, Postbus 90150, 5600 RB, Eindhoven adresine gönder ya da randevu alıp Inwonersplein'a götür.</t>
        </is>
      </c>
      <c r="P230" s="29" t="inlineStr">
        <is>
          <t>Doldurulmuş ve imzalanmış 'verhuizen naar een (zorg)instelling' formu
Geçerli kimliğinin kopyası
Briefadres için: adres sahibinin doldurup imzaladığı 'verklaring toestemming briefadres' formu
Briefadres için: adres sahibinin geçerli kimliğinin kopyası</t>
        </is>
      </c>
      <c r="Q230" s="29" t="n"/>
      <c r="R230" s="29" t="n"/>
      <c r="S230" s="29" t="inlineStr">
        <is>
          <t>Briefadresin başka bir belediyedeyse başvuruyu o belediyeye yaparsın; orada kayıtlı olur, Eindhoven'dan silinirsin ve tüm belediye işlerini oradan yürütürsün. BRP'den veri alan tüm kurumlar o adreste oturmadığını, yalnızca postanın orada ulaştığını görebilir.</t>
        </is>
      </c>
      <c r="T230" s="29" t="n"/>
    </row>
    <row r="231" ht="54" customHeight="1">
      <c r="A231" s="29" t="inlineStr">
        <is>
          <t>eindhoven:yanlis-tasinma-bilgisini-duzeltme-ve-boete</t>
        </is>
      </c>
      <c r="B231" s="29" t="inlineStr">
        <is>
          <t>eindhoven</t>
        </is>
      </c>
      <c r="C231" s="29" t="inlineStr">
        <is>
          <t>yanlis-tasinma-bilgisini-duzeltme-ve-boete</t>
        </is>
      </c>
      <c r="D231" s="29" t="inlineStr">
        <is>
          <t>Taşınma bilgisini yanlış verdiysen ne yapılır, ceza ne zaman çıkar?</t>
        </is>
      </c>
      <c r="E231" s="29" t="inlineStr">
        <is>
          <t>Düzeltme mektubu ve bestuurlijke boete (idari para cezası) sınırı</t>
        </is>
      </c>
      <c r="F231" s="29" t="inlineStr">
        <is>
          <t>Taşınmanı bildirirken yanlış bilgi verdiysen, hangi bilginin yanlış ve doğrusunun ne olduğunu kısa bir mektupla belediyeye yazarsın. Mektup Gemeente Eindhoven, t.a.v. College van B&amp;W, Postbus 90150, 5600 RB Eindhoven adresine gönderilir. Bilerek yanlış bilgi verirsen en fazla 325 euro idari para cezası (bestuurlijke boete) kesilebilir.</t>
        </is>
      </c>
      <c r="G231" s="29" t="inlineStr">
        <is>
          <t>yanlış bilgi, düzeltme, bestuurlijke boete, idari para cezası, BRP, adres bildirimi</t>
        </is>
      </c>
      <c r="H231" s="29" t="inlineStr">
        <is>
          <t>new;settled</t>
        </is>
      </c>
      <c r="I231" s="29" t="inlineStr">
        <is>
          <t>eindhoven:kaynak:039;eindhoven:kaynak:046</t>
        </is>
      </c>
      <c r="J231" s="49" t="n">
        <v>46317</v>
      </c>
      <c r="K231" s="51" t="n">
        <v>310</v>
      </c>
      <c r="L231" s="29" t="inlineStr">
        <is>
          <t>Hayır</t>
        </is>
      </c>
      <c r="M231" s="29" t="inlineStr">
        <is>
          <t>Taslak</t>
        </is>
      </c>
      <c r="N231" s="29" t="inlineStr">
        <is>
          <t>eindhoven:resmi</t>
        </is>
      </c>
      <c r="O231" s="29" t="inlineStr">
        <is>
          <t>Kısa bir mektup yaz: hangi bilgiyi yanlış verdiğini ve doğru bilginin ne olduğunu belirt.
Mektubu Gemeente Eindhoven, t.a.v. College van B&amp;W, Postbus 90150, 5600 RB Eindhoven adresine gönder.</t>
        </is>
      </c>
      <c r="P231" s="29" t="n"/>
      <c r="Q231" s="29" t="n"/>
      <c r="R231" s="29" t="inlineStr">
        <is>
          <t>Bilerek yanlış bilgi verilirse en fazla 325 euro idari para cezası (bestuurlijke boete).</t>
        </is>
      </c>
      <c r="S231" s="29" t="inlineStr">
        <is>
          <t>Ceza, bilerek verilen yanlış bilgiye bağlanıyor. Aynı 325 euro üst sınırı, BRP'ye bilerek yanlış bilgi girilmesine katkıda bulunanlar için de geçerli; yurt dışı evlilik bildirimlerinde de aynı uyarı yapılıyor.</t>
        </is>
      </c>
      <c r="T231" s="29" t="n"/>
    </row>
    <row r="232" ht="54" customHeight="1">
      <c r="A232" s="29" t="inlineStr">
        <is>
          <t>eindhoven:hollandadan-ayrilirken-belediye-kaydi-silme</t>
        </is>
      </c>
      <c r="B232" s="29" t="inlineStr">
        <is>
          <t>eindhoven</t>
        </is>
      </c>
      <c r="C232" s="29" t="inlineStr">
        <is>
          <t>hollandadan-ayrilirken-belediye-kaydi-silme</t>
        </is>
      </c>
      <c r="D232" s="29" t="inlineStr">
        <is>
          <t>Hollanda'dan ayrılırken Eindhoven'daki belediye kaydı nasıl silinir?</t>
        </is>
      </c>
      <c r="E232" s="29" t="inlineStr">
        <is>
          <t>Ayrılıştan önceki 5 gün içinde DigiD, posta ya da tezgâh; bildirim ücretsiz</t>
        </is>
      </c>
      <c r="F232" s="29" t="inlineStr">
        <is>
          <t>Eindhoven'dan yurt dışına taşınıyorsan ya da önümüzdeki 12 ayın en az 8 ayını yurt dışında geçireceksen, bunu ayrılışından önceki 5 gün içinde DigiD ile internetten bildirirsin; bildirim ayrılıştan 5 günden daha erken işlenemez. DigiD'in yoksa formu postayla gönderir ya da Inwonersplein'da randevuyla bildirirsin. Evde birlikte oturduğun biri Hollanda'da kalıyorsa bildirimi her zaman tezgâhta şahsen yaparsın. Bildirim ücretsizdir; belediye kaydı ayrıldığın gün siler ve kayıt silme belgesini (bewijs van uitschrijving) yeni adresine postayla gönderir. Kalıcı ayrılıyorsan oturum izni kartını IND'ye geri göndermen gerekir.</t>
        </is>
      </c>
      <c r="G232" s="29" t="inlineStr">
        <is>
          <t>yurt dışına taşınma, emigratie, uitschrijving, kayıt silme, bewijs van uitschrijving, BRP, Hollanda'dan ayrılma</t>
        </is>
      </c>
      <c r="H232" s="29" t="inlineStr">
        <is>
          <t>settled</t>
        </is>
      </c>
      <c r="I232" s="29" t="inlineStr">
        <is>
          <t>eindhoven:kaynak:226;eindhoven:kaynak:047;eindhoven:kaynak:040</t>
        </is>
      </c>
      <c r="J232" s="49" t="n">
        <v>46317</v>
      </c>
      <c r="K232" s="51" t="n">
        <v>311</v>
      </c>
      <c r="L232" s="29" t="inlineStr">
        <is>
          <t>Hayır</t>
        </is>
      </c>
      <c r="M232" s="29" t="inlineStr">
        <is>
          <t>Taslak</t>
        </is>
      </c>
      <c r="N232" s="29" t="inlineStr">
        <is>
          <t>eindhoven:resmi</t>
        </is>
      </c>
      <c r="O232" s="29" t="inlineStr">
        <is>
          <t>Yurt dışına taşınıyorsan ya da önümüzdeki 12 ayın en az 8 ayını yurt dışında geçireceksen, ayrılmadan önceki 5 gün içinde DigiD ile internetten bildir.
DigiD'in yoksa 'Naar het buitenland verhuizen' formunu ekranda doldur, yazdırıp imzala ve kimlik kopyanla birlikte formdaki adrese postala; ya da Inwonersplein için randevu alıp geçerli kimliğinle git.
Birlikte oturduğun biri Hollanda'da kalıyorsa bildirimi her zaman randevuyla Inwonersplein tezgâhında şahsen yap.
Belediyenin kaydını ayrıldığın gün silmesini bekle; kayıt silme belgen (bewijs van uitschrijving) yeni adresine postayla gelir.
Kalıcı ayrılıyorsan oturum izni kartını IND'ye geri gönder.</t>
        </is>
      </c>
      <c r="P232" s="29" t="inlineStr">
        <is>
          <t>Tezgâhta: geçerli kimlik belgesi
Posta yoluyla: kimlik belgesinin kopyası</t>
        </is>
      </c>
      <c r="Q232" s="29" t="inlineStr">
        <is>
          <t>Ayrılıştan önceki 5 gün içinde (hafta sonu ve tatil dahil); belediye bildirimi ayrılış günü işler.</t>
        </is>
      </c>
      <c r="R232" s="29" t="inlineStr">
        <is>
          <t>Ücretsiz.</t>
        </is>
      </c>
      <c r="S232" s="29" t="inlineStr">
        <is>
          <t>8 aydan kısa süreyle yurt dışına gidiyorsan belediyeye bir şey bildirmezsin; döndüğünde aynı adrese dönüyorsan taşınma bildirmen de gerekmez.</t>
        </is>
      </c>
      <c r="T232" s="29" t="n"/>
    </row>
    <row r="233" ht="54" customHeight="1">
      <c r="A233" s="29" t="inlineStr">
        <is>
          <t>eindhoven:belediyede-randevu-alma-iptal-randevusuz</t>
        </is>
      </c>
      <c r="B233" s="29" t="inlineStr">
        <is>
          <t>eindhoven</t>
        </is>
      </c>
      <c r="C233" s="29" t="inlineStr">
        <is>
          <t>belediyede-randevu-alma-iptal-randevusuz</t>
        </is>
      </c>
      <c r="D233" s="29" t="inlineStr">
        <is>
          <t>Eindhoven belediyesinde randevu nasıl alınır, iptal edilir; hangi işlerde randevu gerekmez?</t>
        </is>
      </c>
      <c r="E233" s="29" t="inlineStr">
        <is>
          <t>Randevusuz teslim ve bildirim saatleri, değiştirme ve iptal kuralı</t>
        </is>
      </c>
      <c r="F233" s="29" t="inlineStr">
        <is>
          <t>Randevu için sitenin arama kutusuna konuyu yazarsın; randevu alınabilen ürünlerde ürün sayfasındaki kırmızı butonla gün ve saati kendin seçersin. Randevuyu onay e-postasındaki linkle iptal edersin; değiştirmek için önce iptal edip yeniden alırsın. Onay e-postası gelmediyse 14 040'ı ararsın. Hazır olan pasaport, kimlik kartı ve ehliyeti teslim almak (afhalen) ile doğum bildirimi için randevu gerekmez.</t>
        </is>
      </c>
      <c r="G233" s="29" t="inlineStr">
        <is>
          <t>randevu, afspraak, iptal, pasaport teslim, rijbewijs, Inwonersplein, 14 040</t>
        </is>
      </c>
      <c r="H233" s="29" t="inlineStr">
        <is>
          <t>new;settled</t>
        </is>
      </c>
      <c r="I233" s="29" t="inlineStr">
        <is>
          <t>eindhoven:kaynak:043</t>
        </is>
      </c>
      <c r="J233" s="49" t="n">
        <v>46317</v>
      </c>
      <c r="K233" s="51" t="n">
        <v>312</v>
      </c>
      <c r="L233" s="29" t="inlineStr">
        <is>
          <t>Hayır</t>
        </is>
      </c>
      <c r="M233" s="29" t="inlineStr">
        <is>
          <t>Taslak</t>
        </is>
      </c>
      <c r="N233" s="29" t="inlineStr">
        <is>
          <t>eindhoven:resmi</t>
        </is>
      </c>
      <c r="O233" s="29" t="inlineStr">
        <is>
          <t>Sitenin arama kutusuna randevu almak istediğin konuyu yaz ve sayfadaki bilgiyi dikkatle oku.
Randevu alınabiliyorsa ürün sayfasındaki kırmızı butonla gün ve saati seç.
Randevuyu iptal etmek için onay e-postasındaki linki kullan; değiştirmek istiyorsan önce iptal et, sonra yeni randevu al.
Onay e-postası gelmediyse 14 040'ı ara.</t>
        </is>
      </c>
      <c r="P233" s="29" t="n"/>
      <c r="Q233" s="29" t="inlineStr">
        <is>
          <t>Randevusuz: pasaport, kimlik kartı ve ehliyeti teslim alma pazartesi 8.30-19.00, salı-cuma 8.30-17.00, cumartesi sabahı 9.00-12.00; doğum bildirimi pazartesi-cuma 8.30-12.00.</t>
        </is>
      </c>
      <c r="R233" s="29" t="n"/>
      <c r="S233" s="29" t="inlineStr">
        <is>
          <t>Sayfada günün saat dilimlerine göre 'rustig' (sakin), 'iets drukker' (biraz yoğun) ve 'druk' (yoğun) gösteren bir tablo var; teslim ve doğum bildirimi için kalabalıktan kaçınmak istiyorsan bu tabloya bakabilirsin.</t>
        </is>
      </c>
      <c r="T233" s="29" t="n"/>
    </row>
    <row r="234" ht="54" customHeight="1">
      <c r="A234" s="29" t="inlineStr">
        <is>
          <t>eindhoven:digid-basvurusu-ve-cocuk-icin-digid</t>
        </is>
      </c>
      <c r="B234" s="29" t="inlineStr">
        <is>
          <t>eindhoven</t>
        </is>
      </c>
      <c r="C234" s="29" t="inlineStr">
        <is>
          <t>digid-basvurusu-ve-cocuk-icin-digid</t>
        </is>
      </c>
      <c r="D234" s="29" t="inlineStr">
        <is>
          <t>DigiD nasıl alınır, çocuk için nasıl başvurulur?</t>
        </is>
      </c>
      <c r="E234" s="29" t="inlineStr">
        <is>
          <t>BSN, kayıtlı adres ve cep telefonuyla internetten; aktivasyon kodu postayla</t>
        </is>
      </c>
      <c r="F234" s="29" t="inlineStr">
        <is>
          <t>DigiD, devlet, okul, sağlık kuruluşu ya da emeklilik fonu gibi kurumlarla internette işlem yaparken kimliğini kanıtladığın dijital kimliktir. Başvuru için BSN, Hollanda belediyesinde kayıtlı bir adres ve cep telefonu gerekir. Başvurudan sonra aktivasyon kodunu içeren mektup 3 iş günü içinde belediyede kayıtlı adresine gelir. 13 yaş ve altındaki çocuk için ebeveyn başvurur; 14 yaşından itibaren çocuk kendisi başvurur.</t>
        </is>
      </c>
      <c r="G234" s="29" t="inlineStr">
        <is>
          <t>DigiD, dijital kimlik, aktivasyon kodu, BSN, çocuk için DigiD, başvuru</t>
        </is>
      </c>
      <c r="H234" s="29" t="inlineStr">
        <is>
          <t>new</t>
        </is>
      </c>
      <c r="I234" s="29" t="inlineStr">
        <is>
          <t>eindhoven:kaynak:050;eindhoven:kaynak:049</t>
        </is>
      </c>
      <c r="J234" s="49" t="n">
        <v>46317</v>
      </c>
      <c r="K234" s="51" t="n">
        <v>313</v>
      </c>
      <c r="L234" s="29" t="inlineStr">
        <is>
          <t>Hayır</t>
        </is>
      </c>
      <c r="M234" s="29" t="inlineStr">
        <is>
          <t>Taslak</t>
        </is>
      </c>
      <c r="N234" s="29" t="inlineStr">
        <is>
          <t>eindhoven:resmi</t>
        </is>
      </c>
      <c r="O234" s="29" t="inlineStr">
        <is>
          <t>Başvuru formuna digid.nl/en/aanvragen adresinden ya da sayfadaki butondan git; BSN'ini hazırla.
Bilgilerini doldur ve başvuruyu tamamla; kullanıcı adı ve şifreni aklında tut, aktivasyonda gerekecek.
Aktivasyon kodunu içeren mektubu belediyede kayıtlı adresinde bekle.
Kodu mektupta yazdığı gibi gir; kod her zaman 'A' harfiyle başlar.</t>
        </is>
      </c>
      <c r="P234" s="29" t="inlineStr">
        <is>
          <t>BSN
Hollanda belediyesinde kayıtlı adres
Cep telefonu</t>
        </is>
      </c>
      <c r="Q234" s="29" t="inlineStr">
        <is>
          <t>Aktivasyon mektubu 3 iş günü içinde gelir; posta durumuna göre en fazla 5 iş günü sürebilir.</t>
        </is>
      </c>
      <c r="R234" s="29" t="n"/>
      <c r="S234" s="29" t="inlineStr">
        <is>
          <t>DigiD kişiseldir; başkası için DigiD başvurusu yapılamaz. Başkasına yardım edeceksen DigiD'in 'Authorisation' (yetkilendirme) özelliğini kullan. Kalıcı bir ev adresin yoksa ve BRP'ye de kayıtlı değilsen (örneğin bakım kurumunda ya da cezaevinde kalıyorsan) yine DigiD alabilirsin: belediyende bir posta adresine (briefadres) kaydolursun. Bu adres, devletten gelen postanın sana ulaşmasını sağlayacak bir kişinin ya da kurumun var olan adresi olmalı; posta kutusu (PO Box) ya da boş bir adres olamaz. Yurt dışında yaşıyorsan ve BSN'in varsa DigiD'i yine başvuru formundan alırsın.</t>
        </is>
      </c>
      <c r="T234" s="29" t="inlineStr">
        <is>
          <t>{"kind": "steps", "title": "DigiD başvurusu", "note": "Şematik", "items": [{"key": "1", "title": "Başvuru formu", "text": "BSN ile digid.nl/en/aanvragen"}, {"key": "2", "title": "Bilgileri doldur", "text": "Kullanıcı adı ve şifreyi hatırla"}, {"key": "3", "title": "Mektup", "text": "Aktivasyon kodu postayla, 3 iş günü içinde"}, {"key": "4", "title": "Aktivasyon", "text": "Kod 'A' ile başlar"}]}</t>
        </is>
      </c>
    </row>
    <row r="235" ht="54" customHeight="1">
      <c r="A235" s="29" t="inlineStr">
        <is>
          <t>eindhoven:digid-kod-gelmiyor-sorun-giderme</t>
        </is>
      </c>
      <c r="B235" s="29" t="inlineStr">
        <is>
          <t>eindhoven</t>
        </is>
      </c>
      <c r="C235" s="29" t="inlineStr">
        <is>
          <t>digid-kod-gelmiyor-sorun-giderme</t>
        </is>
      </c>
      <c r="D235" s="29" t="inlineStr">
        <is>
          <t>DigiD SMS ya da e-posta kodu gelmiyorsa veya kabul edilmiyorsa ne yapılır?</t>
        </is>
      </c>
      <c r="E235" s="29" t="inlineStr">
        <is>
          <t>Sesli SMS, kod biçimleri, sinyal ve tarayıcı sorunları için çözümler</t>
        </is>
      </c>
      <c r="F235" s="29" t="inlineStr">
        <is>
          <t>SMS kodu gelmediyse numaranın doğru olduğunu kontrol et ve 1 dakika sonra yeni kod iste. Giriş ekranında 'No code received?' seçeneğinden 'Call me with a voice SMS message' ile DigiD'in seni arayıp kodu sesli okumasını sağlayabilirsin; yurt dışında bu yöntem bazen daha iyi çalışır. E-posta kodu gelmediyse adres yanlış olabilir ya da posta gereksiz klasörüne düşmüş olabilir; sebep bulamazsan e-posta adımını 'skip check' ile atlayıp DigiD'i aktive ettikten sonra e-postayı ekleyebilirsin. Kod kabul edilmiyorsa biçimine ve tarihine bak.</t>
        </is>
      </c>
      <c r="G235" s="29" t="inlineStr">
        <is>
          <t>DigiD, SMS kodu, doğrulama kodu, sesli SMS, aktivasyon kodu, sorun</t>
        </is>
      </c>
      <c r="H235" s="29" t="inlineStr">
        <is>
          <t>new</t>
        </is>
      </c>
      <c r="I235" s="29" t="inlineStr">
        <is>
          <t>eindhoven:kaynak:050</t>
        </is>
      </c>
      <c r="J235" s="49" t="n">
        <v>46317</v>
      </c>
      <c r="K235" s="51" t="n">
        <v>314</v>
      </c>
      <c r="L235" s="29" t="inlineStr">
        <is>
          <t>Hayır</t>
        </is>
      </c>
      <c r="M235" s="29" t="inlineStr">
        <is>
          <t>Taslak</t>
        </is>
      </c>
      <c r="N235" s="29" t="inlineStr">
        <is>
          <t>eindhoven:resmi</t>
        </is>
      </c>
      <c r="O235" s="29" t="inlineStr">
        <is>
          <t>SMS kodu gelmediyse kodun doğru telefon numarasına gönderildiğini kontrol et; 1 dakika sonra yeni kod iste.
Hâlâ gelmiyorsa giriş ekranında 'No code received?' ve ardından 'Call me with a voice SMS message' seç; DigiD seni arayıp kodu söyler.
Telefonun sinyalini kontrol et, telefonu kapatıp aç ve operatörünün arıza duyurusu olup olmadığına bak.
E-posta kodu gelmediyse adresi, gereksiz posta klasörünü ve engelleme ayarlarını kontrol et; sebep bulamazsan 'skip check' ile atla ve aktivasyondan sonra e-postayı ekle.
Kod kabul edilmiyorsa en son gelen kodu kullan: e-posta kodu 'E' ile, aktivasyon kodu 'A' ile başlar, SMS kodu 6 haneli olur.</t>
        </is>
      </c>
      <c r="P235" s="29" t="n"/>
      <c r="Q235" s="29" t="inlineStr">
        <is>
          <t>Yeni SMS kodu 1 dakika sonra istenebilir.</t>
        </is>
      </c>
      <c r="R235" s="29" t="n"/>
      <c r="S235" s="29" t="inlineStr">
        <is>
          <t>Sesli SMS'te kodun yalnızca son hanelerini duyuyorsan telefonundaki sesli mesaj kutusunu (voicemail) kapat. Sesli SMS'teki kodu anlayamıyorsan 'My DigiD' içinde 'Voice SMS'i aç; açık değilse SMS'i operatörün otomatik okur ve kod zor anlaşılır. DigiD uygulamasında başvuru yapılamıyorsa başka bir tarayıcı dene: Chrome, Firefox, Edge veya Safari.</t>
        </is>
      </c>
      <c r="T235" s="29" t="n"/>
    </row>
    <row r="236" ht="54" customHeight="1">
      <c r="A236" s="29" t="inlineStr">
        <is>
          <t>eindhoven:mijnoverheid-ve-berichtenbox</t>
        </is>
      </c>
      <c r="B236" s="29" t="inlineStr">
        <is>
          <t>eindhoven</t>
        </is>
      </c>
      <c r="C236" s="29" t="inlineStr">
        <is>
          <t>mijnoverheid-ve-berichtenbox</t>
        </is>
      </c>
      <c r="D236" s="29" t="inlineStr">
        <is>
          <t>MijnOverheid ve Berichtenbox nedir, nasıl girilir?</t>
        </is>
      </c>
      <c r="E236" s="29" t="inlineStr">
        <is>
          <t>Hollanda makamlarındaki kayıtların ve resmi mesajların tek yerde toplandığı sayfa</t>
        </is>
      </c>
      <c r="F236" s="29" t="inlineStr">
        <is>
          <t>MijnOverheid, Hollanda makamlarında senin hakkında kayıtlı bilgileri gösteren sayfadır. İçindeki mesaj kutusu Berichtenbox'ta, örneğin Vergi Dairesi'nin ne kadar vergi ödemen gerektiğini bildiren mesaj gibi resmi yazışmaları okursun. Giriş DigiD ile yapılır. digid.nl'ye göre DigiD için BSN, belediyede kayıtlı adres ve cep telefonu gerekir, yurt dışında yaşayıp BSN'i olanlar da başvuru formundan DigiD alabilir; Holland Expat Center South ise BRP kaydını DigiD için genel şart olarak yazıyor.</t>
        </is>
      </c>
      <c r="G236" s="29" t="inlineStr">
        <is>
          <t>MijnOverheid, Berichtenbox, DigiD, resmi mesaj, vergi mesajı, BRP</t>
        </is>
      </c>
      <c r="H236" s="29" t="inlineStr">
        <is>
          <t>new;settled</t>
        </is>
      </c>
      <c r="I236" s="29" t="inlineStr">
        <is>
          <t>eindhoven:kaynak:049;eindhoven:kaynak:050</t>
        </is>
      </c>
      <c r="J236" s="49" t="n">
        <v>46317</v>
      </c>
      <c r="K236" s="51" t="n">
        <v>315</v>
      </c>
      <c r="L236" s="29" t="inlineStr">
        <is>
          <t>Hayır</t>
        </is>
      </c>
      <c r="M236" s="29" t="inlineStr">
        <is>
          <t>Taslak</t>
        </is>
      </c>
      <c r="N236" s="29" t="inlineStr">
        <is>
          <t>eindhoven:resmi</t>
        </is>
      </c>
      <c r="O236" s="29" t="inlineStr">
        <is>
          <t>Hollanda'da yaşıyorsan belediyede BRP kaydını yaptır ve BSN'ini al; yurt dışında yaşıyorsan BSN'inle başvurabilirsin.
digid.nl üzerinden DigiD başvurusu yap ve aktive et.
MijnOverheid'e DigiD ile giriş yap.
Berichtenbox'taki resmi mesajları düzenli kontrol et.</t>
        </is>
      </c>
      <c r="P236" s="29" t="inlineStr">
        <is>
          <t>BSN
Hollanda'da yaşıyorsan belediyede kayıtlı adres (BRP kaydı)
Cep telefonu (DigiD için)</t>
        </is>
      </c>
      <c r="Q236" s="29" t="n"/>
      <c r="R236" s="29" t="n"/>
      <c r="S236" s="29" t="inlineStr">
        <is>
          <t>DigiD, devlet kurumları dışında eğitim kurumları, sağlık kuruluşları ve emeklilik fonu işlemlerinde de kimlik kanıtlamak için kullanılıyor.</t>
        </is>
      </c>
      <c r="T236" s="29" t="n"/>
    </row>
    <row r="237" ht="54" customHeight="1">
      <c r="A237" s="29" t="inlineStr">
        <is>
          <t>eindhoven:brp-uittreksel-alma-ve-ucret</t>
        </is>
      </c>
      <c r="B237" s="29" t="inlineStr">
        <is>
          <t>eindhoven</t>
        </is>
      </c>
      <c r="C237" s="29" t="inlineStr">
        <is>
          <t>brp-uittreksel-alma-ve-ucret</t>
        </is>
      </c>
      <c r="D237" s="29" t="inlineStr">
        <is>
          <t>Eindhoven'da oturma kanıtı olarak BRP uittreksel nasıl alınır, ne kadar tutar?</t>
        </is>
      </c>
      <c r="E237" s="29" t="inlineStr">
        <is>
          <t>DigiD ile internetten 9,50 euro, tezgâhta 20,00 euro</t>
        </is>
      </c>
      <c r="F237" s="29" t="inlineStr">
        <is>
          <t>BRP uittreksel, Eindhoven'da kayıtlı bir sakin olduğunu kanıtlayan belgedir ve ad, adres, doğum tarihi ve doğum yerini içerir; amaca göre BSN gibi başka bilgiler de eklenebilir. İki yolu var: DigiD ile internetten (9,50 euro, iDEAL/WERO ile ödeme; belge en geç 5 iş günü içinde postayla gelir) ya da Inwonersplein tezgâhında randevuyla (20,00 euro; belge ödemeden hemen sonra verilir). Belgeyi her zaman belediyeden iste; aracı şirketlere daha çok ödersin.</t>
        </is>
      </c>
      <c r="G237" s="29" t="inlineStr">
        <is>
          <t>BRP uittreksel, oturma belgesi, uittreksel basisregistratie, ikametgah, DigiD, ücret</t>
        </is>
      </c>
      <c r="H237" s="29" t="inlineStr">
        <is>
          <t>new;settled</t>
        </is>
      </c>
      <c r="I237" s="29" t="inlineStr">
        <is>
          <t>eindhoven:kaynak:042</t>
        </is>
      </c>
      <c r="J237" s="49" t="n">
        <v>46317</v>
      </c>
      <c r="K237" s="51" t="n">
        <v>316</v>
      </c>
      <c r="L237" s="29" t="inlineStr">
        <is>
          <t>Hayır</t>
        </is>
      </c>
      <c r="M237" s="29" t="inlineStr">
        <is>
          <t>Taslak</t>
        </is>
      </c>
      <c r="N237" s="29" t="inlineStr">
        <is>
          <t>eindhoven:resmi</t>
        </is>
      </c>
      <c r="O237" s="29" t="inlineStr">
        <is>
          <t>Uittreksel'i DigiD ile internetten iste; internette hemen ödersin (iDEAL/WERO).
Alternatif olarak internetten Inwonersplein için randevu al.
Tezgâha giderken geçerli pasaport ya da kimlik kartını yanında götür.
Tezgâhta pinle ya da nakit ödeme yap ve belgeyi hemen al; internet başvurusunda belge 5 iş günü içinde postayla gelir.</t>
        </is>
      </c>
      <c r="P237" s="29" t="inlineStr">
        <is>
          <t>Tezgâhta: geçerli pasaport veya kimlik kartı
AB ya da EFTA ülkesi vatandaşı değilsen: Hollanda oturum belgesi</t>
        </is>
      </c>
      <c r="Q237" s="29" t="inlineStr">
        <is>
          <t>İnternet başvurusunda belge en geç 5 iş günü içinde postayla gelir; tezgâhta ödemeden hemen sonra verilir.</t>
        </is>
      </c>
      <c r="R237" s="29" t="inlineStr">
        <is>
          <t>DigiD ile 9,50 euro (iDEAL/WERO); tezgâhta 20,00 euro (pin veya nakit, 50 euro üstü banknot kabul edilmez).</t>
        </is>
      </c>
      <c r="S237" s="29" t="inlineStr">
        <is>
          <t>Uittreksel yurt dışında kullanılacaksa internet formunda 'internationaal uittreksel' seçeneğini seç: yurt dışında bazı durumlarda burgerlijke stand memurunun (ABS) imzası gerekir ve uluslararası uittrekseller hep ABS tarafından imzalanır. 4 aydan kısa süre yurt dışında kalan Eindhoven sakini de uittreksel alabilir. Hollanda'da 4 aydan kısa süre yaşıyorsan (RNI), BRP uittreksel yerine 'Uittreksel niet-ingezetene' istersin.</t>
        </is>
      </c>
      <c r="T237" s="29" t="n"/>
    </row>
    <row r="238" ht="54" customHeight="1">
      <c r="A238" s="29" t="inlineStr">
        <is>
          <t>eindhoven:brp-uittreksel-cesitleri-dil-ve-baskasi-adina</t>
        </is>
      </c>
      <c r="B238" s="29" t="inlineStr">
        <is>
          <t>eindhoven</t>
        </is>
      </c>
      <c r="C238" s="29" t="inlineStr">
        <is>
          <t>brp-uittreksel-cesitleri-dil-ve-baskasi-adina</t>
        </is>
      </c>
      <c r="D238" s="29" t="inlineStr">
        <is>
          <t>BRP uittreksel çeşitleri, dil seçenekleri ve başkası adına başvuru</t>
        </is>
      </c>
      <c r="E238" s="29" t="inlineStr">
        <is>
          <t>Hangi uittreksel ne için, çok dilli sürüm ve eş, çocuk, vekil adına başvuru</t>
        </is>
      </c>
      <c r="F238" s="29" t="inlineStr">
        <is>
          <t>BRP uittreksel birkaç çeşittir: genel uittreksel (Eindhoven'da oturduğunu gösterir), medeni durumlu uittreksel, hayatta olma belgesi, uluslararası uittreksel, sosyal konut kuruluşuna (woningcorporatie) başvuru için uittreksel gibi. Çok dilli kompakt sürümler ek ücretsizdir; tek bir Avrupa dilinde tam sürüm için en fazla 19,25 euro + olağan ücret ödenir. Aynı adreste kayıtlı eşin, anne-baban ya da çocuğun adına da başvurabilirsin; vekil gönderecekse kendi yazdığın ve imzaladığın vekâlet gerekir.</t>
        </is>
      </c>
      <c r="G238" s="29" t="inlineStr">
        <is>
          <t>uittreksel çeşitleri, uluslararası uittreksel, hayatta olma belgesi, vekil, machtiging, çok dilli</t>
        </is>
      </c>
      <c r="H238" s="29" t="inlineStr">
        <is>
          <t>new;settled</t>
        </is>
      </c>
      <c r="I238" s="29" t="inlineStr">
        <is>
          <t>eindhoven:kaynak:042</t>
        </is>
      </c>
      <c r="J238" s="49" t="n">
        <v>46317</v>
      </c>
      <c r="K238" s="51" t="n">
        <v>317</v>
      </c>
      <c r="L238" s="29" t="inlineStr">
        <is>
          <t>Hayır</t>
        </is>
      </c>
      <c r="M238" s="29" t="inlineStr">
        <is>
          <t>Taslak</t>
        </is>
      </c>
      <c r="N238" s="29" t="inlineStr">
        <is>
          <t>eindhoven:resmi</t>
        </is>
      </c>
      <c r="O238" s="29" t="inlineStr">
        <is>
          <t>Uittreksel'i hangi kuruma sunacağını öğren ve o kurumun hangi bilgileri istediğine göre doğru çeşidi seç.
Çok dilli kompakt sürüm yeterliyse formda hangi sürümü istediğini belirt (Hollandaca-Fransızca-Almanca-İngilizce ya da Hollandaca-İspanyolca-İtalyanca-Türkçe).
Tek bir Avrupa dilinde tam sürüm lazımsa önce 14 040'ı ara ya da randevu al.
Başkası adına gidiyorsan vekâletnameni, kendi kimliğini (ya da kopyasını) ve vekilin kimliğini hazırla.</t>
        </is>
      </c>
      <c r="P238" s="29" t="inlineStr">
        <is>
          <t>Vekil aracılığıyla: kendi hazırlayıp imzaladığın vekâlet
Vekil aracılığıyla: senin kimliğin (veya kopyası)
Vekil aracılığıyla: vekilin kendi kimliği</t>
        </is>
      </c>
      <c r="Q238" s="29" t="n"/>
      <c r="R238" s="29" t="inlineStr">
        <is>
          <t>Çok dilli kompakt sürüm: ek ücret yok. Tek bir Avrupa dilinde tam sürüm: en fazla 19,25 euro + olağan ücret.</t>
        </is>
      </c>
      <c r="S238" s="29" t="inlineStr">
        <is>
          <t>Başkası adına uittreksel alabilmek için o kişinin seninle aynı adreste kayıtlı olması ve BRP'de kişisel bilgilerinin gizlenmesini (geheimhouding) istememiş olması gerekir. Eşin için uittreksel yalnızca tezgâhta alınır (internette yok) ve evli ya da kayıtlı ortak olmanız ile aynı adreste yaşamanız gerekir. Samenlevingscontract (birlikte yaşam sözleşmesi) varsa partner kendisi başvurur. Çocuğun 16 yaşından küçükse internetten başvurabilirsin. Kardeş gibi başka bir akraba için 'gerechtvaardigd belang' (yasal haklı gerekçe) göstermen gerekir.</t>
        </is>
      </c>
      <c r="T238" s="29" t="n"/>
    </row>
    <row r="239" ht="54" customHeight="1">
      <c r="A239" s="29" t="inlineStr">
        <is>
          <t>eindhoven:eindhoven-nufus-akti-burgerlijke-stand-alma</t>
        </is>
      </c>
      <c r="B239" s="29" t="inlineStr">
        <is>
          <t>eindhoven</t>
        </is>
      </c>
      <c r="C239" s="29" t="inlineStr">
        <is>
          <t>eindhoven-nufus-akti-burgerlijke-stand-alma</t>
        </is>
      </c>
      <c r="D239" s="29" t="inlineStr">
        <is>
          <t>Eindhoven'da gerçekleşen doğum, evlilik, boşanma veya ölüm için akt (afschrift) nasıl alınır?</t>
        </is>
      </c>
      <c r="E239" s="29" t="inlineStr">
        <is>
          <t>Burgerlijke Stand: akt fotokopisi 17,80 euro, 5 iş günü içinde postayla</t>
        </is>
      </c>
      <c r="F239" s="29" t="inlineStr">
        <is>
          <t>16 yaş ve üzerindeysen Eindhoven'da gerçekleşen doğum, evlilik, kayıtlı ortaklık (geregistreerd partnerschap), boşanma, ortaklığın sona ermesi ya da ölüm için afschrift (aktın resmi fotokopisi) veya uluslararası uittreksel isteyebilirsin; kayıtlı ortaklık aktı için uluslararası uittreksel verilmez, çeviri gerekiyorsa Hollandaca aktı yeminli tercümana (beëdigd vertaler) çevirtirsin. Ücret 17,80 euro; internetten başvurur, iDEAL/WERO veya havale ile ödersin; belge 5 iş günü içinde postayla gelir. Eindhoven belediyesi yalnız Eindhoven'da gerçekleşen olayların aktını verir: olay başka yerde olduysa aktı ilke olarak, yurt dışında olsa bile, olayın gerçekleştiği belediyeden istersin (istisnalar notta). Eindhoven'a yine de başvurursan araştırma ücreti alınır ve ödediğin geri verilmez.</t>
        </is>
      </c>
      <c r="G239" s="29" t="inlineStr">
        <is>
          <t>afschrift, geboorteakte, huwelijksakte, burgerlijke stand, akt, uittreksel, 17,80 euro</t>
        </is>
      </c>
      <c r="H239" s="29" t="inlineStr">
        <is>
          <t>new;settled</t>
        </is>
      </c>
      <c r="I239" s="29" t="inlineStr">
        <is>
          <t>eindhoven:kaynak:045</t>
        </is>
      </c>
      <c r="J239" s="49" t="n">
        <v>46317</v>
      </c>
      <c r="K239" s="51" t="n">
        <v>318</v>
      </c>
      <c r="L239" s="29" t="inlineStr">
        <is>
          <t>Hayır</t>
        </is>
      </c>
      <c r="M239" s="29" t="inlineStr">
        <is>
          <t>Taslak</t>
        </is>
      </c>
      <c r="N239" s="29" t="inlineStr">
        <is>
          <t>eindhoven:resmi</t>
        </is>
      </c>
      <c r="O239" s="29" t="inlineStr">
        <is>
          <t>DigiD'in varsa ve Hollanda'da yaşıyorsan akti DigiD ile internetten iste; DigiD yoksa ya da yurt dışında yaşıyorsan formu doldurup kimlik kopyası ve ödeme belgesini ekle.
Hangi akt veya uittreksel istediğini online formda seç.
Ücreti iDEAL/WERO veya havale ile öde.
Belgeyi postada bekle; ya da randevu alıp Inwonersplein tezgâhına git ve pin/kredi kartıyla veya nakit öde.</t>
        </is>
      </c>
      <c r="P239" s="29" t="inlineStr">
        <is>
          <t>Tezgâhta: geçerli kimlik
DigiD'siz internet başvurusunda: kimlik kopyası ve ödeme belgesi</t>
        </is>
      </c>
      <c r="Q239" s="29" t="inlineStr">
        <is>
          <t>Belge 5 iş günü içinde postayla gönderilir.</t>
        </is>
      </c>
      <c r="R239" s="29" t="inlineStr">
        <is>
          <t>17,80 euro (afschrift ya da uluslararası uittreksel). Eindhoven dışında gerçekleşen bir olay için başvurursan araştırma ücreti alınır; ödenen tutar geri verilmez.</t>
        </is>
      </c>
      <c r="S239" s="29" t="inlineStr">
        <is>
          <t>Doğum akti evlilik ya da ortaklık bildirimi ile çocuklar üzerinde velayet başvurusunda gerekir; evlilik akti boşanma, yeniden evlenme, isim değişikliği ve noter işlemlerinde gerekir. Hiçbir vekâlet olmadan kan bağı yukarı ve aşağı hatta olan akrabaların (büyükanne-büyükbaba, anne-baba, çocuk, torun) ve evli ya da kayıtlı ortak eşin aktını isteyebilirsin; başka biri için vekâlet gerekir. Birlikte yaşam sözleşmen (samenlevingscontract) varsa partnerin aktını kendisi ister. Boşanma aktını normalde evlendiğin belediyeden istersin; yurt dışında evlenip Hollanda'da boşandıysan boşanman Den Haag belediyesinin kayıtlarındadır, aktı oradan istersin. Hollanda vatandaşıysan ve yurt dışındaki doğumunu Den Haag'a kaydettirdiysen doğum aktını Den Haag'dan; kayıtlı ortaklığın sona erme aktını ise ortaklığın kaydedildiği belediyeden istersin.</t>
        </is>
      </c>
      <c r="T239" s="29" t="n"/>
    </row>
    <row r="240" ht="54" customHeight="1">
      <c r="A240" s="29" t="inlineStr">
        <is>
          <t>eindhoven:nufus-akti-yurt-disinda-kullanim-uittreksel-mmf</t>
        </is>
      </c>
      <c r="B240" s="29" t="inlineStr">
        <is>
          <t>eindhoven</t>
        </is>
      </c>
      <c r="C240" s="29" t="inlineStr">
        <is>
          <t>nufus-akti-yurt-disinda-kullanim-uittreksel-mmf</t>
        </is>
      </c>
      <c r="D240" s="29" t="inlineStr">
        <is>
          <t>Hollanda'dan alınan akt yurt dışında nasıl kullanılır? Uluslararası uittreksel, MMF ve yurt dışında olan olaylar</t>
        </is>
      </c>
      <c r="E240" s="29" t="inlineStr">
        <is>
          <t>Çok dilli uittreksel ücretsiz seçenek, MMF yalnızca AB'de geçerli, yurt dışı olay için Den Haag istisnaları</t>
        </is>
      </c>
      <c r="F240" s="29" t="inlineStr">
        <is>
          <t>Hollanda'dan aldığın aktı yabancı bir kurum için kullanacaksan iki seçenek var: uluslararası uittreksel (Hollandaca, Fransızca, Almanca ve İngilizce özet; arka yüzde Türkçe dahil kısa açıklama) ek ücret gerektirmez ve çoğu yabancı makamca kabul edilir; Meertalig Model Formulier (MMF) ise AB resmi dillerinden birinde tam çeviridir, afschrift ücretinin 2 katıdır ve yalnızca AB içinde geçerlidir. Geregistreerd partnerschap için uluslararası uittreksel alınamaz; Hollandaca akt alıp yeminli tercümana çevirtirsin. Olay yurt dışında olduysa akti genellikle olayın olduğu yerden istersin; bazı doğum ve boşanma aktları Den Haag'dan, kayıtlı ortaklığın sona erme aktı ise ortaklığın kaydedildiği belediyeden istenir.</t>
        </is>
      </c>
      <c r="G240" s="29" t="inlineStr">
        <is>
          <t>uluslararası uittreksel, MMF, meertalig model formulier, akt çevirisi, yeminli tercüman, Den Haag</t>
        </is>
      </c>
      <c r="H240" s="29" t="inlineStr">
        <is>
          <t>settled</t>
        </is>
      </c>
      <c r="I240" s="29" t="inlineStr">
        <is>
          <t>eindhoven:kaynak:045</t>
        </is>
      </c>
      <c r="J240" s="49" t="n">
        <v>46317</v>
      </c>
      <c r="K240" s="51" t="n">
        <v>319</v>
      </c>
      <c r="L240" s="29" t="inlineStr">
        <is>
          <t>Hayır</t>
        </is>
      </c>
      <c r="M240" s="29" t="inlineStr">
        <is>
          <t>Taslak</t>
        </is>
      </c>
      <c r="N240" s="29" t="inlineStr">
        <is>
          <t>eindhoven:resmi</t>
        </is>
      </c>
      <c r="O240" s="29" t="inlineStr">
        <is>
          <t>Aktın hangi ülkede kullanılacağına bak: MMF yalnızca AB içinde geçerli olduğu için AB dışında kullanacaksan uluslararası uittreksel iste; AB içinde tam çeviri lazımsa MMF iste.
Uluslararası uittreksel için online formda 'internationaal uittreksel' sürecini seç.
MMF için gemeente@eindhoven.nl adresine adını, olayı, olay tarihini ve istediğin dili yaz; belediye o olay için MMF verilip verilemeyeceğine bakar.
Geregistreerd partnerschap için Hollandaca akt isteyip yeminli tercümana çevirt; AB içinde kullanacaksan MMF'nin mümkün olup olmadığını gemeente@eindhoven.nl adresine sor.
Olay yurt dışında olduysa akti genelde olayın olduğu yerden iste; nottaki istisnalarda Den Haag belediyesine ya da ortaklığın kaydedildiği belediyeye başvur.</t>
        </is>
      </c>
      <c r="P240" s="29" t="n"/>
      <c r="Q240" s="29" t="n"/>
      <c r="R240" s="29" t="inlineStr">
        <is>
          <t>Uluslararası uittreksel: ek ücret yok. MMF: afschrift ücretinin 2 katı.</t>
        </is>
      </c>
      <c r="S240" s="29" t="inlineStr">
        <is>
          <t>Uluslararası uittreksel Hollandaca, Fransızca, Almanca ve İngilizce özettir; arka yüzde İspanyolca, Yunanca, İtalyanca, Portekizce, Türkçe ve Sırp-Hırvatça kısa açıklama bulunur. Yurt dışında doğan ve doğumunu Den Haag'da kaydettiren Hollanda vatandaşı doğum akti için Den Haag'a başvurur; yurt dışında evlenip Hollanda'da boşanan kişi boşanma akti için de Den Haag'a gider. Kayıtlı ortaklığın sona erme aktını, ortaklık yurt dışında kaydedilip Hollanda'da sona erdirilmiş olsa bile, ortaklığın kaydedildiği belediyeden istersin.</t>
        </is>
      </c>
      <c r="T240" s="29" t="n"/>
    </row>
    <row r="241" ht="54" customHeight="1">
      <c r="A241" s="29" t="inlineStr">
        <is>
          <t>eindhoven:hollanda-dogum-bildirimi-geboorteaangifte</t>
        </is>
      </c>
      <c r="B241" s="29" t="inlineStr">
        <is>
          <t>eindhoven</t>
        </is>
      </c>
      <c r="C241" s="29" t="inlineStr">
        <is>
          <t>hollanda-dogum-bildirimi-geboorteaangifte</t>
        </is>
      </c>
      <c r="D241" s="29" t="inlineStr">
        <is>
          <t>Hollanda'da doğum bildirimi (geboorteaangifte) nasıl yapılır?</t>
        </is>
      </c>
      <c r="E241" s="29" t="inlineStr">
        <is>
          <t>Doğumdan sonra 3 gün içinde, DigiD ile internetten ya da tezgâhta; ücretsiz</t>
        </is>
      </c>
      <c r="F241" s="29" t="inlineStr">
        <is>
          <t>Çocuğunun doğumunu, çocuğun doğduğu belediyede doğumdan sonra 3 (iş) gün içinde bildirirsin. Eindhoven'da bildirimi DigiD ile evden yapabilirsin; olmazsa Inwonersplein'a pazartesi-cuma 8.30-12.00 arasında randevusuz gidersin. Bildirim ücretsizdir. Belediye doğum aktını düzenler, çocuğu BRP'ye yazar ve BSN birkaç gün içinde postayla gelir. Çocuk doğumda Hollanda vatandaşı değilse, BRP kaydından sonra IND üzerinden oturum izni başvurusu yapman gerekir.</t>
        </is>
      </c>
      <c r="G241" s="29" t="inlineStr">
        <is>
          <t>doğum bildirimi, geboorteaangifte, doğum akti, BSN çocuk, Inwonersplein, DigiD</t>
        </is>
      </c>
      <c r="H241" s="29" t="inlineStr">
        <is>
          <t>new</t>
        </is>
      </c>
      <c r="I241" s="29" t="inlineStr">
        <is>
          <t>eindhoven:kaynak:044;eindhoven:kaynak:043</t>
        </is>
      </c>
      <c r="J241" s="49" t="n">
        <v>46317</v>
      </c>
      <c r="K241" s="51" t="n">
        <v>320</v>
      </c>
      <c r="L241" s="29" t="inlineStr">
        <is>
          <t>Hayır</t>
        </is>
      </c>
      <c r="M241" s="29" t="inlineStr">
        <is>
          <t>Taslak</t>
        </is>
      </c>
      <c r="N241" s="29" t="inlineStr">
        <is>
          <t>eindhoven:resmi</t>
        </is>
      </c>
      <c r="O241" s="29" t="inlineStr">
        <is>
          <t>Çocuğun doğduğu belediyede bildirim yapacağını unutma: Eindhoven dışında doğduysa o belediyeye başvurulur.
İnternetten bildirmek için şunlar gerekir: DigiD, ebe ya da doktor imzalı doğum beyanı, iki ebeveynin aynı Hollanda adresinde yaşaması (anne tek başınaysa yalnız o bildirebilir) ve ebeveynler evli ya da kayıtlı ortak değilse tanıma akti; hepsi sağlanıyorsa DigiD ile bildir.
Koşullar sağlanmıyorsa pazartesi-cuma 8.30-12.00 arasında randevusuz Inwonersplein'a git.
Akt düzenlenmeden önce çocuğun bilgilerini kontrol et ve akti imzala.
BSN'in birkaç gün içinde postayla gelmesini bekle; çocuk Hollanda vatandaşı değilse IND üzerinden oturum izni başvurusu yap.</t>
        </is>
      </c>
      <c r="P241" s="29" t="inlineStr">
        <is>
          <t>İnternetten bildirimde: aktif DigiD
İnternetten bildirimde: ebe veya doktor tarafından imzalanmış doğum beyanı (geboorteverklaring)
Ebeveynler evli ya da kayıtlı ortak değilse (veya duo-anne ise): çocuğun tanındığını gösteren akte van erkenning
Tezgâhta: bildirimi yapanın geçerli kimliği
Tezgâhta: hastanenin doğum bildirimi (aldıysan)
Ebeveynler evli değilse ve çocuk doğumdan önce tanındıysa: erkenning aktının kopyası
Çocuk annenin soyadını alacaksa: akte van naamkeuze kopyası</t>
        </is>
      </c>
      <c r="Q241" s="29" t="inlineStr">
        <is>
          <t>Doğum gününden sonra 3 (iş) gün içinde. Tezgâhta bildirim hemen, internetten bildirim ertesi gün işlenir; BSN birkaç gün içinde postayla gelir.</t>
        </is>
      </c>
      <c r="R241" s="29" t="inlineStr">
        <is>
          <t>Ücretsiz.</t>
        </is>
      </c>
      <c r="S241" s="29" t="inlineStr">
        <is>
          <t>Bildirimi çocuğun annesi, babası ya da meemoeder'i (yasaya göre ebeveyn) yapar; hiçbiri yapamazsa doğumda bulunan biri (ebe, doktor, kraamhulp ya da aile bireyi) yapmak zorundadır. Çocuk 24 hafta ve üzeri gebelikten sonra ölü doğarsa da bildirim zorunludur; 24 haftadan kısa gebelikte zorunlu değil, ama istersen yapabilirsin. Ölü doğum bildirimi için randevu gerekir: online ya da 14 040'tan randevu alıp Inwonersplein tezgâhında şahsen bildirirsin.</t>
        </is>
      </c>
      <c r="T241" s="29" t="n"/>
    </row>
    <row r="242" ht="54" customHeight="1">
      <c r="A242" s="29" t="inlineStr">
        <is>
          <t>eindhoven:hollanda-cocugun-soyadi-secimi-naamskeuze</t>
        </is>
      </c>
      <c r="B242" s="29" t="inlineStr">
        <is>
          <t>eindhoven</t>
        </is>
      </c>
      <c r="C242" s="29" t="inlineStr">
        <is>
          <t>hollanda-cocugun-soyadi-secimi-naamskeuze</t>
        </is>
      </c>
      <c r="D242" s="29" t="inlineStr">
        <is>
          <t>Hollanda'da doğan çocuğa hangi soyadı verilir, soyadı nasıl seçilir?</t>
        </is>
      </c>
      <c r="E242" s="29" t="inlineStr">
        <is>
          <t>Akte van naamskeuze, tanıma (erkenning) ve 2024'ten itibaren çift soyadı</t>
        </is>
      </c>
      <c r="F242" s="29" t="inlineStr">
        <is>
          <t>Soyadı seçimi yalnızca çocuk Hollanda vatandaşıysa ve en az bir ebeveyn Hollanda vatandaşıysa yapılabilir; ikisi de Hollanda vatandaşı değilse bu sayfadaki seçim hakkı geçerli olmaz. Koşul sağlanıyorsa seçimi ilk çocukta yaparsın ve seçim aynı ilişkiden doğan sonraki çocuklar için de geçerli olur. Seçim yapmazsan çocuk, yasaya göre aile durumuna uygun soyadını otomatik alır. 1 Ocak 2024 ve sonrasında doğan ilk çocuğa iki ebeveynin soyadı birlikte verilebilir; 2024'ten önce doğan çocuklara çift soyadı verilemez. Standart dışı bir seçim internetten yapılmaz: doğumdan önce akte van naamskeuze ile, doğum bildiriminde randevuyla Inwonersplein'da ya da çocuğu tanıma (erkenning) sırasında yapılır.</t>
        </is>
      </c>
      <c r="G242" s="29" t="inlineStr">
        <is>
          <t>soyadı seçimi, naamskeuze, çift soyadı, erkenning, çocuğun soyadı, 2024</t>
        </is>
      </c>
      <c r="H242" s="29" t="inlineStr">
        <is>
          <t>new</t>
        </is>
      </c>
      <c r="I242" s="29" t="inlineStr">
        <is>
          <t>eindhoven:kaynak:044</t>
        </is>
      </c>
      <c r="J242" s="49" t="n">
        <v>46317</v>
      </c>
      <c r="K242" s="51" t="n">
        <v>321</v>
      </c>
      <c r="L242" s="29" t="inlineStr">
        <is>
          <t>Hayır</t>
        </is>
      </c>
      <c r="M242" s="29" t="inlineStr">
        <is>
          <t>Taslak</t>
        </is>
      </c>
      <c r="N242" s="29" t="inlineStr">
        <is>
          <t>eindhoven:resmi</t>
        </is>
      </c>
      <c r="O242" s="29" t="inlineStr">
        <is>
          <t>Aile durumuna göre standart soyadını öğren: evli ya da kayıtlı ortaklığı (geregistreerd partnerschap) olan anne-baba için babanın soyadı; ne evli ne kayıtlı ortak olan ebeveynlerde annenin soyadı.
Farklı bir seçim istiyorsan doğumdan önce akte van naamskeuze yaptırmak için 14 040'ı ara ve randevu al; iki ebeveyn de orada olmalı.
Standart dışı bir soyadı ya da çift soyadı isteyip önceden akte van naamskeuze yaptırmadıysan seçimi doğum bildiriminde yap: bu durumda bildirim internetten yapılamaz, 14 040'tan ya da online randevu alıp Inwonersplein'a iki ebeveyn birlikte gidin.
Evli değilsen diğer ebeveyn çocuğu tanıyabilir (erkenning); tanıma sırasında soyadı seçilebilir, bu doğumdan önce de olabilir.
İki ebeveynin soyadını vermek istiyorsan tercihini doğum bildiriminde ya da çocuğu tanırken söyle.</t>
        </is>
      </c>
      <c r="P242" s="29" t="n"/>
      <c r="Q242" s="29" t="inlineStr">
        <is>
          <t>Seçim ilk çocukta yapılır, sonraki çocuklar için de geçerli olur.</t>
        </is>
      </c>
      <c r="R242" s="29" t="n"/>
      <c r="S242" s="29" t="inlineStr">
        <is>
          <t>Dul kaldıysan (eşin ya da kayıtlı ortağın öldüyse) çocuğuna kendi soyadını mı, ölen eşinin ya da ortağının soyadını mı vereceğini seçersin; bunun için klantcontactcentrum 14 040'ı ara. Evli ya da kayıtlı ortak iki annede, anonim sperm bağışı beyanı varsa doğuran annenin eşinin soyadı, yoksa doğuran annenin soyadı standarttır. Standart soyadında kalıyorsan doğumu, internet bildiriminin koşullarını sağlıyorsan DigiD ile ya da pazartesi-cuma 8.30-12.00 arasında randevusuz Inwonersplein'da bildirebilirsin.</t>
        </is>
      </c>
      <c r="T242" s="29" t="n"/>
    </row>
    <row r="243" ht="54" customHeight="1">
      <c r="A243" s="29" t="inlineStr">
        <is>
          <t>eindhoven:turk-vatandaslari-konsoloslukta-adres-beyani</t>
        </is>
      </c>
      <c r="B243" s="29" t="inlineStr">
        <is>
          <t>eindhoven</t>
        </is>
      </c>
      <c r="C243" s="29" t="inlineStr">
        <is>
          <t>turk-vatandaslari-konsoloslukta-adres-beyani</t>
        </is>
      </c>
      <c r="D243" s="29" t="inlineStr">
        <is>
          <t>Hollanda'da yaşayan Türk vatandaşı adres beyanını nasıl yapar?</t>
        </is>
      </c>
      <c r="E243" s="29" t="inlineStr">
        <is>
          <t>Adres Kayıt Sistemi: başkonsolosluğa şahsen ya da NVİ'den mobil/dijital imzayla</t>
        </is>
      </c>
      <c r="F243" s="29" t="inlineStr">
        <is>
          <t>Yurt dışında yaşayan Türk vatandaşlarının ikamet adreslerini 5490 sayılı Nüfus Hizmetleri Kanunu uyarınca Adres Kayıt Sistemi'ne kaydettirmesi gerekir. Adres bildirimini şahsen başkonsolosluğa başvurarak ya da Nüfus ve Vatandaşlık İşleri Genel Müdürlüğü'nün internet adresinden mobil veya dijital imzayla bilgilerini güncelleyerek yapabilirsin. Şahsen başvuruda nüfus cüzdanı dışında başka belge istenmez. Adres beyanında görev bölgesi ayrımı yoktur; istediğin yurt dışı temsilciliğine başvurabilirsin.</t>
        </is>
      </c>
      <c r="G243" s="29" t="inlineStr">
        <is>
          <t>adres beyanı, Adres Kayıt Sistemi, başkonsolosluk, nüfus cüzdanı, NVİ, Rotterdam Başkonsolosluğu</t>
        </is>
      </c>
      <c r="H243" s="29" t="inlineStr">
        <is>
          <t>new;settled</t>
        </is>
      </c>
      <c r="I243" s="29" t="inlineStr">
        <is>
          <t>eindhoven:kaynak:052</t>
        </is>
      </c>
      <c r="J243" s="49" t="n">
        <v>46317</v>
      </c>
      <c r="K243" s="51" t="n">
        <v>322</v>
      </c>
      <c r="L243" s="29" t="inlineStr">
        <is>
          <t>Hayır</t>
        </is>
      </c>
      <c r="M243" s="29" t="inlineStr">
        <is>
          <t>Taslak</t>
        </is>
      </c>
      <c r="N243" s="29" t="inlineStr">
        <is>
          <t>eindhoven:resmi</t>
        </is>
      </c>
      <c r="O243" s="29" t="inlineStr">
        <is>
          <t>Adres bildirimini şahsen mi, internetten mi yapacağına karar ver.
Şahsen yapacaksan konsolosluk.gov.tr üzerinden randevu al ve nüfus cüzdanınla git.
İnternetten yapacaksan NVİ'nin internet beyan sayfasında mobil veya dijital imzayla bilgilerini güncelle.
Aynı konutta yaşayan ergin aile bireyleri birbirinin yerine beyan yapabilir; başkası için noterden verilmiş vekâletname gerekir.</t>
        </is>
      </c>
      <c r="P243" s="29" t="inlineStr">
        <is>
          <t>Nüfus cüzdanı (şahsen başvuruda başka belge gerekmez)</t>
        </is>
      </c>
      <c r="Q243" s="29" t="n"/>
      <c r="R243" s="29" t="n"/>
      <c r="S243" s="29" t="inlineStr">
        <is>
          <t>Çocukların ve kısıtlıların adresini veli, vasi ya da kayyım bildirir; bunlar yoksa çocuğun büyükannesi, büyükbabası, ergin kardeşleri ya da çocuğu yanında bulunduranlar bildirebilir. Velayet altındaki çocuğun yerleşim yeri adresi anne veya babasının adresidir. Bilgi notunun tarihi 25.03.2026.</t>
        </is>
      </c>
      <c r="T243" s="29" t="n"/>
    </row>
    <row r="244" ht="54" customHeight="1">
      <c r="A244" s="29" t="inlineStr">
        <is>
          <t>eindhoven:rotterdam-baskonsoloslugu-randevu-calisma-saatleri-odeme</t>
        </is>
      </c>
      <c r="B244" s="29" t="inlineStr">
        <is>
          <t>eindhoven</t>
        </is>
      </c>
      <c r="C244" s="29" t="inlineStr">
        <is>
          <t>rotterdam-baskonsoloslugu-randevu-calisma-saatleri-odeme</t>
        </is>
      </c>
      <c r="D244" s="29" t="inlineStr">
        <is>
          <t>Rotterdam Başkonsolosluğu: randevu, çalışma saatleri ve harç ödemesi nasıl yapılır?</t>
        </is>
      </c>
      <c r="E244" s="29" t="inlineStr">
        <is>
          <t>konsolosluk.gov.tr'den randevu, sanal POS ile internetten ödeme; PIN ile ödeme yok</t>
        </is>
      </c>
      <c r="F244" s="29" t="inlineStr">
        <is>
          <t>Başkonsolosluk işlemleri, Kimlik Teslim, e-Devlet şifresi, Pasaport Teslim ve Tebligat dışında, konsolosluk.gov.tr üzerinden randevuyla yapılır. Çalışma saatleri pazartesi-cuma 08:30-12:30 ve 13:00-17:00'dir. Harçlar, iDEAL dahil sanal POS sistemiyle internetten ödenir; yanında nakit getirmen gerekmez. Başkonsolosluğun fiziksel POS cihazı olmadığı için PIN ile ödeme yapılamaz. Bilgi taleplerini başkonsolosluğun e-posta adresine yazarsın; resmi tatiller dışında 24 saat içinde yanıt verilir.</t>
        </is>
      </c>
      <c r="G244" s="29" t="inlineStr">
        <is>
          <t>Rotterdam Başkonsolosluğu, konsolosluk randevu, harç ödemesi, sanal POS, iDEAL, çağrı merkezi</t>
        </is>
      </c>
      <c r="H244" s="29" t="inlineStr">
        <is>
          <t>new;settled</t>
        </is>
      </c>
      <c r="I244" s="29" t="inlineStr">
        <is>
          <t>eindhoven:kaynak:053;eindhoven:kaynak:054</t>
        </is>
      </c>
      <c r="J244" s="49" t="n">
        <v>46317</v>
      </c>
      <c r="K244" s="51" t="n">
        <v>323</v>
      </c>
      <c r="L244" s="29" t="inlineStr">
        <is>
          <t>Hayır</t>
        </is>
      </c>
      <c r="M244" s="29" t="inlineStr">
        <is>
          <t>Taslak</t>
        </is>
      </c>
      <c r="N244" s="29" t="inlineStr">
        <is>
          <t>eindhoven:resmi</t>
        </is>
      </c>
      <c r="O244" s="29" t="inlineStr">
        <is>
          <t>Yapacağın işlem Kimlik Teslim, e-Devlet şifresi, Pasaport Teslim ve Tebligat dışındaysa www.konsolosluk.gov.tr üzerinden randevu al.
Randevuya pazartesi-cuma 08:30-12:30 ya da 13:00-17:00 aralığında git.
Harcı vezne.konsolosluk.gov.tr/tr/login sitesinde T.C. Kimlik Numaran ya da işlem referans numaranla gir; ödenecek tutar otomatik görünür.
Bankamatik veya kredi kartıyla öde; ödemeyi başkası da yapabilir.
Ödeme sonucunda e-tahsilat makbuzunu internet sayfasından görüntüle.</t>
        </is>
      </c>
      <c r="P244" s="29" t="n"/>
      <c r="Q244" s="29" t="inlineStr">
        <is>
          <t>Çalışma saatleri pazartesi-cuma 08:30-12:30 / 13:00-17:00; çağrı merkezi 7/24.</t>
        </is>
      </c>
      <c r="R244" s="29" t="inlineStr">
        <is>
          <t>Harç tutarı ödeme ekranında otomatik görünür; hesapta harç artı banka komisyonu için yeterli bakiye bulunmalı.</t>
        </is>
      </c>
      <c r="S244" s="29" t="inlineStr">
        <is>
          <t>Ödemeden önce hesaptaki bakiyeyi ve günlük azami ödeme limitini kontrol et. Konsolosluk çağrı merkezi 7/24 hizmet verir: 010 766 00 07. Yurt dışına seyahat edecekler için Konsolosluk Rehberi, mfa.gov.tr adresindeki yurt-disina-seyahat-edeceklere-konsolosluk-rehberi sayfasında.</t>
        </is>
      </c>
      <c r="T244" s="29" t="n"/>
    </row>
    <row r="245" ht="54" customHeight="1">
      <c r="A245" s="29" t="inlineStr">
        <is>
          <t>eindhoven:hollanda-bosanma-kararini-turk-nufusuna-tescil</t>
        </is>
      </c>
      <c r="B245" s="29" t="inlineStr">
        <is>
          <t>eindhoven</t>
        </is>
      </c>
      <c r="C245" s="29" t="inlineStr">
        <is>
          <t>hollanda-bosanma-kararini-turk-nufusuna-tescil</t>
        </is>
      </c>
      <c r="D245" s="29" t="inlineStr">
        <is>
          <t>Hollanda mahkemesinden verilen boşanma kararı Türk nüfus kütüğüne nasıl tescil edilir?</t>
        </is>
      </c>
      <c r="E245" s="29" t="inlineStr">
        <is>
          <t>Türkiye'de dava açmadan Rotterdam Başkonsolosluğu aracılığıyla; apostilli karar ve yeminli tercüme</t>
        </is>
      </c>
      <c r="F245" s="29" t="inlineStr">
        <is>
          <t>Hollanda mahkemelerince verilmiş kesinleşmiş boşanma kararını, Türkiye'de mahkemeye başvurmadan başkonsolosluk aracılığıyla nüfus kütüğüne tescil ettirebilirsin. Karar kesinleşmiş olmalı; taraflar şahsen, kanuni temsilcileri veya vekilleri aracılığıyla, birlikte ya da 90 gün içinde ayrı ayrı başvurabilir ve aynı başkonsolosluğa başvurmak zorundadır. Gereken belgeler: apostilli karar ve kesinleşme belgesinin aslı ile Türkçe tercümeleri, T.C. kimliğin ve Hollanda pasaportun veya kimlik kartın.</t>
        </is>
      </c>
      <c r="G245" s="29" t="inlineStr">
        <is>
          <t>boşanma tescili, nüfus kütüğü, echtscheiding, apostil, kesinleşme belgesi, yeminli tercüman, Rotterdam Başkonsolosluğu</t>
        </is>
      </c>
      <c r="H245" s="29" t="inlineStr">
        <is>
          <t>settled</t>
        </is>
      </c>
      <c r="I245" s="29" t="inlineStr">
        <is>
          <t>eindhoven:kaynak:055</t>
        </is>
      </c>
      <c r="J245" s="49" t="n">
        <v>46317</v>
      </c>
      <c r="K245" s="51" t="n">
        <v>324</v>
      </c>
      <c r="L245" s="29" t="inlineStr">
        <is>
          <t>Hayır</t>
        </is>
      </c>
      <c r="M245" s="29" t="inlineStr">
        <is>
          <t>Taslak</t>
        </is>
      </c>
      <c r="N245" s="29" t="inlineStr">
        <is>
          <t>eindhoven:resmi</t>
        </is>
      </c>
      <c r="O245" s="29" t="inlineStr">
        <is>
          <t>Hollanda'da verilen boşanma kararının kesinleştiğinden emin ol ve apostilli karar aslı ile apostilli kesinleşme belgesini al.
Hollandaca belgelerin Türkçe tercümelerini başkonsolosluğa kayıtlı yeminli tercümana 2 nüsha olarak yaptır.
Aynı başkonsolosluğa taraflar birlikte ya da 90 gün içinde ayrı ayrı gelerek başvur; vekille başvuracaksan fotoğraflı özel tip vekâletname düzenlet.
www.konsolosluk.gov.tr üzerinden randevu al; belgeleri ve kimliklerinin aslı ile 2'şer fotokopisini randevuya götür.</t>
        </is>
      </c>
      <c r="P245" s="29" t="inlineStr">
        <is>
          <t>Apostilli Hollanda mahkeme kararı (Beschikking van de Rechtbank): aslı ve Türkçe tercümesi
Apostilli kesinleşme belgesi (Verklaring in kracht van gewijsde echtscheidingsbeslissing): aslı ve Türkçe tercümesi
T.C. nüfus cüzdanı veya T.C. kimlik kartı: aslı ve 2 fotokopi
Hollanda pasaportu veya kimlik kartı (ID Kaart): aslı ve 2 fotokopi</t>
        </is>
      </c>
      <c r="Q245" s="29" t="inlineStr">
        <is>
          <t>Taraflar birlikte ya da 90 gün içinde ayrı ayrı başvurabilir.</t>
        </is>
      </c>
      <c r="R245" s="29" t="n"/>
      <c r="S245" s="29" t="inlineStr">
        <is>
          <t>Eşlerden biri vefat etmişse hayatta kalan eş tek taraflı başvurur; eşlerden biri yabancı uyrukluysa Türk vatandaşı eş tek taraflı başvurabilir. Tercümeler 2 nüsha hazırlanır; tasdik için başkonsolosluğa kayıtlı yeminli tercüman gerekir ve tercümanlar listesi başkonsolosluğun bilgi notlarındadır.</t>
        </is>
      </c>
      <c r="T245" s="29" t="inlineStr">
        <is>
          <t>{"kind": "steps", "title": "Boşanma kararının tescili", "note": "Şematik", "items": [{"key": "1", "title": "Belgeleri hazırla", "text": "Apostilli karar ve kesinleşme belgesi"}, {"key": "2", "title": "Tercüme", "text": "Yeminli tercümanla, 2 nüsha"}, {"key": "3", "title": "Başvuru", "text": "Aynı başkonsolosluğa, birlikte ya da 90 gün içinde"}, {"key": "4", "title": "Tescil", "text": "Türkiye'de dava açmadan nüfus kütüğüne işlenir"}]}</t>
        </is>
      </c>
    </row>
    <row r="246" ht="54" customHeight="1">
      <c r="A246" s="29" t="inlineStr">
        <is>
          <t>eindhoven:yurt-disinda-evlilik-hollanda-belediyesine-bildirim</t>
        </is>
      </c>
      <c r="B246" s="29" t="inlineStr">
        <is>
          <t>eindhoven</t>
        </is>
      </c>
      <c r="C246" s="29" t="inlineStr">
        <is>
          <t>yurt-disinda-evlilik-hollanda-belediyesine-bildirim</t>
        </is>
      </c>
      <c r="D246" s="29" t="inlineStr">
        <is>
          <t>Yurt dışında evlendiysen evliliği Hollanda belediyesine nasıl bildirirsin?</t>
        </is>
      </c>
      <c r="E246" s="29" t="inlineStr">
        <is>
          <t>Hollanda'ya dönünce Inwonersplein'da randevuyla; orijinal akt, legalizasyon ve tercüme</t>
        </is>
      </c>
      <c r="F246" s="29" t="inlineStr">
        <is>
          <t>Yurt dışında evlendiysen ya da ortaklık kaydı yaptırdıysan, Hollanda'ya döndüğünde olabildiğince çabuk oturduğun belediyeye bildir; böylece medeni halin kayıtlarda değişir. Eşin Hollanda'ya gelmese ya da şimdilik gelmeyecek olsa da bildirim yapılır. Eindhoven'da bildirim Inwonersplein tezgâhında şahsen yapılır; önce randevu al (14 040). Yanında geçerli kimlik (kopya olmaz) ve evlilik aktının aslı olmalı; aktın birçok ülke için legalize edilmesi, Hollandaca, İngilizce, Fransızca ya da Almanca değilse yeminli çevirisi gerekir. AB vatandaşı olmayan ve süresiz oturum izni olmayan taraf varsa ek beyanlar da getirilir.</t>
        </is>
      </c>
      <c r="G246" s="29" t="inlineStr">
        <is>
          <t>yurt dışı evlilik, huwelijksakte, legalizasyon, medeni hal, Verklaring van huwelijksbevoegdheid, Inwonersplein</t>
        </is>
      </c>
      <c r="H246" s="29" t="inlineStr">
        <is>
          <t>settled</t>
        </is>
      </c>
      <c r="I246" s="29" t="inlineStr">
        <is>
          <t>eindhoven:kaynak:046</t>
        </is>
      </c>
      <c r="J246" s="49" t="n">
        <v>46317</v>
      </c>
      <c r="K246" s="51" t="n">
        <v>325</v>
      </c>
      <c r="L246" s="29" t="inlineStr">
        <is>
          <t>Hayır</t>
        </is>
      </c>
      <c r="M246" s="29" t="inlineStr">
        <is>
          <t>Taslak</t>
        </is>
      </c>
      <c r="N246" s="29" t="inlineStr">
        <is>
          <t>eindhoven:resmi</t>
        </is>
      </c>
      <c r="O246" s="29" t="inlineStr">
        <is>
          <t>Yurt dışından döndükten sonra oturduğun belediyeye bildirim için 14 040'ı ara ya da internetten randevu al.
Evlilik aktının aslını al; ülkene göre legalizasyon (nederlandwereldwijd.nl) ve gerekirse yeminli tercüme yaptır.
Geçerli kimliğinle (kopya olmaz) ve aktın aslıyla Inwonersplein tezgâhına git.
Eşlerden en az biri AB vatandaşı değilse ve süresiz oturum izni yoksa, ikiniz de evliliğin oturum hakkı için yapılmadığını beyan edin: 'Verklaring van geen schijnhuwelijk opstellen' formunu dijital doldurup imzalayarak yazdır ve getir.
Sen AB vatandaşı değilsen ve süresiz (regulier ya da asiel) oturum iznin yoksa 'Verklaring ex artikel 2.9 lid 1 Wet BRP' beyanını da doldurup imzalayarak getir; eşin de aynı durumdaysa eşinin geçerli kimliğinin kopyasını ve eşinin imzaladığı beyanı da ekle.</t>
        </is>
      </c>
      <c r="P246" s="29" t="inlineStr">
        <is>
          <t>Geçerli kimlik belgesi (kopya olmaz)
Evlilik/ortaklık aktının aslı; çoğu ülke için legalizasyon gerekir
Akt Hollandaca, İngilizce, Fransızca veya Almanca değilse yeminli tercüme
AB vatandaşı olmayan ve süresiz oturum izni olmayan taraf varsa: 'Verklaring van geen schijnhuwelijk opstellen' formu
AB vatandaşı olmayan ve süresiz (regulier/asiel) oturum izni olmayan kişi için: 'Verklaring ex artikel 2.9 lid 1 Wet BRP' beyanı, doldurulmuş ve imzalı (İngilizce sürümü de var)
Eşin de AB vatandaşı değilse ve süresiz oturum izni yoksa: eşin geçerli kimliğinin kopyası ve eşin imzaladığı beyan</t>
        </is>
      </c>
      <c r="Q246" s="29" t="inlineStr">
        <is>
          <t>Hollanda'ya dönünce olabildiğince çabuk.</t>
        </is>
      </c>
      <c r="R246" s="29" t="n"/>
      <c r="S246" s="29" t="inlineStr">
        <is>
          <t>Hollanda vatandaşıysan evliliği Den Haag belediyesinin Landelijke Taken bölümüne de kaydettirebilirsin; bu bölüm orijinal için yurt dışına gitmen gerekmesin diye yedek Hollanda evlilik aktı düzenler. Yurt dışında evlenmeden önce: bazı ülkeler Verklaring van huwelijksbevoegdheid ister (31,10 euro; posta ile başvuru, 2 hafta içinde gönderilir); bu belgeyi yalnız Hollanda vatandaşı olan ve Hollanda'daki son ikametgâhı Eindhoven olan çiftler Eindhoven'dan alabilir.</t>
        </is>
      </c>
      <c r="T246" s="29" t="n"/>
    </row>
    <row r="247" ht="54" customHeight="1">
      <c r="A247" s="29" t="inlineStr">
        <is>
          <t>eindhoven:inburgering-ucretleri-duo-kredisi</t>
        </is>
      </c>
      <c r="B247" s="29" t="inlineStr">
        <is>
          <t>eindhoven</t>
        </is>
      </c>
      <c r="C247" s="29" t="inlineStr">
        <is>
          <t>inburgering-ucretleri-duo-kredisi</t>
        </is>
      </c>
      <c r="D247" s="29" t="inlineStr">
        <is>
          <t>Inburgering (uyum kursu ve sınavı) ne kadar tutar, nasıl ödenir?</t>
        </is>
      </c>
      <c r="E247" s="29" t="inlineStr">
        <is>
          <t>Sınav başına 50 euro; ödeme yolu statüne ve inburgering'e başlama tarihine göre değişir</t>
        </is>
      </c>
      <c r="F247" s="29" t="inlineStr">
        <is>
          <t>Inburgering (Hollanda'ya uyum) kursu ve sınavları ücretlidir; nasıl ödeyeceğin inburgering'e ne zaman başlaman gerektiğine (Wet 2021 ya da Wet 2013) ve statüne göre değişir. Wet 2021 kapsamında asielstatushouder (IND'nin mülteci olarak tanıdığı kişi) isen kursu belediye öder ve her sınavın ilk 2 denemesi ücretsizdir. Wet 2021'de asielstatushouder değilsen (örneğin aile birleşimiyle geldiysen) ya da Wet 2013 kapsamındaysan kursu ve sınavı ya kendin ödersin ya da DUO'dan borç alırsın; DUO yalnızca onaylı okullar için borç verir. Sınavların her biri 50 euro'dur; kurs ücretini okul belirler.</t>
        </is>
      </c>
      <c r="G247" s="29" t="inlineStr">
        <is>
          <t>inburgering, uyum kursu, inburgering ücreti, DUO kredisi, inburgering sınavı, KNM, NT2, kinderopvangtoeslag</t>
        </is>
      </c>
      <c r="H247" s="29" t="inlineStr">
        <is>
          <t>new;settled</t>
        </is>
      </c>
      <c r="I247" s="29" t="inlineStr">
        <is>
          <t>eindhoven:kaynak:221</t>
        </is>
      </c>
      <c r="J247" s="49" t="n">
        <v>46317</v>
      </c>
      <c r="K247" s="51" t="n">
        <v>326</v>
      </c>
      <c r="L247" s="29" t="inlineStr">
        <is>
          <t>Hayır</t>
        </is>
      </c>
      <c r="M247" s="29" t="inlineStr">
        <is>
          <t>Taslak</t>
        </is>
      </c>
      <c r="N247" s="29" t="inlineStr">
        <is>
          <t>eindhoven:resmi</t>
        </is>
      </c>
      <c r="O247" s="29" t="inlineStr">
        <is>
          <t>Mijn Inburgering'e girip inburgering'e ne zaman başlaman gerektiğine ve hangi sınavları yapacağına bak; ödeme yolu buna bağlı.
Wet 2013 kapsamındaysan ya da Wet 2021'de asielstatushouder değilsen kursu ve sınavı kendin öde ya da DUO'dan borç al; borç yalnızca onaylı okullar için verilir.
Wet 2021 kapsamında asielstatushouder'sen kursu belediye öder; her sınavın ilk 2 denemesi ücretsizdir, fazlasını kendin ödersin ve bunun için DUO'dan borç alamazsın.
Kurs ücretini okula sor; A2 düzeyi NT2 kursu her okulda aynı fiyata değildir.
Participatieverklaringstraject (PVT) ücretini kontrol et: Wet 2021'de ücretsiz; Wet 2013'te asielstatushouder değilsen 150 euro.
DUO'dan inburgering mektubu aldıysan, çocuğun kinderopvang'a gidiyorsa ve onaylı bir okulda inburgering ya da NT2 kursuna gidiyorsan (veya MAP, PVT ya da Z-route katılım saatlerine katılıyorsan) Dienst Toeslagen'den kinderopvangtoeslag alma hakkın olabilir.
Kursa oturduğun şehrin dışında gidiyorsan, ulaşım masrafını karşılayıp karşılamadığını belediyene sor.</t>
        </is>
      </c>
      <c r="P247" s="29" t="n"/>
      <c r="Q247" s="29" t="n"/>
      <c r="R247" s="29" t="inlineStr">
        <is>
          <t>Her sınav 50 euro (Schrijven, Spreken, Luisteren, Lezen, KNM). Wet 2021: beş sınav toplam 250 euro; MAP belediyede yapılır ve ücretsizdir. Wet 2013: bunlara ONA sınavı (40 euro) eklenir, toplam 290 euro. PVT: Wet 2021'de ücretsiz; Wet 2013'te asielstatushouder değilsen 150 euro. Kurs ücreti okula göre değişir.</t>
        </is>
      </c>
      <c r="S247" s="29" t="inlineStr">
        <is>
          <t>Wet 2021'deki asielstatushouder için ilk iki deneme ücretsiz olsa da PIP'inde yazandan düşük seviyede sınava girersen bu hak geçerli olmaz; ilk denemede geçersen aynı sınavı bir üst seviyede bir kez daha yapabilirsin. Fiyat tablosundaki MAP'li liste (toplam 250 euro) Wet 2021, ONA'lı liste (toplam 290 euro) Wet 2013 kapsamındakiler içindir; hangi sınavları yapacağını Mijn Inburgering'de görürsün.</t>
        </is>
      </c>
      <c r="T247" s="29" t="n"/>
    </row>
    <row r="248" ht="54" customHeight="1">
      <c r="A248" s="29" t="inlineStr">
        <is>
          <t>eindhoven:zorunlu-sigorta-cak-ceza</t>
        </is>
      </c>
      <c r="B248" s="29" t="inlineStr">
        <is>
          <t>eindhoven</t>
        </is>
      </c>
      <c r="C248" s="29" t="inlineStr">
        <is>
          <t>zorunlu-sigorta-cak-ceza</t>
        </is>
      </c>
      <c r="D248" s="29" t="inlineStr">
        <is>
          <t>Sağlık sigortası zorunlu mu, yaptırmazsam ne olur?</t>
        </is>
      </c>
      <c r="E248" s="29" t="inlineStr">
        <is>
          <t>Temel sigorta herkese zorunlu; CAK mektubu, 3 ay süre ve para cezası</t>
        </is>
      </c>
      <c r="F248" s="29" t="inlineStr">
        <is>
          <t>Hollanda'da yaşayan veya çalışan herkesin temel sağlık sigortası (basisverzekering) yaptırması zorunludur; ek sigorta zorunlu değildir. Sigortanız yoksa CAK'tan mektup alırsınız ve sigortayı kendiniz yaptırmak için 3 ayınız olur. Yaptırmazsanız para cezası kesilir; 2 cezadan sonra CAK sizi bir sigortacıya kendisi kaydeder ve primi gelirinizden keser. Sigortasızken tıbbi bakıma ihtiyaç duyarsanız masrafların hepsini kendiniz ödersiniz.</t>
        </is>
      </c>
      <c r="G248" s="29" t="inlineStr">
        <is>
          <t>zorgverzekering, sağlık sigortası zorunlu, CAK, sigortasız ceza, basisverzekering, ek sigorta, naturapolis</t>
        </is>
      </c>
      <c r="H248" s="29" t="inlineStr">
        <is>
          <t>planning;new;settled</t>
        </is>
      </c>
      <c r="I248" s="29" t="inlineStr">
        <is>
          <t>eindhoven:kaynak:014;eindhoven:kaynak:208;eindhoven:kaynak:101</t>
        </is>
      </c>
      <c r="J248" s="49" t="n">
        <v>46317</v>
      </c>
      <c r="K248" s="51" t="n">
        <v>701</v>
      </c>
      <c r="L248" s="29" t="inlineStr">
        <is>
          <t>Evet</t>
        </is>
      </c>
      <c r="M248" s="29" t="inlineStr">
        <is>
          <t>Taslak</t>
        </is>
      </c>
      <c r="N248" s="29" t="inlineStr">
        <is>
          <t>eindhoven:saglik</t>
        </is>
      </c>
      <c r="O248" s="29" t="inlineStr">
        <is>
          <t>Hollanda'da yaşıyor veya çalışıyorsanız bir sigorta şirketine başvurup temel sağlık sigortası yaptırın.
Poliçe türünü seçin: naturapolis'te anlaşmalı sağlayıcılar masrafı doğrudan sigortacıya yansıtır, anlaşması olmayan sağlayıcıda masrafın bir kısmını kendiniz ödersiniz; combinatiepolis'te anlaşması olmayan sağlayıcıya önce kendiniz öder, sonra sigortacıdan masrafın tamamını veya bir kısmını istersiniz.
Çocuğunuz için de temel sigorta yaptırın ve çocuğu sigorta şirketinize kaydettirin.
İsterseniz ek sigorta yaptırın; zorunlu değildir ve gözlük, lens, yetişkinlerde diş hekimi kontrolü gibi temel paketin dışında kalan masrafları kapsar. 18 yaşın altındaki çocukların diş kontrolü ve dolgusu ise büyük oranda temel paketten karşılanır.
CAK'tan mektup aldıysanız 3 ay içinde sigortayı kendiniz yaptırın.</t>
        </is>
      </c>
      <c r="P248" s="29" t="n"/>
      <c r="Q248" s="29" t="inlineStr">
        <is>
          <t>CAK mektubundan sonra sigortayı kendiniz yaptırmak için 3 ay; 2 cezadan sonra CAK sizi sigortacıya kaydeder</t>
        </is>
      </c>
      <c r="R248" s="29" t="inlineStr">
        <is>
          <t>18 yaşın altındaki çocuklar prim ödemez.</t>
        </is>
      </c>
      <c r="S248" s="29" t="inlineStr">
        <is>
          <t>Sigorta şirketi, temel sigorta başvurunuzu sağlık durumunuz veya riskli spor yapmanız fark etmeksizin kabul etmek zorundadır; ek sigorta başvurusunu ise reddedebilir.</t>
        </is>
      </c>
      <c r="T248" s="29" t="n"/>
    </row>
    <row r="249" ht="54" customHeight="1">
      <c r="A249" s="29" t="inlineStr">
        <is>
          <t>eindhoven:zorunlu-saglik-sigortasi-kapsam</t>
        </is>
      </c>
      <c r="B249" s="29" t="inlineStr">
        <is>
          <t>eindhoven</t>
        </is>
      </c>
      <c r="C249" s="29" t="inlineStr">
        <is>
          <t>zorunlu-saglik-sigortasi-kapsam</t>
        </is>
      </c>
      <c r="D249" s="29" t="inlineStr">
        <is>
          <t>Zorunlu sağlık sigortası (zorgverzekering) neyi kapsar, ne öder?</t>
        </is>
      </c>
      <c r="E249" s="29" t="inlineStr">
        <is>
          <t>Temel paket, eigen risico ve muaf hizmetler</t>
        </is>
      </c>
      <c r="F249" s="29" t="inlineStr">
        <is>
          <t>Temel sağlık sigortası (zorgverzekering), temel paketteki bakımın masraflarını karşılar; örneğin aile hekimi, hastane, psikiyatrist ve eczane masrafları. 18 yaşında veya daha büyükseniz temel paketten bakım aldığınızda yıllık bir eigen risico (zorunlu katkı payı) ödersiniz. 2026'da bu tutar 385 euro: eigen risico'ya tabi masrafların ilk 385 euroluk kısmını kendiniz karşılarsınız, sonrasını sigorta şirketiniz öder. Aile hekimi bakımı (huisartsenpost dahil), ebe ve kraamzorg, wijkverpleging gibi bazı hizmetler eigen risico'ya sayılmaz. 18 yaş altı çocuklar eigen risico ödemez; çocuk 18 olunca kendi sigortasını yaptırması gerekir ve temel sigorta primi öder.</t>
        </is>
      </c>
      <c r="G249" s="29" t="inlineStr">
        <is>
          <t>zorgverzekering, sağlık sigortası, basispakket, temel paket, eigen risico, prim, zorunlu sigorta</t>
        </is>
      </c>
      <c r="H249" s="29" t="inlineStr">
        <is>
          <t>new;settled</t>
        </is>
      </c>
      <c r="I249" s="29" t="inlineStr">
        <is>
          <t>eindhoven:kaynak:101;eindhoven:kaynak:014</t>
        </is>
      </c>
      <c r="J249" s="49" t="n">
        <v>46317</v>
      </c>
      <c r="K249" s="51" t="n">
        <v>702</v>
      </c>
      <c r="L249" s="29" t="inlineStr">
        <is>
          <t>Hayır</t>
        </is>
      </c>
      <c r="M249" s="29" t="inlineStr">
        <is>
          <t>Taslak</t>
        </is>
      </c>
      <c r="N249" s="29" t="inlineStr">
        <is>
          <t>eindhoven:saglik</t>
        </is>
      </c>
      <c r="O249" s="29" t="inlineStr">
        <is>
          <t>18 yaşın üstündeyseniz eigen risico'ya tabi bakımda ilk 385 euroyu (2026) kendinizin ödeyeceğini hesaba katın; aile hekimi gibi muaf hizmetlerde bu tutar uygulanmaz.
Eigen risico tutarını aşan masrafları sigorta şirketinizin ödediğini bilin.
Düşük gelirliyseniz zorgtoeslag başvurusunu değerlendirin; zorgtoeslag eigen risico için de katkı içerir.
Çocuğunuz 18 olunca kendi sigortasını yaptırması ve temel sigorta primi ödemesi gerektiğini planlayın.</t>
        </is>
      </c>
      <c r="P249" s="29" t="n"/>
      <c r="Q249" s="29" t="n"/>
      <c r="R249" s="29" t="inlineStr">
        <is>
          <t>Eigen risico: 385 euro (2026); aile hekimi gibi muaf hizmetlerde ödenmez</t>
        </is>
      </c>
      <c r="S249" s="29" t="n"/>
      <c r="T249" s="29" t="n"/>
    </row>
    <row r="250" ht="54" customHeight="1">
      <c r="A250" s="29" t="inlineStr">
        <is>
          <t>eindhoven:sigorta-degistirme-overstappen</t>
        </is>
      </c>
      <c r="B250" s="29" t="inlineStr">
        <is>
          <t>eindhoven</t>
        </is>
      </c>
      <c r="C250" s="29" t="inlineStr">
        <is>
          <t>sigorta-degistirme-overstappen</t>
        </is>
      </c>
      <c r="D250" s="29" t="inlineStr">
        <is>
          <t>Sağlık sigortası şirketi nasıl ve ne zaman değiştirilir?</t>
        </is>
      </c>
      <c r="E250" s="29" t="inlineStr">
        <is>
          <t>Yıl sonunda değişim: 1 Ocak ve 1 Şubat tarihleri</t>
        </is>
      </c>
      <c r="F250" s="29" t="inlineStr">
        <is>
          <t>Sağlık sigortası şirketinizi her yıl sonunda değiştirebilirsiniz. Eski sigortanızı 1 Ocak'tan önce iptal etmeniz, yenisini 1 Şubat'tan önce yaptırmanız gerekir; yeni sigortanız o zaman 1 Ocak'a geriye dönük başlar. Yeni poliçeyi 31 Aralık'tan önce yaparsanız sigorta şirketleri eskisini sizin yerinize iptal eder (transfer service). Ek sigortayı temel sigortadan farklı bir şirkette tutmakta serbestsiniz.</t>
        </is>
      </c>
      <c r="G250" s="29" t="inlineStr">
        <is>
          <t>overstappen, sigorta değiştirme, zorgverzekeraar, transfer service, 1 Ocak, ek sigorta</t>
        </is>
      </c>
      <c r="H250" s="29" t="inlineStr">
        <is>
          <t>planning;settled</t>
        </is>
      </c>
      <c r="I250" s="29" t="inlineStr">
        <is>
          <t>eindhoven:kaynak:209;eindhoven:kaynak:208</t>
        </is>
      </c>
      <c r="J250" s="49" t="n">
        <v>46317</v>
      </c>
      <c r="K250" s="51" t="n">
        <v>703</v>
      </c>
      <c r="L250" s="29" t="inlineStr">
        <is>
          <t>Hayır</t>
        </is>
      </c>
      <c r="M250" s="29" t="inlineStr">
        <is>
          <t>Taslak</t>
        </is>
      </c>
      <c r="N250" s="29" t="inlineStr">
        <is>
          <t>eindhoven:saglik</t>
        </is>
      </c>
      <c r="O250" s="29" t="inlineStr">
        <is>
          <t>Önce ihtiyacınızı belirleyin: poliçe neyi kapsıyor, tercih ettiğiniz sağlayıcılarla (örneğin diş hekiminiz veya fizyoterapistiniz) sözleşme var mı, sözleşmesiz sağlayıcıda ne kadar ödersiniz, müşteri hizmetine telefonla ulaşmak sizin için önemli mi.
Yeni temel sigortayı 31 Aralık'tan önce yaptırın; yeni sigorta şirketi eskisini sizin yerinize iptal eder.
Bu aracı hizmeti kullanmak istemiyorsanız eski sigortanızı 1 Ocak'tan önce kendiniz iptal edin.
Yeni sigortayı en geç 1 Şubat'tan önce yaptırın; 1 Ocak'tan geriye dönük sigortalı olursunuz.
Ek sigortayı ayrı bir şirkette tutacaksanız prim ve bekleme süresi (qualifying period) koşullarını sigorta şirketinden öğrenin.</t>
        </is>
      </c>
      <c r="P250" s="29" t="n"/>
      <c r="Q250" s="29" t="inlineStr">
        <is>
          <t>Her yıl sonunda: eski sigorta 1 Ocak'tan önce iptal, yenisi 1 Şubat'tan önce; 1 Ocak'a geriye dönük başlar</t>
        </is>
      </c>
      <c r="R250" s="29" t="n"/>
      <c r="S250" s="29" t="inlineStr">
        <is>
          <t>Temel sigortada sigorta şirketi sağlık durumu, yaş veya cinsiyet fark etmeksizin başvurunuzu kabul etmek zorundadır; ek sigortada bu zorunluluk yoktur, şirket başvuruyu reddedebilir. Ek sigortayı da değiştirip değiştiremeyeceğiniz poliçe koşullarına bağlıdır.</t>
        </is>
      </c>
      <c r="T250" s="29" t="n"/>
    </row>
    <row r="251" ht="54" customHeight="1">
      <c r="A251" s="29" t="inlineStr">
        <is>
          <t>eindhoven:eigen-risico-2026</t>
        </is>
      </c>
      <c r="B251" s="29" t="inlineStr">
        <is>
          <t>eindhoven</t>
        </is>
      </c>
      <c r="C251" s="29" t="inlineStr">
        <is>
          <t>eigen-risico-2026</t>
        </is>
      </c>
      <c r="D251" s="29" t="inlineStr">
        <is>
          <t>Eigen risico nedir, neden var ve taksitle ödenir mi?</t>
        </is>
      </c>
      <c r="E251" s="29" t="inlineStr">
        <is>
          <t>2026 tutarı 385 euro</t>
        </is>
      </c>
      <c r="F251" s="29" t="inlineStr">
        <is>
          <t>Eigen risico, 18 yaş ve üstü sigortalıların temel paketten bakım aldığında her yıl kendi cebinden ödediği zorunlu tutardır; 2026'da 385 euro. Aile hekimi bakımı, ebe ve kraamzorg gibi bazı hizmetler eigen risico'ya sayılmaz (liste 'Eigen risico ödemeyeceğiniz sağlık hizmetleri' kartında). Devlet bunu iki sebeple getirdi: sigorta primi düşük kalsın ve insanlar sağlık masraflarının farkında olsun. Sigorta şirketinizle bir ödeme planı yapıp tutarı taksitlerle ödeyebilirsiniz.</t>
        </is>
      </c>
      <c r="G251" s="29" t="inlineStr">
        <is>
          <t>eigen risico, katkı payı, 385 euro, betalingsregeling, taksit, zorgverzekering</t>
        </is>
      </c>
      <c r="H251" s="29" t="inlineStr">
        <is>
          <t>new;settled</t>
        </is>
      </c>
      <c r="I251" s="29" t="inlineStr">
        <is>
          <t>eindhoven:kaynak:101;eindhoven:kaynak:102;eindhoven:kaynak:208</t>
        </is>
      </c>
      <c r="J251" s="49" t="n">
        <v>46317</v>
      </c>
      <c r="K251" s="51" t="n">
        <v>704</v>
      </c>
      <c r="L251" s="29" t="inlineStr">
        <is>
          <t>Hayır</t>
        </is>
      </c>
      <c r="M251" s="29" t="inlineStr">
        <is>
          <t>Taslak</t>
        </is>
      </c>
      <c r="N251" s="29" t="inlineStr">
        <is>
          <t>eindhoven:saglik</t>
        </is>
      </c>
      <c r="O251" s="29" t="inlineStr">
        <is>
          <t>Eigen risico'ya tabi bir bakım aldığınızda ilk 385 euroluk kısmı (2026) kendinizin ödeyeceğini bilin; aile hekimi gibi muaf bakımlarda eigen risico ödemezsiniz.
Tutarı tek seferde ödemek zor geliyorsa sigorta şirketinize eigen risico için bir ödeme planı (betalingsregeling) sorun.
Sigorta şirketiyle anlaştığınız plana göre eigen risico'yu taksitlerle ödeyin.</t>
        </is>
      </c>
      <c r="P251" s="29" t="n"/>
      <c r="Q251" s="29" t="n"/>
      <c r="R251" s="29" t="inlineStr">
        <is>
          <t>385 euro (2026)</t>
        </is>
      </c>
      <c r="S251" s="29" t="inlineStr">
        <is>
          <t>Eigen risico ile eigen bijdrage farklı şeylerdir. Eigen bijdrage, belirli bakımlarda sabit tutar ya da toplam maliyetin yüzdesi olarak ödenir; örneğin ortopedik ayakkabı, işitme cihazı ve hasta nakli için. İlaçlar için eigen bijdrage 2026'da en çok 250 euro olarak kalıyor.</t>
        </is>
      </c>
      <c r="T251" s="29" t="n"/>
    </row>
    <row r="252" ht="54" customHeight="1">
      <c r="A252" s="29" t="inlineStr">
        <is>
          <t>eindhoven:eigen-risico-muaf-bakim</t>
        </is>
      </c>
      <c r="B252" s="29" t="inlineStr">
        <is>
          <t>eindhoven</t>
        </is>
      </c>
      <c r="C252" s="29" t="inlineStr">
        <is>
          <t>eigen-risico-muaf-bakim</t>
        </is>
      </c>
      <c r="D252" s="29" t="inlineStr">
        <is>
          <t>Eigen risico ödemeyeceğiniz sağlık hizmetleri hangileri?</t>
        </is>
      </c>
      <c r="E252" s="29" t="inlineStr">
        <is>
          <t>Aile hekiminden kraamzorg'a muaf bakımlar</t>
        </is>
      </c>
      <c r="F252" s="29" t="inlineStr">
        <is>
          <t>Temel paketten bazı hizmetler için eigen risico ödemezsiniz: aile hekimi bakımı (huisartsenpost dahil), ebe (verloskundige) ve kraamzorg bakımı, wijkverpleging (mahalle hemşireliği), yalnız diyabet tip 2, COPD ve CVR hastalıklarında zincir bakımın (ketenzorg) belirli kısımları, organ bağışı sonrası kontroller ve bağışla ilgili seyahat masrafları ile gecombineerde leefstijlinterventie. 1 Ocak 2026'dan itibaren aile hekiminizin bir uzmandan görüş istemesi (meekijkconsult, meedenkadvies) ve ggz'deki keşif görüşmesi de eigen risico kapsamı dışındadır: bunlar için eigen risico ödemezsiniz. Sigorta şirketi bazı sağlayıcıları, programları, ilaçları ve yardımcı araçları da eigen risico dışında tutabilir.</t>
        </is>
      </c>
      <c r="G252" s="29" t="inlineStr">
        <is>
          <t>eigen risico muaf, huisarts, verloskundige, kraamzorg, wijkverpleging, ketenzorg, meekijkconsult</t>
        </is>
      </c>
      <c r="H252" s="29" t="inlineStr">
        <is>
          <t>new;settled</t>
        </is>
      </c>
      <c r="I252" s="29" t="inlineStr">
        <is>
          <t>eindhoven:kaynak:101;eindhoven:kaynak:102;eindhoven:kaynak:216;eindhoven:kaynak:217</t>
        </is>
      </c>
      <c r="J252" s="49" t="n">
        <v>46317</v>
      </c>
      <c r="K252" s="51" t="n">
        <v>705</v>
      </c>
      <c r="L252" s="29" t="inlineStr">
        <is>
          <t>Hayır</t>
        </is>
      </c>
      <c r="M252" s="29" t="inlineStr">
        <is>
          <t>Taslak</t>
        </is>
      </c>
      <c r="N252" s="29" t="inlineStr">
        <is>
          <t>eindhoven:saglik</t>
        </is>
      </c>
      <c r="O252" s="29" t="inlineStr">
        <is>
          <t>Bakım almadan önce hizmetin bu muaf listede olup olmadığına bakın.
Diyabet tip 2, COPD veya CVR için zincir bakım (ketenzorg) alıyorsanız bu bakımın belirli kısımları için eigen risico ödemeyeceğinizi bilin; başka kronik hastalıklar bu listede yok.
Sigorta şirketinizin eigen risico dışında tuttuğu sağlayıcı, program, ilaç ve yardımcı araçları kendisinden sorun.</t>
        </is>
      </c>
      <c r="P252" s="29" t="n"/>
      <c r="Q252" s="29" t="n"/>
      <c r="R252" s="29" t="n"/>
      <c r="S252" s="29" t="inlineStr">
        <is>
          <t>Örneğin diyabette ketenzorg'da aile hekimi, diyetisyen, podolog, eczacı, göz hekimi ve fizyoterapist birlikte çalışır. Hamilelik ve doğumla doğrudan ilgisi olmayan masraflarda (ilaç, hastaneye ulaşım, kan tahlili) eigen risico ödersiniz. Kraamzorg'da eigen risico yoktur ama evde saat başına 5,70 euro eigen bijdrage vardır (2026).</t>
        </is>
      </c>
      <c r="T252" s="29" t="n"/>
    </row>
    <row r="253" ht="54" customHeight="1">
      <c r="A253" s="29" t="inlineStr">
        <is>
          <t>eindhoven:gonullu-yuksek-eigen-risico</t>
        </is>
      </c>
      <c r="B253" s="29" t="inlineStr">
        <is>
          <t>eindhoven</t>
        </is>
      </c>
      <c r="C253" s="29" t="inlineStr">
        <is>
          <t>gonullu-yuksek-eigen-risico</t>
        </is>
      </c>
      <c r="D253" s="29" t="inlineStr">
        <is>
          <t>Eigen risico gönüllü olarak ne kadar yükseltilebilir?</t>
        </is>
      </c>
      <c r="E253" s="29" t="inlineStr">
        <is>
          <t>Aylık prim indirimi karşılığında 100 ile 500 euro artırım</t>
        </is>
      </c>
      <c r="F253" s="29" t="inlineStr">
        <is>
          <t>Zorunlu eigen risico'yu gönüllü olarak 100, 200, 300, 400 veya 500 euro yükseltebilirsiniz. Karşılığında sigorta şirketi temel sigorta aylık priminde indirim yapar, ama temel paketten bakım aldığınızda daha fazla ödersiniz. En yüksek artırımı (500 euro) seçerseniz hastane tedavisi gibi durumlarda toplam 885 euro (500 artı 385) ödemeniz gerekebilir.</t>
        </is>
      </c>
      <c r="G253" s="29" t="inlineStr">
        <is>
          <t>vrijwillig eigen risico, gönüllü eigen risico, prim indirimi, 885 euro, zorgverzekering</t>
        </is>
      </c>
      <c r="H253" s="29" t="inlineStr">
        <is>
          <t>new;settled</t>
        </is>
      </c>
      <c r="I253" s="29" t="inlineStr">
        <is>
          <t>eindhoven:kaynak:101</t>
        </is>
      </c>
      <c r="J253" s="49" t="n">
        <v>46317</v>
      </c>
      <c r="K253" s="51" t="n">
        <v>706</v>
      </c>
      <c r="L253" s="29" t="inlineStr">
        <is>
          <t>Hayır</t>
        </is>
      </c>
      <c r="M253" s="29" t="inlineStr">
        <is>
          <t>Taslak</t>
        </is>
      </c>
      <c r="N253" s="29" t="inlineStr">
        <is>
          <t>eindhoven:saglik</t>
        </is>
      </c>
      <c r="O253" s="29" t="inlineStr">
        <is>
          <t>Seçebileceğiniz artırım tutarlarına bakın: 100, 200, 300, 400 veya 500 euro.
Sigorta şirketinizin seçtiğiniz artırım için verdiği aylık prim indirimini sorun.
Eigen risico'ya tabi bakım kullanırsanız ödeyeceğiniz toplamı hesaplayın: zorunlu 385 euro artı seçtiğiniz artırım.</t>
        </is>
      </c>
      <c r="P253" s="29" t="n"/>
      <c r="Q253" s="29" t="n"/>
      <c r="R253" s="29" t="inlineStr">
        <is>
          <t>Zorunlu 385 euro (2026) artı 100, 200, 300, 400 veya 500 euro; en yüksek durumda 885 euro</t>
        </is>
      </c>
      <c r="S253" s="29" t="n"/>
      <c r="T253" s="29" t="n"/>
    </row>
    <row r="254" ht="54" customHeight="1">
      <c r="A254" s="29" t="inlineStr">
        <is>
          <t>eindhoven:cocuklar-saglik-sigortasi-agiz-bakimi</t>
        </is>
      </c>
      <c r="B254" s="29" t="inlineStr">
        <is>
          <t>eindhoven</t>
        </is>
      </c>
      <c r="C254" s="29" t="inlineStr">
        <is>
          <t>cocuklar-saglik-sigortasi-agiz-bakimi</t>
        </is>
      </c>
      <c r="D254" s="29" t="inlineStr">
        <is>
          <t>Çocuklar için sağlık sigortası: eigen risico ve diş bakımı</t>
        </is>
      </c>
      <c r="E254" s="29" t="inlineStr">
        <is>
          <t>18 yaşına kadar neyi ödemezsiniz, neyi ödersiniz</t>
        </is>
      </c>
      <c r="F254" s="29" t="inlineStr">
        <is>
          <t>18 yaşına kadar çocuklar için temel paketteki hiçbir bakımda eigen risico ödenmez. Diş hekimi ve mondhygiënist ziyareti büyük oranda temel paketten karşılanır; kontrol ve çürük tedavisi için ayrıca para ödemezsiniz. Diş teli (beugel), kron, köprü ve implant ise karşılanmaz. Çocuk 18 olunca sigortasını kendisi yapar; o andan itibaren eigen risico ve prim ona ait olur.</t>
        </is>
      </c>
      <c r="G254" s="29" t="inlineStr">
        <is>
          <t>çocuk sigortası, mondzorg, tandarts, diş hekimi, beugel, diş teli, eigen risico çocuk</t>
        </is>
      </c>
      <c r="H254" s="29" t="inlineStr">
        <is>
          <t>new;settled</t>
        </is>
      </c>
      <c r="I254" s="29" t="inlineStr">
        <is>
          <t>eindhoven:kaynak:101;eindhoven:kaynak:014</t>
        </is>
      </c>
      <c r="J254" s="49" t="n">
        <v>46317</v>
      </c>
      <c r="K254" s="51" t="n">
        <v>707</v>
      </c>
      <c r="L254" s="29" t="inlineStr">
        <is>
          <t>Hayır</t>
        </is>
      </c>
      <c r="M254" s="29" t="inlineStr">
        <is>
          <t>Taslak</t>
        </is>
      </c>
      <c r="N254" s="29" t="inlineStr">
        <is>
          <t>eindhoven:saglik</t>
        </is>
      </c>
      <c r="O254" s="29" t="inlineStr">
        <is>
          <t>18 yaşına kadar çocuğunuzun temel paket bakımı için eigen risico ödemediğinizi bilin.
Çocuğunuz için de temel sigorta yaptırın ve çocuğu sigorta şirketinize kaydettirin; 18 yaş altı çocuklar prim ödemez.
Çocuğunuzu kontrol ve çürük tedavisi için diş hekimine veya mondhygiënist'e götürün.
Diş teli, kron, köprü ve implant masraflarının temel paketten karşılanmadığını hesaba katın.
Çocuğunuz 18'e yaklaştığında kendi sigortasını yapması gerektiğini planlayın.</t>
        </is>
      </c>
      <c r="P254" s="29" t="n"/>
      <c r="Q254" s="29" t="n"/>
      <c r="R254" s="29" t="n"/>
      <c r="S254" s="29" t="inlineStr">
        <is>
          <t>Çocuk 18 olduğunda eigen risico ve temel sigorta primi çocuğun kendisine ait olur.</t>
        </is>
      </c>
      <c r="T254" s="29" t="n"/>
    </row>
    <row r="255" ht="54" customHeight="1">
      <c r="A255" s="29" t="inlineStr">
        <is>
          <t>eindhoven:zorgtoeslag-nedir</t>
        </is>
      </c>
      <c r="B255" s="29" t="inlineStr">
        <is>
          <t>eindhoven</t>
        </is>
      </c>
      <c r="C255" s="29" t="inlineStr">
        <is>
          <t>zorgtoeslag-nedir</t>
        </is>
      </c>
      <c r="D255" s="29" t="inlineStr">
        <is>
          <t>Zorgtoeslag (sağlık yardımı) nedir, kimler alabilir?</t>
        </is>
      </c>
      <c r="E255" s="29" t="inlineStr">
        <is>
          <t>Sigorta primi ve eigen risico için devlet katkısı</t>
        </is>
      </c>
      <c r="F255" s="29" t="inlineStr">
        <is>
          <t>Zorgtoeslag, düşük gelirliler için sağlık sigortası primine ve zorunlu eigen risico'ya yapılan mali katkıdır. Tutarı, diğer şeylerin yanında gelirinize göre belirlenir. Birkaç şart vardır; örneğin en az 18 yaşında olmanız ve Hollanda sağlık sigortanızın bulunması gerekir, ama bunlar şartların hepsi değildir. Geliriniz yıllık sınırı aşıyorsa zorgtoeslag almazsınız.</t>
        </is>
      </c>
      <c r="G255" s="29" t="inlineStr">
        <is>
          <t>zorgtoeslag, healthcare benefit, sağlık yardımı, Dienst Toeslagen, düşük gelir, prim desteği</t>
        </is>
      </c>
      <c r="H255" s="29" t="inlineStr">
        <is>
          <t>new;settled</t>
        </is>
      </c>
      <c r="I255" s="29" t="inlineStr">
        <is>
          <t>eindhoven:kaynak:103;eindhoven:kaynak:104;eindhoven:kaynak:208</t>
        </is>
      </c>
      <c r="J255" s="49" t="n">
        <v>46317</v>
      </c>
      <c r="K255" s="51" t="n">
        <v>708</v>
      </c>
      <c r="L255" s="29" t="inlineStr">
        <is>
          <t>Evet</t>
        </is>
      </c>
      <c r="M255" s="29" t="inlineStr">
        <is>
          <t>Taslak</t>
        </is>
      </c>
      <c r="N255" s="29" t="inlineStr">
        <is>
          <t>eindhoven:saglik</t>
        </is>
      </c>
      <c r="O255" s="29" t="inlineStr">
        <is>
          <t>Şartlardan ikisini kontrol edin: en az 18 yaşında olmanız ve Hollanda sağlık sigortanızın bulunması.
Gelirinizin yıllık sınırı aşmadığından emin olun; aşarsanız zorgtoeslag verilmez.
Dienst Toeslagen sitesindeki tüm şartları okuyun; yukarıdakiler yalnızca örnek şartlardır.</t>
        </is>
      </c>
      <c r="P255" s="29" t="n"/>
      <c r="Q255" s="29" t="n"/>
      <c r="R255" s="29" t="n"/>
      <c r="S255" s="29" t="inlineStr">
        <is>
          <t>Öğrenci finansmanı (studiefinanciering) zorgtoeslag için gelire sayılmaz. Zorgtoeslag alıyorsanız durumunuz değişirse (örneğin daha çok kazanmaya başlarsanız) Belastingdienst'e hemen bildirin.</t>
        </is>
      </c>
      <c r="T255" s="29" t="n"/>
    </row>
    <row r="256" ht="54" customHeight="1">
      <c r="A256" s="29" t="inlineStr">
        <is>
          <t>eindhoven:zorgtoeslag-basvurusu</t>
        </is>
      </c>
      <c r="B256" s="29" t="inlineStr">
        <is>
          <t>eindhoven</t>
        </is>
      </c>
      <c r="C256" s="29" t="inlineStr">
        <is>
          <t>zorgtoeslag-basvurusu</t>
        </is>
      </c>
      <c r="D256" s="29" t="inlineStr">
        <is>
          <t>Zorgtoeslag başvurusu nasıl yapılır, gelir sınırı ne kadar?</t>
        </is>
      </c>
      <c r="E256" s="29" t="inlineStr">
        <is>
          <t>Mijn toeslagen üzerinden başvuru; 2026 gelir sınırları</t>
        </is>
      </c>
      <c r="F256" s="29" t="inlineStr">
        <is>
          <t>Zorgtoeslag başvurusunu Dienst Toeslagen sitesindeki kişisel sayfanız Mijn toeslagen üzerinden yaparsınız. Başvurudan önce şartları sağlamanız gerekir; örneğin en az 18 yaşında olmanız ve Hollanda sağlık sigortanızın bulunması. 2026'da yıllık geliriniz tek başınaysanız en çok 40.857 euro, benefit partnerle birlikte toplam en çok 51.142 euro olabilir (2025'te 39.719 ve 50.206 euro). Sayılan gelir (toetsingsinkomen) kabaca brüt yıllık gelirinizdir, genelde biraz daha yüksektir; tatil parası ve aldığınız çocuk nafakası da sayılır, öğrenci finansmanı (studiefinanciering) sayılmaz.</t>
        </is>
      </c>
      <c r="G256" s="29" t="inlineStr">
        <is>
          <t>zorgtoeslag başvuru, Mijn toeslagen, Dienst Toeslagen, gelir sınırı, toetsingsinkomen, benefit partner, 40857, 51142</t>
        </is>
      </c>
      <c r="H256" s="29" t="inlineStr">
        <is>
          <t>new;settled</t>
        </is>
      </c>
      <c r="I256" s="29" t="inlineStr">
        <is>
          <t>eindhoven:kaynak:103;eindhoven:kaynak:104;eindhoven:kaynak:208</t>
        </is>
      </c>
      <c r="J256" s="49" t="n">
        <v>46317</v>
      </c>
      <c r="K256" s="51" t="n">
        <v>709</v>
      </c>
      <c r="L256" s="29" t="inlineStr">
        <is>
          <t>Hayır</t>
        </is>
      </c>
      <c r="M256" s="29" t="inlineStr">
        <is>
          <t>Taslak</t>
        </is>
      </c>
      <c r="N256" s="29" t="inlineStr">
        <is>
          <t>eindhoven:saglik</t>
        </is>
      </c>
      <c r="O256" s="29" t="inlineStr">
        <is>
          <t>Dienst Toeslagen sitesindeki zorgtoeslag şartlarını kontrol edin: en az 18 yaş ve Hollanda sağlık sigortası.
Sayılan gelirinizi, varsa benefit partnerinizinki ile birlikte belirleyin; tatil parası ve çocuk nafakası dahildir, öğrenci finansmanı hariçtir.
Gelirinizi 2026 sınırlarıyla karşılaştırın: tek başına 40.857 euro, benefit partnerle birlikte 51.142 euro.
Sayılan gelirinizi tam hesaplamak için Belastingdienst sayfasındaki hesaplama aracını kullanın; bu araç yalnız Hollandaca.
Dienst Toeslagen sitesinde kişisel sayfanız Mijn toeslagen'e girin ve zorgtoeslag başvurunuzu oradan yapın.
Zorgtoeslag almaya başladıktan sonra durumunuz değişirse (örneğin geliriniz artarsa) Belastingdienst'e hemen bildirin.</t>
        </is>
      </c>
      <c r="P256" s="29" t="n"/>
      <c r="Q256" s="29" t="n"/>
      <c r="R256" s="29" t="n"/>
      <c r="S256" s="29" t="n"/>
      <c r="T256" s="29" t="n"/>
    </row>
    <row r="257" ht="54" customHeight="1">
      <c r="A257" s="29" t="inlineStr">
        <is>
          <t>eindhoven:huisarts-kaydi-nasil-yapilir</t>
        </is>
      </c>
      <c r="B257" s="29" t="inlineStr">
        <is>
          <t>eindhoven</t>
        </is>
      </c>
      <c r="C257" s="29" t="inlineStr">
        <is>
          <t>huisarts-kaydi-nasil-yapilir</t>
        </is>
      </c>
      <c r="D257" s="29" t="inlineStr">
        <is>
          <t>Huisarts (aile hekimi) kaydı nasıl yapılır?</t>
        </is>
      </c>
      <c r="E257" s="29" t="inlineStr">
        <is>
          <t>Yerleşir yerleşmez kayıt olmanız önerilir</t>
        </is>
      </c>
      <c r="F257" s="29" t="inlineStr">
        <is>
          <t>Hollanda'da aile hekiminizi kendiniz seçersiniz; ama hekim yeni hasta almıyorsa, ona çok uzakta oturuyorsanız ya da naturapolis'te (sözleşmeli bakım poliçesi) sigortacınızın o hekimle sözleşmesi yoksa kaydolamayabilirsiniz. Oturduğunuz yere yerleşir yerleşmez, doktora hemen ihtiyacınız olmasa bile kayıt olmanız önerilir. Kayıt için kimlik, vatandaşlık hizmet numaranız (BSN) ve sağlık sigortası bilgileriniz (ad ve numara) gerekir. Kayıt zorunlu değildir ama kayıtlıysanız her zaman bir hekiminiz olur, akşam, gece ve hafta sonu huisartsenpost'u kullanabilirsiniz ve sağlık geçmişiniz bir dosyada tutulur.</t>
        </is>
      </c>
      <c r="G257" s="29" t="inlineStr">
        <is>
          <t>huisarts, aile hekimi, huisarts kaydı, BSN, huisartsenpost, eczane, sağlık sigortası</t>
        </is>
      </c>
      <c r="H257" s="29" t="inlineStr">
        <is>
          <t>new;settled</t>
        </is>
      </c>
      <c r="I257" s="29" t="inlineStr">
        <is>
          <t>eindhoven:kaynak:105;eindhoven:kaynak:106</t>
        </is>
      </c>
      <c r="J257" s="49" t="n">
        <v>46317</v>
      </c>
      <c r="K257" s="51" t="n">
        <v>710</v>
      </c>
      <c r="L257" s="29" t="inlineStr">
        <is>
          <t>Hayır</t>
        </is>
      </c>
      <c r="M257" s="29" t="inlineStr">
        <is>
          <t>Taslak</t>
        </is>
      </c>
      <c r="N257" s="29" t="inlineStr">
        <is>
          <t>eindhoven:saglik</t>
        </is>
      </c>
      <c r="O257" s="29" t="inlineStr">
        <is>
          <t>İnternette 'GP' ve oturduğunuz yer adıyla arama yaparak çevrenizdeki huisarts muayenehanelerini bulun.
Hekim bulamazsanız ya da seçtiğiniz hekim sizi geçerli bir neden olmadan reddederse sigorta şirketinizden yardım isteyin.
Kayıt olurken kimliğinizi götürün; BSN'nizi ve sağlık sigortası bilgilerinizi (ad ve numara) hazır bulundurun.
Muayenehane çevrimiçi kayıt kabul ediyorsa kaydı oradan yapın.
İlk ziyarete ülkenizden getirdiğiniz sağlık kayıtlarını ve kullandığınız ilaçların listesini götürün.
Yaşadığınız yere yakın bir eczaneye de kayıt olun; muayenehane reçeteleri nereye göndereceğini bilsin.</t>
        </is>
      </c>
      <c r="P257" s="29" t="inlineStr">
        <is>
          <t>Kimlik
BSN (vatandaşlık hizmet numarası)
Sağlık sigortası bilgileri (ad ve numara)
Varsa ülkenizden sağlık kayıtları
Kullandığınız ilaçların listesi</t>
        </is>
      </c>
      <c r="Q257" s="29" t="inlineStr">
        <is>
          <t>Yerleşir yerleşmez, doktora hemen ihtiyacınız olmasa bile</t>
        </is>
      </c>
      <c r="R257" s="29" t="inlineStr">
        <is>
          <t>Aile hekimi bakımını sağlık sigortası şirketiniz öder.</t>
        </is>
      </c>
      <c r="S257" s="29" t="inlineStr">
        <is>
          <t>Hollanda içinde taşınırsanız eski hekiminiz dosyanızı yeni hekiminize doğrudan gönderir; bunun için sizin onayınız gerekir.</t>
        </is>
      </c>
      <c r="T257" s="29" t="n"/>
    </row>
    <row r="258" ht="54" customHeight="1">
      <c r="A258" s="29" t="inlineStr">
        <is>
          <t>eindhoven:huisarts-degistirme</t>
        </is>
      </c>
      <c r="B258" s="29" t="inlineStr">
        <is>
          <t>eindhoven</t>
        </is>
      </c>
      <c r="C258" s="29" t="inlineStr">
        <is>
          <t>huisarts-degistirme</t>
        </is>
      </c>
      <c r="D258" s="29" t="inlineStr">
        <is>
          <t>Huisarts nasıl değiştirilir?</t>
        </is>
      </c>
      <c r="E258" s="29" t="inlineStr">
        <is>
          <t>Eski hekimi bilgilendirin, dosyanızı taşıtın</t>
        </is>
      </c>
      <c r="F258" s="29" t="inlineStr">
        <is>
          <t>Aile hekiminizi değiştirmek için önce yeni hekimin sizi hasta olarak kabul edip edemeyeceğini sorarsınız. Sonra eski hekiminize sözlü, telefonla veya yazılı olarak hekim değiştirdiğinizi bildirir ve dosyanızı yeni hekime göndermesini istersiniz. Kesin seçim yapmadan önce yeni hekimle tanışma görüşmesi de isteyebilirsiniz.</t>
        </is>
      </c>
      <c r="G258" s="29" t="inlineStr">
        <is>
          <t>huisarts değiştirme, aile hekimi değiştirmek, dossier, tıbbi dosya, huisarts</t>
        </is>
      </c>
      <c r="H258" s="29" t="inlineStr">
        <is>
          <t>settled</t>
        </is>
      </c>
      <c r="I258" s="29" t="inlineStr">
        <is>
          <t>eindhoven:kaynak:105</t>
        </is>
      </c>
      <c r="J258" s="49" t="n">
        <v>46317</v>
      </c>
      <c r="K258" s="51" t="n">
        <v>711</v>
      </c>
      <c r="L258" s="29" t="inlineStr">
        <is>
          <t>Hayır</t>
        </is>
      </c>
      <c r="M258" s="29" t="inlineStr">
        <is>
          <t>Taslak</t>
        </is>
      </c>
      <c r="N258" s="29" t="inlineStr">
        <is>
          <t>eindhoven:saglik</t>
        </is>
      </c>
      <c r="O258" s="29" t="inlineStr">
        <is>
          <t>Yeni huisarts'a sorun: sizi yeni hasta olarak kabul edebilir mi?
İsterseniz kesin seçimden önce yeni hekimle bir görüşme isteyin.
Eski hekiminize sözlü, telefonla veya yazılı olarak hekim değiştirdiğinizi bildirin.
Eski hekiminizden dosyanızı yeni hekiminize göndermesini isteyin.</t>
        </is>
      </c>
      <c r="P258" s="29" t="n"/>
      <c r="Q258" s="29" t="n"/>
      <c r="R258" s="29" t="n"/>
      <c r="S258" s="29" t="inlineStr">
        <is>
          <t>Aile hekimi seçmek ve değiştirmek çoğunlukla mümkündür; hekim bazı durumlarda sizi hasta olarak reddedebilir.</t>
        </is>
      </c>
      <c r="T258" s="29" t="n"/>
    </row>
    <row r="259" ht="54" customHeight="1">
      <c r="A259" s="29" t="inlineStr">
        <is>
          <t>eindhoven:huisarts-kabul-etmezse</t>
        </is>
      </c>
      <c r="B259" s="29" t="inlineStr">
        <is>
          <t>eindhoven</t>
        </is>
      </c>
      <c r="C259" s="29" t="inlineStr">
        <is>
          <t>huisarts-kabul-etmezse</t>
        </is>
      </c>
      <c r="D259" s="29" t="inlineStr">
        <is>
          <t>Huisarts sizi hasta olarak kabul etmezse ne yapılır?</t>
        </is>
      </c>
      <c r="E259" s="29" t="inlineStr">
        <is>
          <t>Reddetme sebepleri ve başvuru yolları</t>
        </is>
      </c>
      <c r="F259" s="29" t="inlineStr">
        <is>
          <t>Aile hekiminizi serbestçe seçersiniz, ama hekim sizi örneğin şu durumlarda reddedebilir: çok uzakta oturuyorsanız, muayenehane doluysa, hekim bazı bakım isteklerinizi (örneğin ötenazi talebi) kabul edemiyorsa ya da bakım konusunda hekimle farklı görüşlerdeyseniz (örneğin alternatif tedaviler). 'Contracted care' (in natura) poliçeniz varsa hekimin sigorta şirketinizle sözleşmesi olması da gerekir. Hekim bulamazsanız sigorta şirketiniz arama konusunda yardım eder ve gerekirse aracılık eder. Geçerli bir sebep olmadan reddedilirseniz sigorta şirketinize ya da bölgenizdeki Zorgbelang kuruluşuna başvurabilirsiniz.</t>
        </is>
      </c>
      <c r="G259" s="29" t="inlineStr">
        <is>
          <t>huisarts reddetti, huisarts bulamıyorum, Zorgbelang, contracted care, natura polis, aile hekimi</t>
        </is>
      </c>
      <c r="H259" s="29" t="inlineStr">
        <is>
          <t>new;settled</t>
        </is>
      </c>
      <c r="I259" s="29" t="inlineStr">
        <is>
          <t>eindhoven:kaynak:105;eindhoven:kaynak:106</t>
        </is>
      </c>
      <c r="J259" s="49" t="n">
        <v>46317</v>
      </c>
      <c r="K259" s="51" t="n">
        <v>712</v>
      </c>
      <c r="L259" s="29" t="inlineStr">
        <is>
          <t>Hayır</t>
        </is>
      </c>
      <c r="M259" s="29" t="inlineStr">
        <is>
          <t>Taslak</t>
        </is>
      </c>
      <c r="N259" s="29" t="inlineStr">
        <is>
          <t>eindhoven:saglik</t>
        </is>
      </c>
      <c r="O259" s="29" t="inlineStr">
        <is>
          <t>Başka bir huisarts muayenehanesine yeni hasta olarak kabul edilip edilmediğini sorun.
Poliçeniz 'contracted care' (in natura) ise seçtiğiniz hekimin sigorta şirketinizle sözleşmesi olup olmadığına bakın.
Hekim bulamazsanız sigorta şirketinizle iletişime geçin; yeni hekim aramanıza yardım eder ve aracılık edebilir.
Geçerli bir sebep olmadan reddedildiyseniz sigorta şirketinize ya da bölgenizdeki Zorgbelang kuruluşuna başvurun.</t>
        </is>
      </c>
      <c r="P259" s="29" t="n"/>
      <c r="Q259" s="29" t="n"/>
      <c r="R259" s="29" t="n"/>
      <c r="S259" s="29" t="n"/>
      <c r="T259" s="29" t="n"/>
    </row>
    <row r="260" ht="54" customHeight="1">
      <c r="A260" s="29" t="inlineStr">
        <is>
          <t>eindhoven:huisartsenpost-eindhoven</t>
        </is>
      </c>
      <c r="B260" s="29" t="inlineStr">
        <is>
          <t>eindhoven</t>
        </is>
      </c>
      <c r="C260" s="29" t="inlineStr">
        <is>
          <t>huisartsenpost-eindhoven</t>
        </is>
      </c>
      <c r="D260" s="29" t="inlineStr">
        <is>
          <t>Eindhoven huisartsenpost: akşam, gece ve hafta sonu nöbetçi aile hekimi</t>
        </is>
      </c>
      <c r="E260" s="29" t="inlineStr">
        <is>
          <t>Michelangelolaan 2, Catharina Ziekenhuis'in arka tarafı</t>
        </is>
      </c>
      <c r="F260" s="29" t="inlineStr">
        <is>
          <t>Aile hekiminiz kapalıyken acil tıbbi sorunlar için Eindhoven huisartsenpost'a başvurulur: Michelangelolaan 2, 5623 EJ Eindhoven. Hafta içi 17:00-8:00 arası, cumartesi, pazar ve resmi tatillerde günün 24 saati açıktır. Önce telefonla arayın: 088 876 5151. Randevusuz gitmeyin. Hayati tehlike varsa her zaman 112'yi arayın.</t>
        </is>
      </c>
      <c r="G260" s="29" t="inlineStr">
        <is>
          <t>huisartsenpost, nöbetçi doktor, gece doktoru, hafta sonu doktor, Eindhoven, Catharina, acil</t>
        </is>
      </c>
      <c r="H260" s="29" t="inlineStr">
        <is>
          <t>new;settled</t>
        </is>
      </c>
      <c r="I260" s="29" t="inlineStr">
        <is>
          <t>eindhoven:kaynak:107;eindhoven:kaynak:108;eindhoven:kaynak:110;eindhoven:kaynak:101</t>
        </is>
      </c>
      <c r="J260" s="49" t="n">
        <v>46317</v>
      </c>
      <c r="K260" s="51" t="n">
        <v>713</v>
      </c>
      <c r="L260" s="29" t="inlineStr">
        <is>
          <t>Hayır</t>
        </is>
      </c>
      <c r="M260" s="29" t="inlineStr">
        <is>
          <t>Taslak</t>
        </is>
      </c>
      <c r="N260" s="29" t="inlineStr">
        <is>
          <t>eindhoven:saglik</t>
        </is>
      </c>
      <c r="O260" s="29" t="inlineStr">
        <is>
          <t>Acil ama hayati tehlike olmayan bir sorununuz varsa akşam, gece veya hafta sonu 088 876 5151 numarasını arayın.
Hayati tehlike varsa 112'yi arayın.
Telefonda size verilen randevuyla gidin; randevusuz huisartsenpost'a gelmeyin.
Catharina Ziekenhuis'te 'Spoedpost' tabelalarını izleyin; huisartsenpost'un da bulunduğu acil servis (Spoedeisende Hulp) hastanenin arka tarafındadır.</t>
        </is>
      </c>
      <c r="P260" s="29" t="n"/>
      <c r="Q260" s="29" t="inlineStr">
        <is>
          <t>Hafta içi 17:00-8:00; cumartesi, pazar ve resmi tatillerde 24 saat</t>
        </is>
      </c>
      <c r="R260" s="29" t="inlineStr">
        <is>
          <t>Hollanda'da sigortalı olarak yaşıyorsanız muayene masrafını sağlık sigortanız doğrudan öder; aile hekimi bakımı eigen risico dışındadır. Yurt dışında yaşayanlar, sigortalı olsalar bile EHIC'leri yoksa ücret öder ve ülkelerine dönünce makbuzla sigortacıdan geri alır.</t>
        </is>
      </c>
      <c r="S260" s="29" t="inlineStr">
        <is>
          <t>Huisartsenpost yalnız acil sorunlar içindir. Uzun süredir devam eden şikayetler için mesai saatlerinde kendi aile hekiminizden randevu alın.</t>
        </is>
      </c>
      <c r="T260" s="29" t="n"/>
    </row>
    <row r="261" ht="54" customHeight="1">
      <c r="A261" s="29" t="inlineStr">
        <is>
          <t>eindhoven:huisartsenpost-arama-hazirligi</t>
        </is>
      </c>
      <c r="B261" s="29" t="inlineStr">
        <is>
          <t>eindhoven</t>
        </is>
      </c>
      <c r="C261" s="29" t="inlineStr">
        <is>
          <t>huisartsenpost-arama-hazirligi</t>
        </is>
      </c>
      <c r="D261" s="29" t="inlineStr">
        <is>
          <t>Huisartsenpost'u ararken neler hazır olmalı, telefonda ne olur?</t>
        </is>
      </c>
      <c r="E261" s="29" t="inlineStr">
        <is>
          <t>Aciliyet seçimi, doktor asistanı ve evde ziyaret</t>
        </is>
      </c>
      <c r="F261" s="29" t="inlineStr">
        <is>
          <t>Huisartsenposten Oost-Brabant'ı 088 876 5050/088 876 5151 numaralarından arayabilirsiniz. Telefonda önce aciliyet seçimi duyarsınız: hayati tehlike için 1, hayati tehlike olmayan durum için 2 tuşuna basılır; 1'e basanlara öncelik verilir. Telefonu açan doktor asistanı çoğu durumda telefonda tavsiye verir, gerekirse doktora bağlar. Telefon yetmezse asistan size huisartsenpost'ta randevu verir; tıbbi nedenle gelemeyecek durumdaysanız doktorun evinize gelmesini planlar.</t>
        </is>
      </c>
      <c r="G261" s="29" t="inlineStr">
        <is>
          <t>huisartsenpost arama, doktor asistanı, EHIC, aciliyet, evde doktor, 088 876 5050</t>
        </is>
      </c>
      <c r="H261" s="29" t="inlineStr">
        <is>
          <t>new;settled</t>
        </is>
      </c>
      <c r="I261" s="29" t="inlineStr">
        <is>
          <t>eindhoven:kaynak:107;eindhoven:kaynak:111</t>
        </is>
      </c>
      <c r="J261" s="49" t="n">
        <v>46317</v>
      </c>
      <c r="K261" s="51" t="n">
        <v>714</v>
      </c>
      <c r="L261" s="29" t="inlineStr">
        <is>
          <t>Hayır</t>
        </is>
      </c>
      <c r="M261" s="29" t="inlineStr">
        <is>
          <t>Taslak</t>
        </is>
      </c>
      <c r="N261" s="29" t="inlineStr">
        <is>
          <t>eindhoven:saglik</t>
        </is>
      </c>
      <c r="O261" s="29" t="inlineStr">
        <is>
          <t>Aramadan önce aşağıdaki bilgileri ve belgeleri yanınıza alın.
088 876 5050/088 876 5151 numaralarından birini arayın.
Hayati tehlike varsa 1'e, hayati tehlike yoksa 2'ye basın.
Doktor asistanının sorularını yanıtlayın; çoğu durumda telefonda tavsiye alırsınız.
Telefonda çözülmezse asistanın verdiği randevuya gidin; tıbbi nedenle gelemeyecek durumdaysanız asistan doktorun evinize gelmesini planlar.</t>
        </is>
      </c>
      <c r="P261" s="29" t="inlineStr">
        <is>
          <t>Adınız, adresiniz, telefon numaranız ve doğum tarihiniz
Sağlık sigortası bilgileri (sigortacının adı ve müşteri numarası) veya EHIC
Kendi aile hekiminizin adı
Kullandığınız ilaçların adları
Pasaport veya kimlik kartı</t>
        </is>
      </c>
      <c r="Q261" s="29" t="n"/>
      <c r="R261" s="29" t="n"/>
      <c r="S261" s="29" t="inlineStr">
        <is>
          <t>Doktor asistanının verdiği tavsiye sonradan görevdeki doktorlar tarafından kontrol edilir.</t>
        </is>
      </c>
      <c r="T261" s="29" t="n"/>
    </row>
    <row r="262" ht="54" customHeight="1">
      <c r="A262" s="29" t="inlineStr">
        <is>
          <t>eindhoven:dienstapotheek-eindhoven</t>
        </is>
      </c>
      <c r="B262" s="29" t="inlineStr">
        <is>
          <t>eindhoven</t>
        </is>
      </c>
      <c r="C262" s="29" t="inlineStr">
        <is>
          <t>dienstapotheek-eindhoven</t>
        </is>
      </c>
      <c r="D262" s="29" t="inlineStr">
        <is>
          <t>Nöbetçi eczane (Centrale Dienstapotheek) Eindhoven: adres ve saatler</t>
        </is>
      </c>
      <c r="E262" s="29" t="inlineStr">
        <is>
          <t>Akşam, gece ve hafta sonu ilaç için</t>
        </is>
      </c>
      <c r="F262" s="29" t="inlineStr">
        <is>
          <t>Centrale Dienstapotheek, Michelangelolaan 2, 5623 EJ Eindhoven adresinde, Catharina Ziekenhuis'teki huisartsenpost'un yanındadır; telefon 040-2436666. Her akşam ve gece 17:00-8:30 arası, ayrıca cumartesi, pazar ve resmi tatillerde gündüz açıktır. Mesai saatlerinde Catharina Apotheek'e gidebilirsiniz. Máxima MC'de (Veldhoven) acil servis veya huisartsenpost'u kullanıp ilaçlarınızı alamayacak durumdaysanız ilaçlar Eindhoven'daki nöbetçi eczaneden eve getirilebilir.</t>
        </is>
      </c>
      <c r="G262" s="29" t="inlineStr">
        <is>
          <t>dienstapotheek, nöbetçi eczane, gece eczane, ilaç, Eindhoven, Michelangelolaan, apotheek</t>
        </is>
      </c>
      <c r="H262" s="29" t="inlineStr">
        <is>
          <t>new;settled</t>
        </is>
      </c>
      <c r="I262" s="29" t="inlineStr">
        <is>
          <t>eindhoven:kaynak:109;eindhoven:kaynak:110;eindhoven:kaynak:111</t>
        </is>
      </c>
      <c r="J262" s="49" t="n">
        <v>46317</v>
      </c>
      <c r="K262" s="51" t="n">
        <v>715</v>
      </c>
      <c r="L262" s="29" t="inlineStr">
        <is>
          <t>Hayır</t>
        </is>
      </c>
      <c r="M262" s="29" t="inlineStr">
        <is>
          <t>Taslak</t>
        </is>
      </c>
      <c r="N262" s="29" t="inlineStr">
        <is>
          <t>eindhoven:saglik</t>
        </is>
      </c>
      <c r="O262" s="29" t="inlineStr">
        <is>
          <t>Akşam, gece veya hafta sonu reçeteli ilaç için Michelangelolaan 2'deki Centrale Dienstapotheek'e gidin.
Eczaneyi 040-2436666 numarasından arayabilirsiniz.
Mesai saatleri içinde ilacınızı Catharina Apotheek'ten alın.
Veldhoven'da tedavi gördüyseniz ve ilacınızı alamayacak durumdaysanız eczaneden ilacınızın eve getirilmesini isteyin.</t>
        </is>
      </c>
      <c r="P262" s="29" t="n"/>
      <c r="Q262" s="29" t="inlineStr">
        <is>
          <t>Her akşam ve gece 17:00-8:30; cumartesi, pazar ve resmi tatillerde gündüz</t>
        </is>
      </c>
      <c r="R262" s="29" t="n"/>
      <c r="S262" s="29" t="n"/>
      <c r="T262" s="29" t="n"/>
    </row>
    <row r="263" ht="54" customHeight="1">
      <c r="A263" s="29" t="inlineStr">
        <is>
          <t>eindhoven:catharina-acil-servis</t>
        </is>
      </c>
      <c r="B263" s="29" t="inlineStr">
        <is>
          <t>eindhoven</t>
        </is>
      </c>
      <c r="C263" s="29" t="inlineStr">
        <is>
          <t>catharina-acil-servis</t>
        </is>
      </c>
      <c r="D263" s="29" t="inlineStr">
        <is>
          <t>Catharina Ziekenhuis acil servisi (SEH): ne zaman ve nasıl gidilir?</t>
        </is>
      </c>
      <c r="E263" s="29" t="inlineStr">
        <is>
          <t>Eindhoven, acil servis ve huisartsenpost aynı yerde</t>
        </is>
      </c>
      <c r="F263" s="29" t="inlineStr">
        <is>
          <t>Catharina Ziekenhuis'te acil servis (SEH) ve huisartsenpost aynı yerde çalışır; telefon 088 876 5151. Hayati tehlike varsa doğrudan 112'yi arayın. Acil servise yalnız aile hekiminiz veya huisartsenpost sizi sevk ettiyse ya da ambulansla getirildiyseniz gidin. Acil giriş hastanenin arka tarafında, Winston Churchilllaan üzerindendir; tabelalarda 'Spoedpost' yazar ve acil servisin kendi otoparkı vardır. Yanınıza geçerli kimlik, sigorta kartı ve mümkünse ilaç listenizi alın.</t>
        </is>
      </c>
      <c r="G263" s="29" t="inlineStr">
        <is>
          <t>Catharina Ziekenhuis, SEH, spoedeisende hulp, acil servis, Eindhoven, huisartsenpost, kimlik</t>
        </is>
      </c>
      <c r="H263" s="29" t="inlineStr">
        <is>
          <t>new;settled</t>
        </is>
      </c>
      <c r="I263" s="29" t="inlineStr">
        <is>
          <t>eindhoven:kaynak:110</t>
        </is>
      </c>
      <c r="J263" s="49" t="n">
        <v>46317</v>
      </c>
      <c r="K263" s="51" t="n">
        <v>716</v>
      </c>
      <c r="L263" s="29" t="inlineStr">
        <is>
          <t>Hayır</t>
        </is>
      </c>
      <c r="M263" s="29" t="inlineStr">
        <is>
          <t>Taslak</t>
        </is>
      </c>
      <c r="N263" s="29" t="inlineStr">
        <is>
          <t>eindhoven:saglik</t>
        </is>
      </c>
      <c r="O263" s="29" t="inlineStr">
        <is>
          <t>Hayati tehlikede 112'yi arayın.
Hayati tehlike yoksa mesai saatlerinde kendi huisarts'ınızı, akşam, gece, hafta sonu ve tatilde Huisartsenpost Oost-Brabant'ı arayın.
Acil servise yalnız sevk edildiyseniz ya da ambulansla geldiyseniz gidin.
Winston Churchilllaan üzerinden hastanenin arka tarafındaki acil girişe gidin ve 'Spoedpost' tabelalarını izleyin.
Kimlik, sigorta kartı ve ilaç listenizi yanınıza alın.</t>
        </is>
      </c>
      <c r="P263" s="29" t="inlineStr">
        <is>
          <t>Geçerli kimlik belgesi
Sağlık sigortası kartı (zorgverzekeringspas)
Mümkünse kullandığınız ilaçların listesi</t>
        </is>
      </c>
      <c r="Q263" s="29" t="inlineStr">
        <is>
          <t>Hafta içi 17.00-08.00 ve hafta sonu gece gündüz (huisartsenpost); acil servise sevkle gidilir</t>
        </is>
      </c>
      <c r="R263" s="29" t="n"/>
      <c r="S263" s="29" t="inlineStr">
        <is>
          <t>Çocuklar tıbbi olarak uygunsa öncelik alır; kemik kırığı için kısa bir hızlı yol vardır. Bekleme olabilir, çünkü önce en acil hastalar alınır.</t>
        </is>
      </c>
      <c r="T263" s="29" t="n"/>
    </row>
    <row r="264" ht="54" customHeight="1">
      <c r="A264" s="29" t="inlineStr">
        <is>
          <t>eindhoven:maxima-mc-acil-servis</t>
        </is>
      </c>
      <c r="B264" s="29" t="inlineStr">
        <is>
          <t>eindhoven</t>
        </is>
      </c>
      <c r="C264" s="29" t="inlineStr">
        <is>
          <t>maxima-mc-acil-servis</t>
        </is>
      </c>
      <c r="D264" s="29" t="inlineStr">
        <is>
          <t>Máxima MC (Veldhoven) acil servisi: kayıt, triyaj ve bekleme</t>
        </is>
      </c>
      <c r="E264" s="29" t="inlineStr">
        <is>
          <t>24 saat açık; Eindhoven, Helmond ve Geldrop için huisartsenpost ayrı</t>
        </is>
      </c>
      <c r="F264" s="29" t="inlineStr">
        <is>
          <t>Máxima MC'nin Veldhoven lokasyonundaki acil servisi (SEH) günün 24 saati açıktır. Hayati tehlike varsa 112'yi arayın; yoksa işgünlerinde 17.00'ye kadar kendi aile hekiminizi, 17.00'den sonra ve hafta sonu bölgenizdeki huisartsenpost'u arayın. Girişte kimlik, sigorta kartı ve varsa aile hekiminin sevk mektubuyla masada kayıt olursunuz; sonra triyaj hemşiresi aciliyetinize bakar ve sonradan gelenler önce alınabilir.</t>
        </is>
      </c>
      <c r="G264" s="29" t="inlineStr">
        <is>
          <t>Máxima MC, MMC, Veldhoven, SEH, acil servis, triyaj, spoedplein, MRSA</t>
        </is>
      </c>
      <c r="H264" s="29" t="inlineStr">
        <is>
          <t>new;settled</t>
        </is>
      </c>
      <c r="I264" s="29" t="inlineStr">
        <is>
          <t>eindhoven:kaynak:111</t>
        </is>
      </c>
      <c r="J264" s="49" t="n">
        <v>46317</v>
      </c>
      <c r="K264" s="51" t="n">
        <v>717</v>
      </c>
      <c r="L264" s="29" t="inlineStr">
        <is>
          <t>Hayır</t>
        </is>
      </c>
      <c r="M264" s="29" t="inlineStr">
        <is>
          <t>Taslak</t>
        </is>
      </c>
      <c r="N264" s="29" t="inlineStr">
        <is>
          <t>eindhoven:saglik</t>
        </is>
      </c>
      <c r="O264" s="29" t="inlineStr">
        <is>
          <t>Hayati tehlike varsa 112'yi arayın.
Hayati tehlike yoksa işgünlerinde 17.00'ye kadar kendi aile hekiminizi arayın.
İşgünlerinde 17.00'den sonra ve hafta sonu yerel huisartsenpost'u arayın; Eindhoven, Helmond veya Geldrop'ta oturuyorsanız Centrale Huisartsenpost'tur.
Acil servise gelince önce masada kayıt olun; kimlik, sigorta kartı ve varsa sevk mektubunu verin.
Triyaj hemşiresinin değerlendirmesini bekleyin; kan tahlili gerekirse bekleme en az bir saat sürer.</t>
        </is>
      </c>
      <c r="P264" s="29" t="inlineStr">
        <is>
          <t>Kimlik belgesi
Sigorta kartı
Varsa aile hekiminin sevk mektubu</t>
        </is>
      </c>
      <c r="Q264" s="29" t="inlineStr">
        <is>
          <t>Günün 24 saati</t>
        </is>
      </c>
      <c r="R264" s="29" t="n"/>
      <c r="S264" s="29" t="inlineStr">
        <is>
          <t>Kayıtta şunlar sorulur: son iki ayda yurt dışında hastaneye yatıp yatmadığınız, yurt dışında acil yardım alıp almadığınız, meslek gereği canlı domuz veya besi danasıyla temas edip etmediğiniz ve bu hayvanların bulunduğu bir çiftlikte yaşayıp yaşamadığınız; bu MRSA bakterisi nedeniyle yapılır. Veldhoven'daki huisartsenpost (SHoKo) ve acil servis hastaları acil ilaçlarını her gün 20.00'den sonra, hafta sonu ve resmi tatillerde ilaç robotundan alabilir; alamayacak durumdaysanız ilaç Eindhoven'daki nöbetçi eczaneden eve getirilebilir.</t>
        </is>
      </c>
      <c r="T264" s="29" t="n"/>
    </row>
    <row r="265" ht="54" customHeight="1">
      <c r="A265" s="29" t="inlineStr">
        <is>
          <t>eindhoven:acil-durumda-kime-basvurulur</t>
        </is>
      </c>
      <c r="B265" s="29" t="inlineStr">
        <is>
          <t>eindhoven</t>
        </is>
      </c>
      <c r="C265" s="29" t="inlineStr">
        <is>
          <t>acil-durumda-kime-basvurulur</t>
        </is>
      </c>
      <c r="D265" s="29" t="inlineStr">
        <is>
          <t>Acil durumda 112, aile hekimi, huisartsenpost veya acil servis: hangisi?</t>
        </is>
      </c>
      <c r="E265" s="29" t="inlineStr">
        <is>
          <t>Duruma göre doğru kapı</t>
        </is>
      </c>
      <c r="F265" s="29" t="inlineStr">
        <is>
          <t>Hayati tehlike varsa her zaman 112'yi arayın. Hayati tehlike yoksa işgünlerinde 8.00-17.00 arası kendi huisarts'ınızı, akşam, gece, hafta sonu ve resmi tatillerde huisartsenpost'u arayın. Acil servise (SEH) kendiliğinden değil, aile hekimi veya huisartsenpost sevk ettiğinde ya da ambulansla gidilir. Ne yapacağınıza karar veremiyorsanız önce aile hekiminizi veya huisartsenpost'u arayın.</t>
        </is>
      </c>
      <c r="G265" s="29" t="inlineStr">
        <is>
          <t>acil durum, 112, huisartsenpost, SEH, spoedeisende hulp, ambulans, aile hekimi, ne zaman aranır</t>
        </is>
      </c>
      <c r="H265" s="29" t="inlineStr">
        <is>
          <t>before;new;settled</t>
        </is>
      </c>
      <c r="I265" s="29" t="inlineStr">
        <is>
          <t>eindhoven:kaynak:110;eindhoven:kaynak:111;eindhoven:kaynak:107</t>
        </is>
      </c>
      <c r="J265" s="49" t="n">
        <v>46317</v>
      </c>
      <c r="K265" s="51" t="n">
        <v>718</v>
      </c>
      <c r="L265" s="29" t="inlineStr">
        <is>
          <t>Hayır</t>
        </is>
      </c>
      <c r="M265" s="29" t="inlineStr">
        <is>
          <t>Taslak</t>
        </is>
      </c>
      <c r="N265" s="29" t="inlineStr">
        <is>
          <t>eindhoven:saglik</t>
        </is>
      </c>
      <c r="O265" s="29" t="inlineStr">
        <is>
          <t>Hayatınız tehlikedeyse hemen 112'yi arayın.
Hayati tehlike yoksa işgünlerinde 8.00-17.00 arası kendi huisarts'ınızı arayın.
Akşam, gece, hafta sonu veya resmi tatilde Huisartsenpost Oost-Brabant'ı arayın.
Hekimin sizi acil servise (SEH) yönlendirip yönlendirmediğini ona sorun; kendiliğinden SEH'e gitmeyin.</t>
        </is>
      </c>
      <c r="P265" s="29" t="n"/>
      <c r="Q265" s="29" t="n"/>
      <c r="R265" s="29" t="n"/>
      <c r="S265" s="29" t="inlineStr">
        <is>
          <t>Huisartsenpost'un acil saydığı örnekler: yüksek ateşi olan, idrar yapmayan veya zor uyanan çocuk; kronik hastalığı birden ağırlaşan kişi; nefes darlığından yürüyemeyen ya da konuşamayan kişi.</t>
        </is>
      </c>
      <c r="T265" s="29" t="inlineStr">
        <is>
          <t>{"kind":"steps","title":"Hangi kapı?","note":"Şematik","items":[{"key":"1","title":"Hayati tehlike","text":"Hemen 112."},{"key":"2","title":"Mesai saati, tehlike yok","text":"İşgünü 8.00-17.00: kendi huisarts."},{"key":"3","title":"Akşam, gece, hafta sonu","text":"Huisartsenpost Oost-Brabant."},{"key":"4","title":"Acil servis (SEH)","text":"Yalnız hekim sevkiyle veya ambulansla."}]}</t>
        </is>
      </c>
    </row>
    <row r="266" ht="54" customHeight="1">
      <c r="A266" s="29" t="inlineStr">
        <is>
          <t>eindhoven:112-ne-zaman-aranir</t>
        </is>
      </c>
      <c r="B266" s="29" t="inlineStr">
        <is>
          <t>eindhoven</t>
        </is>
      </c>
      <c r="C266" s="29" t="inlineStr">
        <is>
          <t>112-ne-zaman-aranir</t>
        </is>
      </c>
      <c r="D266" s="29" t="inlineStr">
        <is>
          <t>112 ne zaman aranır, polisin acil olmayan hattı 0900-8844 ne zaman?</t>
        </is>
      </c>
      <c r="E266" s="29" t="inlineStr">
        <is>
          <t>Acil ile acil olmayan yardım arasındaki fark</t>
        </is>
      </c>
      <c r="F266" s="29" t="inlineStr">
        <is>
          <t>112, hayatınız doğrudan tehlikedeyse, biri ağır yaralanıp hemen tıbbi yardıma ihtiyaç duyuyorsa ya da ağır bir suça (darp, cinayet, soygun veya zorla girme, yani break-in) tanık olduysanız aranır. Aradığınızda ne olduğunu, ne tür yardım gerektiğini ve polis, itfaiye veya ambulanstan hangisinin gerektiğini söylersiniz; operatör sizi bölgenizdeki ilgili servise bağlar. Acil olmayan ama polise ihtiyaç duyduğunuz durumlarda 0900-8844'ü arayın: 7 gün 24 saat ulaşılır, dakikası 2 cent artı olağan arama ücreti.</t>
        </is>
      </c>
      <c r="G266" s="29" t="inlineStr">
        <is>
          <t>112, acil numara, ambulans, polis, 0900-8844, itfaiye, acil olmayan polis</t>
        </is>
      </c>
      <c r="H266" s="29" t="inlineStr">
        <is>
          <t>before;new;settled</t>
        </is>
      </c>
      <c r="I266" s="29" t="inlineStr">
        <is>
          <t>eindhoven:kaynak:116;eindhoven:kaynak:117</t>
        </is>
      </c>
      <c r="J266" s="49" t="n">
        <v>46317</v>
      </c>
      <c r="K266" s="51" t="n">
        <v>719</v>
      </c>
      <c r="L266" s="29" t="inlineStr">
        <is>
          <t>Hayır</t>
        </is>
      </c>
      <c r="M266" s="29" t="inlineStr">
        <is>
          <t>Taslak</t>
        </is>
      </c>
      <c r="N266" s="29" t="inlineStr">
        <is>
          <t>eindhoven:saglik</t>
        </is>
      </c>
      <c r="O266" s="29" t="inlineStr">
        <is>
          <t>Hayatınız doğrudan tehlikedeyse, biri ağır yaralandıysa veya ağır bir suça tanık olduysanız 112'yi arayın.
Operatöre ne olduğunu, hangi yardımın gerektiğini ve polis, itfaiye veya ambulanstan hangisinin gerektiğini söyleyin.
Acil değil ama polise ihtiyacınız varsa 0900-8844'ü arayın.</t>
        </is>
      </c>
      <c r="P266" s="29" t="n"/>
      <c r="Q266" s="29" t="inlineStr">
        <is>
          <t>0900-8844: 7 gün, günün 24 saati</t>
        </is>
      </c>
      <c r="R266" s="29" t="inlineStr">
        <is>
          <t>0900-8844: dakikası 2 cent artı olağan arama ücreti</t>
        </is>
      </c>
      <c r="S266" s="29" t="inlineStr">
        <is>
          <t>Örnekler: aracınız sadece çizildiyse veya hırsızlar evden gittikten sonra hırsızlığı fark ettiyseniz acil değildir, 0900-8844'ü arayın. Biri sizi tehdit ediyorsa ya da kapınızı kırmaya çalışıyorsa 112'yi arayın.</t>
        </is>
      </c>
      <c r="T266" s="29" t="n"/>
    </row>
    <row r="267" ht="54" customHeight="1">
      <c r="A267" s="29" t="inlineStr">
        <is>
          <t>eindhoven:cinsel-siddet-merkezi-catharina</t>
        </is>
      </c>
      <c r="B267" s="29" t="inlineStr">
        <is>
          <t>eindhoven</t>
        </is>
      </c>
      <c r="C267" s="29" t="inlineStr">
        <is>
          <t>cinsel-siddet-merkezi-catharina</t>
        </is>
      </c>
      <c r="D267" s="29" t="inlineStr">
        <is>
          <t>Cinsel şiddet mağdurları için acil yardım: Centrum Seksueel Geweld (Catharina)</t>
        </is>
      </c>
      <c r="E267" s="29" t="inlineStr">
        <is>
          <t>Acil tıbbi ve psikolojik destek</t>
        </is>
      </c>
      <c r="F267" s="29" t="inlineStr">
        <is>
          <t>Centrum Seksueel Geweld, cinsel şiddet mağdurlarına acil tıbbi ve psikolojik yardım sunar. Şiddetin üzerinden 7 günden az geçtiyse mağdur Catharina Ziekenhuis'te karşılanır; muayene ve yardım kuruluşlarıyla temas sakin ve güvenli bir ortamda yapılır. Catharina Ziekenhuis'in acil servis sayfasındaki Centrum Seksueel Geweld bölümü, iletişim bilgileri ve ayrıntılar için bir web sitesine yönlendirir.</t>
        </is>
      </c>
      <c r="G267" s="29" t="inlineStr">
        <is>
          <t>cinsel şiddet, tecavüz, Centrum Seksueel Geweld, Catharina Ziekenhuis, acil yardım, mağdur</t>
        </is>
      </c>
      <c r="H267" s="29" t="inlineStr">
        <is>
          <t>new;settled</t>
        </is>
      </c>
      <c r="I267" s="29" t="inlineStr">
        <is>
          <t>eindhoven:kaynak:110</t>
        </is>
      </c>
      <c r="J267" s="49" t="n">
        <v>46317</v>
      </c>
      <c r="K267" s="51" t="n">
        <v>720</v>
      </c>
      <c r="L267" s="29" t="inlineStr">
        <is>
          <t>Hayır</t>
        </is>
      </c>
      <c r="M267" s="29" t="inlineStr">
        <is>
          <t>Taslak</t>
        </is>
      </c>
      <c r="N267" s="29" t="inlineStr">
        <is>
          <t>eindhoven:saglik</t>
        </is>
      </c>
      <c r="O267" s="29" t="inlineStr">
        <is>
          <t>Şiddetin üzerinden 7 günden az geçtiyse Catharina Ziekenhuis'te karşılanacağınızı bilin.
Hayati tehlike varsa 112'yi arayın.
İletişim bilgileri için Catharina Ziekenhuis'in acil servis (Spoedeisende Hulp) sayfasındaki Centrum Seksueel Geweld bölümünde verilen web sitesi bağlantısını açın.</t>
        </is>
      </c>
      <c r="P267" s="29" t="n"/>
      <c r="Q267" s="29" t="inlineStr">
        <is>
          <t>Şiddet 7 günden az önce yaşandıysa</t>
        </is>
      </c>
      <c r="R267" s="29" t="n"/>
      <c r="S267" s="29" t="n"/>
      <c r="T267" s="29" t="n"/>
    </row>
    <row r="268" ht="54" customHeight="1">
      <c r="A268" s="29" t="inlineStr">
        <is>
          <t>eindhoven:verloskundige-hamilelik-bakimi</t>
        </is>
      </c>
      <c r="B268" s="29" t="inlineStr">
        <is>
          <t>eindhoven</t>
        </is>
      </c>
      <c r="C268" s="29" t="inlineStr">
        <is>
          <t>verloskundige-hamilelik-bakimi</t>
        </is>
      </c>
      <c r="D268" s="29" t="inlineStr">
        <is>
          <t>Hamilelikte verloskundige bakımı nasıl işler, ne kadar öderim?</t>
        </is>
      </c>
      <c r="E268" s="29" t="inlineStr">
        <is>
          <t>İlk randevu 7.-10. hafta; doğum yerine göre eigen bijdrage</t>
        </is>
      </c>
      <c r="F268" s="29" t="inlineStr">
        <is>
          <t>Hamile olan herkes verloskundige bakımı (verloskundige zorg) hakkına sahiptir; bu bakım temel paketten karşılanır. İlk randevu çoğunlukla hamileliğin yedinci ile onuncu haftası arasında bir verloskundige ile olur; tıbbi gerekçe (medische indicatie) varsa verloskundige sizi jinekoloğa yönlendirir. Verloskundige bakımı ve prenatal tarama testleri zorunlu eigen risico'ya sayılmaz. Evde doğumda ve tıbbi gerekçeli hastane doğumunda eigen bijdrage yoktur; tıbbi gerekçe olmadan hastane veya doğum merkezinde doğarsanız (poliklinische bevalling) bir bebek için günde 45 euro eigen bijdrage ödersiniz.</t>
        </is>
      </c>
      <c r="G268" s="29" t="inlineStr">
        <is>
          <t>verloskundige, ebe, hamilelik, prenatal tarama, NIPT, doğum merkezi, medische indicatie, eigen bijdrage</t>
        </is>
      </c>
      <c r="H268" s="29" t="inlineStr">
        <is>
          <t>new;settled</t>
        </is>
      </c>
      <c r="I268" s="29" t="inlineStr">
        <is>
          <t>eindhoven:kaynak:216</t>
        </is>
      </c>
      <c r="J268" s="49" t="n">
        <v>46317</v>
      </c>
      <c r="K268" s="51" t="n">
        <v>721</v>
      </c>
      <c r="L268" s="29" t="inlineStr">
        <is>
          <t>Hayır</t>
        </is>
      </c>
      <c r="M268" s="29" t="inlineStr">
        <is>
          <t>Taslak</t>
        </is>
      </c>
      <c r="N268" s="29" t="inlineStr">
        <is>
          <t>eindhoven:saglik</t>
        </is>
      </c>
      <c r="O268" s="29" t="inlineStr">
        <is>
          <t>Hamile olduğunuzu öğrenince bir verloskundige ile iletişime geçin; ilk randevu çoğunlukla 7. ile 10. hafta arasında olur.
Verloskundige ile doğum planınızı, kraambureau'ya kaydınızı ve doğum yeri seçeneklerini konuşun.
Prenatal taramaya katılıp katılmayacağınıza verloskundigenin danışmanlığından sonra kendiniz karar verin; bu testleri yaptırmak zorunda değilsiniz.
Evde mi, hastanede mi doğuracağınıza karar verin; tıbbi gerekçe olmadan hastane veya doğum merkezi seçerseniz eigen bijdrage ödeyeceğinizi hesaba katın.
Tansiyon yüksekliği, önceki hamilelikte komplikasyon, bebekte anomali veya beklenenden farklı büyüme gibi durumlarda verloskundige sizi jinekoloğa yönlendirebilir; sorun geçince verloskundige bakımına dönersiniz.</t>
        </is>
      </c>
      <c r="P268" s="29" t="n"/>
      <c r="Q268" s="29" t="inlineStr">
        <is>
          <t>İlk randevu çoğunlukla hamileliğin 7.-10. haftasında; tüm hamilelere 10-14. haftada termijnecho, 13. haftada ve yaklaşık 20. haftada ultrason sunulur</t>
        </is>
      </c>
      <c r="R268" s="29" t="inlineStr">
        <is>
          <t>Tıbbi gerekçesiz hastane veya doğum merkezi doğumu: eigen bijdrage anne için 22,50 euro ve her bebek için 22,50 euro (bir bebekte günde 45 euro). Sigorta şirketi anne için en çok 161,50 euro ve bebek için en çok 161,50 euro öder (bir bebekte 323 euro; eigen bijdrage düşülünce 278 euro); hastane veya doğum merkezi bunun üstünde ücret isterse farkı siz ödersiniz. Evde doğumda, tıbbi gerekçeli hastane doğumunda, poliklinik doğumda lachgas kullanırsanız ve prenatal tarama testlerinde eigen bijdrage yoktur.</t>
        </is>
      </c>
      <c r="S268" s="29" t="inlineStr">
        <is>
          <t>Eigen risico hamilelik ve doğumla ilgili masraflarda ve doğumdan sonraki 6 hafta içinde doğumla ilgili tedavilerde alınmaz; ilaç, hastaneye ulaşım ve kan tahlili gibi doğrudan hamilelik veya doğumla ilgili olmayan masraflarda ise eigen risico ödersiniz. Tıbbi gerekçesiz, eğlence amaçlı ultrason (pretecho; örneğin cinsiyet veya 3D/4D görüntü) karşılanmaz, diğer ultrasonların çoğu karşılanır.</t>
        </is>
      </c>
      <c r="T268" s="29" t="n"/>
    </row>
    <row r="269" ht="54" customHeight="1">
      <c r="A269" s="29" t="inlineStr">
        <is>
          <t>eindhoven:kraamzorg-saat-ve-eigen-bijdrage</t>
        </is>
      </c>
      <c r="B269" s="29" t="inlineStr">
        <is>
          <t>eindhoven</t>
        </is>
      </c>
      <c r="C269" s="29" t="inlineStr">
        <is>
          <t>kraamzorg-saat-ve-eigen-bijdrage</t>
        </is>
      </c>
      <c r="D269" s="29" t="inlineStr">
        <is>
          <t>Kraamzorg (doğum sonrası bakım) nasıl ayarlanır, kaç saat ve ne kadar?</t>
        </is>
      </c>
      <c r="E269" s="29" t="inlineStr">
        <is>
          <t>Kayıt 12. haftadan, 24-80 saat, evde saat başına 5,70 euro</t>
        </is>
      </c>
      <c r="F269" s="29" t="inlineStr">
        <is>
          <t>Hamile olan herkes doğum sırasında ve sonrasında kraamzorg hakkına sahiptir; kraamzorg temel paketten karşılanır ve zorunlu eigen risico'ya sayılmaz. Kraamzorg organizasyonlarının çoğuna hamileliğin on ikinci haftasından itibaren kayıt olunur; doğumdan yaklaşık 2 ay önce kraamverzorgende ile ilk intake görüşmesi yapılır. Doğumdan hemen sonra kraamverzorgende ve verloskundige toplam saati belirler: en az 24, en çok 80 saat; bakım genelde doğumdan sonraki sekizinci güne, bazı durumlarda onuncu güne kadar sürer. Evde kraamzorg için 2026'da saat başına 5,70 euro eigen bijdrage ödersiniz; hastanede kraamzorg için eigen bijdrage yoktur.</t>
        </is>
      </c>
      <c r="G269" s="29" t="inlineStr">
        <is>
          <t>kraamzorg, kraamverzorgende, doğum sonrası bakım, eigen bijdrage, 5,70 euro, intake, doğum merkezi</t>
        </is>
      </c>
      <c r="H269" s="29" t="inlineStr">
        <is>
          <t>new;settled</t>
        </is>
      </c>
      <c r="I269" s="29" t="inlineStr">
        <is>
          <t>eindhoven:kaynak:217</t>
        </is>
      </c>
      <c r="J269" s="49" t="n">
        <v>46317</v>
      </c>
      <c r="K269" s="51" t="n">
        <v>722</v>
      </c>
      <c r="L269" s="29" t="inlineStr">
        <is>
          <t>Hayır</t>
        </is>
      </c>
      <c r="M269" s="29" t="inlineStr">
        <is>
          <t>Taslak</t>
        </is>
      </c>
      <c r="N269" s="29" t="inlineStr">
        <is>
          <t>eindhoven:saglik</t>
        </is>
      </c>
      <c r="O269" s="29" t="inlineStr">
        <is>
          <t>Bir kraamzorg organizasyonuna kayıt olun; çoğu organizasyon bunu hamileliğin 12. haftasından itibaren kabul eder, organizasyonu kendiniz seçersiniz.
Sigorta şirketinizin hangi organizasyonlarla sözleşmesi olduğunu öğrenin; bu, alacağınız ödemeyi etkileyebilir.
Doğumdan yaklaşık 2 ay önce kraamverzorgende ile intake görüşmesine katılın; hak kazandığınız tahmini saat sayısını söyler.
Doğumdan hemen sonra kraamverzorgende ve verloskundige ile kesin saat sayısını belirleyin (24-80 saat).
Tıbbi gerekçesiz bir kraam veya doğum merkezi seçerseniz merkezin ücretini ve ek masrafları da ödeyeceğinizi hesaba katın.</t>
        </is>
      </c>
      <c r="P269" s="29" t="n"/>
      <c r="Q269" s="29" t="inlineStr">
        <is>
          <t>Kayıt: çoğu organizasyonda 12. haftadan; intake: doğumdan yaklaşık 2 ay önce; bakım: doğumdan sonra genelde 8. güne, bazen 10. güne kadar</t>
        </is>
      </c>
      <c r="R269" s="29" t="inlineStr">
        <is>
          <t>Evde kraamzorg: 2026'da saat başına 5,70 euro eigen bijdrage. Hastanede kraamzorgda ve doğum sırasında verloskundige'ye destekte (partusassistentie, plasentanın doğumundan sonraki 2 saate kadar) eigen bijdrage yok. Tıbbi gerekçesiz kraam veya doğum merkezi: saat başına 5,70 euro artı merkezin istediği ücret ve verbandmateriaal gibi ek masraflar.</t>
        </is>
      </c>
      <c r="S269" s="29" t="inlineStr">
        <is>
          <t>Yasaya göre anne ve çocuk doğumdan sonra 6 haftaya kadar kraamzorg hakkına sahiptir, ama uygulamada bakım genelde 8. güne kadar verilir. Kraamverzorgende sayısı yetersizse başta belirlenenden daha az saat alabilirsiniz. Ek sigortanız varsa eigen bijdrage'nin bir kısmı veya tamamı karşılanabilir.</t>
        </is>
      </c>
      <c r="T269" s="29" t="n"/>
    </row>
    <row r="270" ht="54" customHeight="1">
      <c r="A270" s="29" t="inlineStr">
        <is>
          <t>eindhoven:consultatiebureau-0-4-yas</t>
        </is>
      </c>
      <c r="B270" s="29" t="inlineStr">
        <is>
          <t>eindhoven</t>
        </is>
      </c>
      <c r="C270" s="29" t="inlineStr">
        <is>
          <t>consultatiebureau-0-4-yas</t>
        </is>
      </c>
      <c r="D270" s="29" t="inlineStr">
        <is>
          <t>Bebek ve çocuk sağlığı: consultatiebureau ve GGD gençlik sağlığı (0-4 yaş)</t>
        </is>
      </c>
      <c r="E270" s="29" t="inlineStr">
        <is>
          <t>Hielprik, işitme testi, ev ziyareti ve düzenli kontroller</t>
        </is>
      </c>
      <c r="F270" s="29" t="inlineStr">
        <is>
          <t>Çocuğunuzun ilk 4 yılında düzenli olarak consultatiebureau'ya gidersiniz; asistanlar, hemşireler, hemşire uzmanlar ve jeugdarts çocuğun bedensel ve ruhsal gelişimini izler, bilgi ve tavsiye verir, Rijksvaccinatieprogramma'ya göre aşı yapar. Doğumdan sonraki ilk hafta bir tarayıcı evinize gelip işitme testi ve hielprik (topuk kanı testi) yapar; katılım gönüllüdür. GGD Brabant-Zuidoost gençlik sağlığı (JGZ) doğumdan 18 yaşına kadar çocuğun gelişimini izler.</t>
        </is>
      </c>
      <c r="G270" s="29" t="inlineStr">
        <is>
          <t>consultatiebureau, hielprik, işitme testi, JGZ, GGD, bebek kontrolü, jeugdarts, kraamtijd</t>
        </is>
      </c>
      <c r="H270" s="29" t="inlineStr">
        <is>
          <t>new;settled</t>
        </is>
      </c>
      <c r="I270" s="29" t="inlineStr">
        <is>
          <t>eindhoven:kaynak:112;eindhoven:kaynak:113</t>
        </is>
      </c>
      <c r="J270" s="49" t="n">
        <v>46317</v>
      </c>
      <c r="K270" s="51" t="n">
        <v>723</v>
      </c>
      <c r="L270" s="29" t="inlineStr">
        <is>
          <t>Hayır</t>
        </is>
      </c>
      <c r="M270" s="29" t="inlineStr">
        <is>
          <t>Taslak</t>
        </is>
      </c>
      <c r="N270" s="29" t="inlineStr">
        <is>
          <t>eindhoven:saglik</t>
        </is>
      </c>
      <c r="O270" s="29" t="inlineStr">
        <is>
          <t>Doğumdan sonraki ilk hafta evinize gelen tarayıcıyla işitme testi ve hielprik yaptırın (gönüllü).
Kraamtijd'den sonraki hafta evinize gelen consultatiebureau hemşiresiyle tanışın ve sorularınızı sorun.
Hemşirenin yaklaşık 4. haftaya planladığı consultatiebureau randevusuna gidin.
İlk 4 yıl boyunca çocuğunuzla düzenli olarak consultatiebureau'yu ziyaret edin.
Görüşmelerde tercüman isteyin; kayıtsız (randevusuz) gelebileceğiniz inloop saatlerini de kullanabilirsiniz.</t>
        </is>
      </c>
      <c r="P270" s="29" t="n"/>
      <c r="Q270" s="29" t="inlineStr">
        <is>
          <t>Doğumdan sonraki ilk hafta: işitme testi ve hielprik; kraamtijd'den sonraki hafta: ev ziyareti; yaklaşık 4. hafta: ilk consultatiebureau randevusu</t>
        </is>
      </c>
      <c r="R270" s="29" t="n"/>
      <c r="S270" s="29" t="inlineStr">
        <is>
          <t>GGD'nin gençlik sağlığı hizmeti için Türkçe broşür vardır. Çocukla birlikte Hollanda nüfus kaydınızı bırakıp yurt dışına taşınırsanız JGZ durur ve bakım başka bir kuruma devredilmez.</t>
        </is>
      </c>
      <c r="T270" s="29" t="n"/>
    </row>
    <row r="271" ht="54" customHeight="1">
      <c r="A271" s="29" t="inlineStr">
        <is>
          <t>eindhoven:cocuk-asilari-rvp</t>
        </is>
      </c>
      <c r="B271" s="29" t="inlineStr">
        <is>
          <t>eindhoven</t>
        </is>
      </c>
      <c r="C271" s="29" t="inlineStr">
        <is>
          <t>cocuk-asilari-rvp</t>
        </is>
      </c>
      <c r="D271" s="29" t="inlineStr">
        <is>
          <t>Çocuk aşıları: Rijksvaccinatieprogramma (RVP) nasıl işler?</t>
        </is>
      </c>
      <c r="E271" s="29" t="inlineStr">
        <is>
          <t>18. doğum gününe kadar ücretsiz</t>
        </is>
      </c>
      <c r="F271" s="29" t="inlineStr">
        <is>
          <t>Çocuklar 18. doğum gününe kadar aşıları Rijksvaccinatieprogramma (RVP) kapsamında ücretsiz alır. Aşılar consultatiebureau'da yapılır; GGD ayrıca ilkbahar ve sonbaharda grup aşı kampanyaları yürütür. Çocuğunuzun aşı kayıtlarını DigiD ile Mijn RIVM'de görürsünüz; çocukların kendi DigiD'si olmalı ve RIVM ile veri paylaşımına izin vermiş olmanız gerekir. Aşı takvimi 2025'ten itibaren değişti; doğum yılına göre takvim Rijksvaccinatieprogramma.nl'dedir.</t>
        </is>
      </c>
      <c r="G271" s="29" t="inlineStr">
        <is>
          <t>aşı, Rijksvaccinatieprogramma, RVP, çocuk aşısı, Mijn RIVM, DigiD, GGD, vaccinatie</t>
        </is>
      </c>
      <c r="H271" s="29" t="inlineStr">
        <is>
          <t>new;settled</t>
        </is>
      </c>
      <c r="I271" s="29" t="inlineStr">
        <is>
          <t>eindhoven:kaynak:114;eindhoven:kaynak:112</t>
        </is>
      </c>
      <c r="J271" s="49" t="n">
        <v>46317</v>
      </c>
      <c r="K271" s="51" t="n">
        <v>724</v>
      </c>
      <c r="L271" s="29" t="inlineStr">
        <is>
          <t>Hayır</t>
        </is>
      </c>
      <c r="M271" s="29" t="inlineStr">
        <is>
          <t>Taslak</t>
        </is>
      </c>
      <c r="N271" s="29" t="inlineStr">
        <is>
          <t>eindhoven:saglik</t>
        </is>
      </c>
      <c r="O271" s="29" t="inlineStr">
        <is>
          <t>Çocuğunuzun aşılarını consultatiebureau'da veya GGD'nin grup aşı kampanyasında yaptırın.
Aşı takvimini doğum yılına göre Rijksvaccinatieprogramma.nl'deki yeni takvimden (2025'ten itibaren) kontrol edin.
Aşı kayıtlarını Mijn RIVM'de DigiD ile görün; çocuğunuzun kendi DigiD'si olması gerekir.
12 ile 16 yaş arasındaki gençler için hem gencin hem ebeveynin izin vermesi gerektiğini bilin.</t>
        </is>
      </c>
      <c r="P271" s="29" t="inlineStr">
        <is>
          <t>DigiD (çocuk için ayrı DigiD)</t>
        </is>
      </c>
      <c r="Q271" s="29" t="inlineStr">
        <is>
          <t>2026 sonbahar grup aşı turu sona erdi</t>
        </is>
      </c>
      <c r="R271" s="29" t="inlineStr">
        <is>
          <t>18. doğum gününe kadar ücretsiz</t>
        </is>
      </c>
      <c r="S271" s="29" t="inlineStr">
        <is>
          <t>Mijn RIVM'de kayıtları görebilmeniz için RIVM ile aşı verilerinin paylaşılmasına izin vermiş olmanız gerekir. Hollanda nüfus kaydında (BRP) kayıtlı olmayan çocuklar RVP kapsamına girmez; örneğin Almanya veya Belçika'da oturup Hollanda'da okula giden çocuklar için oturdukları ülkenin aşı programı geçerlidir.</t>
        </is>
      </c>
      <c r="T271" s="29" t="n"/>
    </row>
    <row r="272" ht="54" customHeight="1">
      <c r="A272" s="29" t="inlineStr">
        <is>
          <t>eindhoven:kacirilan-asi-ve-tereddut</t>
        </is>
      </c>
      <c r="B272" s="29" t="inlineStr">
        <is>
          <t>eindhoven</t>
        </is>
      </c>
      <c r="C272" s="29" t="inlineStr">
        <is>
          <t>kacirilan-asi-ve-tereddut</t>
        </is>
      </c>
      <c r="D272" s="29" t="inlineStr">
        <is>
          <t>Kaçırılan veya tereddüt edilen çocuk aşısı: ne yapılır, kime sorulur?</t>
        </is>
      </c>
      <c r="E272" s="29" t="inlineStr">
        <is>
          <t>Yeniden kayıt, hatırlatma ve Türkçe danışma günü</t>
        </is>
      </c>
      <c r="F272" s="29" t="inlineStr">
        <is>
          <t>Grup aşı kampanyası sürerken kaçırılan aşı için inloop günlerine gidebilirsiniz; kampanya bittiyse çocuğunuz yıl içinde bir kez hatırlatma alır. Hatırlatmayı da kaçırdıysanız ya da aşıyı ertelemeyi seçip sonradan yaptırmak istiyorsanız Rijksvaccinatieprogramma için yeniden kayıt olursunuz; 18. doğum gününe kadar aşı ücretsizdir. Aşılar konusunda tereddütleriniz için ulusal Twijfeltelefoon 088 7 555 777'yi arayın: Pazartesi-Cuma 8:30-13:00, Hollandaca veya İngilizce; çarşambaları Türkçe.</t>
        </is>
      </c>
      <c r="G272" s="29" t="inlineStr">
        <is>
          <t>kaçırılan aşı, Twijfeltelefoon, aşı tereddüt, Türkçe aşı danışma, GGD, RIVM, yeniden kayıt</t>
        </is>
      </c>
      <c r="H272" s="29" t="inlineStr">
        <is>
          <t>new;settled</t>
        </is>
      </c>
      <c r="I272" s="29" t="inlineStr">
        <is>
          <t>eindhoven:kaynak:114</t>
        </is>
      </c>
      <c r="J272" s="49" t="n">
        <v>46317</v>
      </c>
      <c r="K272" s="51" t="n">
        <v>725</v>
      </c>
      <c r="L272" s="29" t="inlineStr">
        <is>
          <t>Hayır</t>
        </is>
      </c>
      <c r="M272" s="29" t="inlineStr">
        <is>
          <t>Taslak</t>
        </is>
      </c>
      <c r="N272" s="29" t="inlineStr">
        <is>
          <t>eindhoven:saglik</t>
        </is>
      </c>
      <c r="O272" s="29" t="inlineStr">
        <is>
          <t>Kampanya sürüyorsa kaçırılan aşı için inloop günlerinden birine gidin.
Kampanya bittiyse yıl içinde gelecek tek seferlik hatırlatmayı bekleyin.
Hatırlatmayı da kaçırdıysanız veya aşıyı ertelemiştiyseniz Rijksvaccinatieprogramma için yeniden kayıt olun.
Aşı konusunda tereddütleriniz varsa Twijfeltelefoon'u arayın; çarşamba günleri Türkçe hizmet verilir.
Aşıyı olmuşsanız ama hatırlatma aldıysanız GGD'yi 088 0031 400 numarasından arayarak izin kaydını düzelttirin.</t>
        </is>
      </c>
      <c r="P272" s="29" t="n"/>
      <c r="Q272" s="29" t="inlineStr">
        <is>
          <t>Twijfeltelefoon: Pazartesi-Cuma 8:30-13:00; çarşamba Türkçe, cuma Arapça</t>
        </is>
      </c>
      <c r="R272" s="29" t="inlineStr">
        <is>
          <t>18. doğum gününe kadar ücretsiz</t>
        </is>
      </c>
      <c r="S272" s="29" t="inlineStr">
        <is>
          <t>Sorularınızı GGD'ye ayrıca iletebilirsiniz: telefon 088 0031 400, WhatsApp 06 14 45 92 03. GGD'nin Woensel lokasyonundaki Infobalie vaccineren çarşamba sabahları ve perşembe öğleden sonraları açıktır.</t>
        </is>
      </c>
      <c r="T272" s="29" t="n"/>
    </row>
    <row r="273" ht="54" customHeight="1">
      <c r="A273" s="29" t="inlineStr">
        <is>
          <t>eindhoven:ruh-sagligi-destek-yollari</t>
        </is>
      </c>
      <c r="B273" s="29" t="inlineStr">
        <is>
          <t>eindhoven</t>
        </is>
      </c>
      <c r="C273" s="29" t="inlineStr">
        <is>
          <t>ruh-sagligi-destek-yollari</t>
        </is>
      </c>
      <c r="D273" s="29" t="inlineStr">
        <is>
          <t>Ruh sağlığı sorunlarında ilk adım: aile hekimi, çevrimiçi destek ve kriz durumu</t>
        </is>
      </c>
      <c r="E273" s="29" t="inlineStr">
        <is>
          <t>Hafif sorundan akut krize kadar yol haritası; intihar düşüncesinde 113</t>
        </is>
      </c>
      <c r="F273" s="29" t="inlineStr">
        <is>
          <t>Ruh sağlığı sorunlarında ilk adım çoğunlukla aile hekimi (veya şirket hekimi) olur. Hafif sorunları aile hekimi, çoğu zaman muayenehanesindeki ruh sağlığı çalışanıyla birlikte tedavi eder ve çevrimiçi destek (e-health) sunabilir; çevrimiçi destek isterseniz anonim de alınabilir. Sorun karmaşıksa hekim sizi hafif-orta sorunlara bakan birincil ruh sağlığı bakımına ya da ADHD, anksiyete bozukluğu, TSSB gibi ağır ve karmaşık bozukluklar için ikincil bakıma yönlendirir. Akut krizde hemen aile hekiminizi arayın; gerekirse yerel kriz ekibini (7/24) o devreye sokar. İntihar düşünceleriniz varsa 113 Zelfmoordpreventie'yi arayın: 113 (normal arama ücreti), ücretsiz 0800-0113 veya sohbet; günün 24 saati, anonim ve gizli.</t>
        </is>
      </c>
      <c r="G273" s="29" t="inlineStr">
        <is>
          <t>ruh sağlığı, ggz, 113 intihar hattı, anksiyete, e-health, kriz, jeugd-GGZ, aile hekimi</t>
        </is>
      </c>
      <c r="H273" s="29" t="inlineStr">
        <is>
          <t>new;settled</t>
        </is>
      </c>
      <c r="I273" s="29" t="inlineStr">
        <is>
          <t>eindhoven:kaynak:115;eindhoven:kaynak:210</t>
        </is>
      </c>
      <c r="J273" s="49" t="n">
        <v>46317</v>
      </c>
      <c r="K273" s="51" t="n">
        <v>726</v>
      </c>
      <c r="L273" s="29" t="inlineStr">
        <is>
          <t>Hayır</t>
        </is>
      </c>
      <c r="M273" s="29" t="inlineStr">
        <is>
          <t>Taslak</t>
        </is>
      </c>
      <c r="N273" s="29" t="inlineStr">
        <is>
          <t>eindhoven:saglik</t>
        </is>
      </c>
      <c r="O273" s="29" t="inlineStr">
        <is>
          <t>Hafif sorunlarda aile hekiminize veya şirket hekiminize gidin; çevrimiçi destek (e-health) isteyebilirsiniz.
Sorununuzun bedensel olmadığından eminseniz community welfare worker ile görüşebilirsiniz; bunlar çoğunlukla sağlık merkezlerinde, mahalle merkezlerinde veya aile hekimi muayenehanesinde bulunur.
Aile hekiminin sevkiyle birincil veya ikincil ruh sağlığı bakımına geçin.
Akut krizde (panik atak, intihar davranışı vb.) hemen aile hekiminizi arayın.
İntihar düşünceleriniz varsa 113'ü (ücretsiz 0800-0113) arayın veya 113.nl üzerinden sohbet edin; hat günün 24 saati açıktır.
18 yaşın altındaki çocuklar için jeugd-GGZ'ye başvurmadan önce aile hekiminden ya da belediye adına çalışan bir uzmandan sevk alın.</t>
        </is>
      </c>
      <c r="P273" s="29" t="inlineStr">
        <is>
          <t>Sevk (aile hekimi, şirket hekimi, çocuk doktoru veya belediye uzmanı)</t>
        </is>
      </c>
      <c r="Q273" s="29" t="inlineStr">
        <is>
          <t>113 hattı: günün 24 saati</t>
        </is>
      </c>
      <c r="R273" s="29" t="inlineStr">
        <is>
          <t>Sigorta, birincil ve ikincil ruh sağlığı bakımının masraflarını tamamen ya da kısmen öder; koşullar sigortacıya ve poliçeye bağlıdır.</t>
        </is>
      </c>
      <c r="S273" s="29" t="inlineStr">
        <is>
          <t>Ruh sağlığı kurumuna yatış gerekirse sigortanız en azından ilk üç yılı karşılar (Wlz). Korumalı konut belediye tarafından düzenlenir (Wmo 2015).</t>
        </is>
      </c>
      <c r="T273" s="29" t="n"/>
    </row>
    <row r="274" ht="54" customHeight="1">
      <c r="A274" s="29" t="inlineStr">
        <is>
          <t>eindhoven:ehliyet-degisimi-eindhoven</t>
        </is>
      </c>
      <c r="B274" s="29" t="inlineStr">
        <is>
          <t>eindhoven</t>
        </is>
      </c>
      <c r="C274" s="29" t="inlineStr">
        <is>
          <t>ehliyet-degisimi-eindhoven</t>
        </is>
      </c>
      <c r="D274" s="29" t="inlineStr">
        <is>
          <t>Yabancı ehliyet Eindhoven'da Hollanda ehliyetiyle nasıl değiştirilir?</t>
        </is>
      </c>
      <c r="E274" s="29" t="inlineStr">
        <is>
          <t>Inwonersplein'da şahsen başvuru, 53,65 euro, ehliyeti belediyeden kendin alırsın</t>
        </is>
      </c>
      <c r="F274" s="29" t="inlineStr">
        <is>
          <t>Yabancı ehliyetini Hollanda ehliyetiyle (rijbewijs) değiştirmek için Eindhoven'da Inwonersplein'a şahsen gidersin; randevuyu online ya da 14 040 numarasından alırsın. AB/EFTA ehliyeti değiştirilebilir (süresi dolmuş olsa bile); AB/EFTA dışı ehliyet ancak RDW'nin anlaşmalı ülke listesindeyse ya da uzman şeması sana uygulanıyorsa değiştirilebilir. Normal başvurunun ücreti 53,65 euro, acil başvuru (spoedaanvraag) yapılamaz. AB/EFTA ehliyetinde yeni ehliyet genelde 2-4 haftada gelir; hazır olunca belediye mesaj atar ve randevusuz, mesai saatlerinde gidip alırsın.</t>
        </is>
      </c>
      <c r="G274" s="29" t="inlineStr">
        <is>
          <t>ehliyet değişimi, rijbewijs, omwisselen, Inwonersplein, RDW, yabancı ehliyet</t>
        </is>
      </c>
      <c r="H274" s="29" t="inlineStr">
        <is>
          <t>new;settled</t>
        </is>
      </c>
      <c r="I274" s="29" t="inlineStr">
        <is>
          <t>eindhoven:kaynak:150;eindhoven:kaynak:151</t>
        </is>
      </c>
      <c r="J274" s="49" t="n">
        <v>46317</v>
      </c>
      <c r="K274" s="51" t="n">
        <v>1001</v>
      </c>
      <c r="L274" s="29" t="inlineStr">
        <is>
          <t>Evet</t>
        </is>
      </c>
      <c r="M274" s="29" t="inlineStr">
        <is>
          <t>Taslak</t>
        </is>
      </c>
      <c r="N274" s="29" t="inlineStr">
        <is>
          <t>eindhoven:ulasim</t>
        </is>
      </c>
      <c r="O274" s="29" t="inlineStr">
        <is>
          <t>Eindhoven belediyesinden Inwonersplein için online ya da 14 040'ı arayarak randevu al.
BRP'de (nüfus kaydı) kayıtlı olduğunu ve geçerli oturum durumunu kontrol et; pasfoto, kimlik ve yabancı ehliyetini hazırla.
Ehliyetin AB/EFTA dışındansa CBR'den sağlık beyanı (Gezondheidsverklaring) iste; ayrıntısı 'Uzman şeması, 30% kuralı ve sağlık beyanı' kartında.
Randevuya şahsen git, başvuruyu yap ve ücreti öde.
Yabancı ehliyetini teslim et; RDW onu veren kuruma gönderir, sana geri verilmez.
Belediyeden mesaj gelince mesai saatlerinde randevusuz uğrayıp yeni ehliyetini kendin al.</t>
        </is>
      </c>
      <c r="P274" s="29" t="inlineStr">
        <is>
          <t>1 renkli pasfoto (6 aydan eski olmasın)
AB vatandaşıysan geçerli pasaport veya kimlik kartı
AB dışı vatandaşıysan oturum izni (verblijfsvergunning)
Geçerli yabancı ehliyetin; farklı yazı sistemindeyse (Çince, Rusça, Yunanca gibi) yeminli tercüman, büyükelçilik veya konsolosluk yapımı Hollandaca veya İngilizce çeviri
AB/EFTA dışı ehliyet için CBR'den sağlık beyanı (Gezondheidsverklaring)</t>
        </is>
      </c>
      <c r="Q274" s="29" t="inlineStr">
        <is>
          <t>AB/EFTA ehliyetinde genelde 2-4 hafta; RDW'ye göre her şey tamamsa 15 iş günü içinde mektup gelir ve 5 iş günü sonra belediyeden alınır</t>
        </is>
      </c>
      <c r="R274" s="29" t="inlineStr">
        <is>
          <t>53,65 euro (normal başvuru); acil başvuru yapılamaz</t>
        </is>
      </c>
      <c r="S274" s="29" t="inlineStr">
        <is>
          <t>AB/EFTA ehliyetinin süresi dolmuş olsa bile başvurabilirsin; AB/EFTA dışı süresi dolmuş ehliyet değiştirilemez. İzlanda, Liechtenstein veya İsviçre ehliyeti dolmuşsa veren kurumdan 'itirazım yok' beyanının aslı gerekir. AB/EFTA vatandaşı değilsen, yeni oturum izninin çıkmasını beklerken değişim yapılamaz. Başvuru sürerken belediye, ehliyetin elinde olmadığı için araç kullanmamanı söylüyor; RDW ise kullanıp kullanmamayı sana bırakıyor ve ceza riskini küçük ama mevcut sayıyor ('Ehliyet değişimi sürerken araç kullanabilir miyim?' kartına bak).</t>
        </is>
      </c>
      <c r="T274" s="29" t="n"/>
    </row>
    <row r="275" ht="54" customHeight="1">
      <c r="A275" s="29" t="inlineStr">
        <is>
          <t>eindhoven:turk-ehliyeti-degisim-durumu</t>
        </is>
      </c>
      <c r="B275" s="29" t="inlineStr">
        <is>
          <t>eindhoven</t>
        </is>
      </c>
      <c r="C275" s="29" t="inlineStr">
        <is>
          <t>turk-ehliyeti-degisim-durumu</t>
        </is>
      </c>
      <c r="D275" s="29" t="inlineStr">
        <is>
          <t>Türk ehliyeti Hollanda ehliyetiyle değiştirilebilir mi?</t>
        </is>
      </c>
      <c r="E275" s="29" t="inlineStr">
        <is>
          <t>RDW'nin değişim listesinde Türkiye adıyla geçmiyor; iki yol var: uzman şeması ve eski Hollanda ehliyeti</t>
        </is>
      </c>
      <c r="F275" s="29" t="inlineStr">
        <is>
          <t>RDW, AB/EFTA dışında ehliyeti değiştirilebilen ülkeleri bir listeyle sayıyor; bu listede Türkiye adıyla yer almıyor ve sayfada Türk ehliyeti için ayrı bir cümle de yok. RDW'nin genel kuralı: listede olmayan bir ülkenin ehliyeti varsa ve uzman şeması (expat scheme) sana uygulanmıyorsa, ehliyeti değiştiremezsin. Kuralın iki yolu var: Hollanda'ya çalışmaya gelen yüksek nitelikli göçmen (highly skilled migrant) olarak uzman şeması sana uygulanıyorsa her ülkenin ehliyetini değiştirebilirsin; 30 Haziran 1985'ten sonra geçerli olmuş bir Hollanda ehliyetin olduysa, listede olmayan ülkenin ehliyetini de değiştirebilir ve eski Hollanda ehliyetindeki kategorileri alırsın. RDW, AB/EFTA dışı bir ehliyetin değişimi için ayrıca ehliyeti aldığın yıl o ülkede 185 gün yaşamış olmanı da şart koşuyor. Değişim yapılamıyorsa CBR'de teori ve pratik sınavına girersin.</t>
        </is>
      </c>
      <c r="G275" s="29" t="inlineStr">
        <is>
          <t>Türk ehliyeti, ehliyet değişimi, Türkiye ehliyeti, rijbewijs, RDW, uzman şeması, CBR</t>
        </is>
      </c>
      <c r="H275" s="29" t="inlineStr">
        <is>
          <t>before;planning;new</t>
        </is>
      </c>
      <c r="I275" s="29" t="inlineStr">
        <is>
          <t>eindhoven:kaynak:151;eindhoven:kaynak:152</t>
        </is>
      </c>
      <c r="J275" s="49" t="n">
        <v>46317</v>
      </c>
      <c r="K275" s="51" t="n">
        <v>1002</v>
      </c>
      <c r="L275" s="29" t="inlineStr">
        <is>
          <t>Evet</t>
        </is>
      </c>
      <c r="M275" s="29" t="inlineStr">
        <is>
          <t>Taslak</t>
        </is>
      </c>
      <c r="N275" s="29" t="inlineStr">
        <is>
          <t>eindhoven:ulasim</t>
        </is>
      </c>
      <c r="O275" s="29" t="inlineStr">
        <is>
          <t>RDW'nin 'AB/EFTA dışında değiştirilebilen ehliyetler' listesine bak; Türkiye'nin adı orada geçmiyor.
Daha önce 30 Haziran 1985'ten sonra geçerli olmuş bir Hollanda ehliyetin olduysa belediyeye başvur; eski Hollanda ehliyetindeki kategorileri alırsın.
Hollanda'ya çalışmaya geldiysen uzman şemasının (expat scheme) sana uygulanıp uygulanmadığını kontrol et; uygulanıyorsa her ülkenin ehliyeti değiştirilebilir.
Hollanda'ya taşındıktan sonra ilk 185 gün Türk ehliyetiyle sürebileceğini hesaba kat; 185. günden sonra yalnız Hollanda ehliyetiyle sürebilirsin.
Değişim yapılamıyorsa Hollanda ehliyeti için CBR'de teori ve pratik sınavına gir.</t>
        </is>
      </c>
      <c r="P275" s="29" t="n"/>
      <c r="Q275" s="29" t="inlineStr">
        <is>
          <t>Yabancı (AB/EFTA dışı) ehliyetle sürüş: taşınmadan sonraki ilk 185 gün</t>
        </is>
      </c>
      <c r="R275" s="29" t="n"/>
      <c r="S275" s="29" t="inlineStr">
        <is>
          <t>RDW sayfasındaki cümle: 'Listede olmayan bir ülkenin ehliyeti varsa (örneğin Amerika) ve uzman şemasına başvurmuyorsan, değişim yapılamaz.' Türk ehliyeti için ayrı bir hüküm yok; yani RDW'nin kuralı olduğu gibi geçerli. Sayfada Türkiye yalnızca oturum koşulunda geçiyor: AB/EFTA vatandaşı olmayanlar için 'EEC/Türkiye Ortaklık Konseyi 1/80 sayılı Karar kapsamında Hollanda'da bulunmak' kabul edilen durumlardan biri.</t>
        </is>
      </c>
      <c r="T275" s="29" t="n"/>
    </row>
    <row r="276" ht="54" customHeight="1">
      <c r="A276" s="29" t="inlineStr">
        <is>
          <t>eindhoven:yabanci-ehliyetle-surus-suresi</t>
        </is>
      </c>
      <c r="B276" s="29" t="inlineStr">
        <is>
          <t>eindhoven</t>
        </is>
      </c>
      <c r="C276" s="29" t="inlineStr">
        <is>
          <t>yabanci-ehliyetle-surus-suresi</t>
        </is>
      </c>
      <c r="D276" s="29" t="inlineStr">
        <is>
          <t>Yabancı ehliyetle Hollanda'da ne kadar süre araç kullanılır?</t>
        </is>
      </c>
      <c r="E276" s="29" t="inlineStr">
        <is>
          <t>AB/EFTA ehliyeti geçerli kaldıkça 15 yıl, AB/EFTA dışı için ilk 185 gün</t>
        </is>
      </c>
      <c r="F276" s="29" t="inlineStr">
        <is>
          <t>Süre, ehliyeti veren ülkeye bağlı. AB/EFTA ehliyetiyle AM, A1, A2, A, B ve BE kategorilerinde ehliyetin verilişinden itibaren 15 yıl, C ve D grubu kategorilerde 5 yıl sürebilirsin; ama yalnız ehliyetin (ve o kategori) hâlâ geçerliyse: ehliyetinin süresi bundan önce biterse onunla süremezsin. Bu süre Hollanda'ya kayıt olduğun anda dolmuşsa ya da 2 yıldan az kalmışsa, kayıt tarihinden itibaren 2 yıl daha sürebilirsin; bu ek süre de ancak ehliyetin geçerliyse işler. AB/EFTA dışı geçerli ehliyetle Hollanda'ya taşındıktan sonra ilk 185 gün sürebilirsin. Süre dolunca Hollanda ehliyeti şart: değişim başvurun sürüyor olsa bile sürmeye devam edemezsin.</t>
        </is>
      </c>
      <c r="G276" s="29" t="inlineStr">
        <is>
          <t>ehliyet süresi, 185 gün, 15 yıl, yabancı ehliyet, rijbewijs, uluslararası ehliyet</t>
        </is>
      </c>
      <c r="H276" s="29" t="inlineStr">
        <is>
          <t>before;planning;new</t>
        </is>
      </c>
      <c r="I276" s="29" t="inlineStr">
        <is>
          <t>eindhoven:kaynak:152;eindhoven:kaynak:150</t>
        </is>
      </c>
      <c r="J276" s="49" t="n">
        <v>46317</v>
      </c>
      <c r="K276" s="51" t="n">
        <v>1003</v>
      </c>
      <c r="L276" s="29" t="inlineStr">
        <is>
          <t>Hayır</t>
        </is>
      </c>
      <c r="M276" s="29" t="inlineStr">
        <is>
          <t>Taslak</t>
        </is>
      </c>
      <c r="N276" s="29" t="inlineStr">
        <is>
          <t>eindhoven:ulasim</t>
        </is>
      </c>
      <c r="O276" s="29" t="inlineStr">
        <is>
          <t>Ehliyetini hangi ülkenin verdiğine bak: AB/EFTA mı, değil mi?
AB/EFTA ise B kategorisi için verilişten itibaren 15 yılı say; süre kayıt anında dolmuşsa ya da 2 yıldan az kalmışsa kayıt tarihinden başlayan 2 yılı say.
Ehliyetinin üzerindeki geçerlilik tarihine bak; bu süreler dolmadan ehliyetinin süresi biterse o tarihten sonra onunla süremezsin.
AB/EFTA dışıysa Hollanda'ya taşındığın günden itibaren 185 günü say.
Süre dolmadan değişim başvurusu yap; RDW başvuruyu işlemek için en az 15 iş günü istiyor, AB/EFTA dışı ehliyette CBR'den tıbbi belge başvurusu da zaman alıyor.</t>
        </is>
      </c>
      <c r="P276" s="29" t="n"/>
      <c r="Q276" s="29" t="inlineStr">
        <is>
          <t>AB/EFTA: verilişten 15 yıl (C/D grubu 5 yıl), ehliyet geçerli kaldıkça; süre kayıtta dolmuş ya da 2 yıldan az kalmışsa kayıttan sonra 2 yıl; AB/EFTA dışı: taşınmadan sonra ilk 185 gün</t>
        </is>
      </c>
      <c r="R276" s="29" t="n"/>
      <c r="S276" s="29" t="inlineStr">
        <is>
          <t>Hollanda'ya yerleştikten sonra verilmiş bir AB/EFTA ehliyetiyle hiç sürülemez; belediyeden değiştirmen gerekir. AB/EFTA dışı ehliyetin kategorileri A, B, C, D, E gösterimiyle yazılı değilse yanında uluslararası ehliyet taşımak akıllıca; bunu ehliyeti veren ülkeden alırsın.</t>
        </is>
      </c>
      <c r="T276" s="29" t="n"/>
    </row>
    <row r="277" ht="54" customHeight="1">
      <c r="A277" s="29" t="inlineStr">
        <is>
          <t>eindhoven:ehliyet-basvurusu-surerken-arac-kullanma</t>
        </is>
      </c>
      <c r="B277" s="29" t="inlineStr">
        <is>
          <t>eindhoven</t>
        </is>
      </c>
      <c r="C277" s="29" t="inlineStr">
        <is>
          <t>ehliyet-basvurusu-surerken-arac-kullanma</t>
        </is>
      </c>
      <c r="D277" s="29" t="inlineStr">
        <is>
          <t>Ehliyet değişimi sürerken araç kullanabilir miyim?</t>
        </is>
      </c>
      <c r="E277" s="29" t="inlineStr">
        <is>
          <t>Belediye 'kullanma' diyor, RDW kararı sana bırakıyor</t>
        </is>
      </c>
      <c r="F277" s="29" t="inlineStr">
        <is>
          <t>Eindhoven belediyesi, başvuru sürerken ehliyetin elinde olmadığı için bu dönemde araç kullanmamanı söylüyor. RDW ise kullanıp kullanmamanın sana ait olduğunu yazıyor: geçerli ehliyetin varsa kullanabilirsin, ama polis durdurur ve ehliyeti gösteremezsen para cezası riski var; RDW'ye göre bu risk küçük ama mevcut. İki görüş de yasal sürüş süren dolduğunda aynı yere çıkıyor: AB/EFTA dışı ehliyette taşınmadan sonraki 185 gün, AB/EFTA ehliyetinde verilişten itibaren 15 yıl (C ve D grubunda 5 yıl; bu süre kayıt anında dolmuşsa ya da 2 yıldan az kalmışsa kayıttan sonraki 2 yıl) geçtiyse, başvurun sürse bile araç kullanamazsın. Riski hiç almak istemiyorsan belediyenin dediğini yap; kullanmayı seçersen yanında kimlik ya da pasaport taşı.</t>
        </is>
      </c>
      <c r="G277" s="29" t="inlineStr">
        <is>
          <t>ehliyet değişimi, araç kullanma, polis kontrolü, rijbewijs, para cezası, sigorta</t>
        </is>
      </c>
      <c r="H277" s="29" t="inlineStr">
        <is>
          <t>new</t>
        </is>
      </c>
      <c r="I277" s="29" t="inlineStr">
        <is>
          <t>eindhoven:kaynak:150;eindhoven:kaynak:151;eindhoven:kaynak:152</t>
        </is>
      </c>
      <c r="J277" s="49" t="n">
        <v>46317</v>
      </c>
      <c r="K277" s="51" t="n">
        <v>1004</v>
      </c>
      <c r="L277" s="29" t="inlineStr">
        <is>
          <t>Hayır</t>
        </is>
      </c>
      <c r="M277" s="29" t="inlineStr">
        <is>
          <t>Taslak</t>
        </is>
      </c>
      <c r="N277" s="29" t="inlineStr">
        <is>
          <t>eindhoven:ulasim</t>
        </is>
      </c>
      <c r="O277" s="29" t="inlineStr">
        <is>
          <t>Belediyenin kuralını bil: başvuru sürerken ehliyetin elinde olmadığı için sürmemeni söylüyor.
Yasal sürüş süren (AB/EFTA dışı için 185 gün; AB/EFTA için verilişten 15 yıl, süre kayıtta dolmuş ya da 2 yıldan az kalmışsa kayıttan sonra 2 yıl) dolduysa hiç sürme; başvurunun işlemde olması bu yasağı kaldırmaz.
Sürmeyi seçersen yanında pasaport veya kimlik kartı taşı.
Polis durdurursa RDW'den başvurunun ve teslim ettiğin ehliyetin sorgulanabileceğini bil.
Başvuru sürerken başka ülkelerde araç kullanmaktan kaçın.</t>
        </is>
      </c>
      <c r="P277" s="29" t="inlineStr">
        <is>
          <t>Pasaport veya kimlik kartı</t>
        </is>
      </c>
      <c r="Q277" s="29" t="n"/>
      <c r="R277" s="29" t="n"/>
      <c r="S277" s="29" t="inlineStr">
        <is>
          <t>Sigorta yaptırdıysan ve geçerli bir ehliyetin varsa, o anda gösteremesen bile sigortalısın. Ehliyet göstermemenin ceza tutarı için RDW, Savcılığın (OM) ceza veritabanına yönlendiriyor.</t>
        </is>
      </c>
      <c r="T277" s="29" t="n"/>
    </row>
    <row r="278" ht="54" customHeight="1">
      <c r="A278" s="29" t="inlineStr">
        <is>
          <t>eindhoven:yabanci-ehliyet-kayip-calinti</t>
        </is>
      </c>
      <c r="B278" s="29" t="inlineStr">
        <is>
          <t>eindhoven</t>
        </is>
      </c>
      <c r="C278" s="29" t="inlineStr">
        <is>
          <t>yabanci-ehliyet-kayip-calinti</t>
        </is>
      </c>
      <c r="D278" s="29" t="inlineStr">
        <is>
          <t>Yabancı ehliyetim kayıpsa veya çalındıysa değişim nasıl yapılır?</t>
        </is>
      </c>
      <c r="E278" s="29" t="inlineStr">
        <is>
          <t>Kayıp beyanı belediyede 24,50 euro, polise ihbar ücretsiz</t>
        </is>
      </c>
      <c r="F278" s="29" t="inlineStr">
        <is>
          <t>Yabancı ehliyetin kayıp ya da çalıntıysa vermissingsverklaring (kayıp beyanı) gerekir. Bunu belediyede 24,50 euroya düzenlettirebilir ya da Hollanda polisine ücretsiz ihbar (aangifte) yapabilirsin. Beyanı veya polis tutanağını (proces-verbaal) randevuna götür; içine ehliyetin veren ülkesini ve numarasını mümkün olduğunca yaz. Kayıp ya da çalıntı sonrası yapılan değişim başvurusunda ek ücret yok.</t>
        </is>
      </c>
      <c r="G278" s="29" t="inlineStr">
        <is>
          <t>kayıp ehliyet, çalıntı ehliyet, vermissingsverklaring, aangifte, ehliyet değişimi, polis</t>
        </is>
      </c>
      <c r="H278" s="29" t="inlineStr">
        <is>
          <t>new;settled</t>
        </is>
      </c>
      <c r="I278" s="29" t="inlineStr">
        <is>
          <t>eindhoven:kaynak:150</t>
        </is>
      </c>
      <c r="J278" s="49" t="n">
        <v>46317</v>
      </c>
      <c r="K278" s="51" t="n">
        <v>1005</v>
      </c>
      <c r="L278" s="29" t="inlineStr">
        <is>
          <t>Hayır</t>
        </is>
      </c>
      <c r="M278" s="29" t="inlineStr">
        <is>
          <t>Taslak</t>
        </is>
      </c>
      <c r="N278" s="29" t="inlineStr">
        <is>
          <t>eindhoven:ulasim</t>
        </is>
      </c>
      <c r="O278" s="29" t="inlineStr">
        <is>
          <t>Kayıp beyanını belediyede düzenlet (24,50 euro) ya da Hollanda polisine ücretsiz ihbar yap.
Beyanda veya tutanakta ehliyetin veren ülkesini ve numarasını mümkün olduğunca ayrıntılı yazdır.
Beyanı ya da proces-verbaal'ı ehliyet değişimi randevuna götür.
AB/EFTA ehliyetiyse orijinallik belgesi (echtheidsverklaring) getirmene gerek yok; RDW gerekirse veren ülkeden kendisi ister.</t>
        </is>
      </c>
      <c r="P278" s="29" t="inlineStr">
        <is>
          <t>Kayıp beyanı (vermissingsverklaring) veya polis proces-verbaal'ı</t>
        </is>
      </c>
      <c r="Q278" s="29" t="n"/>
      <c r="R278" s="29" t="inlineStr">
        <is>
          <t>Kayıp beyanı belediyede 24,50 euro; polise ihbar ücretsiz; kayıp/çalıntı sonrası başvuruda ek ücret yok</t>
        </is>
      </c>
      <c r="S278" s="29" t="inlineStr">
        <is>
          <t>RDW'nin orijinallik belgesini veren ülkeden istemesi işlemi uzatabilir. Ehliyetin Aruba veya eski Hollanda Antilleri'nden ise, ehliyetin verildiğini ve hâlâ geçerli olduğunu gösteren, veren kurumdan orijinal bir beyan da götürürsün. AB/EFTA, Aruba ve eski Hollanda Antilleri dışındaki bir ülkenin ehliyetinde önce o ülkenin kurumundan yeni ehliyet çıkarman gerekiyor; geçerli yabancı ehliyet olmadan başvuru işleme alınmaz.</t>
        </is>
      </c>
      <c r="T278" s="29" t="n"/>
    </row>
    <row r="279" ht="54" customHeight="1">
      <c r="A279" s="29" t="inlineStr">
        <is>
          <t>eindhoven:ehliyet-uzman-semasi-saglik-beyani</t>
        </is>
      </c>
      <c r="B279" s="29" t="inlineStr">
        <is>
          <t>eindhoven</t>
        </is>
      </c>
      <c r="C279" s="29" t="inlineStr">
        <is>
          <t>ehliyet-uzman-semasi-saglik-beyani</t>
        </is>
      </c>
      <c r="D279" s="29" t="inlineStr">
        <is>
          <t>Uzman şeması, 30% kuralı ve sağlık beyanı: AB dışı ehliyet değişiminde ne gerekir?</t>
        </is>
      </c>
      <c r="E279" s="29" t="inlineStr">
        <is>
          <t>Sağlık beyanını CBR'den, 30% kuralı belgesini Belastingdienst'ten alırsın</t>
        </is>
      </c>
      <c r="F279" s="29" t="inlineStr">
        <is>
          <t>Hollanda'ya çalışmaya geldiysen ve uzman şeması (expat scheme) sana uygulanıyorsa, ehliyetini hangi ülkeden olursa olsun değiştirebilirsin. AB/EFTA dışı bir ehliyet için sağlık beyanını (Gezondheidsverklaring) sen CBR'den istersin; bu beyanla CBR'den uygunluk belgesi (Verklaring van geschiktheid) talep edilir. RDW'ye göre AB/EFTA dışından gelen her ehliyette, yalnız listedeki ülkelerde değil uzman şemasıyla değişimde de, ehliyeti aldığın yıl o ülkede en az 185 gün yaşamış olman şart. Anlaşmalı olmayan 'diğer' ülkelerin ehliyetinde sağlık beyanına ek olarak, yabancı çalışanın (ya da partnerinin) 30% kuralı kapsamında olduğunu gösteren Belastingdienst belgesi istenir; belgeyi alamıyorsan yeniden sürücü sınavı gerekir.</t>
        </is>
      </c>
      <c r="G279" s="29" t="inlineStr">
        <is>
          <t>uzman şeması, expat scheme, 30% kuralı, sağlık beyanı, Gezondheidsverklaring, CBR, ehliyet değişimi</t>
        </is>
      </c>
      <c r="H279" s="29" t="inlineStr">
        <is>
          <t>planning;new</t>
        </is>
      </c>
      <c r="I279" s="29" t="inlineStr">
        <is>
          <t>eindhoven:kaynak:150;eindhoven:kaynak:151</t>
        </is>
      </c>
      <c r="J279" s="49" t="n">
        <v>46317</v>
      </c>
      <c r="K279" s="51" t="n">
        <v>1006</v>
      </c>
      <c r="L279" s="29" t="inlineStr">
        <is>
          <t>Hayır</t>
        </is>
      </c>
      <c r="M279" s="29" t="inlineStr">
        <is>
          <t>Taslak</t>
        </is>
      </c>
      <c r="N279" s="29" t="inlineStr">
        <is>
          <t>eindhoven:ulasim</t>
        </is>
      </c>
      <c r="O279" s="29" t="inlineStr">
        <is>
          <t>Ehliyetini aldığın yıl o ülkede en az 185 gün yaşamış olduğunu kontrol et; bu koşul yoksa AB/EFTA dışı ehliyet değiştirilemez.
Belastingdienst'ten 30% kuralı kapsamında olduğunu gösteren 'Verzoek Loonheffingen 30%-regeling' belgesini al ve yazdır.
CBR'den sağlık beyanı (Gezondheidsverklaring) iste; bu beyanla CBR'den uygunluk belgesi (Verklaring van geschiktheid) talep edilir.
Ehliyetin bitmek üzereyse değişim sürecini belediyede hemen başlat; sağlık beyanı gibi ek belgeleri sonra da verebilirsin.
30% kuralı belgesini alamıyorsan yeniden sürücü sınavı gerekeceğini hesaba kat.</t>
        </is>
      </c>
      <c r="P279" s="29" t="inlineStr">
        <is>
          <t>CBR sağlık beyanı formu (AB/EFTA dışı ehliyet için)
Belediyeye göre: Belastingdienst'ten 'Verzoek Loonheffingen 30%-regeling' belgesinin yazdırılmış hali
RDW'ye göre: Hollanda'da çalışıyorsan ve ehliyetin AB/EFTA dışındansa vergi dairesinden geçerli 'Decision on the Evidence Rule'</t>
        </is>
      </c>
      <c r="Q279" s="29" t="n"/>
      <c r="R279" s="29" t="n"/>
      <c r="S279" s="29" t="inlineStr">
        <is>
          <t>Belediye 30% kuralı belgesini 'Verzoek Loonheffingen 30%-regeling' adıyla, RDW ise 'Decision on the Evidence Rule' adıyla anıyor; hangi adın sana uyduğunu başvuruda belediyeden sor. AB/EFTA ehliyetinde de RDW gerekli görürse sağlık beyanı istenebilir. Süresi dolmuş AB/EFTA dışı ehliyet değiştirilemez; bu yüzden süre dolmadan başlamak gerekiyor.</t>
        </is>
      </c>
      <c r="T279" s="29" t="n"/>
    </row>
    <row r="280" ht="54" customHeight="1">
      <c r="A280" s="29" t="inlineStr">
        <is>
          <t>eindhoven:cbr-teori-sinavi-ingilizce-tercuman</t>
        </is>
      </c>
      <c r="B280" s="29" t="inlineStr">
        <is>
          <t>eindhoven</t>
        </is>
      </c>
      <c r="C280" s="29" t="inlineStr">
        <is>
          <t>cbr-teori-sinavi-ingilizce-tercuman</t>
        </is>
      </c>
      <c r="D280" s="29" t="inlineStr">
        <is>
          <t>CBR teori sınavı İngilizce veya tercümanla nasıl alınır?</t>
        </is>
      </c>
      <c r="E280" s="29" t="inlineStr">
        <is>
          <t>Otomobil teorisi İngilizce; başka dil için tercüman en geç 2 hafta önce ayrılır</t>
        </is>
      </c>
      <c r="F280" s="29" t="inlineStr">
        <is>
          <t>Teori sınavını Hollandaca dışında bir dilde alabilirsin. Otomobil teori sınavı İngilizce olarak Mijn CBR'den 'Theorie-examen Engels auto' seçeneğiyle ayrılır; daha fazla süre gerekiyorsa ekstra süreli İngilizce seçeneği var. Otomobil sınavını İngilizce ve Hollandaca dışında bir dilde ya da moped, motosiklet gibi başka bir araç için alacaksan tercümanlı sınav ayırtırsın. Kendi tercümanını getiremezsin; onaylı tercüman hizmetlerinden birinden sınavdan en geç 2 hafta önce tercüman ayırtmalısın.</t>
        </is>
      </c>
      <c r="G280" s="29" t="inlineStr">
        <is>
          <t>CBR, teori sınavı, İngilizce sınav, tercüman, tolk, Mijn CBR, ehliyet sınavı</t>
        </is>
      </c>
      <c r="H280" s="29" t="inlineStr">
        <is>
          <t>planning;new</t>
        </is>
      </c>
      <c r="I280" s="29" t="inlineStr">
        <is>
          <t>eindhoven:kaynak:155;eindhoven:kaynak:224</t>
        </is>
      </c>
      <c r="J280" s="49" t="n">
        <v>46317</v>
      </c>
      <c r="K280" s="51" t="n">
        <v>1007</v>
      </c>
      <c r="L280" s="29" t="inlineStr">
        <is>
          <t>Hayır</t>
        </is>
      </c>
      <c r="M280" s="29" t="inlineStr">
        <is>
          <t>Taslak</t>
        </is>
      </c>
      <c r="N280" s="29" t="inlineStr">
        <is>
          <t>eindhoven:ulasim</t>
        </is>
      </c>
      <c r="O280" s="29" t="inlineStr">
        <is>
          <t>Mijn CBR hesabına gir.
Otomobil teorisini İngilizce alacaksan 'Theorie-examen Engels auto' seçeneğini seç; ek süre için ekstra süreli seçeneği ayır.
Başka bir dil ya da başka araç türü için tercümanlı teori sınavı ayırt.
Tercümanı CBR'nin onayladığı tercüman hizmetlerinden birinden, sınavdan en geç 2 hafta önce ayırt.</t>
        </is>
      </c>
      <c r="P280" s="29" t="n"/>
      <c r="Q280" s="29" t="inlineStr">
        <is>
          <t>Tercüman en geç sınavdan 2 hafta önce ayrılır</t>
        </is>
      </c>
      <c r="R280" s="29" t="inlineStr">
        <is>
          <t>Hollandaca teori sınavı 50,50 euro; İngilizce otomobil teori sınavı 57,00 euro; standart teori sınavını ekstra süreyle almak 64,00 euro (50,50 euro standart ücret + 13,50 euro ek süre ücreti; dyslexieverklaring varsa ek ücret sınavdan sonra 14 gün içinde geri istenebilir), İngilizce ekstra süreli sınavın ücreti CBR'nin ücret sayfasında ayrıca yazmıyor; tercümanlı sınav 118,50 euro, tercümanı kendin ayırtır ve ayrıca ödersin</t>
        </is>
      </c>
      <c r="S280" s="29" t="inlineStr">
        <is>
          <t>Tercüman 2 hafta öncesine kadar ayrılmazsa teori sınavı yapılamıyor; Mijn CBR'den ya da sürücü eğitmeninden yeni tarih ayırtman gerekiyor. Sınavda çevrilmeyen bazı Hollandaca sözcükler çıkabilir; hangileri olduğu teori sınavı planının (otomobil) 5. bölümünde yazıyor.</t>
        </is>
      </c>
      <c r="T280" s="29" t="n"/>
    </row>
    <row r="281" ht="54" customHeight="1">
      <c r="A281" s="29" t="inlineStr">
        <is>
          <t>eindhoven:hollanda-ehliyeti-sinav-maliyeti-cbr</t>
        </is>
      </c>
      <c r="B281" s="29" t="inlineStr">
        <is>
          <t>eindhoven</t>
        </is>
      </c>
      <c r="C281" s="29" t="inlineStr">
        <is>
          <t>hollanda-ehliyeti-sinav-maliyeti-cbr</t>
        </is>
      </c>
      <c r="D281" s="29" t="inlineStr">
        <is>
          <t>Hollanda'da ehliyet almak ne kadara mal olur? CBR sınav ve ders ücretleri (2026)</t>
        </is>
      </c>
      <c r="E281" s="29" t="inlineStr">
        <is>
          <t>Ortalama 3.625 euro; teori sınavı 50,50 euro, pratik sınav 143,50 euro</t>
        </is>
      </c>
      <c r="F281" s="29" t="inlineStr">
        <is>
          <t>CBR'nin 2026'nın ilk yarısına dair araştırmasına göre Hollanda'da otomobil ehliyeti almak ortalama 3.625 euroya mal oluyor. Adayların %80'i sürücü kursuna ders saati başına 54 ile 78 euro arasında ödüyor; ehliyet için ortalama 42,5 ders saati gerekiyor. CBR'nin sabit ücretleri: teori sınavı 50,50 euro, pratik sınav 143,50 euro; sürücü kursu bunlara idari işlem, araç ve eğitmen masrafı ekler. Yabancı ehliyetin değiştirilemiyorsa Hollanda ehliyeti için bu sınav yolunu izlersin.</t>
        </is>
      </c>
      <c r="G281" s="29" t="inlineStr">
        <is>
          <t>ehliyet maliyeti, CBR, rijschool, sürücü kursu, teori sınavı, praktijkexamen, rijbewijs fiyatı</t>
        </is>
      </c>
      <c r="H281" s="29" t="inlineStr">
        <is>
          <t>new;settled</t>
        </is>
      </c>
      <c r="I281" s="29" t="inlineStr">
        <is>
          <t>eindhoven:kaynak:224;eindhoven:kaynak:150</t>
        </is>
      </c>
      <c r="J281" s="49" t="n">
        <v>46317</v>
      </c>
      <c r="K281" s="51" t="n">
        <v>1008</v>
      </c>
      <c r="L281" s="29" t="inlineStr">
        <is>
          <t>Hayır</t>
        </is>
      </c>
      <c r="M281" s="29" t="inlineStr">
        <is>
          <t>Taslak</t>
        </is>
      </c>
      <c r="N281" s="29" t="inlineStr">
        <is>
          <t>eindhoven:ulasim</t>
        </is>
      </c>
      <c r="O281" s="29" t="inlineStr">
        <is>
          <t>Birkaç sürücü kursunu karşılaştır: ders süresi (60, 50 ya da 90 dakika), saat başı fiyat ve başarı yüzdesi.
Kursa fiyatın saat başına mı, yoksa 50 ya da 90 dakika başına mı olduğunu sor.
Kursun sınav için ne istediğini ve sınavdan önceki saatte bir dersin fiyata dahil olup olmadığını sor.
Teori sınavını posta ile istersen gönderim ücretinin eklendiğini, kursun senin adına isterse ek ücret alabileceğini hesaba kat.
Sağlık beyanı (Gezondheidsverklaring) vermen gerekiyorsa onu Mijn CBR üzerinden doldur; ücreti CBR'nin tarifeler sayfasında yazıyor.</t>
        </is>
      </c>
      <c r="P281" s="29" t="n"/>
      <c r="Q281" s="29" t="n"/>
      <c r="R281" s="29" t="inlineStr">
        <is>
          <t>Ortalama toplam 3.625 euro (2026 ilk yarı); kurs ders saati başına 54-78 euro (adayların %80'i); ortalama 42,5 ders saati; teori sınavı 50,50 euro; pratik sınav 143,50 euro; ara test (tussentijdse toets) 143,50 euro; belediyeden ehliyet kartı 2026'da en çok 53,65 euro</t>
        </is>
      </c>
      <c r="S281" s="29" t="inlineStr">
        <is>
          <t>Belediyeden ehliyet kartı için acil istersen 2026'da 39,65 euro ek ödersin; ancak Eindhoven belediyesi yabancı ehliyet değişiminde acil başvuruyu kabul etmiyor ('Yabancı ehliyet Eindhoven'da Hollanda ehliyetiyle nasıl değiştirilir?' kartına bak). İngilizce, ekstra süreli ve tercümanlı teori sınavının ücretleri 'CBR teori sınavı İngilizce veya tercümanla nasıl alınır?' kartında.</t>
        </is>
      </c>
      <c r="T281" s="29" t="n"/>
    </row>
    <row r="282" ht="54" customHeight="1">
      <c r="A282" s="29" t="inlineStr">
        <is>
          <t>eindhoven:tasinirken-arac-getirme-tescil</t>
        </is>
      </c>
      <c r="B282" s="29" t="inlineStr">
        <is>
          <t>eindhoven</t>
        </is>
      </c>
      <c r="C282" s="29" t="inlineStr">
        <is>
          <t>tasinirken-arac-getirme-tescil</t>
        </is>
      </c>
      <c r="D282" s="29" t="inlineStr">
        <is>
          <t>Taşınırken aracımı Hollanda'ya getirirsem plaka ve tescil nasıl yapılır?</t>
        </is>
      </c>
      <c r="E282" s="29" t="inlineStr">
        <is>
          <t>RDW muayene istasyonunda randevu, kendin gitmek zorundasın</t>
        </is>
      </c>
      <c r="F282" s="29" t="inlineStr">
        <is>
          <t>Yabancı plakayla yalnızca kısa süre sürebilirsin; sonra aracı RDW muayene istasyonunda kontrol ettirip Hollanda plakası (kenteken) için başvurman gerekir. Şartlar: en az 18 yaşında olmak (moped ithalinde 16), BRP'de kayıtlı olmak ve muayeneye kendin gelmek; başvuruyu başkası yapamaz. Randevuyu DigiD ile alırsın. RDW ve Belastingdienst onayından sonra yeni tescil belgesi 5 iş günü içinde posta ile gelir, 2 iş günü sonra da tam kayıt kodunu içeren mektup ulaşır.</t>
        </is>
      </c>
      <c r="G282" s="29" t="inlineStr">
        <is>
          <t>araç getirme, kenteken, plaka, RDW, tescil belgesi, taşınma, muayene istasyonu</t>
        </is>
      </c>
      <c r="H282" s="29" t="inlineStr">
        <is>
          <t>planning;new</t>
        </is>
      </c>
      <c r="I282" s="29" t="inlineStr">
        <is>
          <t>eindhoven:kaynak:153</t>
        </is>
      </c>
      <c r="J282" s="49" t="n">
        <v>46317</v>
      </c>
      <c r="K282" s="51" t="n">
        <v>1009</v>
      </c>
      <c r="L282" s="29" t="inlineStr">
        <is>
          <t>Hayır</t>
        </is>
      </c>
      <c r="M282" s="29" t="inlineStr">
        <is>
          <t>Taslak</t>
        </is>
      </c>
      <c r="N282" s="29" t="inlineStr">
        <is>
          <t>eindhoven:ulasim</t>
        </is>
      </c>
      <c r="O282" s="29" t="inlineStr">
        <is>
          <t>RDW muayene istasyonundan randevu al; randevu için DigiD gerekir.
Yabancı plakayla sürme hakkın bittiyse randevudan hemen sonra 'one-day registration' (tek günlük kayıt) başvurusu yap.
Vergisiz ithalat istiyorsan muayeneden önce Belastingdienst'ten BPM muafiyeti iste.
AB/EFTA dışından taşınıyorsan muayeneden önce gümrüğe başvur.
Muayeneye 15 dakika erken, belgelerinle birlikte git.
Aracı üçüncü şahıs sorumluluk (WA) sigortasına yaptır ve tescil belgesiyle yetkili plaka üreticisine git.</t>
        </is>
      </c>
      <c r="P282" s="29" t="inlineStr">
        <is>
          <t>Yabancı tescil belgesinin tam aslı (RDW alır; BPM beyanı için bir kopya çıkar)
Geçerli kimlik, ehliyet, pasaport veya başka geçerli kimlik belgesi
Belastingdienst'ten aracın taşınma eşyası (household goods) sayıldığını gösteren belge</t>
        </is>
      </c>
      <c r="Q282" s="29" t="inlineStr">
        <is>
          <t>RDW ve Belastingdienst onayından sonra tescil belgesi 5 iş günü içinde, tam kayıt kodu mektubu 2 iş günü sonra</t>
        </is>
      </c>
      <c r="R282" s="29" t="inlineStr">
        <is>
          <t>Hafif araç kimliklendirme 58,50 euro; tescil belgesi 50,00 euro; RDW üzerinden kişi adına kayıt 13,10 euro; geri dönüşüm ücreti 22,50 euro</t>
        </is>
      </c>
      <c r="S282" s="29" t="inlineStr">
        <is>
          <t>Tam kayıt kodunu güvenli bir yerde sakla; aracı ileride satarken gerekecek. Aracın taşınma eşyası sayılmasıyla BPM ödenmez, ama araç BPM yükümlülüğü kapsamındaysa kâğıt üzerinden BPM beyanı vermen gerekir. Özel bir moped sadece daha önce Hollanda plakası almışsa kayıt alabilir.</t>
        </is>
      </c>
      <c r="T282" s="29" t="n"/>
    </row>
    <row r="283" ht="54" customHeight="1">
      <c r="A283" s="29" t="inlineStr">
        <is>
          <t>eindhoven:arac-sahibi-yukumlulukleri-wa-pti-mrb</t>
        </is>
      </c>
      <c r="B283" s="29" t="inlineStr">
        <is>
          <t>eindhoven</t>
        </is>
      </c>
      <c r="C283" s="29" t="inlineStr">
        <is>
          <t>arac-sahibi-yukumlulukleri-wa-pti-mrb</t>
        </is>
      </c>
      <c r="D283" s="29" t="inlineStr">
        <is>
          <t>Hollanda'da araç sahibi olunca: WA sigortası, PTI muayenesi ve taşıt vergisi</t>
        </is>
      </c>
      <c r="E283" s="29" t="inlineStr">
        <is>
          <t>Sigortasız veya muayenesiz araç CJIB cezası alır</t>
        </is>
      </c>
      <c r="F283" s="29" t="inlineStr">
        <is>
          <t>Araç adına kayıtlıysa çoğu araç için üç yükümlülük başlar: WA (üçüncü şahıs sorumluluk) sigortası, PTI (periyodik teknik muayene) ve MRB (motorlu taşıt vergisi). Otomobil, ticari araç, kamp aracı (RV) ve otobüs hem sigortalı hem PTI onaylı olmalı; moped ve motosiklette sigorta zorunlu ama PTI yok. RDW sigorta ve muayene kayıtlarını her gün kontrol ediyor, kapsamdaki her aracı yılda en az bir kez tarıyor; sigortası ya da PTI'ı olmayan araca CJIB ceza keser.</t>
        </is>
      </c>
      <c r="G283" s="29" t="inlineStr">
        <is>
          <t>WA sigortası, PTI, motorlu taşıt vergisi, MRB, araç sigortası, CJIB, araç muayenesi</t>
        </is>
      </c>
      <c r="H283" s="29" t="inlineStr">
        <is>
          <t>new;settled</t>
        </is>
      </c>
      <c r="I283" s="29" t="inlineStr">
        <is>
          <t>eindhoven:kaynak:153</t>
        </is>
      </c>
      <c r="J283" s="49" t="n">
        <v>46317</v>
      </c>
      <c r="K283" s="51" t="n">
        <v>1010</v>
      </c>
      <c r="L283" s="29" t="inlineStr">
        <is>
          <t>Hayır</t>
        </is>
      </c>
      <c r="M283" s="29" t="inlineStr">
        <is>
          <t>Taslak</t>
        </is>
      </c>
      <c r="N283" s="29" t="inlineStr">
        <is>
          <t>eindhoven:ulasim</t>
        </is>
      </c>
      <c r="O283" s="29" t="inlineStr">
        <is>
          <t>Aracı WA sigortasına yaptır; sigorta şirketi 'bildirim kodu' ister, bu kod şasi numarasının (VIN) son 4 hanesidir.
Aracın PTI'a tabi olup olmadığına tablodan bak; tabiyse PTI onayı al.
Belastingdienst'in kendiliğinden göndereceği motorlu taşıt vergisi (MRB) faturasını öde.
Aracı bir süre kullanmayacaksan yükümlülükleri askıya almak için aracı askıya aldır (park edilemez, sürülemez).</t>
        </is>
      </c>
      <c r="P283" s="29" t="n"/>
      <c r="Q283" s="29" t="n"/>
      <c r="R283" s="29" t="n"/>
      <c r="S283" s="29" t="inlineStr">
        <is>
          <t>Klasik araçta (classic car) taşıt vergisi hiç ya da daha az ödenebilir; bunun için araç sigortalı kalmalı ve geçerli PTI belgesi olmalı. Römork ve çekilen karavan için sigorta ancak çeken araç için zorunlu; 3500 kg üstü ağır römorkta PTI zorunlu. MRB'yi zamanında ödemezsen ceza Belastingdienst'ten gelir.</t>
        </is>
      </c>
      <c r="T283" s="29" t="n"/>
    </row>
    <row r="284" ht="54" customHeight="1">
      <c r="A284" s="29" t="inlineStr">
        <is>
          <t>eindhoven:ab-disindan-arac-ithali-lelystad</t>
        </is>
      </c>
      <c r="B284" s="29" t="inlineStr">
        <is>
          <t>eindhoven</t>
        </is>
      </c>
      <c r="C284" s="29" t="inlineStr">
        <is>
          <t>ab-disindan-arac-ithali-lelystad</t>
        </is>
      </c>
      <c r="D284" s="29" t="inlineStr">
        <is>
          <t>AB dışından araç ithal etmek: RDW'nin Lelystad onayı nasıl işler?</t>
        </is>
      </c>
      <c r="E284" s="29" t="inlineStr">
        <is>
          <t>Tip onayı olmayan araç tek tek onaylanır; reddedilse bile muayene ücreti faturalanır</t>
        </is>
      </c>
      <c r="F284" s="29" t="inlineStr">
        <is>
          <t>Avrupa tip onayı olmayan bir aracı AB/EFTA dışından getirip Hollanda'da kullanmak ya da satmak istiyorsan RDW her aracı tek tek onaylar. Çoğu durumda Lelystad test merkezine gitmen gerekir; bu çok zaman ve para alır ve araç reddedilse bile muayene masrafı sana faturalanır. Aracın ulusal ya da Avrupa tip onayı varsa, daha önce Hollanda plakası taşıdıysa ya da taşınma eşyanın parçasıysa Lelystad yerine RDW muayene istasyonu yeterli (notta ayrıntı). Önce aracı gümrüğe beyan et. Maliyetler yüksek olabilir: Avrupa'ya nakliye, ithalat vergisi ve KDV, otomobil ve motosikletlerde BPM, ayrıca RDW'nin muayene ve tescil belgesi faturası.</t>
        </is>
      </c>
      <c r="G284" s="29" t="inlineStr">
        <is>
          <t>araç ithalatı, AB dışı araç, Lelystad, RDW onayı, gümrük, BPM, kenteken</t>
        </is>
      </c>
      <c r="H284" s="29" t="inlineStr">
        <is>
          <t>planning</t>
        </is>
      </c>
      <c r="I284" s="29" t="inlineStr">
        <is>
          <t>eindhoven:kaynak:154</t>
        </is>
      </c>
      <c r="J284" s="49" t="n">
        <v>46317</v>
      </c>
      <c r="K284" s="51" t="n">
        <v>1011</v>
      </c>
      <c r="L284" s="29" t="inlineStr">
        <is>
          <t>Hayır</t>
        </is>
      </c>
      <c r="M284" s="29" t="inlineStr">
        <is>
          <t>Taslak</t>
        </is>
      </c>
      <c r="N284" s="29" t="inlineStr">
        <is>
          <t>eindhoven:ulasim</t>
        </is>
      </c>
      <c r="O284" s="29" t="inlineStr">
        <is>
          <t>Aracı önce gümrüğe beyan et ve Belastingdienst'e başvur.
'Lelystad test merkezinden randevu al' bağlantısından bilgilerini gir; bir günlük tescile (one-day registration) ihtiyacın varsa bunu belirt. RDW iki hafta içinde arayıp randevu verir.
Randevu günü aracı getir; yakıt deposu en az ¼ dolu ya da batarya şarjlı olsun. Aracı yabancı plaka ve geçerli yabancı tescil belgesiyle sürerek getirirsen RDW yabancı tescil belgesini alıkoyar.
RDW aracı tanımlar, gereksinimleri değerlendirir ve test pistinde birkaç tur sürer.
Muayeneden sonra aracı kamu yolunda sürme; yola çıkman gerekiyorsa RDW'den ücretsiz bir günlük tescil iste. Hollanda tescil belgesi gelince aracı yeniden kullanabilirsin.
Onaydan sonra otomobil, motosiklet veya 3500 kg'a kadar hafif ticari araç için BPM beyanı ver.
Tescil belgesi Belastingdienst'in onayından sonraki 5 iş günü içinde gelir (moped ve speed pedelec'te RDW onayından sonraki 5 gün içinde); ardından aracı WA ile sigortalat ve plaka yaptır.</t>
        </is>
      </c>
      <c r="P284" s="29" t="n"/>
      <c r="Q284" s="29" t="inlineStr">
        <is>
          <t>RDW randevu için iki hafta içinde arar; tescil belgesi Belastingdienst onayından sonra 5 iş günü içinde (moped ve speed pedelec'te RDW onayından sonra 5 gün)</t>
        </is>
      </c>
      <c r="R284" s="29" t="n"/>
      <c r="S284" s="29" t="inlineStr">
        <is>
          <t>Lelystad şart değil: aracın daha önce Hollanda plakası varsa, ulusal ya da Avrupa tip onayı varsa (üreticiden ya da ithalatçıdan Certificate of Conformity iste) ya da yabancı plakada geçerli ve doğrulanmış bir Avrupa onay numarası varsa muayene istasyonunda yalnız araç kimliği ve belge kontrolü yapılır; taşınma eşyası olan araç için 'taşınırken aracını getirme' kartına bak. 1 Ocak 1998 öncesi ilk tescilli otomobil, ticari araç ve römork ile 1 Ocak 2006 öncesi ilk tescilli motosiklet ve moped de muayene istasyonunda teknik muayeneden geçer. Randevu iptali sınavdan en geç 2 iş günü önce yapılırsa ücretsiz; daha geç iptal ya da gelmemek faturalanır. Rusya'dan araç ithali yasak (kişisel eşya olsa da); istisnalar için önce gümrüğe danış. RDW yurt dışından Hollanda'ya sürmen için plaka vermez; ilgili yabancı ülkedeki seçenekleri sor ya da aracı römorkla veya araç taşıyıcıyla getir.</t>
        </is>
      </c>
      <c r="T284" s="29" t="n"/>
    </row>
    <row r="285" ht="54" customHeight="1">
      <c r="A285" s="29" t="inlineStr">
        <is>
          <t>eindhoven:sakin-park-izni-basvurusu</t>
        </is>
      </c>
      <c r="B285" s="29" t="inlineStr">
        <is>
          <t>eindhoven</t>
        </is>
      </c>
      <c r="C285" s="29" t="inlineStr">
        <is>
          <t>sakin-park-izni-basvurusu</t>
        </is>
      </c>
      <c r="D285" s="29" t="inlineStr">
        <is>
          <t>Eindhoven'da sakin park izni (parkeervergunning) nasıl alınır?</t>
        </is>
      </c>
      <c r="E285" s="29" t="inlineStr">
        <is>
          <t>E-loket'ten DigiD ile online başvuru; sakin izni hemen geçerli</t>
        </is>
      </c>
      <c r="F285" s="29" t="inlineStr">
        <is>
          <t>Ücretli park bölgesinde ya da izin sahiplerine ayrılmış E9 bölgesinde oturuyorsan park iznini E-loket'ten online başvurup alırsın. DigiD ile girersin, sistem adresine göre alabileceğin izinleri gösterir, izni seçip iDEAL/WERO ile ödersin. Sakin izni başvurunun hemen ardından geçerli olur; diğer izinlerde önce bir park eylemi (parkeeractie) başlatılması gerekir. İzin plakaya bağlıdır, ön cama kâğıt koymana gerek yok. Her bağımsız konut adresi için en fazla 2 sakin izni verilir.</t>
        </is>
      </c>
      <c r="G285" s="29" t="inlineStr">
        <is>
          <t>park izni, parkeervergunning, E-loket, P-loket, DigiD, sakin izni, bewonersvergunning</t>
        </is>
      </c>
      <c r="H285" s="29" t="inlineStr">
        <is>
          <t>new;settled</t>
        </is>
      </c>
      <c r="I285" s="29" t="inlineStr">
        <is>
          <t>eindhoven:kaynak:156</t>
        </is>
      </c>
      <c r="J285" s="49" t="n">
        <v>46317</v>
      </c>
      <c r="K285" s="51" t="n">
        <v>1012</v>
      </c>
      <c r="L285" s="29" t="inlineStr">
        <is>
          <t>Hayır</t>
        </is>
      </c>
      <c r="M285" s="29" t="inlineStr">
        <is>
          <t>Taslak</t>
        </is>
      </c>
      <c r="N285" s="29" t="inlineStr">
        <is>
          <t>eindhoven:ulasim</t>
        </is>
      </c>
      <c r="O285" s="29" t="inlineStr">
        <is>
          <t>E-loket'e (P-loket) git.
DigiD ile giriş yap.
Sistemin adresine göre sunduğu izinlerden doğru olanı seç.
iDEAL/WERO ile öde.
Sakin izni hemen geçerliyse kullanmaya başla; diğer izinlerde önce parkeeractie başlat.
Dilersen e-postayla gelen izni kendi kaydın için sakla.</t>
        </is>
      </c>
      <c r="P285" s="29" t="inlineStr">
        <is>
          <t>DigiD</t>
        </is>
      </c>
      <c r="Q285" s="29" t="inlineStr">
        <is>
          <t>Sakin izni başvurudan hemen sonra geçerli olur</t>
        </is>
      </c>
      <c r="R285" s="29" t="n"/>
      <c r="S285" s="29" t="inlineStr">
        <is>
          <t>Adresin 'Adressenlijst uitsluiting parkeervergunningen' (AUP) listesindeyse sakin izni alamazsın. Strijp-S bölgesinde farklı kurallar geçerli (mobility-s.nl). İzin kontrolü plakadan yapıldığı için aracın plakası değişirse izinde de değiştirmen gerekir. Sorular için parkeren@eindhoven.nl adresi ya da 14 040 numarası var.</t>
        </is>
      </c>
      <c r="T285" s="29" t="n"/>
    </row>
    <row r="286" ht="54" customHeight="1">
      <c r="A286" s="29" t="inlineStr">
        <is>
          <t>eindhoven:park-izni-ucretleri-2026</t>
        </is>
      </c>
      <c r="B286" s="29" t="inlineStr">
        <is>
          <t>eindhoven</t>
        </is>
      </c>
      <c r="C286" s="29" t="inlineStr">
        <is>
          <t>park-izni-ucretleri-2026</t>
        </is>
      </c>
      <c r="D286" s="29" t="inlineStr">
        <is>
          <t>Eindhoven'da park izni ücretleri 2026'da ne kadar?</t>
        </is>
      </c>
      <c r="E286" s="29" t="inlineStr">
        <is>
          <t>1 Ocak 2026 tarifeleri: sakin izni aylık 4,72 euro'dan başlıyor</t>
        </is>
      </c>
      <c r="F286" s="29" t="inlineStr">
        <is>
          <t>Eindhoven'ın 1 Ocak 2026 tarifelerine göre ücretli park bölgesinde birinci sakin izni Schilwijk/restgebied için ayda 4,72 euro, Centrum için 11,79 euro; ikinci izin sırasıyla 12,56 ve 24,71 euro. İzin sahiplerine ayrılmış E9 bölgesinde birinci izin Schilwijk/restgebied için 11,79, Centrum için 19,10 euro; ikinci izin 15,16 ve 30,33 euro. Her gün ücretli bölgede park etmesi gerekenler için 7 günlük izin Centrum'da ayda 185,30, Schil bölgesinde ayda 86,47 euro.</t>
        </is>
      </c>
      <c r="G286" s="29" t="inlineStr">
        <is>
          <t>park izni ücreti, parkeervergunning tarifesi, bewonersvergunning, E9, Centrum, Schilwijk, 2026</t>
        </is>
      </c>
      <c r="H286" s="29" t="inlineStr">
        <is>
          <t>planning;new;settled</t>
        </is>
      </c>
      <c r="I286" s="29" t="inlineStr">
        <is>
          <t>eindhoven:kaynak:156</t>
        </is>
      </c>
      <c r="J286" s="49" t="n">
        <v>46317</v>
      </c>
      <c r="K286" s="51" t="n">
        <v>1013</v>
      </c>
      <c r="L286" s="29" t="inlineStr">
        <is>
          <t>Hayır</t>
        </is>
      </c>
      <c r="M286" s="29" t="inlineStr">
        <is>
          <t>Taslak</t>
        </is>
      </c>
      <c r="N286" s="29" t="inlineStr">
        <is>
          <t>eindhoven:ulasim</t>
        </is>
      </c>
      <c r="O286" s="29" t="inlineStr">
        <is>
          <t>Adresinin ücretli park bölgesinde mi yoksa E9 bölgesinde mi olduğuna bak; emin değilsen P-loket'e DigiD ile gir.
Adresin Centrum'da mı (Stratumsedijk ve Don Boscostraat park bölgeleri) yoksa Schilwijk/restgebied'de mi olduğunu belirle.
Tablodan 1. ya da 2. izin tarifesini bul; ikinci araç için tarife daha yüksek.
İzni E-loket'ten başvurup öde.</t>
        </is>
      </c>
      <c r="P286" s="29" t="inlineStr">
        <is>
          <t>DigiD</t>
        </is>
      </c>
      <c r="Q286" s="29" t="inlineStr">
        <is>
          <t>Tarifeler 1 Ocak 2026'dan itibaren geçerli</t>
        </is>
      </c>
      <c r="R286" s="29" t="inlineStr">
        <is>
          <t>Aylık, 1 Ocak 2026 itibarıyla: ücretli bölgede 1. sakin izni 4,72 euro (Schilwijk/restgebied) veya 11,79 euro (Centrum); E9 bölgesinde 11,79 euro veya 19,10 euro</t>
        </is>
      </c>
      <c r="S286" s="29" t="inlineStr">
        <is>
          <t>Centrum tarifesi Stratumsedijk (park bölgesi 111) ve Don Boscostraat (park bölgesi 112) için geçerli. Hulpverleners (yardım ve bakım çalışanları) izni ayda 9,43 euro. 7 günlük izin bazı bölgelerde sınırlı kapasite yüzünden verilmiyor ve verilen izin kontrolden sonra çıkıyor.</t>
        </is>
      </c>
      <c r="T286" s="29" t="n"/>
    </row>
    <row r="287" ht="54" customHeight="1">
      <c r="A287" s="29" t="inlineStr">
        <is>
          <t>eindhoven:ziyaretci-park-duzenlemesi</t>
        </is>
      </c>
      <c r="B287" s="29" t="inlineStr">
        <is>
          <t>eindhoven</t>
        </is>
      </c>
      <c r="C287" s="29" t="inlineStr">
        <is>
          <t>ziyaretci-park-duzenlemesi</t>
        </is>
      </c>
      <c r="D287" s="29" t="inlineStr">
        <is>
          <t>Eindhoven'da ziyaretçi park düzenlemesi nasıl çalışır?</t>
        </is>
      </c>
      <c r="E287" s="29" t="inlineStr">
        <is>
          <t>Ücretli bölgede ziyaretçi için saatte 0,20 euro, çeyrekte en fazla 200 saat</t>
        </is>
      </c>
      <c r="F287" s="29" t="inlineStr">
        <is>
          <t>Ücretli park bölgesinde oturuyorsan bezoekersregeling ile ziyaretçini indirimli tarifeyle park ettirebilirsin: ziyaretçi için 60 dakika 0,20 euro. Çeyrekte en fazla 200 saat kullanılır, bu en çok 40 euroya denk gelir; kalan bakiye sonraki çeyreğe geçer. Bunun için araç sahibi olmana gerek yok ve aynı anda birden fazla ziyaretçi park ettirebilirsin. E9 bölgesinde (Mariënhage, De Bergen, Rapenland ve kısmen Winkelcentrum Woensel) izin sahibi P-loket'ten bezoekersvergunning alır; aynı anda yalnızca 1 ziyaretçi park eder ve saat sınırı yoktur.</t>
        </is>
      </c>
      <c r="G287" s="29" t="inlineStr">
        <is>
          <t>ziyaretçi parkı, bezoekersregeling, bezoekersvergunning, E9, 2Park, mantelzorg, parkeren</t>
        </is>
      </c>
      <c r="H287" s="29" t="inlineStr">
        <is>
          <t>new;settled</t>
        </is>
      </c>
      <c r="I287" s="29" t="inlineStr">
        <is>
          <t>eindhoven:kaynak:156</t>
        </is>
      </c>
      <c r="J287" s="49" t="n">
        <v>46317</v>
      </c>
      <c r="K287" s="51" t="n">
        <v>1014</v>
      </c>
      <c r="L287" s="29" t="inlineStr">
        <is>
          <t>Hayır</t>
        </is>
      </c>
      <c r="M287" s="29" t="inlineStr">
        <is>
          <t>Taslak</t>
        </is>
      </c>
      <c r="N287" s="29" t="inlineStr">
        <is>
          <t>eindhoven:ulasim</t>
        </is>
      </c>
      <c r="O287" s="29" t="inlineStr">
        <is>
          <t>Adresinin ücretli park bölgesinde mi, E9 bölgesinde mi olduğunu belirle.
E9 bölgesindeysen izin sahibi olarak P-loket'ten bezoekersvergunning iste; ücretli bölgedeysen ilgili kılavuza göre bezoekersregeling başvur.
E9 bezoekersvergunning'inde ziyaretçi plakasını yalnızca gerçek ziyaretçi için bildir; mahallendeki bir adrese ait plakayı bildirirsen ceza alabilirsin.
Kullanmadığın bakiyenin iadesi için parkeren@eindhoven.nl adresine ad, adres ve hesap numaranı yaz.</t>
        </is>
      </c>
      <c r="P287" s="29" t="n"/>
      <c r="Q287" s="29" t="inlineStr">
        <is>
          <t>Çeyrekte en fazla 200 saat</t>
        </is>
      </c>
      <c r="R287" s="29" t="inlineStr">
        <is>
          <t>Ziyaretçi park ücreti saatte 0,20 euro (60 dakika); çeyrekte en çok 40 euro</t>
        </is>
      </c>
      <c r="S287" s="29" t="inlineStr">
        <is>
          <t>Adresin AUP listesindeyse bezoekersregeling başvurusu yapamazsın. Gayriresmî bakım (mantelzorg) alıyorsan ve 75 yaş ve üzerindeysen (ya da 75'ten gençsen geçerli WLZ/WMO endikasyonun varsa) mantelzorgregeling ile çeyrekte 200 ekstra ziyaretçi saati alabilirsin; bu yalnızca zaten etkin bir ziyaretçi düzenlemesinin üstüne eklenir. Park sisteminde arıza olsa da ödeme yükümlülüğü sürer; o durumda otomattan ya da park uygulamasından ödemen gerekir.</t>
        </is>
      </c>
      <c r="T287" s="29" t="n"/>
    </row>
    <row r="288" ht="54" customHeight="1">
      <c r="A288" s="29" t="inlineStr">
        <is>
          <t>eindhoven:park-izni-plaka-degisimi-tasinma</t>
        </is>
      </c>
      <c r="B288" s="29" t="inlineStr">
        <is>
          <t>eindhoven</t>
        </is>
      </c>
      <c r="C288" s="29" t="inlineStr">
        <is>
          <t>park-izni-plaka-degisimi-tasinma</t>
        </is>
      </c>
      <c r="D288" s="29" t="inlineStr">
        <is>
          <t>Park izninde plaka nasıl değiştirilir, taşınınca izin ne olur?</t>
        </is>
      </c>
      <c r="E288" s="29" t="inlineStr">
        <is>
          <t>Geçici plaka yılda 5 kez, her seferinde en fazla 7 gün</t>
        </is>
      </c>
      <c r="F288" s="29" t="inlineStr">
        <is>
          <t>Başka bir araç kullanıyorsan park izninin plakasını değiştirmen gerekir. Geçici değişim (örneğin leenauto için) 2Park üzerinden yapılır; yılda en fazla 5 kez ve her seferinde en fazla 7 gün için. Kalıcı değişimi P-loket'ten DigiD ile yaparsın; kendi aracınsa araç RDW'de adına kayıtlı olmalı. Taşınırsan izni P-loket'ten durdurman gerekir, aynı park bölgesi içinde taşınsan bile. Yeni adrese kayıt olur olmaz birkaç gün içinde yeni izin başvurusu yapabilirsin; yıllık ödenen bedelin kalanı otomatik iade edilir ve bu birkaç hafta sürebilir.</t>
        </is>
      </c>
      <c r="G288" s="29" t="inlineStr">
        <is>
          <t>park izni plaka, kenteken değiştirme, 2Park, taşınma, parkeervergunning iptali, P-loket, leenauto</t>
        </is>
      </c>
      <c r="H288" s="29" t="inlineStr">
        <is>
          <t>new;settled</t>
        </is>
      </c>
      <c r="I288" s="29" t="inlineStr">
        <is>
          <t>eindhoven:kaynak:156</t>
        </is>
      </c>
      <c r="J288" s="49" t="n">
        <v>46317</v>
      </c>
      <c r="K288" s="51" t="n">
        <v>1015</v>
      </c>
      <c r="L288" s="29" t="inlineStr">
        <is>
          <t>Hayır</t>
        </is>
      </c>
      <c r="M288" s="29" t="inlineStr">
        <is>
          <t>Taslak</t>
        </is>
      </c>
      <c r="N288" s="29" t="inlineStr">
        <is>
          <t>eindhoven:ulasim</t>
        </is>
      </c>
      <c r="O288" s="29" t="inlineStr">
        <is>
          <t>Geçici bir araç kullanıyorsan izninin 2Park ile bağlı olduğundan emin ol, sonra geçici plakayı 2Park'tan ayarla.
Kalıcı plaka değişimi için P-loket'e DigiD ile gir ve 'huidige vergunningen' altında ilgili izni seç.
Kendi aracının plakasını kalıcı yapacaksan aracın RDW'de adına kayıtlı olduğunu kontrol et.
Taşınıyorsan izni P-loket'ten durdur; yeni adrese kayıt olunca yeni izin başvur.</t>
        </is>
      </c>
      <c r="P288" s="29" t="inlineStr">
        <is>
          <t>DigiD</t>
        </is>
      </c>
      <c r="Q288" s="29" t="inlineStr">
        <is>
          <t>Yeni adrese kayıt olunca birkaç gün içinde yeni izin başvurulabilir; iade birkaç hafta sürebilir</t>
        </is>
      </c>
      <c r="R288" s="29" t="n"/>
      <c r="S288" s="29" t="inlineStr">
        <is>
          <t>Park izni bir yıl önceden ödendiği için izni durdurunca kalan bedel otomatik iade edilir. Ziyaretçi bakiyesinin iadesi ayrı: parkeren@eindhoven.nl adresine yazman gerekir.</t>
        </is>
      </c>
      <c r="T288" s="29" t="n"/>
    </row>
    <row r="289" ht="54" customHeight="1">
      <c r="A289" s="29" t="inlineStr">
        <is>
          <t>eindhoven:park-ride-meerhoven-genneper-parken</t>
        </is>
      </c>
      <c r="B289" s="29" t="inlineStr">
        <is>
          <t>eindhoven</t>
        </is>
      </c>
      <c r="C289" s="29" t="inlineStr">
        <is>
          <t>park-ride-meerhoven-genneper-parken</t>
        </is>
      </c>
      <c r="D289" s="29" t="inlineStr">
        <is>
          <t>Eindhoven P+R: Meerhoven ve Genneper Parken ile merkeze 0,50 euroya</t>
        </is>
      </c>
      <c r="E289" s="29" t="inlineStr">
        <is>
          <t>Arabayı şehir kenarında bırak, otobüsle merkeze git</t>
        </is>
      </c>
      <c r="F289" s="29" t="inlineStr">
        <is>
          <t>Eindhoven'da iki P+R var: A2 (Den Bosch) ve A58 (Tilburg) yönünden gelenler için N2'nin hemen yanındaki P+R Meerhoven, güneyden gelenler için P+R Genneper Parken (üstü kapalı otopark, 640 yer). Otomattan alınan otobüs bileti kişi başı gidiş-dönüş 0,50 euro; bileti park kartınla birlikte şoföre gösterirsin. Meerhoven'dan 401, 402 veya 403 hattı Philips Stadion, Piazza ve Centraal Station'a (son durak) gider. Genneper Parken'dan hat 7 ve Bravodirect 317 ile 318 merkeze ve Eindhoven CS istasyonuna gider.</t>
        </is>
      </c>
      <c r="G289" s="29" t="inlineStr">
        <is>
          <t>P+R, park et devam et, Meerhoven, Genneper Parken, Hermes, otobüs, merkeze ulaşım</t>
        </is>
      </c>
      <c r="H289" s="29" t="inlineStr">
        <is>
          <t>new;settled</t>
        </is>
      </c>
      <c r="I289" s="29" t="inlineStr">
        <is>
          <t>eindhoven:kaynak:157;eindhoven:kaynak:158</t>
        </is>
      </c>
      <c r="J289" s="49" t="n">
        <v>46317</v>
      </c>
      <c r="K289" s="51" t="n">
        <v>1016</v>
      </c>
      <c r="L289" s="29" t="inlineStr">
        <is>
          <t>Hayır</t>
        </is>
      </c>
      <c r="M289" s="29" t="inlineStr">
        <is>
          <t>Taslak</t>
        </is>
      </c>
      <c r="N289" s="29" t="inlineStr">
        <is>
          <t>eindhoven:ulasim</t>
        </is>
      </c>
      <c r="O289" s="29" t="inlineStr">
        <is>
          <t>Geldiğin yöne göre P+R seç: A2 ve A58 yönünden Meerhoven, güneyden Genneper Parken.
Arabanı park et ve otomattan P+R otobüs biletini al.
Otobüse binerken bileti ve park kartını şoföre göster.
Merkez dönüşünde aynı hattı kullan; Genneper'a dönüş için hafta içi 408 hattı 13:00-19:30 arası P+R'a gider.</t>
        </is>
      </c>
      <c r="P289" s="29" t="n"/>
      <c r="Q289" s="29" t="inlineStr">
        <is>
          <t>Hafta içi Bravodirect 408: 7-13 arası merkeze, 13:00-19:30 arası P+R'a</t>
        </is>
      </c>
      <c r="R289" s="29" t="inlineStr">
        <is>
          <t>Otobüs bileti kişi başı gidiş-dönüş 0,50 euro</t>
        </is>
      </c>
      <c r="S289" s="29" t="inlineStr">
        <is>
          <t>Meerhoven bileti yalnızca park kartıyla birlikte geçerli; biniş sırasında şoför ikisini de ister. Genneper Parken'da belediye arada park indirim kampanyaları yapıyor. P+R noktalarından deelscooter (paylaşımlı scooter) ya da (elektrikli) deelfiets (paylaşımlı bisiklet) ile de merkeze gidilebiliyor.</t>
        </is>
      </c>
      <c r="T289" s="29" t="n"/>
    </row>
    <row r="290" ht="54" customHeight="1">
      <c r="A290" s="29" t="inlineStr">
        <is>
          <t>eindhoven:ovpay-banka-karti-telefon-ile-binis</t>
        </is>
      </c>
      <c r="B290" s="29" t="inlineStr">
        <is>
          <t>eindhoven</t>
        </is>
      </c>
      <c r="C290" s="29" t="inlineStr">
        <is>
          <t>ovpay-banka-karti-telefon-ile-binis</t>
        </is>
      </c>
      <c r="D290" s="29" t="inlineStr">
        <is>
          <t>Hollanda'da toplu taşımaya OVpay ile banka kartı veya telefonla nasıl binilir?</t>
        </is>
      </c>
      <c r="E290" s="29" t="inlineStr">
        <is>
          <t>OV-chipkaart yerine temassız kartla check-in ve check-out</t>
        </is>
      </c>
      <c r="F290" s="29" t="inlineStr">
        <is>
          <t>OVpay ile toplu taşımada OV-chipkaart yerine temassız banka kartın, kredi kartın, telefonun ya da akıllı saatinle check-in ve check-out yaparsın. Binerken okutur, inerken aynı kartla check-out yaparsın; yolculuk ücreti banka hesabından otomatik çekilir. Fiyatlar, indirimsiz ve 2. sınıf yolculukta OV-chipkaart fiyatlarıyla aynı. 12 yaş altı ve 65 yaş üstü otobüs, tramvay ve metroda %34 indirim alabilir; bunu OVpay hesabından eklersin.</t>
        </is>
      </c>
      <c r="G290" s="29" t="inlineStr">
        <is>
          <t>OVpay, OV-chipkaart, check-in, check-out, banka kartı, toplu taşıma, 9292</t>
        </is>
      </c>
      <c r="H290" s="29" t="inlineStr">
        <is>
          <t>new;settled</t>
        </is>
      </c>
      <c r="I290" s="29" t="inlineStr">
        <is>
          <t>eindhoven:kaynak:159</t>
        </is>
      </c>
      <c r="J290" s="49" t="n">
        <v>46317</v>
      </c>
      <c r="K290" s="51" t="n">
        <v>1017</v>
      </c>
      <c r="L290" s="29" t="inlineStr">
        <is>
          <t>Hayır</t>
        </is>
      </c>
      <c r="M290" s="29" t="inlineStr">
        <is>
          <t>Taslak</t>
        </is>
      </c>
      <c r="N290" s="29" t="inlineStr">
        <is>
          <t>eindhoven:ulasim</t>
        </is>
      </c>
      <c r="O290" s="29" t="inlineStr">
        <is>
          <t>Temassız banka kartını, kredi kartını ya da telefondaki ödeme kartını cüzdandan veya telefon kılıfından çıkar ve binerken okut.
İnerken check-out'u aynı kartla yap.
Ücretin hesabından otomatik çekildiğini bil; 9292'de görünen beklenen ücretle karşılaştır, paranın hesaptan çekilmesi bazen bir gün sürebilir.
Check-out'u unuttuysan OVpay.nl/en'de seyahat özetine gir ve adım adım yönergelere göre para iadesi iste.
Yaş indirimi için OVpay uygulaması ya da OVpay.nl'de hesabına gir, kartını ekle ve 'Add age discount' seçeneğini izle.</t>
        </is>
      </c>
      <c r="P290" s="29" t="n"/>
      <c r="Q290" s="29" t="n"/>
      <c r="R290" s="29" t="n"/>
      <c r="S290" s="29" t="inlineStr">
        <is>
          <t>Tek kartla yalnızca kendin yolculuk edebilirsin; birden fazla kişi aynı kartla binemez. Banka ekstrende ödeme 'NLOV' ve ardından 14 haneyle başlıyor. Abonman ya da indirim ürününün banka kartıyla da geçerli olup olmadığını taşıma şirketinin sitesinden kontrol et.</t>
        </is>
      </c>
      <c r="T290" s="29" t="n"/>
    </row>
    <row r="291" ht="54" customHeight="1">
      <c r="A291" s="29" t="inlineStr">
        <is>
          <t>eindhoven:hermes-otobus-ucretleri-binis-ucreti</t>
        </is>
      </c>
      <c r="B291" s="29" t="inlineStr">
        <is>
          <t>eindhoven</t>
        </is>
      </c>
      <c r="C291" s="29" t="inlineStr">
        <is>
          <t>hermes-otobus-ucretleri-binis-ucreti</t>
        </is>
      </c>
      <c r="D291" s="29" t="inlineStr">
        <is>
          <t>Hermes otobüslerinde biniş ücreti ve kilometre ücreti ne kadar?</t>
        </is>
      </c>
      <c r="E291" s="29" t="inlineStr">
        <is>
          <t>Genelde 4 euro biniş ücreti; bazı uzun hatlarda 8 euro</t>
        </is>
      </c>
      <c r="F291" s="29" t="inlineStr">
        <is>
          <t>Hermes otobüslerinde biniş ücreti (boarding fare) genelde 4 euro. 11, 18, 19, 20, 23, 24, 123 ve 318-322 numaralı hatlarda biniş ücreti 8 euro; bu hatlarda check-in yapmak için kartında en az 4 euro bakiye olmalı. Biniş ücreti, check-out yapmazsan kesilir. OV-chipkaart ile yolculukta temel ücrete ek olarak kilometre başına 0,202 euro ödenir.</t>
        </is>
      </c>
      <c r="G291" s="29" t="inlineStr">
        <is>
          <t>Hermes, otobüs ücreti, biniş ücreti, boarding fare, OV-chipkaart, OVpay, kilometre ücreti</t>
        </is>
      </c>
      <c r="H291" s="29" t="inlineStr">
        <is>
          <t>new;settled</t>
        </is>
      </c>
      <c r="I291" s="29" t="inlineStr">
        <is>
          <t>eindhoven:kaynak:160</t>
        </is>
      </c>
      <c r="J291" s="49" t="n">
        <v>46317</v>
      </c>
      <c r="K291" s="51" t="n">
        <v>1018</v>
      </c>
      <c r="L291" s="29" t="inlineStr">
        <is>
          <t>Hayır</t>
        </is>
      </c>
      <c r="M291" s="29" t="inlineStr">
        <is>
          <t>Taslak</t>
        </is>
      </c>
      <c r="N291" s="29" t="inlineStr">
        <is>
          <t>eindhoven:ulasim</t>
        </is>
      </c>
      <c r="O291" s="29" t="inlineStr">
        <is>
          <t>Bineceğin hattın numarasına bak: 8 euro biniş ücretli hatlar listede.
8 euro biniş ücretli hatta bineceksen kartında en az 4 euro bakiye olduğundan emin ol.
İnerken mutlaka check-out yap; yapmazsan biniş ücreti kesilir.
Check-out unuttuysan OV-chipkaart için uitcheckgemist.nl'de, banka kartı veya telefon için OVpay.nl'de düzeltme yap.</t>
        </is>
      </c>
      <c r="P291" s="29" t="n"/>
      <c r="Q291" s="29" t="n"/>
      <c r="R291" s="29" t="inlineStr">
        <is>
          <t>Biniş ücreti genelde 4 euro, bazı hatlarda 8 euro; OV-chipkaart ile kilometre başına 0,202 euro</t>
        </is>
      </c>
      <c r="S291" s="29" t="inlineStr">
        <is>
          <t>Off-peak saatlerde Dalkorting Noord Brabant aboneliğiyle 8 euro biniş ücretli hatlarda da biniş ücreti 4 euro oluyor.</t>
        </is>
      </c>
      <c r="T291" s="29" t="n"/>
    </row>
    <row r="292" ht="54" customHeight="1">
      <c r="A292" s="29" t="inlineStr">
        <is>
          <t>eindhoven:9292-uygulamasi-yolculuk-planlama</t>
        </is>
      </c>
      <c r="B292" s="29" t="inlineStr">
        <is>
          <t>eindhoven</t>
        </is>
      </c>
      <c r="C292" s="29" t="inlineStr">
        <is>
          <t>9292-uygulamasi-yolculuk-planlama</t>
        </is>
      </c>
      <c r="D292" s="29" t="inlineStr">
        <is>
          <t>9292 uygulamasıyla toplu taşıma yolculuğu nasıl planlanır?</t>
        </is>
      </c>
      <c r="E292" s="29" t="inlineStr">
        <is>
          <t>Tüm Hollanda toplu taşıma işletmecileri tek uygulamada, gecikmeler dahil</t>
        </is>
      </c>
      <c r="F292" s="29" t="inlineStr">
        <is>
          <t>9292 uygulaması, Hollanda'daki tüm toplu taşıma işletmecilerinin kalkış saatlerini ve gecikmelerini güncel gösterir. Başlangıç ve varış noktasını yazarsın, uygulama seyahat önerisi çıkarır; 'Earlier' ve 'Later' ile daha erken ya da geç seçeneklere bakarsın. Kalkış yerine varış saatine göre planlama da yapabilirsin. Seçeneklerden aktarma süresini uzatabilir, ek ücretli (Intercity Direct gibi) veya rezervasyonlu ulaşımı dahil edebilir, erişilebilir yolculuk seçebilirsin.</t>
        </is>
      </c>
      <c r="G292" s="29" t="inlineStr">
        <is>
          <t>9292, yolculuk planlama, toplu taşıma, gecikme, Intercity Direct, aktarma, uygulama</t>
        </is>
      </c>
      <c r="H292" s="29" t="inlineStr">
        <is>
          <t>new;settled</t>
        </is>
      </c>
      <c r="I292" s="29" t="inlineStr">
        <is>
          <t>eindhoven:kaynak:161</t>
        </is>
      </c>
      <c r="J292" s="49" t="n">
        <v>46317</v>
      </c>
      <c r="K292" s="51" t="n">
        <v>1019</v>
      </c>
      <c r="L292" s="29" t="inlineStr">
        <is>
          <t>Hayır</t>
        </is>
      </c>
      <c r="M292" s="29" t="inlineStr">
        <is>
          <t>Taslak</t>
        </is>
      </c>
      <c r="N292" s="29" t="inlineStr">
        <is>
          <t>eindhoven:ulasim</t>
        </is>
      </c>
      <c r="O292" s="29" t="inlineStr">
        <is>
          <t>9292 uygulamasını aç.
'From' alanına başlangıç noktanı (adres, istasyon, posta kodu), 'To' alanına varış noktanı yaz.
Uygulamanın çıkardığı seyahat önerilerinden birine dokunup yolculuk ayrıntılarını gör; 'Earlier' ve 'Later' ile saati kaydır.
Varış saatine göre planlamak için 'Departure'a dokun, sonra 'Arrival'ı seç ve tarih-saati gir.
'Options' düğmesinden aktarma süresi, ek ücretli ulaşım, rezervasyonlu ulaşım ve erişilebilir yolculuk ayarlarını yap, 'Apply' ile uygula.</t>
        </is>
      </c>
      <c r="P292" s="29" t="n"/>
      <c r="Q292" s="29" t="n"/>
      <c r="R292" s="29" t="n"/>
      <c r="S292" s="29" t="inlineStr">
        <is>
          <t>Ek ücretli ulaşımı (ör. Intercity Direct) ve rezervasyon gerektiren araçları (ör. çağrı ile çalışan otobüs) planlamaya dahil etmek istersen 'Options' içindeki ilgili slider'ı açman gerekiyor. Bebek arabası ya da ağır bavulla yolculuk ederken 'Plan accessible journey' seçeneği işine yarar.</t>
        </is>
      </c>
      <c r="T292" s="29" t="n"/>
    </row>
    <row r="293" ht="54" customHeight="1">
      <c r="A293" s="29" t="inlineStr">
        <is>
          <t>eindhoven:bisiklet-cekildi-fietsdepot</t>
        </is>
      </c>
      <c r="B293" s="29" t="inlineStr">
        <is>
          <t>eindhoven</t>
        </is>
      </c>
      <c r="C293" s="29" t="inlineStr">
        <is>
          <t>bisiklet-cekildi-fietsdepot</t>
        </is>
      </c>
      <c r="D293" s="29" t="inlineStr">
        <is>
          <t>Eindhoven'da bisikletim çekildi: fietsdepot'tan nasıl geri alırım?</t>
        </is>
      </c>
      <c r="E293" s="29" t="inlineStr">
        <is>
          <t>Vestdijk 147, her iş günü 07:30-16:00, 20 euro, yalnızca kartla</t>
        </is>
      </c>
      <c r="F293" s="29" t="inlineStr">
        <is>
          <t>Eindhoven'da rafın dışında, yolu kapatacak şekilde ya da sokak mobilyasına bağlı bırakılan bisikletler fietsdepot'a götürülür. Belirlenmiş bölgelerde (iç şehir, Kruisstraat, Woenselse Markt, Winkelcentrum Woensel gibi) bisikleti 4 hafta (28 gün) aşan süre başıboş bırakmak yasak. Bisikletini kaybettiysen kayıp gününden sonraki günden itibaren verlorenofgevonden.nl'e bak. Depo Vestdijk 147'de, her iş günü 07:30-16:00 açık. Kimliğini ve bisikletin ya da kilidin anahtarını götür; teslim için 20 euro ödersin ve depo yalnızca kartla (pin) ödeme alır.</t>
        </is>
      </c>
      <c r="G293" s="29" t="inlineStr">
        <is>
          <t>bisiklet, fietsdepot, çekilen bisiklet, verlorenofgevonden, Vestdijk, bisiklet park yasağı, weesfiets</t>
        </is>
      </c>
      <c r="H293" s="29" t="inlineStr">
        <is>
          <t>new;settled</t>
        </is>
      </c>
      <c r="I293" s="29" t="inlineStr">
        <is>
          <t>eindhoven:kaynak:162</t>
        </is>
      </c>
      <c r="J293" s="49" t="n">
        <v>46317</v>
      </c>
      <c r="K293" s="51" t="n">
        <v>1020</v>
      </c>
      <c r="L293" s="29" t="inlineStr">
        <is>
          <t>Hayır</t>
        </is>
      </c>
      <c r="M293" s="29" t="inlineStr">
        <is>
          <t>Taslak</t>
        </is>
      </c>
      <c r="N293" s="29" t="inlineStr">
        <is>
          <t>eindhoven:ulasim</t>
        </is>
      </c>
      <c r="O293" s="29" t="inlineStr">
        <is>
          <t>Kayıp gününden sonraki günden itibaren verlorenofgevonden.nl'de bisikletini ara; çekilen bisikletler fotoğraf ve açıklamayla her iş günü güncellenir.
Bisikletini görürsen depoyu ara, e-posta at ya da doğrudan git: Vestdijk 147.
Kimliğini ve bisikletin ya da asma kilidin anahtarını yanına al.
20 euroyu kartla öde ve bisikletini al; bisikleti yalnızca sahibi alabilir.
Kaldırma kararına katılmıyorsan yazılı itiraz et; DigiD ile dijital itiraz da var.</t>
        </is>
      </c>
      <c r="P293" s="29" t="inlineStr">
        <is>
          <t>Kimlik belgesi (legitimatiebewijs)
Bisikletin veya asma kilidin anahtarı</t>
        </is>
      </c>
      <c r="Q293" s="29" t="inlineStr">
        <is>
          <t>Depo her iş günü 07:30-16:00 açık</t>
        </is>
      </c>
      <c r="R293" s="29" t="inlineStr">
        <is>
          <t>20 euro (kaldırma, depolama ve idari masraf); yalnızca kartla ödeme</t>
        </is>
      </c>
      <c r="S293" s="29" t="inlineStr">
        <is>
          <t>Belirlenmiş yasak bölgelerde 28 günden uzun süre başıboş duran bisikletler, yanlış park edilenler, tehlikeli veya engel olacak biçimde bırakılanlar ve kullanılamaz durumdaki bisikletler depoya götürülür. Sorular için depo: 040 238 50 23 veya 06 55 40 55 85, fietsdepot@eindhoven.nl.</t>
        </is>
      </c>
      <c r="T293" s="29" t="n"/>
    </row>
    <row r="294" ht="54" customHeight="1">
      <c r="A294" s="29" t="inlineStr">
        <is>
          <t>eindhoven:bisiklet-stalling-ucretsiz-gozetimli</t>
        </is>
      </c>
      <c r="B294" s="29" t="inlineStr">
        <is>
          <t>eindhoven</t>
        </is>
      </c>
      <c r="C294" s="29" t="inlineStr">
        <is>
          <t>bisiklet-stalling-ucretsiz-gozetimli</t>
        </is>
      </c>
      <c r="D294" s="29" t="inlineStr">
        <is>
          <t>Eindhoven'da bisikletimi nereye park ederim? Ücretsiz gözetimli stalling'ler</t>
        </is>
      </c>
      <c r="E294" s="29" t="inlineStr">
        <is>
          <t>18 Septemberplein, Heuvel ve WoensXL ücretsiz; NS istasyon stalling'leri ücretli</t>
        </is>
      </c>
      <c r="F294" s="29" t="inlineStr">
        <is>
          <t>Eindhoven'da üç gözetimli ücretsiz bisiklet stalling'i var: 18 Septemberplein (yaklaşık 1400 yer), Heuvel (900 yer) ve Winkelcentrum WoensXL (200 yer). NS istasyonunda Zuidzijde (5000 yer) ve Noordzijde (200 yer) stalling'leri yönetilen ve ücretli; tarifeler ve saatler ns.nl'de. 18 Septemberplein ve Heuvel stalling'lerine brom- ve snorfiets (moped) sokulamaz. Etkinliklerde ve Stratumseind çevresinde pop-up stalling kurulabiliyor, orada park etmek kendi sorumluluğunda.</t>
        </is>
      </c>
      <c r="G294" s="29" t="inlineStr">
        <is>
          <t>bisiklet park, fietsenstalling, 18 Septemberplein, Heuvel, WoensXL, NS istasyonu, ücretsiz stalling</t>
        </is>
      </c>
      <c r="H294" s="29" t="inlineStr">
        <is>
          <t>new;settled</t>
        </is>
      </c>
      <c r="I294" s="29" t="inlineStr">
        <is>
          <t>eindhoven:kaynak:163</t>
        </is>
      </c>
      <c r="J294" s="49" t="n">
        <v>46317</v>
      </c>
      <c r="K294" s="51" t="n">
        <v>1021</v>
      </c>
      <c r="L294" s="29" t="inlineStr">
        <is>
          <t>Hayır</t>
        </is>
      </c>
      <c r="M294" s="29" t="inlineStr">
        <is>
          <t>Taslak</t>
        </is>
      </c>
      <c r="N294" s="29" t="inlineStr">
        <is>
          <t>eindhoven:ulasim</t>
        </is>
      </c>
      <c r="O294" s="29" t="inlineStr">
        <is>
          <t>Gideceğin bölgeye en yakın stalling'i seç: 18 Septemberplein, Heuvel, WoensXL ya da NS istasyonu.
Açılış saatlerine bak; Heuvel Cuma-Cumartesi 04:30'a kadar açık.
Ücretsiz gözetimli stalling'lerde bisikletini bırak; 18 Septemberplein ve Heuvel'e brom- ve snorfiets sokma.
NS istasyonunda park edeceksen tarifeleri ns.nl'den kontrol et.</t>
        </is>
      </c>
      <c r="P294" s="29" t="n"/>
      <c r="Q294" s="29" t="inlineStr">
        <is>
          <t>18 Septemberplein: Pzt-Cmt 07:00-01:00, Pazar 11:00-01:00</t>
        </is>
      </c>
      <c r="R294" s="29" t="inlineStr">
        <is>
          <t>18 Septemberplein, Heuvel ve WoensXL ücretsiz; NS stalling'leri ücretli (tarife ns.nl'de)</t>
        </is>
      </c>
      <c r="S294" s="29" t="inlineStr">
        <is>
          <t>Heuvel saatleri: Pzt-Prş 08:00-22:30, Cuma-Cumartesi 08:00-04:30, Pazar 08:00-22:30. Pop-up stalling bazen bisiklet koçlarıyla (fietscoach) da yönetiliyor.</t>
        </is>
      </c>
      <c r="T294" s="29" t="n"/>
    </row>
    <row r="295" ht="54" customHeight="1">
      <c r="A295" s="29" t="inlineStr">
        <is>
          <t>eindhoven:calinan-bisiklet-polise-ihbar</t>
        </is>
      </c>
      <c r="B295" s="29" t="inlineStr">
        <is>
          <t>eindhoven</t>
        </is>
      </c>
      <c r="C295" s="29" t="inlineStr">
        <is>
          <t>calinan-bisiklet-polise-ihbar</t>
        </is>
      </c>
      <c r="D295" s="29" t="inlineStr">
        <is>
          <t>Bisikletim çalındı: Hollanda'da polise ihbar (aangifte) nasıl yapılır?</t>
        </is>
      </c>
      <c r="E295" s="29" t="inlineStr">
        <is>
          <t>İhbar yapılmazsa polis üzerinden bisikleti geri alma şansı yok</t>
        </is>
      </c>
      <c r="F295" s="29" t="inlineStr">
        <is>
          <t>Bisikletin çalındıysa mutlaka polise ihbar (aangifte) yap; bunu politie.nl/aangifte üzerinden online ya da bir karakolda yapabilirsin. Yalnızca ihbar edilen bisiklet fietsdiefstalregister'e (bisiklet hırsızlığı sicili) girer; bu, bisikleti bulmaya ve hırsızı ve çalıntı malı alıp satan kişiyi (heler) yakalamaya yardımcı olur. Bisiklet bulunursa polisle görüşerek sana geri getirilmesi de mümkün. İhbar yapmazsan polis üzerinden bisikletini geri alma şansın yok.</t>
        </is>
      </c>
      <c r="G295" s="29" t="inlineStr">
        <is>
          <t>bisiklet çalındı, aangifte, polis ihbar, fietsdiefstalregister, politie.nl, bisiklet hırsızlığı</t>
        </is>
      </c>
      <c r="H295" s="29" t="inlineStr">
        <is>
          <t>new;settled</t>
        </is>
      </c>
      <c r="I295" s="29" t="inlineStr">
        <is>
          <t>eindhoven:kaynak:162;eindhoven:kaynak:164</t>
        </is>
      </c>
      <c r="J295" s="49" t="n">
        <v>46317</v>
      </c>
      <c r="K295" s="51" t="n">
        <v>1022</v>
      </c>
      <c r="L295" s="29" t="inlineStr">
        <is>
          <t>Hayır</t>
        </is>
      </c>
      <c r="M295" s="29" t="inlineStr">
        <is>
          <t>Taslak</t>
        </is>
      </c>
      <c r="N295" s="29" t="inlineStr">
        <is>
          <t>eindhoven:ulasim</t>
        </is>
      </c>
      <c r="O295" s="29" t="inlineStr">
        <is>
          <t>politie.nl/aangifte üzerinden online ihbar yap ya da bir karakola git.
İhbarı mutlaka yap: bisikletin yalnızca böyle hırsızlık sicilinde kayıt altına girer.
Bisiklet bulunursa polisle görüşerek sana geri getirilmesini iste.
Bisikletin çalınmadı da kayıpsa verlorenofgevonden.nl'e bak.</t>
        </is>
      </c>
      <c r="P295" s="29" t="n"/>
      <c r="Q295" s="29" t="n"/>
      <c r="R295" s="29" t="n"/>
      <c r="S295" s="29" t="inlineStr">
        <is>
          <t>Bisikletin belediye tarafından yanlış park nedeniyle kaldırılmış olabilir: bu bisikletler fotoğraf ve açıklamayla verlorenofgevonden.nl'e konuyor ve fietsdepot'tan alınıyor (ayrı kart). Çalındığını düşünüyorsan Eindhoven belediyesi de önce polise ihbarı, ayrıca politie.nl ile stopheling.nl'yi öneriyor.</t>
        </is>
      </c>
      <c r="T295" s="29" t="n"/>
    </row>
    <row r="296" ht="54" customHeight="1">
      <c r="A296" s="29" t="inlineStr">
        <is>
          <t>eindhoven:eindhoven-havalimani-toplu-tasima</t>
        </is>
      </c>
      <c r="B296" s="29" t="inlineStr">
        <is>
          <t>eindhoven</t>
        </is>
      </c>
      <c r="C296" s="29" t="inlineStr">
        <is>
          <t>eindhoven-havalimani-toplu-tasima</t>
        </is>
      </c>
      <c r="D296" s="29" t="inlineStr">
        <is>
          <t>Eindhoven Havalimanı'na toplu taşımayla nasıl gidilir?</t>
        </is>
      </c>
      <c r="E296" s="29" t="inlineStr">
        <is>
          <t>Centraal'dan 400 ve 401, Best istasyonundan 20 numaralı otobüs</t>
        </is>
      </c>
      <c r="F296" s="29" t="inlineStr">
        <is>
          <t>Eindhoven Havalimanı'na Eindhoven Centraal'dan 400 ve 401 numaralı otobüslerle gidilir; NS Best istasyonundan 20 numaralı hat var. 400 ve 401 saatte birkaç kez kalkar, güncel saatler Hermes sitesinde. Terminalin yanındaki (P1) durak, otobüsün bindirip indirdiği yer. Tren biletini Hollanda'daki her istasyondan havalimanına alabilirsin, ancak Eindhoven Centraal'dan havalimanına otobüsle gidersin. OVpay ile banka kartıyla check-in ve check-out yapabilirsin.</t>
        </is>
      </c>
      <c r="G296" s="29" t="inlineStr">
        <is>
          <t>Eindhoven Havalimanı, havalimanı ulaşım, 400, 401, hat 20, Best istasyonu, Hermes, OVpay</t>
        </is>
      </c>
      <c r="H296" s="29" t="inlineStr">
        <is>
          <t>planning;new;settled</t>
        </is>
      </c>
      <c r="I296" s="29" t="inlineStr">
        <is>
          <t>eindhoven:kaynak:165</t>
        </is>
      </c>
      <c r="J296" s="49" t="n">
        <v>46317</v>
      </c>
      <c r="K296" s="51" t="n">
        <v>1023</v>
      </c>
      <c r="L296" s="29" t="inlineStr">
        <is>
          <t>Hayır</t>
        </is>
      </c>
      <c r="M296" s="29" t="inlineStr">
        <is>
          <t>Taslak</t>
        </is>
      </c>
      <c r="N296" s="29" t="inlineStr">
        <is>
          <t>eindhoven:ulasim</t>
        </is>
      </c>
      <c r="O296" s="29" t="inlineStr">
        <is>
          <t>9292 ya da NS yolculuk planlayıcısında güncel toplu taşıma bilgisine bak.
Trenle Eindhoven Centraal'a ya da Best istasyonuna git.
Centraal'dan 400 veya 401, Best'ten 20 numaralı otobüse bin.
Terminalin yanındaki (P1) durakta in.
OVpay ile ödeyeceksen banka kartınla check-in ve check-out yap.</t>
        </is>
      </c>
      <c r="P296" s="29" t="n"/>
      <c r="Q296" s="29" t="inlineStr">
        <is>
          <t>400 ve 401 saatte birkaç kez; saatler Hermes sitesinde</t>
        </is>
      </c>
      <c r="R296" s="29" t="n"/>
      <c r="S296" s="29" t="inlineStr">
        <is>
          <t>Havalimanında toplu taşıma için OV-chipkaart yükleme noktası yok; kişisel OV-chipkaart'ını online yükleyebilirsin.</t>
        </is>
      </c>
      <c r="T296" s="29" t="n"/>
    </row>
    <row r="297" ht="54" customHeight="1">
      <c r="A297" s="29" t="n"/>
      <c r="B297" s="29" t="n"/>
      <c r="C297" s="29" t="n"/>
      <c r="D297" s="29" t="n"/>
      <c r="E297" s="29" t="n"/>
      <c r="F297" s="29" t="n"/>
      <c r="G297" s="29" t="n"/>
      <c r="H297" s="29" t="n"/>
      <c r="I297" s="29" t="n"/>
      <c r="J297" s="49" t="n"/>
      <c r="K297" s="51" t="n"/>
      <c r="L297" s="29" t="n"/>
      <c r="M297" s="29" t="n"/>
      <c r="N297" s="29" t="n"/>
      <c r="O297" s="29" t="n"/>
      <c r="P297" s="29" t="n"/>
      <c r="Q297" s="29" t="n"/>
      <c r="R297" s="29" t="n"/>
      <c r="S297" s="29" t="n"/>
      <c r="T297" s="29" t="n"/>
    </row>
    <row r="298" ht="54" customHeight="1">
      <c r="A298" s="29" t="n"/>
      <c r="B298" s="29" t="n"/>
      <c r="C298" s="29" t="n"/>
      <c r="D298" s="29" t="n"/>
      <c r="E298" s="29" t="n"/>
      <c r="F298" s="29" t="n"/>
      <c r="G298" s="29" t="n"/>
      <c r="H298" s="29" t="n"/>
      <c r="I298" s="29" t="n"/>
      <c r="J298" s="49" t="n"/>
      <c r="K298" s="51" t="n"/>
      <c r="L298" s="29" t="n"/>
      <c r="M298" s="29" t="n"/>
      <c r="N298" s="29" t="n"/>
      <c r="O298" s="29" t="n"/>
      <c r="P298" s="29" t="n"/>
      <c r="Q298" s="29" t="n"/>
      <c r="R298" s="29" t="n"/>
      <c r="S298" s="29" t="n"/>
      <c r="T298" s="29" t="n"/>
    </row>
    <row r="299" ht="54" customHeight="1">
      <c r="A299" s="29" t="n"/>
      <c r="B299" s="29" t="n"/>
      <c r="C299" s="29" t="n"/>
      <c r="D299" s="29" t="n"/>
      <c r="E299" s="29" t="n"/>
      <c r="F299" s="29" t="n"/>
      <c r="G299" s="29" t="n"/>
      <c r="H299" s="29" t="n"/>
      <c r="I299" s="29" t="n"/>
      <c r="J299" s="49" t="n"/>
      <c r="K299" s="51" t="n"/>
      <c r="L299" s="29" t="n"/>
      <c r="M299" s="29" t="n"/>
      <c r="N299" s="29" t="n"/>
      <c r="O299" s="29" t="n"/>
      <c r="P299" s="29" t="n"/>
      <c r="Q299" s="29" t="n"/>
      <c r="R299" s="29" t="n"/>
      <c r="S299" s="29" t="n"/>
      <c r="T299" s="29" t="n"/>
    </row>
    <row r="300" ht="54" customHeight="1">
      <c r="A300" s="29" t="n"/>
      <c r="B300" s="29" t="n"/>
      <c r="C300" s="29" t="n"/>
      <c r="D300" s="29" t="n"/>
      <c r="E300" s="29" t="n"/>
      <c r="F300" s="29" t="n"/>
      <c r="G300" s="29" t="n"/>
      <c r="H300" s="29" t="n"/>
      <c r="I300" s="29" t="n"/>
      <c r="J300" s="49" t="n"/>
      <c r="K300" s="51" t="n"/>
      <c r="L300" s="29" t="n"/>
      <c r="M300" s="29" t="n"/>
      <c r="N300" s="29" t="n"/>
      <c r="O300" s="29" t="n"/>
      <c r="P300" s="29" t="n"/>
      <c r="Q300" s="29" t="n"/>
      <c r="R300" s="29" t="n"/>
      <c r="S300" s="29" t="n"/>
      <c r="T300" s="29" t="n"/>
    </row>
    <row r="301" ht="54" customHeight="1">
      <c r="A301" s="29" t="n"/>
      <c r="B301" s="29" t="n"/>
      <c r="C301" s="29" t="n"/>
      <c r="D301" s="29" t="n"/>
      <c r="E301" s="29" t="n"/>
      <c r="F301" s="29" t="n"/>
      <c r="G301" s="29" t="n"/>
      <c r="H301" s="29" t="n"/>
      <c r="I301" s="29" t="n"/>
      <c r="J301" s="49" t="n"/>
      <c r="K301" s="51" t="n"/>
      <c r="L301" s="29" t="n"/>
      <c r="M301" s="29" t="n"/>
      <c r="N301" s="29" t="n"/>
      <c r="O301" s="29" t="n"/>
      <c r="P301" s="29" t="n"/>
      <c r="Q301" s="29" t="n"/>
      <c r="R301" s="29" t="n"/>
      <c r="S301" s="29" t="n"/>
      <c r="T301" s="29" t="n"/>
    </row>
    <row r="302" ht="54" customHeight="1">
      <c r="A302" s="29" t="n"/>
      <c r="B302" s="29" t="n"/>
      <c r="C302" s="29" t="n"/>
      <c r="D302" s="29" t="n"/>
      <c r="E302" s="29" t="n"/>
      <c r="F302" s="29" t="n"/>
      <c r="G302" s="29" t="n"/>
      <c r="H302" s="29" t="n"/>
      <c r="I302" s="29" t="n"/>
      <c r="J302" s="49" t="n"/>
      <c r="K302" s="51" t="n"/>
      <c r="L302" s="29" t="n"/>
      <c r="M302" s="29" t="n"/>
      <c r="N302" s="29" t="n"/>
      <c r="O302" s="29" t="n"/>
      <c r="P302" s="29" t="n"/>
      <c r="Q302" s="29" t="n"/>
      <c r="R302" s="29" t="n"/>
      <c r="S302" s="29" t="n"/>
      <c r="T302" s="29" t="n"/>
    </row>
    <row r="303" ht="54" customHeight="1">
      <c r="A303" s="29" t="n"/>
      <c r="B303" s="29" t="n"/>
      <c r="C303" s="29" t="n"/>
      <c r="D303" s="29" t="n"/>
      <c r="E303" s="29" t="n"/>
      <c r="F303" s="29" t="n"/>
      <c r="G303" s="29" t="n"/>
      <c r="H303" s="29" t="n"/>
      <c r="I303" s="29" t="n"/>
      <c r="J303" s="49" t="n"/>
      <c r="K303" s="51" t="n"/>
      <c r="L303" s="29" t="n"/>
      <c r="M303" s="29" t="n"/>
      <c r="N303" s="29" t="n"/>
      <c r="O303" s="29" t="n"/>
      <c r="P303" s="29" t="n"/>
      <c r="Q303" s="29" t="n"/>
      <c r="R303" s="29" t="n"/>
      <c r="S303" s="29" t="n"/>
      <c r="T303" s="29" t="n"/>
    </row>
    <row r="304" ht="54" customHeight="1">
      <c r="A304" s="29" t="n"/>
      <c r="B304" s="29" t="n"/>
      <c r="C304" s="29" t="n"/>
      <c r="D304" s="29" t="n"/>
      <c r="E304" s="29" t="n"/>
      <c r="F304" s="29" t="n"/>
      <c r="G304" s="29" t="n"/>
      <c r="H304" s="29" t="n"/>
      <c r="I304" s="29" t="n"/>
      <c r="J304" s="49" t="n"/>
      <c r="K304" s="51" t="n"/>
      <c r="L304" s="29" t="n"/>
      <c r="M304" s="29" t="n"/>
      <c r="N304" s="29" t="n"/>
      <c r="O304" s="29" t="n"/>
      <c r="P304" s="29" t="n"/>
      <c r="Q304" s="29" t="n"/>
      <c r="R304" s="29" t="n"/>
      <c r="S304" s="29" t="n"/>
      <c r="T304" s="29" t="n"/>
    </row>
    <row r="305" ht="54" customHeight="1">
      <c r="A305" s="29" t="n"/>
      <c r="B305" s="29" t="n"/>
      <c r="C305" s="29" t="n"/>
      <c r="D305" s="29" t="n"/>
      <c r="E305" s="29" t="n"/>
      <c r="F305" s="29" t="n"/>
      <c r="G305" s="29" t="n"/>
      <c r="H305" s="29" t="n"/>
      <c r="I305" s="29" t="n"/>
      <c r="J305" s="49" t="n"/>
      <c r="K305" s="51" t="n"/>
      <c r="L305" s="29" t="n"/>
      <c r="M305" s="29" t="n"/>
      <c r="N305" s="29" t="n"/>
      <c r="O305" s="29" t="n"/>
      <c r="P305" s="29" t="n"/>
      <c r="Q305" s="29" t="n"/>
      <c r="R305" s="29" t="n"/>
      <c r="S305" s="29" t="n"/>
      <c r="T305" s="29" t="n"/>
    </row>
    <row r="306" ht="54" customHeight="1">
      <c r="A306" s="29" t="n"/>
      <c r="B306" s="29" t="n"/>
      <c r="C306" s="29" t="n"/>
      <c r="D306" s="29" t="n"/>
      <c r="E306" s="29" t="n"/>
      <c r="F306" s="29" t="n"/>
      <c r="G306" s="29" t="n"/>
      <c r="H306" s="29" t="n"/>
      <c r="I306" s="29" t="n"/>
      <c r="J306" s="49" t="n"/>
      <c r="K306" s="51" t="n"/>
      <c r="L306" s="29" t="n"/>
      <c r="M306" s="29" t="n"/>
      <c r="N306" s="29" t="n"/>
      <c r="O306" s="29" t="n"/>
      <c r="P306" s="29" t="n"/>
      <c r="Q306" s="29" t="n"/>
      <c r="R306" s="29" t="n"/>
      <c r="S306" s="29" t="n"/>
      <c r="T306" s="29" t="n"/>
    </row>
    <row r="307" ht="54" customHeight="1">
      <c r="A307" s="29" t="n"/>
      <c r="B307" s="29" t="n"/>
      <c r="C307" s="29" t="n"/>
      <c r="D307" s="29" t="n"/>
      <c r="E307" s="29" t="n"/>
      <c r="F307" s="29" t="n"/>
      <c r="G307" s="29" t="n"/>
      <c r="H307" s="29" t="n"/>
      <c r="I307" s="29" t="n"/>
      <c r="J307" s="49" t="n"/>
      <c r="K307" s="51" t="n"/>
      <c r="L307" s="29" t="n"/>
      <c r="M307" s="29" t="n"/>
      <c r="N307" s="29" t="n"/>
      <c r="O307" s="29" t="n"/>
      <c r="P307" s="29" t="n"/>
      <c r="Q307" s="29" t="n"/>
      <c r="R307" s="29" t="n"/>
      <c r="S307" s="29" t="n"/>
      <c r="T307" s="29" t="n"/>
    </row>
  </sheetData>
  <mergeCells count="1">
    <mergeCell ref="A3:H3"/>
  </mergeCells>
  <conditionalFormatting sqref="A8:A307">
    <cfRule type="expression" priority="1" dxfId="1">
      <formula>AND($A8&lt;&gt;"",ISBLANK(A8))</formula>
    </cfRule>
  </conditionalFormatting>
  <conditionalFormatting sqref="B8:B307">
    <cfRule type="expression" priority="2" dxfId="1">
      <formula>AND($A8&lt;&gt;"",ISBLANK(B8))</formula>
    </cfRule>
  </conditionalFormatting>
  <conditionalFormatting sqref="C8:C307">
    <cfRule type="expression" priority="3" dxfId="1">
      <formula>AND($A8&lt;&gt;"",ISBLANK(C8))</formula>
    </cfRule>
  </conditionalFormatting>
  <conditionalFormatting sqref="D8:D307">
    <cfRule type="expression" priority="4" dxfId="1">
      <formula>AND($A8&lt;&gt;"",ISBLANK(D8))</formula>
    </cfRule>
  </conditionalFormatting>
  <conditionalFormatting sqref="F8:F307">
    <cfRule type="expression" priority="5" dxfId="1">
      <formula>AND($A8&lt;&gt;"",ISBLANK(F8))</formula>
    </cfRule>
  </conditionalFormatting>
  <conditionalFormatting sqref="I8:I307">
    <cfRule type="expression" priority="6" dxfId="1">
      <formula>AND($A8&lt;&gt;"",ISBLANK(I8))</formula>
    </cfRule>
  </conditionalFormatting>
  <conditionalFormatting sqref="J8:J307">
    <cfRule type="expression" priority="7" dxfId="1">
      <formula>AND($A8&lt;&gt;"",ISBLANK(J8))</formula>
    </cfRule>
  </conditionalFormatting>
  <conditionalFormatting sqref="K8:K307">
    <cfRule type="expression" priority="8" dxfId="1">
      <formula>AND($A8&lt;&gt;"",ISBLANK(K8))</formula>
    </cfRule>
  </conditionalFormatting>
  <conditionalFormatting sqref="L8:L307">
    <cfRule type="expression" priority="9" dxfId="1">
      <formula>AND($A8&lt;&gt;"",ISBLANK(L8))</formula>
    </cfRule>
  </conditionalFormatting>
  <conditionalFormatting sqref="M8:M307">
    <cfRule type="expression" priority="10" dxfId="1">
      <formula>AND($A8&lt;&gt;"",ISBLANK(M8))</formula>
    </cfRule>
  </conditionalFormatting>
  <conditionalFormatting sqref="N8:N307">
    <cfRule type="expression" priority="11" dxfId="1">
      <formula>AND($A8&lt;&gt;"",ISBLANK(N8))</formula>
    </cfRule>
  </conditionalFormatting>
  <conditionalFormatting sqref="O8:O307">
    <cfRule type="expression" priority="12" dxfId="1">
      <formula>AND($A8&lt;&gt;"",ISBLANK(O8))</formula>
    </cfRule>
  </conditionalFormatting>
  <dataValidations count="2">
    <dataValidation sqref="L8:L307" showDropDown="0" showInputMessage="0" showErrorMessage="0" allowBlank="0" type="list">
      <formula1>"Evet,Hayır"</formula1>
    </dataValidation>
    <dataValidation sqref="M8:M3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W18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8" customWidth="1" min="21" max="21"/>
    <col width="28" customWidth="1" min="22" max="22"/>
    <col width="2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Keşif noktaları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t>
        </is>
      </c>
      <c r="P5" s="22" t="inlineStr">
        <is>
          <t>Zorunlu</t>
        </is>
      </c>
      <c r="Q5" s="22" t="inlineStr">
        <is>
          <t>Zorunlu</t>
        </is>
      </c>
      <c r="R5" s="22" t="inlineStr">
        <is>
          <t>İsteğe bağlı</t>
        </is>
      </c>
      <c r="S5" s="22" t="inlineStr">
        <is>
          <t>İsteğe bağlı</t>
        </is>
      </c>
      <c r="T5" s="22" t="inlineStr">
        <is>
          <t>İsteğe bağlı</t>
        </is>
      </c>
      <c r="U5" s="22" t="inlineStr">
        <is>
          <t>İsteğe bağlı</t>
        </is>
      </c>
      <c r="V5" s="22" t="inlineStr">
        <is>
          <t>Zorunlu</t>
        </is>
      </c>
      <c r="W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Keşif grubu</t>
        </is>
      </c>
      <c r="O6" s="25" t="inlineStr">
        <is>
          <t>Mahalle / ilçe</t>
        </is>
      </c>
      <c r="P6" s="25" t="inlineStr">
        <is>
          <t>Ortam</t>
        </is>
      </c>
      <c r="Q6" s="25" t="inlineStr">
        <is>
          <t>Adres / konum</t>
        </is>
      </c>
      <c r="R6" s="25" t="inlineStr">
        <is>
          <t>Enlem</t>
        </is>
      </c>
      <c r="S6" s="25" t="inlineStr">
        <is>
          <t>Boylam</t>
        </is>
      </c>
      <c r="T6" s="25" t="inlineStr">
        <is>
          <t>Ziyaret durumu</t>
        </is>
      </c>
      <c r="U6" s="25" t="inlineStr">
        <is>
          <t>Ziyaret notu</t>
        </is>
      </c>
      <c r="V6" s="25" t="inlineStr">
        <is>
          <t>Derleme / dizin</t>
        </is>
      </c>
      <c r="W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group</t>
        </is>
      </c>
      <c r="O7" s="28" t="inlineStr">
        <is>
          <t>district</t>
        </is>
      </c>
      <c r="P7" s="28" t="inlineStr">
        <is>
          <t>setting</t>
        </is>
      </c>
      <c r="Q7" s="28" t="inlineStr">
        <is>
          <t>location</t>
        </is>
      </c>
      <c r="R7" s="28" t="inlineStr">
        <is>
          <t>latitude</t>
        </is>
      </c>
      <c r="S7" s="28" t="inlineStr">
        <is>
          <t>longitude</t>
        </is>
      </c>
      <c r="T7" s="28" t="inlineStr">
        <is>
          <t>visit_status</t>
        </is>
      </c>
      <c r="U7" s="28" t="inlineStr">
        <is>
          <t>note</t>
        </is>
      </c>
      <c r="V7" s="28" t="inlineStr">
        <is>
          <t>collection</t>
        </is>
      </c>
      <c r="W7" s="28" t="inlineStr">
        <is>
          <t>media_key</t>
        </is>
      </c>
    </row>
    <row r="8" ht="54" customHeight="1">
      <c r="A8" s="29" t="inlineStr">
        <is>
          <t>eindhoven:van-abbemuseum</t>
        </is>
      </c>
      <c r="B8" s="29" t="inlineStr">
        <is>
          <t>eindhoven</t>
        </is>
      </c>
      <c r="C8" s="29" t="inlineStr">
        <is>
          <t>van-abbemuseum</t>
        </is>
      </c>
      <c r="D8" s="29" t="inlineStr">
        <is>
          <t>Van Abbemuseum</t>
        </is>
      </c>
      <c r="E8" s="29" t="inlineStr">
        <is>
          <t>Stratumsedijk'teki sanat müzesi; koleksiyon, kütüphane, müze dükkânı ve kafe bir arada</t>
        </is>
      </c>
      <c r="F8" s="29" t="inlineStr">
        <is>
          <t>Van Abbemuseum, Stratumsedijk 2'de; salıdan pazara 11.00–17.00 arası açık. Yetişkin bileti 16 euro, 13 yaşından küçük çocuklar ücretsiz; öğrenciler, CJP ve Teacher Card sahipleri 8 euro öder. 2 yetişkin ve en çok 3 çocuk için aile bileti 32 euro. Museumkaart ile giriş ücretsiz; Museumkaart'ı müzenin gişesinden de alabilirsiniz.</t>
        </is>
      </c>
      <c r="G8" s="29" t="inlineStr">
        <is>
          <t>Van Abbemuseum, sanat müzesi, Museumkaart, müze bileti, Stratumsedijk, Eindhoven müze</t>
        </is>
      </c>
      <c r="H8" s="29" t="inlineStr">
        <is>
          <t>new;settled</t>
        </is>
      </c>
      <c r="I8" s="29" t="inlineStr">
        <is>
          <t>eindhoven:kaynak:244;eindhoven:kaynak:179</t>
        </is>
      </c>
      <c r="J8" s="49" t="n">
        <v>46317</v>
      </c>
      <c r="K8" s="51" t="n">
        <v>2001</v>
      </c>
      <c r="L8" s="29" t="inlineStr">
        <is>
          <t>Evet</t>
        </is>
      </c>
      <c r="M8" s="29" t="inlineStr">
        <is>
          <t>Taslak</t>
        </is>
      </c>
      <c r="N8" s="29" t="inlineStr">
        <is>
          <t>Müzeler</t>
        </is>
      </c>
      <c r="O8" s="29" t="inlineStr">
        <is>
          <t>Centrum</t>
        </is>
      </c>
      <c r="P8" s="29" t="inlineStr">
        <is>
          <t>Kapalı alan</t>
        </is>
      </c>
      <c r="Q8" s="29" t="inlineStr">
        <is>
          <t>Stratumsedijk 2, 5611 ND Eindhoven</t>
        </is>
      </c>
      <c r="R8" s="50" t="n">
        <v>51.43472</v>
      </c>
      <c r="S8" s="50" t="n">
        <v>5.48194</v>
      </c>
      <c r="T8" s="29" t="n"/>
      <c r="U8" s="29" t="inlineStr">
        <is>
          <t>Salı günleri 15.00–17.00 arası giriş ücretsiz. Mont, A3'ten büyük çanta, sırt çantası ve şemsiye salonlara alınmıyor; bunlar için sınırlı sayıda ücretsiz dolap var. Telefonla ya da elde taşınan kamerayla fotoğraf çekmek serbest.</t>
        </is>
      </c>
      <c r="V8" s="29" t="inlineStr">
        <is>
          <t>Hayır</t>
        </is>
      </c>
      <c r="W8" s="29" t="n"/>
    </row>
    <row r="9" ht="54" customHeight="1">
      <c r="A9" s="29" t="inlineStr">
        <is>
          <t>eindhoven:philips-museum</t>
        </is>
      </c>
      <c r="B9" s="29" t="inlineStr">
        <is>
          <t>eindhoven</t>
        </is>
      </c>
      <c r="C9" s="29" t="inlineStr">
        <is>
          <t>philips-museum</t>
        </is>
      </c>
      <c r="D9" s="29" t="inlineStr">
        <is>
          <t>Philips Museum</t>
        </is>
      </c>
      <c r="E9" s="29" t="inlineStr">
        <is>
          <t>Emmasingel'deki Philips müzesi; ücretsiz sesli rehberin Türkçe seçeneği var</t>
        </is>
      </c>
      <c r="F9" s="29" t="inlineStr">
        <is>
          <t>Philips Museum, Emmasingel 31'de. Yetişkin bileti 13,50 euro ve sesli rehber dahil; 4–17 yaş arası çocuklar 7 euro öder, 3 yaşına kadar çocuklar ücretsiz. Geçerli öğrenci kartıyla (mbo, hbo, üniversite) ve CJP kartıyla bilet 7 euro. Museumkaart ile giriş ücretsiz, ama müze Museumkaart satmıyor. Online alınan e-bilet yalnız üzerinde yazan gün geçerli; paraya ya da başka bilete çevrilmiyor.</t>
        </is>
      </c>
      <c r="G9" s="29" t="inlineStr">
        <is>
          <t>Philips Museum, Emmasingel, Philips tarihi, sesli rehber Türkçe, müze bileti, Museumkaart</t>
        </is>
      </c>
      <c r="H9" s="29" t="inlineStr">
        <is>
          <t>new;settled</t>
        </is>
      </c>
      <c r="I9" s="29" t="inlineStr">
        <is>
          <t>eindhoven:kaynak:245</t>
        </is>
      </c>
      <c r="J9" s="49" t="n">
        <v>46317</v>
      </c>
      <c r="K9" s="51" t="n">
        <v>2002</v>
      </c>
      <c r="L9" s="29" t="inlineStr">
        <is>
          <t>Evet</t>
        </is>
      </c>
      <c r="M9" s="29" t="inlineStr">
        <is>
          <t>Taslak</t>
        </is>
      </c>
      <c r="N9" s="29" t="inlineStr">
        <is>
          <t>Müzeler</t>
        </is>
      </c>
      <c r="O9" s="29" t="inlineStr">
        <is>
          <t>Centrum</t>
        </is>
      </c>
      <c r="P9" s="29" t="inlineStr">
        <is>
          <t>Kapalı alan</t>
        </is>
      </c>
      <c r="Q9" s="29" t="inlineStr">
        <is>
          <t>Emmasingel 31, 5611 AZ Eindhoven</t>
        </is>
      </c>
      <c r="R9" s="50" t="n">
        <v>51.43927</v>
      </c>
      <c r="S9" s="50" t="n">
        <v>5.47524</v>
      </c>
      <c r="T9" s="29" t="n"/>
      <c r="U9" s="29" t="inlineStr">
        <is>
          <t>Bilete dahil sesli rehber Türkçe de dinlenebiliyor. Salı öğleden sonra 15.30'dan itibaren giriş ücretsiz; ulusal okul tatillerinde ve 10 kişi ve üzeri gruplarda bu indirim geçmiyor. Vriendenloterij VIP-kaart ile ücretsiz giriş yok. Müzede asansör ve engelli tuvaleti var; tekerlekli sandalye gerekiyorsa önceden +31 40 235 90 30'u arayıp ayırtabilirsiniz.</t>
        </is>
      </c>
      <c r="V9" s="29" t="inlineStr">
        <is>
          <t>Hayır</t>
        </is>
      </c>
      <c r="W9" s="29" t="n"/>
    </row>
    <row r="10" ht="54" customHeight="1">
      <c r="A10" s="29" t="inlineStr">
        <is>
          <t>eindhoven:daf-museum</t>
        </is>
      </c>
      <c r="B10" s="29" t="inlineStr">
        <is>
          <t>eindhoven</t>
        </is>
      </c>
      <c r="C10" s="29" t="inlineStr">
        <is>
          <t>daf-museum</t>
        </is>
      </c>
      <c r="D10" s="29" t="inlineStr">
        <is>
          <t>DAF Museum</t>
        </is>
      </c>
      <c r="E10" s="29" t="inlineStr">
        <is>
          <t>Tongelresestraat'ta DAF'ın tarihini ve koleksiyonunu gösteren müze</t>
        </is>
      </c>
      <c r="F10" s="29" t="inlineStr">
        <is>
          <t>DAF Museum, Tongelresestraat 27'de; salıdan pazara 10.00–17.00 arası açık, pazartesi kapalı (Paskalya ve Pentekost'un ikinci günleri hariç). Yetişkin bileti 14,50 euro, öğrenci kartıyla 9 euro. Bir yetişkinle gelen 5–15 yaş arası çocuklar 7 euro öder, 4 yaşına kadar çocuklar ücretsiz. Museumkaart ile giriş ücretsiz.</t>
        </is>
      </c>
      <c r="G10" s="29" t="inlineStr">
        <is>
          <t>DAF Museum, DAF tarihi, Tongelresestraat, araba müzesi, Museumkaart, çocuklu müze</t>
        </is>
      </c>
      <c r="H10" s="29" t="inlineStr">
        <is>
          <t>new;settled</t>
        </is>
      </c>
      <c r="I10" s="29" t="inlineStr">
        <is>
          <t>eindhoven:kaynak:246</t>
        </is>
      </c>
      <c r="J10" s="49" t="n">
        <v>46317</v>
      </c>
      <c r="K10" s="51" t="n">
        <v>2003</v>
      </c>
      <c r="L10" s="29" t="inlineStr">
        <is>
          <t>Hayır</t>
        </is>
      </c>
      <c r="M10" s="29" t="inlineStr">
        <is>
          <t>Taslak</t>
        </is>
      </c>
      <c r="N10" s="29" t="inlineStr">
        <is>
          <t>Müzeler</t>
        </is>
      </c>
      <c r="O10" s="29" t="inlineStr">
        <is>
          <t>Tongelre</t>
        </is>
      </c>
      <c r="P10" s="29" t="inlineStr">
        <is>
          <t>Kapalı alan</t>
        </is>
      </c>
      <c r="Q10" s="29" t="inlineStr">
        <is>
          <t>Tongelresestraat 27, 5613 DA Eindhoven</t>
        </is>
      </c>
      <c r="R10" s="50" t="n">
        <v>51.43731</v>
      </c>
      <c r="S10" s="50" t="n">
        <v>5.49031</v>
      </c>
      <c r="T10" s="29" t="n"/>
      <c r="U10" s="29" t="inlineStr">
        <is>
          <t>6–15 yaş arası çocuklar resepsiyondan ücretsiz bir hazine avı kâğıdı (speurtocht) alabiliyor; hatasız çözene küçük bir hediye veriliyor. Merkez istasyondan yaklaşık 15 dakikalık yürüyüş; istasyonun arkasındaki otobüs terminalinden 5 numaralı otobüs müzenin hemen önünde duruyor. Müze dükkânına bilet almadan girilebiliyor.</t>
        </is>
      </c>
      <c r="V10" s="29" t="inlineStr">
        <is>
          <t>Hayır</t>
        </is>
      </c>
      <c r="W10" s="29" t="n"/>
    </row>
    <row r="11" ht="54" customHeight="1">
      <c r="A11" s="29" t="inlineStr">
        <is>
          <t>eindhoven:next-nature-museum</t>
        </is>
      </c>
      <c r="B11" s="29" t="inlineStr">
        <is>
          <t>eindhoven</t>
        </is>
      </c>
      <c r="C11" s="29" t="inlineStr">
        <is>
          <t>next-nature-museum</t>
        </is>
      </c>
      <c r="D11" s="29" t="inlineStr">
        <is>
          <t>Next Nature Museum</t>
        </is>
      </c>
      <c r="E11" s="29" t="inlineStr">
        <is>
          <t>Evoluon'un kubbesindeki müze; biletle birlikte kaçış odası da alınabiliyor</t>
        </is>
      </c>
      <c r="F11" s="29" t="inlineStr">
        <is>
          <t>Next Nature Museum, müzenin 'ikonik uzay gemisi' dediği Evoluon binasında, Noord Brabantlaan 1A'da. Çarşambadan pazara 11.00–17.00 arası açık, pazartesi ve salı kapalı; okul tatillerinde genellikle pazartesi ve salı da açılıyor. Normal bilet 17,50 euro; öğrenci/CJP ve 13–17 yaş için 8,50 euro, 4–12 yaş için 5 euro. 3 yaşına kadar çocuklar ve Museumkaart sahipleri ücretsiz.</t>
        </is>
      </c>
      <c r="G11" s="29" t="inlineStr">
        <is>
          <t>Next Nature Museum, Evoluon, Noord Brabantlaan, teknoloji müzesi, kaçış odası, Museumkaart</t>
        </is>
      </c>
      <c r="H11" s="29" t="inlineStr">
        <is>
          <t>new;settled</t>
        </is>
      </c>
      <c r="I11" s="29" t="inlineStr">
        <is>
          <t>eindhoven:kaynak:247</t>
        </is>
      </c>
      <c r="J11" s="49" t="n">
        <v>46317</v>
      </c>
      <c r="K11" s="51" t="n">
        <v>2004</v>
      </c>
      <c r="L11" s="29" t="inlineStr">
        <is>
          <t>Hayır</t>
        </is>
      </c>
      <c r="M11" s="29" t="inlineStr">
        <is>
          <t>Taslak</t>
        </is>
      </c>
      <c r="N11" s="29" t="inlineStr">
        <is>
          <t>Müzeler</t>
        </is>
      </c>
      <c r="O11" s="29" t="inlineStr">
        <is>
          <t>Strijp</t>
        </is>
      </c>
      <c r="P11" s="29" t="inlineStr">
        <is>
          <t>Kapalı alan</t>
        </is>
      </c>
      <c r="Q11" s="29" t="inlineStr">
        <is>
          <t>Noord Brabantlaan 1A, 5652 LA Eindhoven</t>
        </is>
      </c>
      <c r="R11" s="50" t="n">
        <v>51.44361</v>
      </c>
      <c r="S11" s="50" t="n">
        <v>5.44694</v>
      </c>
      <c r="T11" s="29" t="n"/>
      <c r="U11" s="29" t="inlineStr">
        <is>
          <t>Merkez istasyonun kuzey tarafından 401, 402 ya da 403 numaralı Hermes otobüsüne binip 'Evoluon' durağında inin; yolculuk 7 dakika. Arabayla gelenler için otopark saati 2 euro, günlük en çok 10 euro. Quantum Escape Room (30 euro, bir bilet en çok 4 kişi) müze biletini seçtikten sonra rezerve edilebiliyor.</t>
        </is>
      </c>
      <c r="V11" s="29" t="inlineStr">
        <is>
          <t>Hayır</t>
        </is>
      </c>
      <c r="W11" s="29" t="n"/>
    </row>
    <row r="12" ht="54" customHeight="1">
      <c r="A12" s="29" t="inlineStr">
        <is>
          <t>eindhoven:psv-museum</t>
        </is>
      </c>
      <c r="B12" s="29" t="inlineStr">
        <is>
          <t>eindhoven</t>
        </is>
      </c>
      <c r="C12" s="29" t="inlineStr">
        <is>
          <t>psv-museum</t>
        </is>
      </c>
      <c r="D12" s="29" t="inlineStr">
        <is>
          <t>PSV Museum</t>
        </is>
      </c>
      <c r="E12" s="29" t="inlineStr">
        <is>
          <t>Stadionplein'de PSV'nin yüz yılı aşkın kulüp tarihini anlatan müze</t>
        </is>
      </c>
      <c r="F12" s="29" t="inlineStr">
        <is>
          <t>PSV Museum, Stadionplein 4'te, 17 numaralı girişte. Yüz yılı aşkın PSV tarihini, kulübün en büyük kupalarını, PSV hatıralarını, özel fotoğrafları ve video görüntülerini gösteriyor; Hall of Fame bölümünde Jan van Beveren ve Romário gibi oyuncular yer alıyor. Pazartesi 12.00–17.00, salı, perşembe, cuma ve cumartesi 10.00–17.00, çarşamba 10.00–18.00 arası açık; pazar kapalı.</t>
        </is>
      </c>
      <c r="G12" s="29" t="inlineStr">
        <is>
          <t>PSV Museum, PSV Eindhoven, futbol müzesi, Stadionplein, Hall of Fame, çocuklarla</t>
        </is>
      </c>
      <c r="H12" s="29" t="inlineStr">
        <is>
          <t>new;settled</t>
        </is>
      </c>
      <c r="I12" s="29" t="inlineStr">
        <is>
          <t>eindhoven:kaynak:248</t>
        </is>
      </c>
      <c r="J12" s="49" t="n">
        <v>46317</v>
      </c>
      <c r="K12" s="51" t="n">
        <v>2005</v>
      </c>
      <c r="L12" s="29" t="inlineStr">
        <is>
          <t>Hayır</t>
        </is>
      </c>
      <c r="M12" s="29" t="inlineStr">
        <is>
          <t>Taslak</t>
        </is>
      </c>
      <c r="N12" s="29" t="inlineStr">
        <is>
          <t>Müzeler</t>
        </is>
      </c>
      <c r="O12" s="29" t="inlineStr">
        <is>
          <t>Strijp</t>
        </is>
      </c>
      <c r="P12" s="29" t="inlineStr">
        <is>
          <t>Kapalı alan</t>
        </is>
      </c>
      <c r="Q12" s="29" t="inlineStr">
        <is>
          <t>Stadionplein 4, Ingang 17, 5616 RX Eindhoven</t>
        </is>
      </c>
      <c r="R12" s="50" t="n">
        <v>51.4413</v>
      </c>
      <c r="S12" s="50" t="n">
        <v>5.46875</v>
      </c>
      <c r="T12" s="29" t="n"/>
      <c r="U12" s="29" t="inlineStr">
        <is>
          <t>Ücretsiz sesli rehber ek bilgiler ve özel ses kayıtları sunuyor. Çocuklar için dokunmatik projeksiyon küresi, stadyumun içine bakılabilen bir periskop ve top oynanabilen Phoxy Stadium var.</t>
        </is>
      </c>
      <c r="V12" s="29" t="inlineStr">
        <is>
          <t>Hayır</t>
        </is>
      </c>
      <c r="W12" s="29" t="n"/>
    </row>
    <row r="13" ht="54" customHeight="1">
      <c r="A13" s="29" t="inlineStr">
        <is>
          <t>eindhoven:philips-historische-producten</t>
        </is>
      </c>
      <c r="B13" s="29" t="inlineStr">
        <is>
          <t>eindhoven</t>
        </is>
      </c>
      <c r="C13" s="29" t="inlineStr">
        <is>
          <t>philips-historische-producten</t>
        </is>
      </c>
      <c r="D13" s="29" t="inlineStr">
        <is>
          <t>Philips Historische Producten</t>
        </is>
      </c>
      <c r="E13" s="29" t="inlineStr">
        <is>
          <t>Looyenbeemd'de 1891'den bu yana Philips ürünlerinin, çoğu çalışır durumda sergilendiği koleksiyon</t>
        </is>
      </c>
      <c r="F13" s="29" t="inlineStr">
        <is>
          <t>Philips Historische Producten (Philips Tarihî Ürünleri) sergisi Looyenbeemd 24'te. Bilim ve teknolojinin gelişmesiyle ortaya çıkan Philips ürün gruplarını, bazıları eşsiz ve çoğu hâlâ çalışan cihazlarla gösteriyor; şirketin 1891'deki kuruluşundan bu yana uzanan mirasını anlatıyor. Pazartesi, salı ve çarşamba 10.00–15.00 arası açık; perşembeden pazara kapalı.</t>
        </is>
      </c>
      <c r="G13" s="29" t="inlineStr">
        <is>
          <t>Philips Historische Producten, Philips ürünleri, eski radyo, teknoloji tarihi, Looyenbeemd, Philips mirası</t>
        </is>
      </c>
      <c r="H13" s="29" t="inlineStr">
        <is>
          <t>new;settled</t>
        </is>
      </c>
      <c r="I13" s="29" t="inlineStr">
        <is>
          <t>eindhoven:kaynak:249</t>
        </is>
      </c>
      <c r="J13" s="49" t="n">
        <v>46317</v>
      </c>
      <c r="K13" s="51" t="n">
        <v>2006</v>
      </c>
      <c r="L13" s="29" t="inlineStr">
        <is>
          <t>Hayır</t>
        </is>
      </c>
      <c r="M13" s="29" t="inlineStr">
        <is>
          <t>Taslak</t>
        </is>
      </c>
      <c r="N13" s="29" t="inlineStr">
        <is>
          <t>Müzeler</t>
        </is>
      </c>
      <c r="O13" s="29" t="inlineStr">
        <is>
          <t>Strijp</t>
        </is>
      </c>
      <c r="P13" s="29" t="inlineStr">
        <is>
          <t>Kapalı alan</t>
        </is>
      </c>
      <c r="Q13" s="29" t="inlineStr">
        <is>
          <t>Looyenbeemd 24, 5652 BH Eindhoven</t>
        </is>
      </c>
      <c r="R13" s="50" t="n">
        <v>51.4321</v>
      </c>
      <c r="S13" s="50" t="n">
        <v>5.43152</v>
      </c>
      <c r="T13" s="29" t="n"/>
      <c r="U13" s="29" t="inlineStr">
        <is>
          <t>Telefon: +31 40 251 33 55.</t>
        </is>
      </c>
      <c r="V13" s="29" t="inlineStr">
        <is>
          <t>Hayır</t>
        </is>
      </c>
      <c r="W13" s="29" t="n"/>
    </row>
    <row r="14" ht="54" customHeight="1">
      <c r="A14" s="29" t="inlineStr">
        <is>
          <t>eindhoven:erfgoedhuis-eindhoven</t>
        </is>
      </c>
      <c r="B14" s="29" t="inlineStr">
        <is>
          <t>eindhoven</t>
        </is>
      </c>
      <c r="C14" s="29" t="inlineStr">
        <is>
          <t>erfgoedhuis-eindhoven</t>
        </is>
      </c>
      <c r="D14" s="29" t="inlineStr">
        <is>
          <t>Erfgoedhuis Eindhoven</t>
        </is>
      </c>
      <c r="E14" s="29" t="inlineStr">
        <is>
          <t>Eindhoven'ın tarihini arkeolojik buluntular ve eski fotoğraflarla anlatan miras evi</t>
        </is>
      </c>
      <c r="F14" s="29" t="inlineStr">
        <is>
          <t>Het Erfgoedhuis, Gasfabriek 2, 2a ve 4 adresinde (Nachtegaallaan'ın yan sokağı). Eindhoven'ın tarihini anlatan binlerce arkeolojik ve tarihî nesne ile fotoğraf sergileniyor; arkeologları atölyelerinde ziyaret edebilir, Hollanda arkeolojisi ve yerel tarih üzerine kütüphaneden yararlanabilirsiniz. Belediye sayfasına göre pazartesiden çarşambaya 10.00–16.00 arası açık; perşembe için aynı sayfa iki farklı saat veriyor: bir yerde 10.00–12.00, başka bir yerde 10.00–16.00. Güney bölgesi okul tatillerinde kapalı.</t>
        </is>
      </c>
      <c r="G14" s="29" t="inlineStr">
        <is>
          <t>Erfgoedhuis, arkeoloji, Eindhoven tarihi, ArcheoHotspot, Gasfabriek, yerel tarih kütüphanesi</t>
        </is>
      </c>
      <c r="H14" s="29" t="inlineStr">
        <is>
          <t>new;settled</t>
        </is>
      </c>
      <c r="I14" s="29" t="inlineStr">
        <is>
          <t>eindhoven:kaynak:250</t>
        </is>
      </c>
      <c r="J14" s="49" t="n">
        <v>46317</v>
      </c>
      <c r="K14" s="51" t="n">
        <v>2007</v>
      </c>
      <c r="L14" s="29" t="inlineStr">
        <is>
          <t>Hayır</t>
        </is>
      </c>
      <c r="M14" s="29" t="inlineStr">
        <is>
          <t>Taslak</t>
        </is>
      </c>
      <c r="N14" s="29" t="inlineStr">
        <is>
          <t>Müzeler</t>
        </is>
      </c>
      <c r="O14" s="29" t="inlineStr">
        <is>
          <t>Tongelre</t>
        </is>
      </c>
      <c r="P14" s="29" t="inlineStr">
        <is>
          <t>Kapalı alan</t>
        </is>
      </c>
      <c r="Q14" s="29" t="inlineStr">
        <is>
          <t>Gasfabriek 2, 2a ve 4, Eindhoven (Nachtegaallaan'ın yan sokağı)</t>
        </is>
      </c>
      <c r="R14" s="50" t="n">
        <v>51.43821</v>
      </c>
      <c r="S14" s="50" t="n">
        <v>5.48762</v>
      </c>
      <c r="T14" s="29" t="n"/>
      <c r="U14" s="29" t="inlineStr">
        <is>
          <t>Bahçenizde bir şey bulduysanız ya da evde ne olduğunu bilmediğiniz eski bir eşya varsa ArcheoHotspot'a getirip sorabilirsiniz. Rehberli tur için ya da perşembe öğleden sonra gitmek istiyorsanız önceden erfgoedhuis@eindhoven.nl adresine yazarak veya (040) 238 8899'u arayarak randevu alın.</t>
        </is>
      </c>
      <c r="V14" s="29" t="inlineStr">
        <is>
          <t>Hayır</t>
        </is>
      </c>
      <c r="W14" s="29" t="n"/>
    </row>
    <row r="15" ht="54" customHeight="1">
      <c r="A15" s="29" t="inlineStr">
        <is>
          <t>eindhoven:neoseum</t>
        </is>
      </c>
      <c r="B15" s="29" t="inlineStr">
        <is>
          <t>eindhoven</t>
        </is>
      </c>
      <c r="C15" s="29" t="inlineStr">
        <is>
          <t>neoseum</t>
        </is>
      </c>
      <c r="D15" s="29" t="inlineStr">
        <is>
          <t>Neoseum</t>
        </is>
      </c>
      <c r="E15" s="29" t="inlineStr">
        <is>
          <t>Şehir merkezindeki Heuvel Galerie'de deneyim merkezi; ikinci şubesi Amsterdam'da</t>
        </is>
      </c>
      <c r="F15" s="29" t="inlineStr">
        <is>
          <t>Neoseum'un Eindhoven şubesi Heuvel Galerie 102'de, şehir merkezinde; ikinci şubesi Amsterdam'da. Sitenin menüsünde 'Voyage of the Pharaohs', 'Mystery of the Maya' ve 'A Star Odyssey' adlı deneyimler şube ayrımı yapılmadan listeleniyor. Eindhoven şubesi çarşamba, perşembe, cumartesi ve pazar 11.00–18.00, cuma 11.00–19.00 arası açık; pazartesi ve salı kapalı.</t>
        </is>
      </c>
      <c r="G15" s="29" t="inlineStr">
        <is>
          <t>Neoseum, Heuvel Galerie, deneyim merkezi, Voyage of the Pharaohs, A Star Odyssey, şehir merkezi</t>
        </is>
      </c>
      <c r="H15" s="29" t="inlineStr">
        <is>
          <t>new;settled</t>
        </is>
      </c>
      <c r="I15" s="29" t="inlineStr">
        <is>
          <t>eindhoven:kaynak:251</t>
        </is>
      </c>
      <c r="J15" s="49" t="n">
        <v>46317</v>
      </c>
      <c r="K15" s="51" t="n">
        <v>2008</v>
      </c>
      <c r="L15" s="29" t="inlineStr">
        <is>
          <t>Hayır</t>
        </is>
      </c>
      <c r="M15" s="29" t="inlineStr">
        <is>
          <t>Taslak</t>
        </is>
      </c>
      <c r="N15" s="29" t="inlineStr">
        <is>
          <t>Müzeler</t>
        </is>
      </c>
      <c r="O15" s="29" t="inlineStr">
        <is>
          <t>Centrum</t>
        </is>
      </c>
      <c r="P15" s="29" t="inlineStr">
        <is>
          <t>Kapalı alan</t>
        </is>
      </c>
      <c r="Q15" s="29" t="inlineStr">
        <is>
          <t>Heuvel Galerie 102, 5611 DK Eindhoven</t>
        </is>
      </c>
      <c r="R15" s="50" t="n">
        <v>51.43968</v>
      </c>
      <c r="S15" s="50" t="n">
        <v>5.47869</v>
      </c>
      <c r="T15" s="29" t="n"/>
      <c r="U15" s="29" t="inlineStr">
        <is>
          <t>Biletler ve hediye kartı sitenin 'Book Tickets' bölümünden alınıyor. Soru sormak için bookings@neoseum.com ya da 085 060 9788; iletişim formunda şube olarak Eindhoven'ı seçebilirsiniz.</t>
        </is>
      </c>
      <c r="V15" s="29" t="inlineStr">
        <is>
          <t>Hayır</t>
        </is>
      </c>
      <c r="W15" s="29" t="n"/>
    </row>
    <row r="16" ht="54" customHeight="1">
      <c r="A16" s="29" t="inlineStr">
        <is>
          <t>eindhoven:mu-hybrid-art-house</t>
        </is>
      </c>
      <c r="B16" s="29" t="inlineStr">
        <is>
          <t>eindhoven</t>
        </is>
      </c>
      <c r="C16" s="29" t="inlineStr">
        <is>
          <t>mu-hybrid-art-house</t>
        </is>
      </c>
      <c r="D16" s="29" t="inlineStr">
        <is>
          <t>MU Hybrid Art House</t>
        </is>
      </c>
      <c r="E16" s="29" t="inlineStr">
        <is>
          <t>Torenallee'de çağdaş sanatı tasarım, moda, müzik, mimari ve yeni medyayla buluşturan sunum platformu</t>
        </is>
      </c>
      <c r="F16" s="29" t="inlineStr">
        <is>
          <t>MU Hybrid Art House, Torenallee 40-06'da; çağdaş sanatı tasarım, moda, müzik, mimari ve yeni medyayla karıştıran deneysel bir sunum platformu. Tercihen yeni eserler üretip sunuyor ve bunları çoğunlukla genç bir kitleye yönelik, disiplinler arası geniş bir yan programla destekliyor. Pazartesiden cumaya 10.00–18.00, cumartesi 12.00–18.00, pazar 13.00–17.00 arası açık.</t>
        </is>
      </c>
      <c r="G16" s="29" t="inlineStr">
        <is>
          <t>MU Hybrid Art House, çağdaş sanat, yeni medya, Torenallee, sergi, tasarım</t>
        </is>
      </c>
      <c r="H16" s="29" t="inlineStr">
        <is>
          <t>new;settled</t>
        </is>
      </c>
      <c r="I16" s="29" t="inlineStr">
        <is>
          <t>eindhoven:kaynak:252</t>
        </is>
      </c>
      <c r="J16" s="49" t="n">
        <v>46317</v>
      </c>
      <c r="K16" s="51" t="n">
        <v>2009</v>
      </c>
      <c r="L16" s="29" t="inlineStr">
        <is>
          <t>Hayır</t>
        </is>
      </c>
      <c r="M16" s="29" t="inlineStr">
        <is>
          <t>Taslak</t>
        </is>
      </c>
      <c r="N16" s="29" t="inlineStr">
        <is>
          <t>Sanat ve sergiler</t>
        </is>
      </c>
      <c r="O16" s="29" t="inlineStr">
        <is>
          <t>Strijp</t>
        </is>
      </c>
      <c r="P16" s="29" t="inlineStr">
        <is>
          <t>Kapalı alan</t>
        </is>
      </c>
      <c r="Q16" s="29" t="inlineStr">
        <is>
          <t>Torenallee 40-06, 5617 BD Eindhoven</t>
        </is>
      </c>
      <c r="R16" s="50" t="n">
        <v>51.44713</v>
      </c>
      <c r="S16" s="50" t="n">
        <v>5.45702</v>
      </c>
      <c r="T16" s="29" t="n"/>
      <c r="U16" s="29" t="inlineStr">
        <is>
          <t>Çarşamba günleri giriş ücretsiz. Telefon: +31 40 296 16 63.</t>
        </is>
      </c>
      <c r="V16" s="29" t="inlineStr">
        <is>
          <t>Hayır</t>
        </is>
      </c>
      <c r="W16" s="29" t="n"/>
    </row>
    <row r="17" ht="54" customHeight="1">
      <c r="A17" s="29" t="inlineStr">
        <is>
          <t>eindhoven:dr-a-f-philips-sterrenwacht</t>
        </is>
      </c>
      <c r="B17" s="29" t="inlineStr">
        <is>
          <t>eindhoven</t>
        </is>
      </c>
      <c r="C17" s="29" t="inlineStr">
        <is>
          <t>dr-a-f-philips-sterrenwacht</t>
        </is>
      </c>
      <c r="D17" s="29" t="inlineStr">
        <is>
          <t>Dr. A.F. Philips Sterrenwacht</t>
        </is>
      </c>
      <c r="E17" s="29" t="inlineStr">
        <is>
          <t>Alberdingk Thijmlaan'daki gözlemevi; halka açık günlerde hava açıksa teleskopla gözlem</t>
        </is>
      </c>
      <c r="F17" s="29" t="inlineStr">
        <is>
          <t>Sterrenwacht Eindhoven'ın ziyaret adresi Dr. A.F. Philips Observatorium, Alberdingk Thijmlaan 3 (5615 EB Eindhoven). Gözlemevi halka açık günler (openstellingen) düzenliyor; tarihleri sitesindeki ajandada duyuruluyor. Giriş yetişkinler ve gençler için aynı: 1 Ocak 2024'ten beri 3,00 euro, ödeme yalnız banka kartıyla (pin), nakit alınmıyor. Yangın kuralları yüzünden içeride aynı anda en fazla 40 kişi bulunabildiği için ziyaretçiler 40'ar kişilik iki grup hâlinde bir saat arayla alınıyor, bir açılışta en fazla 80 kişi giriyor; hava açıksa gruplar teleskoptan da bakıyor.</t>
        </is>
      </c>
      <c r="G17" s="29" t="inlineStr">
        <is>
          <t>Sterrenwacht Eindhoven, gözlemevi, yıldız gözlemi, astronomi, Alberdingk Thijmlaan, Philips</t>
        </is>
      </c>
      <c r="H17" s="29" t="inlineStr">
        <is>
          <t>new;settled</t>
        </is>
      </c>
      <c r="I17" s="29" t="inlineStr">
        <is>
          <t>eindhoven:kaynak:253;eindhoven:kaynak:346;eindhoven:kaynak:347</t>
        </is>
      </c>
      <c r="J17" s="49" t="n">
        <v>46317</v>
      </c>
      <c r="K17" s="51" t="n">
        <v>2010</v>
      </c>
      <c r="L17" s="29" t="inlineStr">
        <is>
          <t>Hayır</t>
        </is>
      </c>
      <c r="M17" s="29" t="inlineStr">
        <is>
          <t>Taslak</t>
        </is>
      </c>
      <c r="N17" s="29" t="inlineStr">
        <is>
          <t>Çocuklarla keşif</t>
        </is>
      </c>
      <c r="O17" s="29" t="inlineStr">
        <is>
          <t>Stratum</t>
        </is>
      </c>
      <c r="P17" s="29" t="inlineStr">
        <is>
          <t>Kapalı alan</t>
        </is>
      </c>
      <c r="Q17" s="29" t="inlineStr">
        <is>
          <t>Alberdingk Thijmlaan 3, 5615 EB Eindhoven</t>
        </is>
      </c>
      <c r="R17" s="50" t="n">
        <v>51.42607</v>
      </c>
      <c r="S17" s="50" t="n">
        <v>5.48013</v>
      </c>
      <c r="T17" s="29" t="n"/>
      <c r="U17" s="29" t="inlineStr">
        <is>
          <t>Gözlemevinin kendi otoparkı yok; Alberdingk Thijmlaan'da ve çevre sokaklarda yeterince park yeri var, Alberdingk Thijmlaan'da 19 Haziran 2025'ten beri park ücretli. Konferanslar (lezingen) gözlemevinde değil, Dirk Boutslaan 25'teki scholengemeenschap Augustinianum'da, 125 numaralı sınıfta yapılıyor. 10 kişiden kalabalık gruplar başvuru formuyla ayrı ziyaret isteyebiliyor; grup girişi de kişi başı 3,00 euro ve binaya rehberler hariç en fazla 30 kişi alınıyor. Maarheeze'deki Kijkakkers 15 yalnız sekreterliğin posta adresi; e-posta: secretaris@sterrenwachteindhoven.nl.</t>
        </is>
      </c>
      <c r="V17" s="29" t="inlineStr">
        <is>
          <t>Hayır</t>
        </is>
      </c>
      <c r="W17" s="29" t="n"/>
    </row>
    <row r="18" ht="54" customHeight="1">
      <c r="A18" s="29" t="inlineStr">
        <is>
          <t>eindhoven:kazerne-expo</t>
        </is>
      </c>
      <c r="B18" s="29" t="inlineStr">
        <is>
          <t>eindhoven</t>
        </is>
      </c>
      <c r="C18" s="29" t="inlineStr">
        <is>
          <t>kazerne-expo</t>
        </is>
      </c>
      <c r="D18" s="29" t="inlineStr">
        <is>
          <t>Kazerne Design Lab</t>
        </is>
      </c>
      <c r="E18" s="29" t="inlineStr">
        <is>
          <t>Grote Berg ile Paradijslaan köşesinde tasarım sergileri, restoran ve konaklama bir arada</t>
        </is>
      </c>
      <c r="F18" s="29" t="inlineStr">
        <is>
          <t>Kazerne, şehir merkezinde Grote Berg ile Paradijslaan'ın köşesinde (Paradijslaan 2-8 ve Grote Berg 9); merkez istasyona yürüme mesafesinde. Sergi alanı Kazerne Design Lab her gün 07.30'dan kapanışa kadar açık. Sergilere giriş genellikle ücretsiz; Dutch Design Week gibi özel etkinliklerde küçük bir bilet ücreti alınabiliyor.</t>
        </is>
      </c>
      <c r="G18" s="29" t="inlineStr">
        <is>
          <t>Kazerne, Design Lab, tasarım sergisi, Dutch Design Week, Paradijslaan, ücretsiz sergi</t>
        </is>
      </c>
      <c r="H18" s="29" t="inlineStr">
        <is>
          <t>new;settled</t>
        </is>
      </c>
      <c r="I18" s="29" t="inlineStr">
        <is>
          <t>eindhoven:kaynak:254;eindhoven:kaynak:183</t>
        </is>
      </c>
      <c r="J18" s="49" t="n">
        <v>46317</v>
      </c>
      <c r="K18" s="51" t="n">
        <v>2011</v>
      </c>
      <c r="L18" s="29" t="inlineStr">
        <is>
          <t>Hayır</t>
        </is>
      </c>
      <c r="M18" s="29" t="inlineStr">
        <is>
          <t>Taslak</t>
        </is>
      </c>
      <c r="N18" s="29" t="inlineStr">
        <is>
          <t>Sanat ve sergiler</t>
        </is>
      </c>
      <c r="O18" s="29" t="inlineStr">
        <is>
          <t>Centrum</t>
        </is>
      </c>
      <c r="P18" s="29" t="inlineStr">
        <is>
          <t>Kapalı alan</t>
        </is>
      </c>
      <c r="Q18" s="29" t="inlineStr">
        <is>
          <t>Paradijslaan 2-8, 5611 KN Eindhoven (Grote Berg 9 köşesi)</t>
        </is>
      </c>
      <c r="R18" s="50" t="n">
        <v>51.43604</v>
      </c>
      <c r="S18" s="50" t="n">
        <v>5.47737</v>
      </c>
      <c r="T18" s="29" t="n"/>
      <c r="U18" s="29" t="inlineStr">
        <is>
          <t>Bazı salonlar özel etkinliklere kiralanabildiği için sergiyi eksiksiz görmek istiyorsanız gelmeden önce arayın: +31 40 207 37 30. Aynı çatı altındaki restoran pazartesi–çarşamba 17.00–20.30, perşembe–cumartesi 12.00–21.00 arası açık.</t>
        </is>
      </c>
      <c r="V18" s="29" t="inlineStr">
        <is>
          <t>Hayır</t>
        </is>
      </c>
      <c r="W18" s="29" t="n"/>
    </row>
    <row r="19" ht="54" customHeight="1">
      <c r="A19" s="29" t="inlineStr">
        <is>
          <t>eindhoven:museumpark-vonk-prehistorisch-dorp</t>
        </is>
      </c>
      <c r="B19" s="29" t="inlineStr">
        <is>
          <t>eindhoven</t>
        </is>
      </c>
      <c r="C19" s="29" t="inlineStr">
        <is>
          <t>museumpark-vonk-prehistorisch-dorp</t>
        </is>
      </c>
      <c r="D19" s="29" t="inlineStr">
        <is>
          <t>Museumpark VONK</t>
        </is>
      </c>
      <c r="E19" s="29" t="inlineStr">
        <is>
          <t>preHistorisch Dorp ile Eindhoven Museum'un yeni adıyla devam ettiği müze parkı</t>
        </is>
      </c>
      <c r="F19" s="29" t="inlineStr">
        <is>
          <t>Museumpark VONK, eskiden preHistorisch Dorp ve Eindhoven Museum adıyla bilinen müzelerin devamı. Ziyaret adresi Boutenslaan 161 B (5644 TV Eindhoven). Müzede grup programları ve çocuk doğum günü partileri, okullar için eğitim ziyaretleri ve okul kampları düzenleniyor; müze, oditoryum, atölye ve brasserie kiralanabiliyor.</t>
        </is>
      </c>
      <c r="G19" s="29" t="inlineStr">
        <is>
          <t>Museumpark VONK, preHistorisch Dorp, Eindhoven Museum, açık hava müzesi, çocuk partisi, okul gezisi</t>
        </is>
      </c>
      <c r="H19" s="29" t="inlineStr">
        <is>
          <t>new;settled</t>
        </is>
      </c>
      <c r="I19" s="29" t="inlineStr">
        <is>
          <t>eindhoven:kaynak:255</t>
        </is>
      </c>
      <c r="J19" s="49" t="n">
        <v>46317</v>
      </c>
      <c r="K19" s="51" t="n">
        <v>2012</v>
      </c>
      <c r="L19" s="29" t="inlineStr">
        <is>
          <t>Hayır</t>
        </is>
      </c>
      <c r="M19" s="29" t="inlineStr">
        <is>
          <t>Taslak</t>
        </is>
      </c>
      <c r="N19" s="29" t="inlineStr">
        <is>
          <t>Müzeler</t>
        </is>
      </c>
      <c r="O19" s="29" t="inlineStr">
        <is>
          <t>Gestel</t>
        </is>
      </c>
      <c r="P19" s="29" t="inlineStr">
        <is>
          <t>Açık hava</t>
        </is>
      </c>
      <c r="Q19" s="29" t="inlineStr">
        <is>
          <t>Boutenslaan 161 B, 5644 TV Eindhoven</t>
        </is>
      </c>
      <c r="R19" s="50" t="n">
        <v>51.4233</v>
      </c>
      <c r="S19" s="50" t="n">
        <v>5.47554</v>
      </c>
      <c r="T19" s="29" t="n"/>
      <c r="U19" s="29" t="inlineStr">
        <is>
          <t>Çocuğunuzun doğum gününü burada kutlamak isterseniz grup programları (groepsarrangementen) sayfasından bilgi alabilirsiniz. Genel telefon 040-252 22 81, e-posta info@vonk.nl.</t>
        </is>
      </c>
      <c r="V19" s="29" t="inlineStr">
        <is>
          <t>Hayır</t>
        </is>
      </c>
      <c r="W19" s="29" t="n"/>
    </row>
    <row r="20" ht="54" customHeight="1">
      <c r="A20" s="29" t="inlineStr">
        <is>
          <t>eindhoven:de-fabriek</t>
        </is>
      </c>
      <c r="B20" s="29" t="inlineStr">
        <is>
          <t>eindhoven</t>
        </is>
      </c>
      <c r="C20" s="29" t="inlineStr">
        <is>
          <t>de-fabriek</t>
        </is>
      </c>
      <c r="D20" s="29" t="inlineStr">
        <is>
          <t>De Fabriek</t>
        </is>
      </c>
      <c r="E20" s="29" t="inlineStr">
        <is>
          <t>Baarsstraat'ta sanatçı rezidansları ve sergiler düzenleyen mekân</t>
        </is>
      </c>
      <c r="F20" s="29" t="inlineStr">
        <is>
          <t>De Fabriek, Baarsstraat 38'de (5615 RG Eindhoven) sanatçı rezidansları ve sergiler düzenleyen bir mekân. Rezidans programına katılan sanatçılar, buradaki dönemlerini ve araştırmalarını açık konuşmalarda (Residency Talk) ziyaretçilerle paylaşıyor. Sergiler ve etkinlikler sitedeki ajandada tarih ve saatiyle duyuruluyor.</t>
        </is>
      </c>
      <c r="G20" s="29" t="inlineStr">
        <is>
          <t>De Fabriek, sanatçı rezidansı, Residency Talk, sanat sergisi, Baarsstraat, çağdaş sanat, tasarım</t>
        </is>
      </c>
      <c r="H20" s="29" t="inlineStr">
        <is>
          <t>new;settled</t>
        </is>
      </c>
      <c r="I20" s="29" t="inlineStr">
        <is>
          <t>eindhoven:kaynak:256;eindhoven:kaynak:348</t>
        </is>
      </c>
      <c r="J20" s="49" t="n">
        <v>46317</v>
      </c>
      <c r="K20" s="51" t="n">
        <v>2013</v>
      </c>
      <c r="L20" s="29" t="inlineStr">
        <is>
          <t>Hayır</t>
        </is>
      </c>
      <c r="M20" s="29" t="inlineStr">
        <is>
          <t>Taslak</t>
        </is>
      </c>
      <c r="N20" s="29" t="inlineStr">
        <is>
          <t>Sanat ve sergiler</t>
        </is>
      </c>
      <c r="O20" s="29" t="inlineStr">
        <is>
          <t>Gestel</t>
        </is>
      </c>
      <c r="P20" s="29" t="inlineStr">
        <is>
          <t>Kapalı alan</t>
        </is>
      </c>
      <c r="Q20" s="29" t="inlineStr">
        <is>
          <t>Baarsstraat 38, 5615 RG Eindhoven</t>
        </is>
      </c>
      <c r="R20" s="50" t="n">
        <v>51.42833</v>
      </c>
      <c r="S20" s="50" t="n">
        <v>5.4647</v>
      </c>
      <c r="T20" s="29" t="n"/>
      <c r="U20" s="29" t="inlineStr">
        <is>
          <t>Kasım 2026 ajandasında iki sergi var: 14–22 Kasım 2026'da Anas Chao'nun 2021'de Hollanda'ya taşındığından beri sorduğu 'Hollanda yemeği nedir?' sorusunu araştıran 18 aylık projesinin final sergisi 'Going Dutch', 21–28 Kasım 2026'da 15 sanatçı ve tasarımcıyı bir araya getiren 'Re-rooting: Hybrid Dwellings'. İletişim: +31 40 255 15 30, info@defabriekeindhoven.nl.</t>
        </is>
      </c>
      <c r="V20" s="29" t="inlineStr">
        <is>
          <t>Hayır</t>
        </is>
      </c>
      <c r="W20" s="29" t="n"/>
    </row>
    <row r="21" ht="54" customHeight="1">
      <c r="A21" s="29" t="inlineStr">
        <is>
          <t>eindhoven:onomatopee</t>
        </is>
      </c>
      <c r="B21" s="29" t="inlineStr">
        <is>
          <t>eindhoven</t>
        </is>
      </c>
      <c r="C21" s="29" t="inlineStr">
        <is>
          <t>onomatopee</t>
        </is>
      </c>
      <c r="D21" s="29" t="inlineStr">
        <is>
          <t>Onomatopee</t>
        </is>
      </c>
      <c r="E21" s="29" t="inlineStr">
        <is>
          <t>Sergi alanı, yayınevi ve RISO baskı atölyesi bir arada</t>
        </is>
      </c>
      <c r="F21" s="29" t="inlineStr">
        <is>
          <t>Onomatopee, Lucas Gasselstraat 2a'da (5613 LB Eindhoven) sergi alanını, yayınevini ve RISO baskı atölyesini birleştiren açık bir buluşma yeri. Programın merkezinde görsel sanat ve özerk tasarım var; 'Public' ayağında sergiler ve konferanslar düzenleniyor. Sergi dönemlerinde cuma, cumartesi ve pazar 12.00–17.00 arası, diğer zamanlarda randevuyla açık.</t>
        </is>
      </c>
      <c r="G21" s="29" t="inlineStr">
        <is>
          <t>Onomatopee, RISO atölyesi, sanat yayınevi, sergi, özerk tasarım, Lucas Gasselstraat</t>
        </is>
      </c>
      <c r="H21" s="29" t="inlineStr">
        <is>
          <t>new;settled</t>
        </is>
      </c>
      <c r="I21" s="29" t="inlineStr">
        <is>
          <t>eindhoven:kaynak:257</t>
        </is>
      </c>
      <c r="J21" s="49" t="n">
        <v>46317</v>
      </c>
      <c r="K21" s="51" t="n">
        <v>2014</v>
      </c>
      <c r="L21" s="29" t="inlineStr">
        <is>
          <t>Hayır</t>
        </is>
      </c>
      <c r="M21" s="29" t="inlineStr">
        <is>
          <t>Taslak</t>
        </is>
      </c>
      <c r="N21" s="29" t="inlineStr">
        <is>
          <t>Sanat ve sergiler</t>
        </is>
      </c>
      <c r="O21" s="29" t="inlineStr">
        <is>
          <t>Stratum</t>
        </is>
      </c>
      <c r="P21" s="29" t="inlineStr">
        <is>
          <t>Kapalı alan</t>
        </is>
      </c>
      <c r="Q21" s="29" t="inlineStr">
        <is>
          <t>Lucas Gasselstraat 2a, 5613 LB Eindhoven</t>
        </is>
      </c>
      <c r="R21" s="50" t="n">
        <v>51.43489</v>
      </c>
      <c r="S21" s="50" t="n">
        <v>5.49451</v>
      </c>
      <c r="T21" s="29" t="n"/>
      <c r="U21" s="29" t="inlineStr">
        <is>
          <t>RISO atölyesi üreticilerin kendi işlerini geliştirip basabildiği bir yer. Yayın siparişleri ve gönderim soruları için shop@onomatopee.net; genel telefon +31 40 298 98 92.</t>
        </is>
      </c>
      <c r="V21" s="29" t="inlineStr">
        <is>
          <t>Hayır</t>
        </is>
      </c>
      <c r="W21" s="29" t="n"/>
    </row>
    <row r="22" ht="54" customHeight="1">
      <c r="A22" s="29" t="inlineStr">
        <is>
          <t>eindhoven:temporary-art-centre-tac</t>
        </is>
      </c>
      <c r="B22" s="29" t="inlineStr">
        <is>
          <t>eindhoven</t>
        </is>
      </c>
      <c r="C22" s="29" t="inlineStr">
        <is>
          <t>temporary-art-centre-tac</t>
        </is>
      </c>
      <c r="D22" s="29" t="inlineStr">
        <is>
          <t>Temporary Art Centre (TAC)</t>
        </is>
      </c>
      <c r="E22" s="29" t="inlineStr">
        <is>
          <t>Ventoselaan'da genç tasarımcı, sanatçı ve müzisyenlerin çalıştığı kültürel kuluçka merkezi</t>
        </is>
      </c>
      <c r="F22" s="29" t="inlineStr">
        <is>
          <t>Temporary Art Centre (TAC), Ventoselaan 1, 5611 BS adresinde; gelecek vaat eden her disiplinden kültür üreticisine kendini geliştirme ve gösterme alanı açan bir kuluçka merkezi. TAC'ın sergi ve etkinlik duyurularında adres olarak Vonderweg 1 de geçiyor. Ventoselaan'daki atölyelerde 60'ı aşkın genç tasarımcı, sanatçı ve müzisyen çalışıyor.</t>
        </is>
      </c>
      <c r="G22" s="29" t="inlineStr">
        <is>
          <t>TAC, Temporary Art Centre, Ventoselaan, Vonderweg, sergi, konser, performans, sanatçı atölyesi</t>
        </is>
      </c>
      <c r="H22" s="29" t="inlineStr">
        <is>
          <t>new;settled</t>
        </is>
      </c>
      <c r="I22" s="29" t="inlineStr">
        <is>
          <t>eindhoven:kaynak:258;eindhoven:kaynak:402;eindhoven:kaynak:403;eindhoven:kaynak:404;eindhoven:kaynak:405;eindhoven:kaynak:407</t>
        </is>
      </c>
      <c r="J22" s="49" t="n">
        <v>46317</v>
      </c>
      <c r="K22" s="51" t="n">
        <v>2015</v>
      </c>
      <c r="L22" s="29" t="inlineStr">
        <is>
          <t>Hayır</t>
        </is>
      </c>
      <c r="M22" s="29" t="inlineStr">
        <is>
          <t>Taslak</t>
        </is>
      </c>
      <c r="N22" s="29" t="inlineStr">
        <is>
          <t>Sanat ve sergiler</t>
        </is>
      </c>
      <c r="O22" s="29" t="inlineStr">
        <is>
          <t>Centrum</t>
        </is>
      </c>
      <c r="P22" s="29" t="inlineStr">
        <is>
          <t>Kapalı alan</t>
        </is>
      </c>
      <c r="Q22" s="29" t="inlineStr">
        <is>
          <t>Ventoselaan 1, 5611 BS Eindhoven</t>
        </is>
      </c>
      <c r="R22" s="50" t="n">
        <v>51.44107</v>
      </c>
      <c r="S22" s="50" t="n">
        <v>5.46992</v>
      </c>
      <c r="T22" s="29" t="n"/>
      <c r="U22" s="29" t="inlineStr">
        <is>
          <t>Son beş yıldır yenilenen TAC adım adım yeniden açılıyor: kafesi ve restoranı Ekim 2026'daki Dutch Design Week'te uzun zaman sonra yeniden açıldı; kapılarını tamamen açacağı büyük açılış haftasonu ise Nisan 2027'de. This is Eindhoven'a göre TAC, kültür üreticilerine kendilerini geliştirecekleri alanın yanında kültürel deneyler için de geniş bir sahne sunuyor. Sorular için e-posta: info@tac.nu.</t>
        </is>
      </c>
      <c r="V22" s="29" t="inlineStr">
        <is>
          <t>Hayır</t>
        </is>
      </c>
      <c r="W22" s="29" t="n"/>
    </row>
    <row r="23" ht="54" customHeight="1">
      <c r="A23" s="29" t="inlineStr">
        <is>
          <t>eindhoven:gallery-nasty-alice</t>
        </is>
      </c>
      <c r="B23" s="29" t="inlineStr">
        <is>
          <t>eindhoven</t>
        </is>
      </c>
      <c r="C23" s="29" t="inlineStr">
        <is>
          <t>gallery-nasty-alice</t>
        </is>
      </c>
      <c r="D23" s="29" t="inlineStr">
        <is>
          <t>Galerie Nasty Alice</t>
        </is>
      </c>
      <c r="E23" s="29" t="inlineStr">
        <is>
          <t>Sint Antoniusstraat'ta yalnız sergi dönemlerinde kapısını açan galeri</t>
        </is>
      </c>
      <c r="F23" s="29" t="inlineStr">
        <is>
          <t>Galerie Nasty Alice, Sint Antoniusstraat 10'da (5616 RT Eindhoven). Galeri yalnız sergi dönemlerinde açık: perşembe ve cuma 12.00–18.00, cumartesi ve pazar 12.00–17.00. Dutch Design Week boyunca her gün 11.00–18.00 arası açık.</t>
        </is>
      </c>
      <c r="G23" s="29" t="inlineStr">
        <is>
          <t>Galerie Nasty Alice, sanat galerisi, Sint Antoniusstraat, Dutch Design Week, sergi, çağdaş sanat</t>
        </is>
      </c>
      <c r="H23" s="29" t="inlineStr">
        <is>
          <t>new;settled</t>
        </is>
      </c>
      <c r="I23" s="29" t="inlineStr">
        <is>
          <t>eindhoven:kaynak:259</t>
        </is>
      </c>
      <c r="J23" s="49" t="n">
        <v>46317</v>
      </c>
      <c r="K23" s="51" t="n">
        <v>2016</v>
      </c>
      <c r="L23" s="29" t="inlineStr">
        <is>
          <t>Hayır</t>
        </is>
      </c>
      <c r="M23" s="29" t="inlineStr">
        <is>
          <t>Taslak</t>
        </is>
      </c>
      <c r="N23" s="29" t="inlineStr">
        <is>
          <t>Sanat ve sergiler</t>
        </is>
      </c>
      <c r="O23" s="29" t="inlineStr">
        <is>
          <t>Strijp</t>
        </is>
      </c>
      <c r="P23" s="29" t="inlineStr">
        <is>
          <t>Kapalı alan</t>
        </is>
      </c>
      <c r="Q23" s="29" t="inlineStr">
        <is>
          <t>Sint Antoniusstraat 10, 5616 RT Eindhoven</t>
        </is>
      </c>
      <c r="R23" s="50" t="n">
        <v>51.43935</v>
      </c>
      <c r="S23" s="50" t="n">
        <v>5.46747</v>
      </c>
      <c r="T23" s="29" t="n"/>
      <c r="U23" s="29" t="inlineStr">
        <is>
          <t>Galerinin e-posta bülteni yeni sergileri, katıldığı sanat fuarlarını ve galerinin sunduğu avantajları duyuruyor. İletişim: info@galerienastyalice.nl.</t>
        </is>
      </c>
      <c r="V23" s="29" t="inlineStr">
        <is>
          <t>Hayır</t>
        </is>
      </c>
      <c r="W23" s="29" t="n"/>
    </row>
    <row r="24" ht="54" customHeight="1">
      <c r="A24" s="29" t="inlineStr">
        <is>
          <t>eindhoven:cova-art-gallery</t>
        </is>
      </c>
      <c r="B24" s="29" t="inlineStr">
        <is>
          <t>eindhoven</t>
        </is>
      </c>
      <c r="C24" s="29" t="inlineStr">
        <is>
          <t>cova-art-gallery</t>
        </is>
      </c>
      <c r="D24" s="29" t="inlineStr">
        <is>
          <t>COVA Art Gallery</t>
        </is>
      </c>
      <c r="E24" s="29" t="inlineStr">
        <is>
          <t>Philitelaan'da özgün çağdaş sanat eserlerini sergileyen ve satan galeri</t>
        </is>
      </c>
      <c r="F24" s="29" t="inlineStr">
        <is>
          <t>COVA Art Gallery, Philitelaan 73'te (5617 AM Eindhoven) özgün çağdaş sanat eserlerini sergileyip satışa sunan bir galeri. Ev ya da ofisiniz için eser arıyorsanız profesyonel destek alıyorsunuz; yalnız bakmak için de gelebilirsiniz. Cuma, cumartesi ve pazar 12.00–17.00 arası açık; pazartesiden perşembeye kapalı.</t>
        </is>
      </c>
      <c r="G24" s="29" t="inlineStr">
        <is>
          <t>COVA Art Gallery, çağdaş sanat, sanat satın alma, galeri, Philitelaan, Strijp</t>
        </is>
      </c>
      <c r="H24" s="29" t="inlineStr">
        <is>
          <t>new;settled</t>
        </is>
      </c>
      <c r="I24" s="29" t="inlineStr">
        <is>
          <t>eindhoven:kaynak:260</t>
        </is>
      </c>
      <c r="J24" s="49" t="n">
        <v>46317</v>
      </c>
      <c r="K24" s="51" t="n">
        <v>2017</v>
      </c>
      <c r="L24" s="29" t="inlineStr">
        <is>
          <t>Hayır</t>
        </is>
      </c>
      <c r="M24" s="29" t="inlineStr">
        <is>
          <t>Taslak</t>
        </is>
      </c>
      <c r="N24" s="29" t="inlineStr">
        <is>
          <t>Sanat ve sergiler</t>
        </is>
      </c>
      <c r="O24" s="29" t="inlineStr">
        <is>
          <t>Strijp</t>
        </is>
      </c>
      <c r="P24" s="29" t="inlineStr">
        <is>
          <t>Kapalı alan</t>
        </is>
      </c>
      <c r="Q24" s="29" t="inlineStr">
        <is>
          <t>Philitelaan 73, 5617 AM Eindhoven</t>
        </is>
      </c>
      <c r="R24" s="50" t="n">
        <v>51.44553</v>
      </c>
      <c r="S24" s="50" t="n">
        <v>5.46212</v>
      </c>
      <c r="T24" s="29" t="n"/>
      <c r="U24" s="29" t="inlineStr">
        <is>
          <t>Sanattan anlamıyorum diye çekinmeyin: galeri, sanat bilgisi olsun olmasın herkesin aradığı eseri bulmasına yardım ettiğini söylüyor. Telefon: +31 6 811 33 130.</t>
        </is>
      </c>
      <c r="V24" s="29" t="inlineStr">
        <is>
          <t>Hayır</t>
        </is>
      </c>
      <c r="W24" s="29" t="n"/>
    </row>
    <row r="25" ht="54" customHeight="1">
      <c r="A25" s="29" t="inlineStr">
        <is>
          <t>eindhoven:gallery-rembrandt</t>
        </is>
      </c>
      <c r="B25" s="29" t="inlineStr">
        <is>
          <t>eindhoven</t>
        </is>
      </c>
      <c r="C25" s="29" t="inlineStr">
        <is>
          <t>gallery-rembrandt</t>
        </is>
      </c>
      <c r="D25" s="29" t="inlineStr">
        <is>
          <t>Gallery Rembrandt</t>
        </is>
      </c>
      <c r="E25" s="29" t="inlineStr">
        <is>
          <t>De Bergen semtinde resim, heykel ve fotoğraf sergileyen galeri</t>
        </is>
      </c>
      <c r="F25" s="29" t="inlineStr">
        <is>
          <t>Gallery Rembrandt, sanatçı semti De Bergen'de, Kleine Berg 42'de (5611 JV Eindhoven). Koleksiyonu, seçilmiş profesyonel sanatçıların resimlerinden, farklı malzemelerden heykellerinden ve fotoğraflarından oluşuyor. Salıdan perşembeye 10.00–18.00, cuma 10.00–19.00, cumartesi 10.00–17.00, pazar 13.00–17.00 arası açık; pazartesi kapalı.</t>
        </is>
      </c>
      <c r="G25" s="29" t="inlineStr">
        <is>
          <t>Gallery Rembrandt, De Bergen, Kleine Berg, resim, heykel, sanat galerisi</t>
        </is>
      </c>
      <c r="H25" s="29" t="inlineStr">
        <is>
          <t>new;settled</t>
        </is>
      </c>
      <c r="I25" s="29" t="inlineStr">
        <is>
          <t>eindhoven:kaynak:261</t>
        </is>
      </c>
      <c r="J25" s="49" t="n">
        <v>46317</v>
      </c>
      <c r="K25" s="51" t="n">
        <v>2018</v>
      </c>
      <c r="L25" s="29" t="inlineStr">
        <is>
          <t>Hayır</t>
        </is>
      </c>
      <c r="M25" s="29" t="inlineStr">
        <is>
          <t>Taslak</t>
        </is>
      </c>
      <c r="N25" s="29" t="inlineStr">
        <is>
          <t>Sanat ve sergiler</t>
        </is>
      </c>
      <c r="O25" s="29" t="inlineStr">
        <is>
          <t>Centrum</t>
        </is>
      </c>
      <c r="P25" s="29" t="inlineStr">
        <is>
          <t>Kapalı alan</t>
        </is>
      </c>
      <c r="Q25" s="29" t="inlineStr">
        <is>
          <t>Kleine Berg 42, 5611 JV Eindhoven</t>
        </is>
      </c>
      <c r="R25" s="50" t="n">
        <v>51.43653</v>
      </c>
      <c r="S25" s="50" t="n">
        <v>5.47467</v>
      </c>
      <c r="T25" s="29" t="n"/>
      <c r="U25" s="29" t="inlineStr">
        <is>
          <t>This is Eindhoven, galerinin modern çağdaş sanattan oluşan çok geniş bir koleksiyonu olduğunu yazıyor. Telefon: +31 6 23 03 62 55.</t>
        </is>
      </c>
      <c r="V25" s="29" t="inlineStr">
        <is>
          <t>Hayır</t>
        </is>
      </c>
      <c r="W25" s="29" t="n"/>
    </row>
    <row r="26" ht="54" customHeight="1">
      <c r="A26" s="29" t="inlineStr">
        <is>
          <t>eindhoven:de-kruisruimte</t>
        </is>
      </c>
      <c r="B26" s="29" t="inlineStr">
        <is>
          <t>eindhoven</t>
        </is>
      </c>
      <c r="C26" s="29" t="inlineStr">
        <is>
          <t>de-kruisruimte</t>
        </is>
      </c>
      <c r="D26" s="29" t="inlineStr">
        <is>
          <t>De Kruisruimte</t>
        </is>
      </c>
      <c r="E26" s="29" t="inlineStr">
        <is>
          <t>Generaal Bothastraat'ta sanatçı, tasarımcı ve sanatseverlerin buluştuğu açık sanat alanı</t>
        </is>
      </c>
      <c r="F26" s="29" t="inlineStr">
        <is>
          <t>De Kruisruimte, Generaal Bothastraat 7 E'de (5642 NJ Eindhoven); sanatçıların, tasarımcıların ve sanatseverlerin atölyelerde ya da sergilerde buluştuğu açık bir sanat alanı. Yaratıcı girişimciler burayı sergi, atölye çalışması, konferans ve performans için de kullanıyor.</t>
        </is>
      </c>
      <c r="G26" s="29" t="inlineStr">
        <is>
          <t>De Kruisruimte, sanatçı atölyesi, Generaal Bothastraat, sergi, workshop, Tongelre</t>
        </is>
      </c>
      <c r="H26" s="29" t="inlineStr">
        <is>
          <t>new;settled</t>
        </is>
      </c>
      <c r="I26" s="29" t="inlineStr">
        <is>
          <t>eindhoven:kaynak:262</t>
        </is>
      </c>
      <c r="J26" s="49" t="n">
        <v>46317</v>
      </c>
      <c r="K26" s="51" t="n">
        <v>2019</v>
      </c>
      <c r="L26" s="29" t="inlineStr">
        <is>
          <t>Hayır</t>
        </is>
      </c>
      <c r="M26" s="29" t="inlineStr">
        <is>
          <t>Taslak</t>
        </is>
      </c>
      <c r="N26" s="29" t="inlineStr">
        <is>
          <t>Sanat ve sergiler</t>
        </is>
      </c>
      <c r="O26" s="29" t="inlineStr">
        <is>
          <t>Tongelre</t>
        </is>
      </c>
      <c r="P26" s="29" t="inlineStr">
        <is>
          <t>Kapalı alan</t>
        </is>
      </c>
      <c r="Q26" s="29" t="inlineStr">
        <is>
          <t>Generaal Bothastraat 7 E, 5642 NJ Eindhoven</t>
        </is>
      </c>
      <c r="R26" s="50" t="n">
        <v>51.44288</v>
      </c>
      <c r="S26" s="50" t="n">
        <v>5.5152</v>
      </c>
      <c r="T26" s="29" t="n"/>
      <c r="U26" s="29" t="inlineStr">
        <is>
          <t>Mekân Complex Foundation'ın girişimi; vakfın kendi iç etkinliklerinin yanında dışarıdan gelen yaratıcı girişimcilere de kapısını açıyor.</t>
        </is>
      </c>
      <c r="V26" s="29" t="inlineStr">
        <is>
          <t>Hayır</t>
        </is>
      </c>
      <c r="W26" s="29" t="n"/>
    </row>
    <row r="27" ht="54" customHeight="1">
      <c r="A27" s="29" t="inlineStr">
        <is>
          <t>eindhoven:kevn-kelderman-en-van-noort</t>
        </is>
      </c>
      <c r="B27" s="29" t="inlineStr">
        <is>
          <t>eindhoven</t>
        </is>
      </c>
      <c r="C27" s="29" t="inlineStr">
        <is>
          <t>kevn-kelderman-en-van-noort</t>
        </is>
      </c>
      <c r="D27" s="29" t="inlineStr">
        <is>
          <t>KEVN (Kelderman en van Noort)</t>
        </is>
      </c>
      <c r="E27" s="29" t="inlineStr">
        <is>
          <t>Strijp-S istasyonunun karşısında atölye, sergi ve barı olan yapımcılar evi</t>
        </is>
      </c>
      <c r="F27" s="29" t="inlineStr">
        <is>
          <t>KEVN (Kelderman en van Noort), Galileïstraat 2'de (5621 AE Eindhoven), Eindhoven Strijp-S istasyonunun karşısındaki yeşilliğin içinde. Kendini 'yapımcıların ve izleyicilerin evi' olarak tanımlıyor: atölyeler, sergiler ve bir bar aynı yerde; restoranı da var. Çarşamba–cuma 16.00–00.00, cumartesi 12.00–00.00, pazar 12.00–22.00 arası açık; pazartesi ve salı kapalı.</t>
        </is>
      </c>
      <c r="G27" s="29" t="inlineStr">
        <is>
          <t>KEVN, Kelderman en van Noort, Strijp-S, sergi, bar, atölye</t>
        </is>
      </c>
      <c r="H27" s="29" t="inlineStr">
        <is>
          <t>new;settled</t>
        </is>
      </c>
      <c r="I27" s="29" t="inlineStr">
        <is>
          <t>eindhoven:kaynak:263;eindhoven:kaynak:265</t>
        </is>
      </c>
      <c r="J27" s="49" t="n">
        <v>46317</v>
      </c>
      <c r="K27" s="51" t="n">
        <v>2020</v>
      </c>
      <c r="L27" s="29" t="inlineStr">
        <is>
          <t>Hayır</t>
        </is>
      </c>
      <c r="M27" s="29" t="inlineStr">
        <is>
          <t>Taslak</t>
        </is>
      </c>
      <c r="N27" s="29" t="inlineStr">
        <is>
          <t>Sanat ve sergiler</t>
        </is>
      </c>
      <c r="O27" s="29" t="inlineStr">
        <is>
          <t>Woensel-Zuid</t>
        </is>
      </c>
      <c r="P27" s="29" t="inlineStr">
        <is>
          <t>Kapalı alan</t>
        </is>
      </c>
      <c r="Q27" s="29" t="inlineStr">
        <is>
          <t>Galileïstraat 2, 5621 AE Eindhoven</t>
        </is>
      </c>
      <c r="R27" s="50" t="n">
        <v>51.4514</v>
      </c>
      <c r="S27" s="50" t="n">
        <v>5.45847</v>
      </c>
      <c r="T27" s="29" t="n"/>
      <c r="U27" s="29" t="inlineStr">
        <is>
          <t>Trenle gelenler için Strijp-S istasyonundan çıkınca hemen karşıda. Sanat-bilim laboratuvarı Baltan Laboratories'in ofisi de bu adreste.</t>
        </is>
      </c>
      <c r="V27" s="29" t="inlineStr">
        <is>
          <t>Hayır</t>
        </is>
      </c>
      <c r="W27" s="29" t="n"/>
    </row>
    <row r="28" ht="54" customHeight="1">
      <c r="A28" s="29" t="inlineStr">
        <is>
          <t>eindhoven:van-abbehuis</t>
        </is>
      </c>
      <c r="B28" s="29" t="inlineStr">
        <is>
          <t>eindhoven</t>
        </is>
      </c>
      <c r="C28" s="29" t="inlineStr">
        <is>
          <t>van-abbehuis</t>
        </is>
      </c>
      <c r="D28" s="29" t="inlineStr">
        <is>
          <t>Van Abbehuis</t>
        </is>
      </c>
      <c r="E28" s="29" t="inlineStr">
        <is>
          <t>Van Abbe ailesinin eski villasından adını alan çağdaş sanat evi; şimdilik Stadhuisplein 3'te, 3. katta</t>
        </is>
      </c>
      <c r="F28" s="29" t="inlineStr">
        <is>
          <t>Van Abbehuis, AVA Foundation'ın yönettiği bir çağdaş sanat evi; sanat, teknoloji, tasarım ve toplumu buluşturan sergiler, atölye çalışmaları, performanslar ve konferanslar düzenliyor. Adını, puro üreticisi Henri Van Abbe'nin 1919'da yaptırdığı aile villasından alıyor; Bilderdijklaan 19'daki bu villa 2026'da özgün ayrıntıları korunarak yenileniyor. Şu anki geçici adresi Stadhuisplein 3, 3. kat (5611 EM Eindhoven). Perşembeden pazara 13.00–17.00 arası açık; pazartesiden çarşambaya kapalı.</t>
        </is>
      </c>
      <c r="G28" s="29" t="inlineStr">
        <is>
          <t>Van Abbehuis, AVA Foundation, Bilderdijklaan, Stadhuisplein, çağdaş sanat, sergi, workshop</t>
        </is>
      </c>
      <c r="H28" s="29" t="inlineStr">
        <is>
          <t>new;settled</t>
        </is>
      </c>
      <c r="I28" s="29" t="inlineStr">
        <is>
          <t>eindhoven:kaynak:356;eindhoven:kaynak:357;eindhoven:kaynak:264;eindhoven:kaynak:244</t>
        </is>
      </c>
      <c r="J28" s="49" t="n">
        <v>46317</v>
      </c>
      <c r="K28" s="51" t="n">
        <v>2021</v>
      </c>
      <c r="L28" s="29" t="inlineStr">
        <is>
          <t>Hayır</t>
        </is>
      </c>
      <c r="M28" s="29" t="inlineStr">
        <is>
          <t>Taslak</t>
        </is>
      </c>
      <c r="N28" s="29" t="inlineStr">
        <is>
          <t>Sanat ve sergiler</t>
        </is>
      </c>
      <c r="O28" s="29" t="inlineStr">
        <is>
          <t>Centrum</t>
        </is>
      </c>
      <c r="P28" s="29" t="inlineStr">
        <is>
          <t>Kapalı alan</t>
        </is>
      </c>
      <c r="Q28" s="29" t="inlineStr">
        <is>
          <t>Stadhuisplein 3, 5611 EM Eindhoven (3. kat; geçici adres)</t>
        </is>
      </c>
      <c r="R28" s="50" t="n">
        <v>51.43554</v>
      </c>
      <c r="S28" s="50" t="n">
        <v>5.48196</v>
      </c>
      <c r="T28" s="29" t="n"/>
      <c r="U28" s="29" t="inlineStr">
        <is>
          <t>Adı benzese de Van Abbemuseum'la karıştırmayın: müze Stratumsedijk 2'de, Van Abbehuis'in villası ise müzenin karşısında. Mekân kendini sanatseverler, meraklı ziyaretçiler ve genç üreticiler için öğrenme, üretme ve buluşma yeri olarak tanıtıyor.</t>
        </is>
      </c>
      <c r="V28" s="29" t="inlineStr">
        <is>
          <t>Hayır</t>
        </is>
      </c>
      <c r="W28" s="29" t="n"/>
    </row>
    <row r="29" ht="54" customHeight="1">
      <c r="A29" s="29" t="inlineStr">
        <is>
          <t>eindhoven:baltan-laboratories</t>
        </is>
      </c>
      <c r="B29" s="29" t="inlineStr">
        <is>
          <t>eindhoven</t>
        </is>
      </c>
      <c r="C29" s="29" t="inlineStr">
        <is>
          <t>baltan-laboratories</t>
        </is>
      </c>
      <c r="D29" s="29" t="inlineStr">
        <is>
          <t>Baltan Laboratories</t>
        </is>
      </c>
      <c r="E29" s="29" t="inlineStr">
        <is>
          <t>Natlab binasında sanatı, bilimi ve teknolojiyi buluşturan disiplinler ötesi kültür laboratuvarı</t>
        </is>
      </c>
      <c r="F29" s="29" t="inlineStr">
        <is>
          <t>Baltan Laboratories, Eindhoven merkezli 'indisipliner' bir kültür laboratuvarı; toplumsal konulara yalnız sanat ve bilimi değil, farklı bilme biçimlerini birleştiren projeler, öğrenme programları ve işbirlikleriyle yaklaşıyor. 2008'de iki yıllık bir pilot olarak kuruldu; Philips'in eski fizik laboratuvarı Natlab yenilenip açıldığında binanın ana sakinlerinden biri oldu. Ziyaret adresi Kastanjelaan 500 (5616 LZ Eindhoven).</t>
        </is>
      </c>
      <c r="G29" s="29" t="inlineStr">
        <is>
          <t>Baltan Laboratories, Natlab, sanat ve bilim, medya laboratuvarı, Strijp-S, Kastanjelaan</t>
        </is>
      </c>
      <c r="H29" s="29" t="inlineStr">
        <is>
          <t>new;settled</t>
        </is>
      </c>
      <c r="I29" s="29" t="inlineStr">
        <is>
          <t>eindhoven:kaynak:265</t>
        </is>
      </c>
      <c r="J29" s="49" t="n">
        <v>46317</v>
      </c>
      <c r="K29" s="51" t="n">
        <v>2022</v>
      </c>
      <c r="L29" s="29" t="inlineStr">
        <is>
          <t>Hayır</t>
        </is>
      </c>
      <c r="M29" s="29" t="inlineStr">
        <is>
          <t>Taslak</t>
        </is>
      </c>
      <c r="N29" s="29" t="inlineStr">
        <is>
          <t>Sanat ve sergiler</t>
        </is>
      </c>
      <c r="O29" s="29" t="inlineStr">
        <is>
          <t>Strijp</t>
        </is>
      </c>
      <c r="P29" s="29" t="inlineStr">
        <is>
          <t>Kapalı alan</t>
        </is>
      </c>
      <c r="Q29" s="29" t="inlineStr">
        <is>
          <t>Kastanjelaan 500, 5616 LZ Eindhoven</t>
        </is>
      </c>
      <c r="R29" s="50" t="n">
        <v>51.44586</v>
      </c>
      <c r="S29" s="50" t="n">
        <v>5.45445</v>
      </c>
      <c r="T29" s="29" t="n"/>
      <c r="U29" s="29" t="inlineStr">
        <is>
          <t>Ziyaret adresi Natlab'daki Kastanjelaan 500, ofisi ise Galileistraat 2'deki Kelderman en Van Noort binasında. Sorular için info@baltanlaboratories.org ya da +31 6 16 71 71 66.</t>
        </is>
      </c>
      <c r="V29" s="29" t="inlineStr">
        <is>
          <t>Hayır</t>
        </is>
      </c>
      <c r="W29" s="29" t="n"/>
    </row>
    <row r="30" ht="54" customHeight="1">
      <c r="A30" s="29" t="inlineStr">
        <is>
          <t>eindhoven:the-pool</t>
        </is>
      </c>
      <c r="B30" s="29" t="inlineStr">
        <is>
          <t>eindhoven</t>
        </is>
      </c>
      <c r="C30" s="29" t="inlineStr">
        <is>
          <t>the-pool</t>
        </is>
      </c>
      <c r="D30" s="29" t="inlineStr">
        <is>
          <t>THE POOL</t>
        </is>
      </c>
      <c r="E30" s="29" t="inlineStr">
        <is>
          <t>Sectie-C'de sanat, tasarım, yemek ve müziğin buluştuğu deney alanı</t>
        </is>
      </c>
      <c r="F30" s="29" t="inlineStr">
        <is>
          <t>THE POOL, Daalakkersweg 2'de (5641 JA Eindhoven), 200'den fazla sanatçı, yapımcı ve yaratıcının bulunduğu Sectie-C yaratıcı merkezinde. Sanat ve tasarım, yemek, müzik ve insanların buluştuğu bir deney ve işbirliği alanı; düzenli olarak sergiler, partiler ve yemek kamyonları var. Cuma ve cumartesi 12.00–17.00 arası açık, diğer günler kapalı.</t>
        </is>
      </c>
      <c r="G30" s="29" t="inlineStr">
        <is>
          <t>THE POOL, Sectie-C, Daalakkersweg, sergi, parti, food truck</t>
        </is>
      </c>
      <c r="H30" s="29" t="inlineStr">
        <is>
          <t>new;settled</t>
        </is>
      </c>
      <c r="I30" s="29" t="inlineStr">
        <is>
          <t>eindhoven:kaynak:266</t>
        </is>
      </c>
      <c r="J30" s="49" t="n">
        <v>46317</v>
      </c>
      <c r="K30" s="51" t="n">
        <v>2023</v>
      </c>
      <c r="L30" s="29" t="inlineStr">
        <is>
          <t>Hayır</t>
        </is>
      </c>
      <c r="M30" s="29" t="inlineStr">
        <is>
          <t>Taslak</t>
        </is>
      </c>
      <c r="N30" s="29" t="inlineStr">
        <is>
          <t>Sanat ve sergiler</t>
        </is>
      </c>
      <c r="O30" s="29" t="inlineStr">
        <is>
          <t>Tongelre</t>
        </is>
      </c>
      <c r="P30" s="29" t="inlineStr">
        <is>
          <t>Kapalı alan</t>
        </is>
      </c>
      <c r="Q30" s="29" t="inlineStr">
        <is>
          <t>Daalakkersweg 2, 5641 JA Eindhoven</t>
        </is>
      </c>
      <c r="R30" s="50" t="n">
        <v>51.44678</v>
      </c>
      <c r="S30" s="50" t="n">
        <v>5.52235</v>
      </c>
      <c r="T30" s="29" t="n"/>
      <c r="U30" s="29" t="inlineStr">
        <is>
          <t>Telefon: +31 40 760 1285.</t>
        </is>
      </c>
      <c r="V30" s="29" t="inlineStr">
        <is>
          <t>Hayır</t>
        </is>
      </c>
      <c r="W30" s="29" t="n"/>
    </row>
    <row r="31" ht="54" customHeight="1">
      <c r="A31" s="29" t="inlineStr">
        <is>
          <t>eindhoven:bioart-laboratories</t>
        </is>
      </c>
      <c r="B31" s="29" t="inlineStr">
        <is>
          <t>eindhoven</t>
        </is>
      </c>
      <c r="C31" s="29" t="inlineStr">
        <is>
          <t>bioart-laboratories</t>
        </is>
      </c>
      <c r="D31" s="29" t="inlineStr">
        <is>
          <t>BioArt Laboratories</t>
        </is>
      </c>
      <c r="E31" s="29" t="inlineStr">
        <is>
          <t>Strijp'te, İkinci Dünya Savaşı'ndan kalma bir bunker kompleksinde bilim, sanat ve doğayı buluşturan BioArt Village</t>
        </is>
      </c>
      <c r="F31" s="29" t="inlineStr">
        <is>
          <t>BioArt Laboratories bir vakıf; bilim, doğa, teknoloji ve yaratıcılığı bir araya getiriyor ve farklı alanlar arasında geçişi teşvik ederek yenilikçi malzemeler ve yaratıcı çözümler geliştirmeyi amaçlıyor. Vakfın BioArt Village'ı Strijp'te, Oirschotsedijk 14-10'da, Alman ordusunun İkinci Dünya Savaşı'nda inşa ettiği bir askerî bunker kompleksinde; içinde tam donanımlı bir hibrit laboratuvar ve çok sayıda atölye var. Ziyaretler yalnız randevuyla: alana girebilmek için gelmeden önce iletişim formundan ulaşıp ziyaretinizi ayarlamanız gerekiyor. Arabayla gelenler için bol park yeri var.</t>
        </is>
      </c>
      <c r="G31" s="29" t="inlineStr">
        <is>
          <t>BioArt Laboratories, BioArt Village, Oirschotsedijk, biyosanat, hibrit laboratuvar, bunker, randevulu ziyaret, Strijp</t>
        </is>
      </c>
      <c r="H31" s="29" t="inlineStr">
        <is>
          <t>new;settled</t>
        </is>
      </c>
      <c r="I31" s="29" t="inlineStr">
        <is>
          <t>eindhoven:kaynak:267;eindhoven:kaynak:349</t>
        </is>
      </c>
      <c r="J31" s="49" t="n">
        <v>46317</v>
      </c>
      <c r="K31" s="51" t="n">
        <v>2024</v>
      </c>
      <c r="L31" s="29" t="inlineStr">
        <is>
          <t>Hayır</t>
        </is>
      </c>
      <c r="M31" s="29" t="inlineStr">
        <is>
          <t>Taslak</t>
        </is>
      </c>
      <c r="N31" s="29" t="inlineStr">
        <is>
          <t>Sanat ve sergiler</t>
        </is>
      </c>
      <c r="O31" s="29" t="inlineStr">
        <is>
          <t>Strijp</t>
        </is>
      </c>
      <c r="P31" s="29" t="inlineStr">
        <is>
          <t>Kapalı alan</t>
        </is>
      </c>
      <c r="Q31" s="29" t="inlineStr">
        <is>
          <t>Oirschotsedijk 14-10, Eindhoven</t>
        </is>
      </c>
      <c r="R31" s="50" t="n">
        <v>51.46328</v>
      </c>
      <c r="S31" s="50" t="n">
        <v>5.42854</v>
      </c>
      <c r="T31" s="29" t="n"/>
      <c r="U31" s="29" t="inlineStr">
        <is>
          <t>Toplu taşımayla gelecekseniz 10 numaralı otobüsle 'De Schakel/Truckstop 8' durağına (oradan yaklaşık 15 dakika yürüyüş) ya da 8 numaralı otobüsle 'Leo van Dorstpad' durağına (yaklaşık 18 dakika yürüyüş) gidebilirsiniz. Eindhoven Strijp-S tren istasyonundan yürüyerek yaklaşık 35 dakika.</t>
        </is>
      </c>
      <c r="V31" s="29" t="inlineStr">
        <is>
          <t>Hayır</t>
        </is>
      </c>
      <c r="W31" s="29" t="n"/>
    </row>
    <row r="32" ht="54" customHeight="1">
      <c r="A32" s="29" t="inlineStr">
        <is>
          <t>eindhoven:het-koelhuis</t>
        </is>
      </c>
      <c r="B32" s="29" t="inlineStr">
        <is>
          <t>eindhoven</t>
        </is>
      </c>
      <c r="C32" s="29" t="inlineStr">
        <is>
          <t>het-koelhuis</t>
        </is>
      </c>
      <c r="D32" s="29" t="inlineStr">
        <is>
          <t>Het Koelhuis</t>
        </is>
      </c>
      <c r="E32" s="29" t="inlineStr">
        <is>
          <t>Eski Campina dondurucu deposunda sürükleyici deneyimlere ve yeni medya sanatına odaklanan kültür ve teknoloji merkezi</t>
        </is>
      </c>
      <c r="F32" s="29" t="inlineStr">
        <is>
          <t>Koelhuis Eindhoven, gelişmekte olan Koelhuis District'te sürükleyici deneyimlere (Immersive Experiences, IX) odaklanan bir kültür ve teknoloji merkezi; eski Campina dondurucu deposunun yeniden geliştirilmesiyle ortaya çıkan dev bir endüstriyel miras binasında. Ziyaretçi adresi Dirk Boutslaan 1 (5613 LH Eindhoven). En yakın tren istasyonu Eindhoven Centraal: oradan bisikletle 10, otobüsle 15 dakika ya da 30 dakikalık yürüyüş. Merkezden 24 ya da 320 numaralı otobüsle (Helmond Station yönü) 10 dakikada Otto Veniusweg durağına gelip kısa bir yürüyüşle ulaşılıyor.</t>
        </is>
      </c>
      <c r="G32" s="29" t="inlineStr">
        <is>
          <t>Koelhuis, Het Koelhuis, sürükleyici deneyim, yeni medya sanatı, Campina deposu, Koelhuis District, Dirk Boutslaan</t>
        </is>
      </c>
      <c r="H32" s="29" t="inlineStr">
        <is>
          <t>new;settled</t>
        </is>
      </c>
      <c r="I32" s="29" t="inlineStr">
        <is>
          <t>eindhoven:kaynak:268;eindhoven:kaynak:350;eindhoven:kaynak:351</t>
        </is>
      </c>
      <c r="J32" s="49" t="n">
        <v>46317</v>
      </c>
      <c r="K32" s="51" t="n">
        <v>2025</v>
      </c>
      <c r="L32" s="29" t="inlineStr">
        <is>
          <t>Hayır</t>
        </is>
      </c>
      <c r="M32" s="29" t="inlineStr">
        <is>
          <t>Taslak</t>
        </is>
      </c>
      <c r="N32" s="29" t="inlineStr">
        <is>
          <t>Sanat ve sergiler</t>
        </is>
      </c>
      <c r="O32" s="29" t="inlineStr">
        <is>
          <t>Stratum</t>
        </is>
      </c>
      <c r="P32" s="29" t="inlineStr">
        <is>
          <t>Kapalı alan</t>
        </is>
      </c>
      <c r="Q32" s="29" t="inlineStr">
        <is>
          <t>Dirk Boutslaan 1, 5613 LH Eindhoven</t>
        </is>
      </c>
      <c r="R32" s="50" t="n">
        <v>51.43335</v>
      </c>
      <c r="S32" s="50" t="n">
        <v>5.50149</v>
      </c>
      <c r="T32" s="29" t="n"/>
      <c r="U32" s="29" t="inlineStr">
        <is>
          <t>Mekân hâlâ dönüşüm sürecinde: sitesi Koelhuis'in yeni medya sanatı, sürükleyici teknolojiler ve çağdaş kültür için disiplinler arası bir merkez olacağını yazıyor ve düzenli açılış saati vermiyor; ziyaret etkinliklere bağlı. Etkinlik sayfasında yaklaşık 1400 metrekarelik, labirentten esinlenen sürükleyici yerleştirme 'The Lab' ile Dutch Design Week 2023 ve 2024 programları yer alıyor. Ofis Hugo van der Goeslaan 4'teki Container Pavilion'da. Arabayla gelenler çevredeki sokaklara ücretsiz park edebiliyor; bisikleti binanın önüne, yolun dışında bir yere bırakmanız isteniyor.</t>
        </is>
      </c>
      <c r="V32" s="29" t="inlineStr">
        <is>
          <t>Hayır</t>
        </is>
      </c>
      <c r="W32" s="29" t="n"/>
    </row>
    <row r="33" ht="54" customHeight="1">
      <c r="A33" s="29" t="inlineStr">
        <is>
          <t>eindhoven:piet-hein-eek</t>
        </is>
      </c>
      <c r="B33" s="29" t="inlineStr">
        <is>
          <t>eindhoven</t>
        </is>
      </c>
      <c r="C33" s="29" t="inlineStr">
        <is>
          <t>piet-hein-eek</t>
        </is>
      </c>
      <c r="D33" s="29" t="inlineStr">
        <is>
          <t>Piet Hein Eek mağaza ve showroom</t>
        </is>
      </c>
      <c r="E33" s="29" t="inlineStr">
        <is>
          <t>Strijp-R'de hurda ahşap mobilyalarıyla bilinen tasarımcının mağaza ve showroom'u</t>
        </is>
      </c>
      <c r="F33" s="29" t="inlineStr">
        <is>
          <t>Piet Hein Eek'in mağaza ve showroom'u Strijp-R'de, Halve Maanstraat 30'da (5651 BP Eindhoven). Tasarımcının hurda ahşaptan (scrap wood) yaptığı mobilyaları ve başka yetenekli tasarımcıların işlerini görüp satın alabilirsiniz. Pazartesiden cumartesiye 10.00–18.00, pazar 11.00–17.00 arası açık.</t>
        </is>
      </c>
      <c r="G33" s="29" t="inlineStr">
        <is>
          <t>Piet Hein Eek, Strijp-R, tasarım mağazası, hurda ahşap mobilya, showroom, Hollanda tasarımı</t>
        </is>
      </c>
      <c r="H33" s="29" t="inlineStr">
        <is>
          <t>new;settled</t>
        </is>
      </c>
      <c r="I33" s="29" t="inlineStr">
        <is>
          <t>eindhoven:kaynak:269</t>
        </is>
      </c>
      <c r="J33" s="49" t="n">
        <v>46317</v>
      </c>
      <c r="K33" s="51" t="n">
        <v>2026</v>
      </c>
      <c r="L33" s="29" t="inlineStr">
        <is>
          <t>Hayır</t>
        </is>
      </c>
      <c r="M33" s="29" t="inlineStr">
        <is>
          <t>Taslak</t>
        </is>
      </c>
      <c r="N33" s="29" t="inlineStr">
        <is>
          <t>Sanat ve sergiler</t>
        </is>
      </c>
      <c r="O33" s="29" t="inlineStr">
        <is>
          <t>Strijp</t>
        </is>
      </c>
      <c r="P33" s="29" t="inlineStr">
        <is>
          <t>Kapalı alan</t>
        </is>
      </c>
      <c r="Q33" s="29" t="inlineStr">
        <is>
          <t>Halve Maanstraat 30, 5651 BP Eindhoven</t>
        </is>
      </c>
      <c r="R33" s="50" t="n">
        <v>51.44905</v>
      </c>
      <c r="S33" s="50" t="n">
        <v>5.44563</v>
      </c>
      <c r="T33" s="29" t="n"/>
      <c r="U33" s="29" t="inlineStr">
        <is>
          <t>'The world of Piet Hein Eek' başlığı altında mağazanın yanında Hotel Piet Hein Eek, Green Restaurant, Grandcafé ve DAKBAR da listeleniyor. Telefon: +31 40 285 66 10.</t>
        </is>
      </c>
      <c r="V33" s="29" t="inlineStr">
        <is>
          <t>Hayır</t>
        </is>
      </c>
      <c r="W33" s="29" t="n"/>
    </row>
    <row r="34" ht="54" customHeight="1">
      <c r="A34" s="29" t="inlineStr">
        <is>
          <t>eindhoven:effenaar</t>
        </is>
      </c>
      <c r="B34" s="29" t="inlineStr">
        <is>
          <t>eindhoven</t>
        </is>
      </c>
      <c r="C34" s="29" t="inlineStr">
        <is>
          <t>effenaar</t>
        </is>
      </c>
      <c r="D34" s="29" t="inlineStr">
        <is>
          <t>Effenaar</t>
        </is>
      </c>
      <c r="E34" s="29" t="inlineStr">
        <is>
          <t>Eindhoven istasyonuna 150 metre mesafede, Grote Zaal ve Kleine Zaal salonlarıyla konser mekânı</t>
        </is>
      </c>
      <c r="F34" s="29" t="inlineStr">
        <is>
          <t>Effenaar, Dommelstraat 2'de konserlerin ve dans gecelerinin yapıldığı bir mekân; Grote Zaal (büyük salon) ve Kleine Zaal (küçük salon) olmak üzere iki konser salonu var. Eindhoven istasyonunda 'centrum' çıkışından çıkıp sola dönünce yaklaşık 150 metre sonra karşı kaldırımda görünüyor. Mekân tamamen nakitsiz: kapıda bilet yalnız banka kartıyla (pin) alınıyor, barlarda kart ya da telefonla ödeniyor. Resepsiyon pazartesi-cuma 10.00-16.00 arası açık.</t>
        </is>
      </c>
      <c r="G34" s="29" t="inlineStr">
        <is>
          <t>Effenaar, konser, canlı müzik, Grote Zaal, dans gecesi, Dommelstraat</t>
        </is>
      </c>
      <c r="H34" s="29" t="inlineStr">
        <is>
          <t>new;settled</t>
        </is>
      </c>
      <c r="I34" s="29" t="inlineStr">
        <is>
          <t>eindhoven:kaynak:270</t>
        </is>
      </c>
      <c r="J34" s="49" t="n">
        <v>46317</v>
      </c>
      <c r="K34" s="51" t="n">
        <v>2101</v>
      </c>
      <c r="L34" s="29" t="inlineStr">
        <is>
          <t>Hayır</t>
        </is>
      </c>
      <c r="M34" s="29" t="inlineStr">
        <is>
          <t>Taslak</t>
        </is>
      </c>
      <c r="N34" s="29" t="inlineStr">
        <is>
          <t>Sahne ve müzik</t>
        </is>
      </c>
      <c r="O34" s="29" t="inlineStr">
        <is>
          <t>Centrum</t>
        </is>
      </c>
      <c r="P34" s="29" t="inlineStr">
        <is>
          <t>Kapalı alan</t>
        </is>
      </c>
      <c r="Q34" s="29" t="inlineStr">
        <is>
          <t>Dommelstraat 2, 5611 CK Eindhoven</t>
        </is>
      </c>
      <c r="R34" s="50" t="n">
        <v>51.44176</v>
      </c>
      <c r="S34" s="50" t="n">
        <v>5.48321</v>
      </c>
      <c r="T34" s="29" t="n"/>
      <c r="U34" s="29" t="inlineStr">
        <is>
          <t>Büyük çantalar, sırt çantaları ve kasklar salona alınmıyor, dolaplara da sığmıyor; en fazla A4 boyutunda ve yaklaşık 10 cm kalınlığındaki küçük el çantaları serbest. Foyedeki dolaplar (iç ölçü 23 x 20 cm) yalnız bir mont ya da küçük çanta alıyor. İçecekler sert plastik bardakla veriliyor: girişte aldığın tahta jetonu ilk içecekte bardağa çeviriyorsun, bardağı kaybedersen jetonsuz içecekte bardak başına 2 euro ödüyorsun.</t>
        </is>
      </c>
      <c r="V34" s="29" t="inlineStr">
        <is>
          <t>Hayır</t>
        </is>
      </c>
      <c r="W34" s="29" t="n"/>
    </row>
    <row r="35" ht="54" customHeight="1">
      <c r="A35" s="29" t="inlineStr">
        <is>
          <t>eindhoven:muziekgebouw-eindhoven</t>
        </is>
      </c>
      <c r="B35" s="29" t="inlineStr">
        <is>
          <t>eindhoven</t>
        </is>
      </c>
      <c r="C35" s="29" t="inlineStr">
        <is>
          <t>muziekgebouw-eindhoven</t>
        </is>
      </c>
      <c r="D35" s="29" t="inlineStr">
        <is>
          <t>Muziekgebouw Eindhoven</t>
        </is>
      </c>
      <c r="E35" s="29" t="inlineStr">
        <is>
          <t>Heuvel 140'taki konser binası; gişesi ana girişte</t>
        </is>
      </c>
      <c r="F35" s="29" t="inlineStr">
        <is>
          <t>Muziekgebouw Eindhoven, şehir merkezinde Heuvel 140'ta bulunan bir konser binası. Gişe (Box Office) binanın ana girişinde; pazartesiden cumartesiye 13.00-17.00 arası açık ve her konserden bir saat önce de açılıyor. Gişeye aynı saatlerde 040 – 244 20 20 numarasından ya da e-postayla ulaşılabiliyor.</t>
        </is>
      </c>
      <c r="G35" s="29" t="inlineStr">
        <is>
          <t>Muziekgebouw, konser, konser salonu, Box Office, gişe, Heuvel</t>
        </is>
      </c>
      <c r="H35" s="29" t="inlineStr">
        <is>
          <t>new;settled</t>
        </is>
      </c>
      <c r="I35" s="29" t="inlineStr">
        <is>
          <t>eindhoven:kaynak:271</t>
        </is>
      </c>
      <c r="J35" s="49" t="n">
        <v>46317</v>
      </c>
      <c r="K35" s="51" t="n">
        <v>2102</v>
      </c>
      <c r="L35" s="29" t="inlineStr">
        <is>
          <t>Hayır</t>
        </is>
      </c>
      <c r="M35" s="29" t="inlineStr">
        <is>
          <t>Taslak</t>
        </is>
      </c>
      <c r="N35" s="29" t="inlineStr">
        <is>
          <t>Sahne ve müzik</t>
        </is>
      </c>
      <c r="O35" s="29" t="inlineStr">
        <is>
          <t>Centrum</t>
        </is>
      </c>
      <c r="P35" s="29" t="inlineStr">
        <is>
          <t>Kapalı alan</t>
        </is>
      </c>
      <c r="Q35" s="29" t="inlineStr">
        <is>
          <t>Heuvel 140, 5611 DK Eindhoven</t>
        </is>
      </c>
      <c r="R35" s="50" t="n">
        <v>51.43861</v>
      </c>
      <c r="S35" s="50" t="n">
        <v>5.47972</v>
      </c>
      <c r="T35" s="29" t="n"/>
      <c r="U35" s="29" t="inlineStr">
        <is>
          <t>Yönetim ofisi ayrı bir adreste, Jan van Lieshoutstraat 3'te; bilet almak ya da konser günü soru sormak için gidilecek yer Heuvel 140'taki ana girişteki gişe.</t>
        </is>
      </c>
      <c r="V35" s="29" t="inlineStr">
        <is>
          <t>Hayır</t>
        </is>
      </c>
      <c r="W35" s="29" t="n"/>
    </row>
    <row r="36" ht="54" customHeight="1">
      <c r="A36" s="29" t="inlineStr">
        <is>
          <t>eindhoven:parktheater-eindhoven</t>
        </is>
      </c>
      <c r="B36" s="29" t="inlineStr">
        <is>
          <t>eindhoven</t>
        </is>
      </c>
      <c r="C36" s="29" t="inlineStr">
        <is>
          <t>parktheater-eindhoven</t>
        </is>
      </c>
      <c r="D36" s="29" t="inlineStr">
        <is>
          <t>Parktheater Eindhoven</t>
        </is>
      </c>
      <c r="E36" s="29" t="inlineStr">
        <is>
          <t>Müzikal, tiyatro, opera ve daha fazlasının sahnelendiği tiyatro</t>
        </is>
      </c>
      <c r="F36" s="29" t="inlineStr">
        <is>
          <t>Parktheater Eindhoven, Stratum'da Theaterpad 1'de bulunan; müzikal, tiyatro, opera ve başka türde gösterilerin sahnelendiği bir tiyatro. Kendini akşam dışarı çıkmak için bir mekân olarak tanıtıyor. Gezi sitesi This is Eindhoven'ın listesinde pazartesi-cumartesi 09:30-18:00 saatleri var, pazar kapalı görünüyor; bu liste saatleri gösteri günlerini ve akşam gösterilerinin saatini yansıtmıyor.</t>
        </is>
      </c>
      <c r="G36" s="29" t="inlineStr">
        <is>
          <t>Parktheater, tiyatro, müzikal, opera, Stratum, Theaterpad</t>
        </is>
      </c>
      <c r="H36" s="29" t="inlineStr">
        <is>
          <t>new;settled</t>
        </is>
      </c>
      <c r="I36" s="29" t="inlineStr">
        <is>
          <t>eindhoven:kaynak:272</t>
        </is>
      </c>
      <c r="J36" s="49" t="n">
        <v>46317</v>
      </c>
      <c r="K36" s="51" t="n">
        <v>2103</v>
      </c>
      <c r="L36" s="29" t="inlineStr">
        <is>
          <t>Hayır</t>
        </is>
      </c>
      <c r="M36" s="29" t="inlineStr">
        <is>
          <t>Taslak</t>
        </is>
      </c>
      <c r="N36" s="29" t="inlineStr">
        <is>
          <t>Sahne ve müzik</t>
        </is>
      </c>
      <c r="O36" s="29" t="inlineStr">
        <is>
          <t>Stratum</t>
        </is>
      </c>
      <c r="P36" s="29" t="inlineStr">
        <is>
          <t>Kapalı alan</t>
        </is>
      </c>
      <c r="Q36" s="29" t="inlineStr">
        <is>
          <t>Theaterpad 1, 5615 EN Eindhoven</t>
        </is>
      </c>
      <c r="R36" s="50" t="n">
        <v>51.42889</v>
      </c>
      <c r="S36" s="50" t="n">
        <v>5.48472</v>
      </c>
      <c r="T36" s="29" t="n"/>
      <c r="U36" s="29" t="inlineStr">
        <is>
          <t>Kendini her zevke uygun bir şey sunan dinamik ve yenilikçi bir tiyatro olarak tanıtıyor; telefonu +31 (0) 40 - 215 61 56.</t>
        </is>
      </c>
      <c r="V36" s="29" t="inlineStr">
        <is>
          <t>Hayır</t>
        </is>
      </c>
      <c r="W36" s="29" t="n"/>
    </row>
    <row r="37" ht="54" customHeight="1">
      <c r="A37" s="29" t="inlineStr">
        <is>
          <t>eindhoven:natlab</t>
        </is>
      </c>
      <c r="B37" s="29" t="inlineStr">
        <is>
          <t>eindhoven</t>
        </is>
      </c>
      <c r="C37" s="29" t="inlineStr">
        <is>
          <t>natlab</t>
        </is>
      </c>
      <c r="D37" s="29" t="inlineStr">
        <is>
          <t>Natlab</t>
        </is>
      </c>
      <c r="E37" s="29" t="inlineStr">
        <is>
          <t>Strijp-S'te arthouse filmler, tiyatro, dans ve sergiler sunan film tiyatrosu</t>
        </is>
      </c>
      <c r="F37" s="29" t="inlineStr">
        <is>
          <t>Natlab, Strijp-S'te Kastanjelaan 500'de 2013'ten beri çalışan bir film tiyatrosu; arthouse (sanat sineması) filmlerin yanında tiyatro, dans, sergi, tartışma ve atölye programları da var. Pazartesi-perşembe 15:00-23:00, cuma ve cumartesi 15:00-00:00, pazar 11:00-22:00 açık.</t>
        </is>
      </c>
      <c r="G37" s="29" t="inlineStr">
        <is>
          <t>Natlab, sinema, arthouse film, Strijp-S, tiyatro, film tiyatrosu</t>
        </is>
      </c>
      <c r="H37" s="29" t="inlineStr">
        <is>
          <t>new;settled</t>
        </is>
      </c>
      <c r="I37" s="29" t="inlineStr">
        <is>
          <t>eindhoven:kaynak:273</t>
        </is>
      </c>
      <c r="J37" s="49" t="n">
        <v>46317</v>
      </c>
      <c r="K37" s="51" t="n">
        <v>2104</v>
      </c>
      <c r="L37" s="29" t="inlineStr">
        <is>
          <t>Hayır</t>
        </is>
      </c>
      <c r="M37" s="29" t="inlineStr">
        <is>
          <t>Taslak</t>
        </is>
      </c>
      <c r="N37" s="29" t="inlineStr">
        <is>
          <t>Sahne ve müzik</t>
        </is>
      </c>
      <c r="O37" s="29" t="inlineStr">
        <is>
          <t>Strijp</t>
        </is>
      </c>
      <c r="P37" s="29" t="inlineStr">
        <is>
          <t>Kapalı alan</t>
        </is>
      </c>
      <c r="Q37" s="29" t="inlineStr">
        <is>
          <t>Kastanjelaan 500, 5616 LZ Eindhoven</t>
        </is>
      </c>
      <c r="R37" s="50" t="n">
        <v>51.44578</v>
      </c>
      <c r="S37" s="50" t="n">
        <v>5.45476</v>
      </c>
      <c r="T37" s="29" t="n"/>
      <c r="U37" s="29" t="inlineStr">
        <is>
          <t>Binada bir kafe ve açık hava oturma alanı var; salonlar küçük toplantılardan büyük grupların sunumlarına kadar (iş) etkinlikleri için de kullanılıyor.</t>
        </is>
      </c>
      <c r="V37" s="29" t="inlineStr">
        <is>
          <t>Hayır</t>
        </is>
      </c>
      <c r="W37" s="29" t="n"/>
    </row>
    <row r="38" ht="54" customHeight="1">
      <c r="A38" s="29" t="inlineStr">
        <is>
          <t>eindhoven:stage-music-cafe</t>
        </is>
      </c>
      <c r="B38" s="29" t="inlineStr">
        <is>
          <t>eindhoven</t>
        </is>
      </c>
      <c r="C38" s="29" t="inlineStr">
        <is>
          <t>stage-music-cafe</t>
        </is>
      </c>
      <c r="D38" s="29" t="inlineStr">
        <is>
          <t>Stage Music Café</t>
        </is>
      </c>
      <c r="E38" s="29" t="inlineStr">
        <is>
          <t>Stratumseind'de hem pub hem gece barı havası taşıyan, müzik etkinlikli kafe</t>
        </is>
      </c>
      <c r="F38" s="29" t="inlineStr">
        <is>
          <t>Stage Music Café, Stratumseind 25'te hem sevilen bir pub hem de gece barı havası taşıyan bir kafe. Gençlere de yaşlılara da hitap ettiğini söylüyor ve küçük, samimi bir müzik etkinliği mekânı olarak çalışıyor. Salıdan cumaya 14:00'te, hafta sonu 12:00'de açılıyor.</t>
        </is>
      </c>
      <c r="G38" s="29" t="inlineStr">
        <is>
          <t>Stage Music Café, Stratumseind, müzik kafe, pub, gece hayatı, müzik etkinliği</t>
        </is>
      </c>
      <c r="H38" s="29" t="inlineStr">
        <is>
          <t>new;settled</t>
        </is>
      </c>
      <c r="I38" s="29" t="inlineStr">
        <is>
          <t>eindhoven:kaynak:274</t>
        </is>
      </c>
      <c r="J38" s="49" t="n">
        <v>46317</v>
      </c>
      <c r="K38" s="51" t="n">
        <v>2105</v>
      </c>
      <c r="L38" s="29" t="inlineStr">
        <is>
          <t>Hayır</t>
        </is>
      </c>
      <c r="M38" s="29" t="inlineStr">
        <is>
          <t>Taslak</t>
        </is>
      </c>
      <c r="N38" s="29" t="inlineStr">
        <is>
          <t>Sahne ve müzik</t>
        </is>
      </c>
      <c r="O38" s="29" t="inlineStr">
        <is>
          <t>Centrum</t>
        </is>
      </c>
      <c r="P38" s="29" t="inlineStr">
        <is>
          <t>Kapalı alan</t>
        </is>
      </c>
      <c r="Q38" s="29" t="inlineStr">
        <is>
          <t>Stratumseind 25, 5611 EN Eindhoven</t>
        </is>
      </c>
      <c r="R38" s="50" t="n">
        <v>51.43695</v>
      </c>
      <c r="S38" s="50" t="n">
        <v>5.48047</v>
      </c>
      <c r="T38" s="29" t="n"/>
      <c r="U38" s="29" t="inlineStr">
        <is>
          <t>Cuma ve cumartesi geceleri 04:00'e, perşembe ve pazar 02:00'ye, salı ve çarşamba gece yarısına kadar açık; pazartesi kapalı.</t>
        </is>
      </c>
      <c r="V38" s="29" t="inlineStr">
        <is>
          <t>Hayır</t>
        </is>
      </c>
      <c r="W38" s="29" t="n"/>
    </row>
    <row r="39" ht="54" customHeight="1">
      <c r="A39" s="29" t="inlineStr">
        <is>
          <t>eindhoven:pathe-eindhoven</t>
        </is>
      </c>
      <c r="B39" s="29" t="inlineStr">
        <is>
          <t>eindhoven</t>
        </is>
      </c>
      <c r="C39" s="29" t="inlineStr">
        <is>
          <t>pathe-eindhoven</t>
        </is>
      </c>
      <c r="D39" s="29" t="inlineStr">
        <is>
          <t>Pathé Eindhoven</t>
        </is>
      </c>
      <c r="E39" s="29" t="inlineStr">
        <is>
          <t>Dommelstraat'ta, 4DX salonu da olan Pathé sineması</t>
        </is>
      </c>
      <c r="F39" s="29" t="inlineStr">
        <is>
          <t>Pathé Eindhoven, Hollanda'nın en büyük sinema zinciri Pathé'nin şehir merkezindeki sineması; adresi Dommelstraat 27. Koltukların hareket ettiği ve kokuların filme eşlik ettiği bir 4DX salonu var; mekân tekerlekli sandalyeyle erişilebilir. Hafta içi 10:45'ten, hafta sonu 09:45'ten gece yarısına kadar açık.</t>
        </is>
      </c>
      <c r="G39" s="29" t="inlineStr">
        <is>
          <t>Pathé, sinema, 4DX, film, Dommelstraat, özel salon</t>
        </is>
      </c>
      <c r="H39" s="29" t="inlineStr">
        <is>
          <t>new;settled</t>
        </is>
      </c>
      <c r="I39" s="29" t="inlineStr">
        <is>
          <t>eindhoven:kaynak:275</t>
        </is>
      </c>
      <c r="J39" s="49" t="n">
        <v>46317</v>
      </c>
      <c r="K39" s="51" t="n">
        <v>2106</v>
      </c>
      <c r="L39" s="29" t="inlineStr">
        <is>
          <t>Hayır</t>
        </is>
      </c>
      <c r="M39" s="29" t="inlineStr">
        <is>
          <t>Taslak</t>
        </is>
      </c>
      <c r="N39" s="29" t="inlineStr">
        <is>
          <t>Sahne ve müzik</t>
        </is>
      </c>
      <c r="O39" s="29" t="inlineStr">
        <is>
          <t>Centrum</t>
        </is>
      </c>
      <c r="P39" s="29" t="inlineStr">
        <is>
          <t>Kapalı alan</t>
        </is>
      </c>
      <c r="Q39" s="29" t="inlineStr">
        <is>
          <t>Dommelstraat 27, 5611 CJ Eindhoven</t>
        </is>
      </c>
      <c r="R39" s="50" t="n">
        <v>51.44129</v>
      </c>
      <c r="S39" s="50" t="n">
        <v>5.48217</v>
      </c>
      <c r="T39" s="29" t="n"/>
      <c r="U39" s="29" t="inlineStr">
        <is>
          <t>Kendi grubun için özel bir sinema salonu kiralanabiliyor; bu rezervasyon TheAnyThing'in sitesi üzerinden yapılıyor.</t>
        </is>
      </c>
      <c r="V39" s="29" t="inlineStr">
        <is>
          <t>Hayır</t>
        </is>
      </c>
      <c r="W39" s="29" t="n"/>
    </row>
    <row r="40" ht="54" customHeight="1">
      <c r="A40" s="29" t="inlineStr">
        <is>
          <t>eindhoven:vue-eindhoven</t>
        </is>
      </c>
      <c r="B40" s="29" t="inlineStr">
        <is>
          <t>eindhoven</t>
        </is>
      </c>
      <c r="C40" s="29" t="inlineStr">
        <is>
          <t>vue-eindhoven</t>
        </is>
      </c>
      <c r="D40" s="29" t="inlineStr">
        <is>
          <t>Vue Eindhoven</t>
        </is>
      </c>
      <c r="E40" s="29" t="inlineStr">
        <is>
          <t>Şehir merkezinde 8 salonlu, Avrupa'nın ilk Dolby Cinema salonunun bulunduğu sinema</t>
        </is>
      </c>
      <c r="F40" s="29" t="inlineStr">
        <is>
          <t>Vue Eindhoven, Nieuwe Emmasingel 20'de, şehrin ortasında 8 salonlu modern bir sinema. 3D filmler ve Dolby Atmos ses sisteminin yanında Avrupa'nın ilk Dolby Cinema salonu da burada; VIP koltuk seçeneği var ve sinemaya tekerlekli sandalyeyle girilebiliyor.</t>
        </is>
      </c>
      <c r="G40" s="29" t="inlineStr">
        <is>
          <t>Vue, sinema, Dolby Cinema, 3D film, VIP koltuk, Nieuwe Emmasingel</t>
        </is>
      </c>
      <c r="H40" s="29" t="inlineStr">
        <is>
          <t>new;settled</t>
        </is>
      </c>
      <c r="I40" s="29" t="inlineStr">
        <is>
          <t>eindhoven:kaynak:276</t>
        </is>
      </c>
      <c r="J40" s="49" t="n">
        <v>46317</v>
      </c>
      <c r="K40" s="51" t="n">
        <v>2107</v>
      </c>
      <c r="L40" s="29" t="inlineStr">
        <is>
          <t>Hayır</t>
        </is>
      </c>
      <c r="M40" s="29" t="inlineStr">
        <is>
          <t>Taslak</t>
        </is>
      </c>
      <c r="N40" s="29" t="inlineStr">
        <is>
          <t>Sahne ve müzik</t>
        </is>
      </c>
      <c r="O40" s="29" t="inlineStr">
        <is>
          <t>Centrum</t>
        </is>
      </c>
      <c r="P40" s="29" t="inlineStr">
        <is>
          <t>Kapalı alan</t>
        </is>
      </c>
      <c r="Q40" s="29" t="inlineStr">
        <is>
          <t>Nieuwe Emmasingel 20, 5611 AM Eindhoven</t>
        </is>
      </c>
      <c r="R40" s="50" t="n">
        <v>51.44013</v>
      </c>
      <c r="S40" s="50" t="n">
        <v>5.47632</v>
      </c>
      <c r="T40" s="29" t="n"/>
      <c r="U40" s="29" t="inlineStr">
        <is>
          <t>Açılış saatleri pazartesi-perşembe 10:00-21:30, cuma 10:00-23:00, cumartesi 10:00-16:00, pazar 12:00-21:30 olarak listeleniyor; telefonu +31 (0) 40 - 249 02 55.</t>
        </is>
      </c>
      <c r="V40" s="29" t="inlineStr">
        <is>
          <t>Hayır</t>
        </is>
      </c>
      <c r="W40" s="29" t="n"/>
    </row>
    <row r="41" ht="54" customHeight="1">
      <c r="A41" s="29" t="inlineStr">
        <is>
          <t>eindhoven:dynamo</t>
        </is>
      </c>
      <c r="B41" s="29" t="inlineStr">
        <is>
          <t>eindhoven</t>
        </is>
      </c>
      <c r="C41" s="29" t="inlineStr">
        <is>
          <t>dynamo</t>
        </is>
      </c>
      <c r="D41" s="29" t="inlineStr">
        <is>
          <t>Dynamo</t>
        </is>
      </c>
      <c r="E41" s="29" t="inlineStr">
        <is>
          <t>Gençlerin emeğiyle yürüyen müzik, spor, sanat ve dans merkezi</t>
        </is>
      </c>
      <c r="F41" s="29" t="inlineStr">
        <is>
          <t>Dynamo, Catharinaplein 21'de müzik, spor, sanat ve dansı bir araya getiren bir gençlik merkezi. Kendini gençlerin emeği ve yetenekleri sayesinde eyaletin en gürültülü kültür sahnesi ve Hollanda'nın en büyük gençlik merkezi olarak tanıtıyor.</t>
        </is>
      </c>
      <c r="G41" s="29" t="inlineStr">
        <is>
          <t>Dynamo, gençlik merkezi, müzik, dans, gençler, Catharinaplein</t>
        </is>
      </c>
      <c r="H41" s="29" t="inlineStr">
        <is>
          <t>new;settled</t>
        </is>
      </c>
      <c r="I41" s="29" t="inlineStr">
        <is>
          <t>eindhoven:kaynak:277</t>
        </is>
      </c>
      <c r="J41" s="49" t="n">
        <v>46317</v>
      </c>
      <c r="K41" s="51" t="n">
        <v>2108</v>
      </c>
      <c r="L41" s="29" t="inlineStr">
        <is>
          <t>Hayır</t>
        </is>
      </c>
      <c r="M41" s="29" t="inlineStr">
        <is>
          <t>Taslak</t>
        </is>
      </c>
      <c r="N41" s="29" t="inlineStr">
        <is>
          <t>Sahne ve müzik</t>
        </is>
      </c>
      <c r="O41" s="29" t="inlineStr">
        <is>
          <t>Centrum</t>
        </is>
      </c>
      <c r="P41" s="29" t="inlineStr">
        <is>
          <t>Kapalı alan</t>
        </is>
      </c>
      <c r="Q41" s="29" t="inlineStr">
        <is>
          <t>Catharinaplein 21, 5611 DE Eindhoven</t>
        </is>
      </c>
      <c r="R41" s="50" t="n">
        <v>51.4377</v>
      </c>
      <c r="S41" s="50" t="n">
        <v>5.48074</v>
      </c>
      <c r="T41" s="29" t="n"/>
      <c r="U41" s="29" t="inlineStr">
        <is>
          <t>Hafta içi 09:00-22:00, cumartesi 11:00-17:00 açık, pazar kapalı; telefonu +31 (0)40 - 239 31 10.</t>
        </is>
      </c>
      <c r="V41" s="29" t="inlineStr">
        <is>
          <t>Hayır</t>
        </is>
      </c>
      <c r="W41" s="29" t="n"/>
    </row>
    <row r="42" ht="54" customHeight="1">
      <c r="A42" s="29" t="inlineStr">
        <is>
          <t>eindhoven:jazzclub-osje</t>
        </is>
      </c>
      <c r="B42" s="29" t="inlineStr">
        <is>
          <t>eindhoven</t>
        </is>
      </c>
      <c r="C42" s="29" t="inlineStr">
        <is>
          <t>jazzclub-osje</t>
        </is>
      </c>
      <c r="D42" s="29" t="inlineStr">
        <is>
          <t>Jazzclub OSJE</t>
        </is>
      </c>
      <c r="E42" s="29" t="inlineStr">
        <is>
          <t>Eski tarz caza odaklanan, uluslararası grupların konser verdiği caz kulübü</t>
        </is>
      </c>
      <c r="F42" s="29" t="inlineStr">
        <is>
          <t>Jazzclub OSJE, Eindhoven'da cazı yaygınlaştırmayı amaçlayan ve ağırlıklı olarak eski tarz (old style) caza odaklanan bir kulüp; adresi Tongelresestraat 146. En önemli etkinliği uluslararası grupların ve profesyonel caz müzisyenlerinin verdiği konserler. Mekân sayfasında her gün için 14:00-17:00 saatleri yazıyor.</t>
        </is>
      </c>
      <c r="G42" s="29" t="inlineStr">
        <is>
          <t>Jazzclub OSJE, caz, konser, swing dansı, Lindyhop, Tongelre</t>
        </is>
      </c>
      <c r="H42" s="29" t="inlineStr">
        <is>
          <t>new;settled</t>
        </is>
      </c>
      <c r="I42" s="29" t="inlineStr">
        <is>
          <t>eindhoven:kaynak:278</t>
        </is>
      </c>
      <c r="J42" s="49" t="n">
        <v>46317</v>
      </c>
      <c r="K42" s="51" t="n">
        <v>2109</v>
      </c>
      <c r="L42" s="29" t="inlineStr">
        <is>
          <t>Hayır</t>
        </is>
      </c>
      <c r="M42" s="29" t="inlineStr">
        <is>
          <t>Taslak</t>
        </is>
      </c>
      <c r="N42" s="29" t="inlineStr">
        <is>
          <t>Sahne ve müzik</t>
        </is>
      </c>
      <c r="O42" s="29" t="inlineStr">
        <is>
          <t>Tongelre</t>
        </is>
      </c>
      <c r="P42" s="29" t="inlineStr">
        <is>
          <t>Kapalı alan</t>
        </is>
      </c>
      <c r="Q42" s="29" t="inlineStr">
        <is>
          <t>Tongelresestraat 146, 5613 DP Eindhoven</t>
        </is>
      </c>
      <c r="R42" s="50" t="n">
        <v>51.43991</v>
      </c>
      <c r="S42" s="50" t="n">
        <v>5.49626</v>
      </c>
      <c r="T42" s="29" t="n"/>
      <c r="U42" s="29" t="inlineStr">
        <is>
          <t>Konserlere dansçılar özellikle davetli: Lindyhop, Charleston, Collegiate Shag, Blues, Boogie Woogie ve Balboa yapanlar için müzik dinlemenin yanında dans etme ortamı da var.</t>
        </is>
      </c>
      <c r="V42" s="29" t="inlineStr">
        <is>
          <t>Hayır</t>
        </is>
      </c>
      <c r="W42" s="29" t="n"/>
    </row>
    <row r="43" ht="54" customHeight="1">
      <c r="A43" s="29" t="inlineStr">
        <is>
          <t>eindhoven:filmhuis-de-zwarte-doos</t>
        </is>
      </c>
      <c r="B43" s="29" t="inlineStr">
        <is>
          <t>eindhoven</t>
        </is>
      </c>
      <c r="C43" s="29" t="inlineStr">
        <is>
          <t>filmhuis-de-zwarte-doos</t>
        </is>
      </c>
      <c r="D43" s="29" t="inlineStr">
        <is>
          <t>Filmhuis De Zwarte Doos</t>
        </is>
      </c>
      <c r="E43" s="29" t="inlineStr">
        <is>
          <t>Filmlerini çoğu öğrencilerden oluşan bir komisyonun seçtiği film evi ve restoran</t>
        </is>
      </c>
      <c r="F43" s="29" t="inlineStr">
        <is>
          <t>Filmhuis De Zwarte Doos, Den Dolech 2'de güzel, dokunaklı, komik ve özgün filmler gösteren bir filmhuis (bağımsız sinema). Filmleri çoğunluğu öğrencilerden oluşan bir film komisyonu seçiyor; mekân Studium Generale ile Natlab'ın ortak işi. Aynı yerde uygun fiyatlı kahvaltı, öğle ve akşam yemeği sunan bir restoran var.</t>
        </is>
      </c>
      <c r="G43" s="29" t="inlineStr">
        <is>
          <t>Filmhuis De Zwarte Doos, filmhuis, sinema, öğrenci, restoran, Den Dolech</t>
        </is>
      </c>
      <c r="H43" s="29" t="inlineStr">
        <is>
          <t>new;settled</t>
        </is>
      </c>
      <c r="I43" s="29" t="inlineStr">
        <is>
          <t>eindhoven:kaynak:279</t>
        </is>
      </c>
      <c r="J43" s="49" t="n">
        <v>46317</v>
      </c>
      <c r="K43" s="51" t="n">
        <v>2110</v>
      </c>
      <c r="L43" s="29" t="inlineStr">
        <is>
          <t>Hayır</t>
        </is>
      </c>
      <c r="M43" s="29" t="inlineStr">
        <is>
          <t>Taslak</t>
        </is>
      </c>
      <c r="N43" s="29" t="inlineStr">
        <is>
          <t>Sahne ve müzik</t>
        </is>
      </c>
      <c r="O43" s="29" t="inlineStr">
        <is>
          <t>Centrum</t>
        </is>
      </c>
      <c r="P43" s="29" t="inlineStr">
        <is>
          <t>Kapalı alan</t>
        </is>
      </c>
      <c r="Q43" s="29" t="inlineStr">
        <is>
          <t>Den Dolech 2, 5612 AZ Eindhoven</t>
        </is>
      </c>
      <c r="R43" s="50" t="n">
        <v>51.44789</v>
      </c>
      <c r="S43" s="50" t="n">
        <v>5.48595</v>
      </c>
      <c r="T43" s="29" t="n"/>
      <c r="U43" s="29" t="inlineStr">
        <is>
          <t>Restoranın saatleri 08:30-22:00; sayfadaki saat tablosunda cumartesi ve pazar kapalı görünüyor.</t>
        </is>
      </c>
      <c r="V43" s="29" t="inlineStr">
        <is>
          <t>Hayır</t>
        </is>
      </c>
      <c r="W43" s="29" t="n"/>
    </row>
    <row r="44" ht="54" customHeight="1">
      <c r="A44" s="29" t="inlineStr">
        <is>
          <t>eindhoven:paviljoen-ongehoorde-muziek</t>
        </is>
      </c>
      <c r="B44" s="29" t="inlineStr">
        <is>
          <t>eindhoven</t>
        </is>
      </c>
      <c r="C44" s="29" t="inlineStr">
        <is>
          <t>paviljoen-ongehoorde-muziek</t>
        </is>
      </c>
      <c r="D44" s="29" t="inlineStr">
        <is>
          <t>Paviljoen Ongehoorde Muziek</t>
        </is>
      </c>
      <c r="E44" s="29" t="inlineStr">
        <is>
          <t>'Duyulmamış' müzik için küçük ölçekli atölye, sahne ve stüdyo</t>
        </is>
      </c>
      <c r="F44" s="29" t="inlineStr">
        <is>
          <t>Paviljoen Ongehoorde Muziek (POM), Ventoselaan 1'deki TAC binasında 'duyulmamış' müzik için küçük ölçekli bir atölye, sahne ve stüdyo. Bestelenmiş ve doğaçlama müziğin akustik, yarı akustik ya da elektronik olarak çalındığı bir araştırma, geliştirme ve keşif yeri olarak çalışıyor.</t>
        </is>
      </c>
      <c r="G44" s="29" t="inlineStr">
        <is>
          <t>Paviljoen Ongehoorde Muziek, POM, deneysel müzik, doğaçlama, TAC, Ventoselaan</t>
        </is>
      </c>
      <c r="H44" s="29" t="inlineStr">
        <is>
          <t>new;settled</t>
        </is>
      </c>
      <c r="I44" s="29" t="inlineStr">
        <is>
          <t>eindhoven:kaynak:280;eindhoven:kaynak:398;eindhoven:kaynak:399;eindhoven:kaynak:400</t>
        </is>
      </c>
      <c r="J44" s="49" t="n">
        <v>46317</v>
      </c>
      <c r="K44" s="51" t="n">
        <v>2111</v>
      </c>
      <c r="L44" s="29" t="inlineStr">
        <is>
          <t>Hayır</t>
        </is>
      </c>
      <c r="M44" s="29" t="inlineStr">
        <is>
          <t>Taslak</t>
        </is>
      </c>
      <c r="N44" s="29" t="inlineStr">
        <is>
          <t>Sahne ve müzik</t>
        </is>
      </c>
      <c r="O44" s="29" t="inlineStr">
        <is>
          <t>Centrum</t>
        </is>
      </c>
      <c r="P44" s="29" t="inlineStr">
        <is>
          <t>Kapalı alan</t>
        </is>
      </c>
      <c r="Q44" s="29" t="inlineStr">
        <is>
          <t>Ventoselaan 1, Eindhoven (TAC binası)</t>
        </is>
      </c>
      <c r="R44" s="50" t="n">
        <v>51.44085</v>
      </c>
      <c r="S44" s="50" t="n">
        <v>5.471</v>
      </c>
      <c r="T44" s="29" t="n"/>
      <c r="U44" s="29" t="inlineStr">
        <is>
          <t>Genç müzisyenlerin, bestecilerin ve üreticilerin üretip eserlerini gösterebileceği, destek ve bilgi bulabileceği bir ortam kurmayı hedefliyor; iletişim telefonu +31 (0)6 - 28 33 23 86. 23 Ekim 2026 itibarıyla POM, eski adresi Ruysdaelbaan 106'dan TAC binasına taşınmış durumda; duyurusuna göre 27 Mart 2026'dan beri Ventoselaan 1'deki bu binada kalıcı bir mekânı var (POM'un ve TAC'ın siteleri).</t>
        </is>
      </c>
      <c r="V44" s="29" t="inlineStr">
        <is>
          <t>Hayır</t>
        </is>
      </c>
      <c r="W44" s="29" t="n"/>
    </row>
    <row r="45" ht="54" customHeight="1">
      <c r="A45" s="29" t="inlineStr">
        <is>
          <t>eindhoven:wim-van-doorne-muziekkiosk</t>
        </is>
      </c>
      <c r="B45" s="29" t="inlineStr">
        <is>
          <t>eindhoven</t>
        </is>
      </c>
      <c r="C45" s="29" t="inlineStr">
        <is>
          <t>wim-van-doorne-muziekkiosk</t>
        </is>
      </c>
      <c r="D45" s="29" t="inlineStr">
        <is>
          <t>Wim van Doorne Muziekkiosk</t>
        </is>
      </c>
      <c r="E45" s="29" t="inlineStr">
        <is>
          <t>Stratum'da, Alberdingk Thijmlaan'da açık hava müzik köşkü</t>
        </is>
      </c>
      <c r="F45" s="29" t="inlineStr">
        <is>
          <t>Wim van Doorne Muziekkiosk, Stratum'da Alberdingk Thijmlaan 1'de bulunan bir müzik köşkü (muziekkiosk). Burada sahne alan sanatçılar ve topluluklar için ev kuralları (huisregels) yayımlanıyor; köşke info@wimvandoornemuziekkiosk.nl adresinden yazılabiliyor.</t>
        </is>
      </c>
      <c r="G45" s="29" t="inlineStr">
        <is>
          <t>Wim van Doorne Muziekkiosk, muziekkiosk, müzik köşkü, açık hava, Stratum, Alberdingk Thijmlaan</t>
        </is>
      </c>
      <c r="H45" s="29" t="inlineStr">
        <is>
          <t>new;settled</t>
        </is>
      </c>
      <c r="I45" s="29" t="inlineStr">
        <is>
          <t>eindhoven:kaynak:281</t>
        </is>
      </c>
      <c r="J45" s="49" t="n">
        <v>46317</v>
      </c>
      <c r="K45" s="51" t="n">
        <v>2112</v>
      </c>
      <c r="L45" s="29" t="inlineStr">
        <is>
          <t>Hayır</t>
        </is>
      </c>
      <c r="M45" s="29" t="inlineStr">
        <is>
          <t>Taslak</t>
        </is>
      </c>
      <c r="N45" s="29" t="inlineStr">
        <is>
          <t>Sahne ve müzik</t>
        </is>
      </c>
      <c r="O45" s="29" t="inlineStr">
        <is>
          <t>Stratum</t>
        </is>
      </c>
      <c r="P45" s="29" t="inlineStr">
        <is>
          <t>Açık hava</t>
        </is>
      </c>
      <c r="Q45" s="29" t="inlineStr">
        <is>
          <t>Alberdingk Thijmlaan 1, 5615 EB Eindhoven</t>
        </is>
      </c>
      <c r="R45" s="50" t="n">
        <v>51.42792</v>
      </c>
      <c r="S45" s="50" t="n">
        <v>5.48311</v>
      </c>
      <c r="T45" s="29" t="n"/>
      <c r="U45" s="29" t="inlineStr">
        <is>
          <t>Facebook ve Instagram'da 'vandoornekiosk' adıyla hesabı var; posta adresi Postbus 2245, 5600 CE Eindhoven.</t>
        </is>
      </c>
      <c r="V45" s="29" t="inlineStr">
        <is>
          <t>Hayır</t>
        </is>
      </c>
      <c r="W45" s="29" t="n"/>
    </row>
    <row r="46" ht="54" customHeight="1">
      <c r="A46" s="29" t="inlineStr">
        <is>
          <t>eindhoven:arno-s-theater</t>
        </is>
      </c>
      <c r="B46" s="29" t="inlineStr">
        <is>
          <t>eindhoven</t>
        </is>
      </c>
      <c r="C46" s="29" t="inlineStr">
        <is>
          <t>arno-s-theater</t>
        </is>
      </c>
      <c r="D46" s="29" t="inlineStr">
        <is>
          <t>Arno's Theater</t>
        </is>
      </c>
      <c r="E46" s="29" t="inlineStr">
        <is>
          <t>Palyaço sanatçısı Arno Huibers'in küçük ve samimi tiyatrosu</t>
        </is>
      </c>
      <c r="F46" s="29" t="inlineStr">
        <is>
          <t>Arno's Theater, Kalverstraat 11'de palyaço sanatçısı Arno Huibers'in küçük ve samimi tiyatrosu; pandomim ve müzikle şiirsel palyaço gösterileri, zaman zaman da başka türde oyunlar sahneleniyor. Programdaki aile gösterileri 'no Dutch required' notuyla, yani Hollandaca bilmeden izlenebilecek şekilde duyuruluyor. Bu gösterilerde bilet yetişkin için 16 €, 16 yaşına kadar çocuk için 10 €; her gösteriden önce ücretsiz kahve ya da çay ikram ediliyor.</t>
        </is>
      </c>
      <c r="G46" s="29" t="inlineStr">
        <is>
          <t>Arno's Theater, palyaço, aile tiyatrosu, pandomim, çocuk gösterisi, Kalverstraat</t>
        </is>
      </c>
      <c r="H46" s="29" t="inlineStr">
        <is>
          <t>new;settled</t>
        </is>
      </c>
      <c r="I46" s="29" t="inlineStr">
        <is>
          <t>eindhoven:kaynak:282</t>
        </is>
      </c>
      <c r="J46" s="49" t="n">
        <v>46317</v>
      </c>
      <c r="K46" s="51" t="n">
        <v>2113</v>
      </c>
      <c r="L46" s="29" t="inlineStr">
        <is>
          <t>Hayır</t>
        </is>
      </c>
      <c r="M46" s="29" t="inlineStr">
        <is>
          <t>Taslak</t>
        </is>
      </c>
      <c r="N46" s="29" t="inlineStr">
        <is>
          <t>Sahne ve müzik</t>
        </is>
      </c>
      <c r="O46" s="29" t="inlineStr">
        <is>
          <t>Tongelre</t>
        </is>
      </c>
      <c r="P46" s="29" t="inlineStr">
        <is>
          <t>Kapalı alan</t>
        </is>
      </c>
      <c r="Q46" s="29" t="inlineStr">
        <is>
          <t>Kalverstraat 11, Eindhoven</t>
        </is>
      </c>
      <c r="R46" s="50" t="n">
        <v>51.44358</v>
      </c>
      <c r="S46" s="50" t="n">
        <v>5.51062</v>
      </c>
      <c r="T46" s="29" t="n"/>
      <c r="U46" s="29" t="inlineStr">
        <is>
          <t>Satın alınan bilet iade edilmiyor ama başkasına devredilebiliyor. Kalverstraat'ta park çizgilerinin dışında da ücretsiz park edilebiliyor; ama araç yarısı kaldırıma çıkarılırsa ceza kesiliyor, komşuların garaj girişleri de hiçbir durumda kapatılmamalı.</t>
        </is>
      </c>
      <c r="V46" s="29" t="inlineStr">
        <is>
          <t>Hayır</t>
        </is>
      </c>
      <c r="W46" s="29" t="n"/>
    </row>
    <row r="47" ht="54" customHeight="1">
      <c r="A47" s="29" t="inlineStr">
        <is>
          <t>eindhoven:theater-carte-blanche</t>
        </is>
      </c>
      <c r="B47" s="29" t="inlineStr">
        <is>
          <t>eindhoven</t>
        </is>
      </c>
      <c r="C47" s="29" t="inlineStr">
        <is>
          <t>theater-carte-blanche</t>
        </is>
      </c>
      <c r="D47" s="29" t="inlineStr">
        <is>
          <t>Theater Carte Blanche</t>
        </is>
      </c>
      <c r="E47" s="29" t="inlineStr">
        <is>
          <t>Engelli olan ve olmayan oyuncu ve yapımcılarla çalışan tiyatro kurumu</t>
        </is>
      </c>
      <c r="F47" s="29" t="inlineStr">
        <is>
          <t>Theater Carte Blanche (Stichting Carte Blanche), oyuncuları ve yapımcıları engelli olan ve olmayan sanatçılardan oluşan bir tiyatro kurumu; engelleri bir engel değil sanatının itici gücü olarak gördüğünü söylüyor. Kurumun iletişim sayfasında adres olarak Daalakkersweg 10-08 veriliyor; bu sayfada o adreste gösteri, bilet satışı ya da ziyaretçi kabulü bilgisi yok. Telefon (040 2451739) ve e-posta (informatie@carteblanche.nu) için iletişim saatleri pazartesi-perşembe 09:30-17:00.</t>
        </is>
      </c>
      <c r="G47" s="29" t="inlineStr">
        <is>
          <t>Carte Blanche, tiyatro, engelli sanatçılar, kapsayıcı tiyatro, Daalakkersweg</t>
        </is>
      </c>
      <c r="H47" s="29" t="inlineStr">
        <is>
          <t>new;settled</t>
        </is>
      </c>
      <c r="I47" s="29" t="inlineStr">
        <is>
          <t>eindhoven:kaynak:283</t>
        </is>
      </c>
      <c r="J47" s="49" t="n">
        <v>46317</v>
      </c>
      <c r="K47" s="51" t="n">
        <v>2114</v>
      </c>
      <c r="L47" s="29" t="inlineStr">
        <is>
          <t>Hayır</t>
        </is>
      </c>
      <c r="M47" s="29" t="inlineStr">
        <is>
          <t>Taslak</t>
        </is>
      </c>
      <c r="N47" s="29" t="inlineStr">
        <is>
          <t>Sahne ve müzik</t>
        </is>
      </c>
      <c r="O47" s="29" t="inlineStr">
        <is>
          <t>Tongelre</t>
        </is>
      </c>
      <c r="P47" s="29" t="inlineStr">
        <is>
          <t>Kapalı alan</t>
        </is>
      </c>
      <c r="Q47" s="29" t="inlineStr">
        <is>
          <t>Daalakkersweg 10-08, 5641 JA Eindhoven</t>
        </is>
      </c>
      <c r="R47" s="50" t="n">
        <v>51.44729</v>
      </c>
      <c r="S47" s="50" t="n">
        <v>5.52602</v>
      </c>
      <c r="T47" s="29" t="n"/>
      <c r="U47" s="29" t="inlineStr">
        <is>
          <t>Kurumun 2026/2027 sezonu tatil dönemleri: Herfstvakantie (sonbahar tatili) 17-25 Ekim (Dutch Design Week hariç), Kerstvakantie (Noel tatili) 19 Aralık-3 Ocak, Voorjaarsvakantie (bahar tatili) 6-14 Şubat, Meivakantie (mayıs tatili) 24 Nisan-2 Mayıs ve Zomervakantie (yaz tatili) 24 Temmuz-5 Eylül; ayrıca Tweede Paasdag (Paskalya pazartesisi), Hemelvaartsdag (Göğe Yükseliş günü) ve Tweede Pinksterdag (Pentekost pazartesisi).</t>
        </is>
      </c>
      <c r="V47" s="29" t="inlineStr">
        <is>
          <t>Hayır</t>
        </is>
      </c>
      <c r="W47" s="29" t="n"/>
    </row>
    <row r="48" ht="54" customHeight="1">
      <c r="A48" s="29" t="inlineStr">
        <is>
          <t>eindhoven:philips-stadion-psv</t>
        </is>
      </c>
      <c r="B48" s="29" t="inlineStr">
        <is>
          <t>eindhoven</t>
        </is>
      </c>
      <c r="C48" s="29" t="inlineStr">
        <is>
          <t>philips-stadion-psv</t>
        </is>
      </c>
      <c r="D48" s="29" t="inlineStr">
        <is>
          <t>Philips Stadion (PSV)</t>
        </is>
      </c>
      <c r="E48" s="29" t="inlineStr">
        <is>
          <t>PSV'nin stadı; oyuncu tünelini ve soyunma odalarını gezdiren stadyum turu var</t>
        </is>
      </c>
      <c r="F48" s="29" t="inlineStr">
        <is>
          <t>Philips Stadion, Stadionplein 4'te PSV'nin stadı; stadyum turunda oyuncu tünelinden yürünüp soyunma odalarına göz atılıyor. Tura PSV Müzesi ziyareti de dahil. Tur için verilen saatler pazartesi 12:00-17:00, salı-cumartesi 10:00-17:00; pazar kapalı.</t>
        </is>
      </c>
      <c r="G48" s="29" t="inlineStr">
        <is>
          <t>Philips Stadion, PSV, stadyum turu, PSV Müzesi, futbol, Stadionplein</t>
        </is>
      </c>
      <c r="H48" s="29" t="inlineStr">
        <is>
          <t>new;settled</t>
        </is>
      </c>
      <c r="I48" s="29" t="inlineStr">
        <is>
          <t>eindhoven:kaynak:284</t>
        </is>
      </c>
      <c r="J48" s="49" t="n">
        <v>46317</v>
      </c>
      <c r="K48" s="51" t="n">
        <v>2115</v>
      </c>
      <c r="L48" s="29" t="inlineStr">
        <is>
          <t>Hayır</t>
        </is>
      </c>
      <c r="M48" s="29" t="inlineStr">
        <is>
          <t>Taslak</t>
        </is>
      </c>
      <c r="N48" s="29" t="inlineStr">
        <is>
          <t>Spor</t>
        </is>
      </c>
      <c r="O48" s="29" t="inlineStr">
        <is>
          <t>Strijp</t>
        </is>
      </c>
      <c r="P48" s="29" t="inlineStr">
        <is>
          <t>Karma</t>
        </is>
      </c>
      <c r="Q48" s="29" t="inlineStr">
        <is>
          <t>Stadionplein 4, 5616 RX Eindhoven</t>
        </is>
      </c>
      <c r="R48" s="50" t="n">
        <v>51.4417</v>
      </c>
      <c r="S48" s="50" t="n">
        <v>5.4674</v>
      </c>
      <c r="T48" s="29" t="n"/>
      <c r="U48" s="29" t="inlineStr">
        <is>
          <t>Turda yer bulmak için önceden internetten rezervasyon yapılması tavsiye ediliyor; telefonu +31 (0) 40 - 250 55 05.</t>
        </is>
      </c>
      <c r="V48" s="29" t="inlineStr">
        <is>
          <t>Hayır</t>
        </is>
      </c>
      <c r="W48" s="29" t="n"/>
    </row>
    <row r="49" ht="54" customHeight="1">
      <c r="A49" s="29" t="inlineStr">
        <is>
          <t>eindhoven:nationaal-zwemcentrum-de-tongelreep</t>
        </is>
      </c>
      <c r="B49" s="29" t="inlineStr">
        <is>
          <t>eindhoven</t>
        </is>
      </c>
      <c r="C49" s="29" t="inlineStr">
        <is>
          <t>nationaal-zwemcentrum-de-tongelreep</t>
        </is>
      </c>
      <c r="D49" s="29" t="inlineStr">
        <is>
          <t>Nationaal Zwemcentrum De Tongelreep</t>
        </is>
      </c>
      <c r="E49" s="29" t="inlineStr">
        <is>
          <t>Antoon Coolenlaan'da, kapısında otobüs duran ve yakınında ücretsiz otopark olan yüzme merkezi</t>
        </is>
      </c>
      <c r="F49" s="29" t="inlineStr">
        <is>
          <t>Nationaal Zwemcentrum De Tongelreep, Antoon Coolenlaan 1'de bulunan bir yüzme merkezi. 407 numaralı otobüs kapının önünde duruyor; 7, 317, 318 ve 408 numaralı hatlar da köşedeki Aalsterweg üzerindeki 'Kortonjo' durağına geliyor. İki dakika yürüme mesafesinde ücretsiz büyük bir açık otopark var; engelli park yerleri hem orada hem girişin önünde.</t>
        </is>
      </c>
      <c r="G49" s="29" t="inlineStr">
        <is>
          <t>Tongelreep, yüzme merkezi, zwembad, yüzme dersi, Antoon Coolenlaan, Stratum</t>
        </is>
      </c>
      <c r="H49" s="29" t="inlineStr">
        <is>
          <t>new;settled</t>
        </is>
      </c>
      <c r="I49" s="29" t="inlineStr">
        <is>
          <t>eindhoven:kaynak:285</t>
        </is>
      </c>
      <c r="J49" s="49" t="n">
        <v>46317</v>
      </c>
      <c r="K49" s="51" t="n">
        <v>2116</v>
      </c>
      <c r="L49" s="29" t="inlineStr">
        <is>
          <t>Hayır</t>
        </is>
      </c>
      <c r="M49" s="29" t="inlineStr">
        <is>
          <t>Taslak</t>
        </is>
      </c>
      <c r="N49" s="29" t="inlineStr">
        <is>
          <t>Spor</t>
        </is>
      </c>
      <c r="O49" s="29" t="inlineStr">
        <is>
          <t>Stratum</t>
        </is>
      </c>
      <c r="P49" s="29" t="inlineStr">
        <is>
          <t>Kapalı alan</t>
        </is>
      </c>
      <c r="Q49" s="29" t="inlineStr">
        <is>
          <t>Antoon Coolenlaan 1, 5644 RX Eindhoven</t>
        </is>
      </c>
      <c r="R49" s="50" t="n">
        <v>51.41472</v>
      </c>
      <c r="S49" s="50" t="n">
        <v>5.47806</v>
      </c>
      <c r="T49" s="29" t="n"/>
      <c r="U49" s="29" t="inlineStr">
        <is>
          <t>Sorular için (040) 238 1139 aranabiliyor; hafta içi 8.30-17.00 arası belediye çalışanlarıyla canlı sohbet (chat) üzerinden de bilgi alınıyor. Yüzme dersleri için ayrı bir bilgi talebi sayfası var.</t>
        </is>
      </c>
      <c r="V49" s="29" t="inlineStr">
        <is>
          <t>Hayır</t>
        </is>
      </c>
      <c r="W49" s="29" t="n"/>
    </row>
    <row r="50" ht="54" customHeight="1">
      <c r="A50" s="29" t="inlineStr">
        <is>
          <t>eindhoven:ijssportcentrum-eindhoven</t>
        </is>
      </c>
      <c r="B50" s="29" t="inlineStr">
        <is>
          <t>eindhoven</t>
        </is>
      </c>
      <c r="C50" s="29" t="inlineStr">
        <is>
          <t>ijssportcentrum-eindhoven</t>
        </is>
      </c>
      <c r="D50" s="29" t="inlineStr">
        <is>
          <t>IJssportcentrum Eindhoven</t>
        </is>
      </c>
      <c r="E50" s="29" t="inlineStr">
        <is>
          <t>Serbest paten, buz hokeyi ve paten derslerinin yapıldığı buz pisti</t>
        </is>
      </c>
      <c r="F50" s="29" t="inlineStr">
        <is>
          <t>Sportfondsen IJssportcentrum Eindhoven, Antoon Coolenlaan 3'te bir buz sporları merkezi; yeni buz sezonu için 17 Ekim 2026'dan beri yeniden halka açık. Serbest paten, buz hokeyi, paten dersleri ve çocuk doğum günü partileri düzenleniyor; Eindhoven Kemphanen'in Eredivisie takımının lig maçları da burada oynanıyor. Bilet ve çok girişli kart (meerrittenkaart) web mağazasından alınıyor.</t>
        </is>
      </c>
      <c r="G50" s="29" t="inlineStr">
        <is>
          <t>IJssportcentrum, buz pateni, schaatsen, buz hokeyi, Kemphanen, paten dersi</t>
        </is>
      </c>
      <c r="H50" s="29" t="inlineStr">
        <is>
          <t>new;settled</t>
        </is>
      </c>
      <c r="I50" s="29" t="inlineStr">
        <is>
          <t>eindhoven:kaynak:286;eindhoven:kaynak:358</t>
        </is>
      </c>
      <c r="J50" s="49" t="n">
        <v>46317</v>
      </c>
      <c r="K50" s="51" t="n">
        <v>2117</v>
      </c>
      <c r="L50" s="29" t="inlineStr">
        <is>
          <t>Hayır</t>
        </is>
      </c>
      <c r="M50" s="29" t="inlineStr">
        <is>
          <t>Taslak</t>
        </is>
      </c>
      <c r="N50" s="29" t="inlineStr">
        <is>
          <t>Spor</t>
        </is>
      </c>
      <c r="O50" s="29" t="inlineStr">
        <is>
          <t>Stratum</t>
        </is>
      </c>
      <c r="P50" s="29" t="inlineStr">
        <is>
          <t>Kapalı alan</t>
        </is>
      </c>
      <c r="Q50" s="29" t="inlineStr">
        <is>
          <t>Antoon Coolenlaan 3, 5644 RX Eindhoven</t>
        </is>
      </c>
      <c r="R50" s="50" t="n">
        <v>51.41556</v>
      </c>
      <c r="S50" s="50" t="n">
        <v>5.47222</v>
      </c>
      <c r="T50" s="29" t="n"/>
      <c r="U50" s="29" t="inlineStr">
        <is>
          <t>Ücretsiz otopark, bisiklet parkı, dolap ve wifi var; iletişim için e-posta (ijssportcentrumeindhoven@sportfondsen.nl) tercih ediliyor.</t>
        </is>
      </c>
      <c r="V50" s="29" t="inlineStr">
        <is>
          <t>Hayır</t>
        </is>
      </c>
      <c r="W50" s="29" t="n"/>
    </row>
    <row r="51" ht="54" customHeight="1">
      <c r="A51" s="29" t="inlineStr">
        <is>
          <t>eindhoven:indoor-sportcentrum-eindhoven</t>
        </is>
      </c>
      <c r="B51" s="29" t="inlineStr">
        <is>
          <t>eindhoven</t>
        </is>
      </c>
      <c r="C51" s="29" t="inlineStr">
        <is>
          <t>indoor-sportcentrum-eindhoven</t>
        </is>
      </c>
      <c r="D51" s="29" t="inlineStr">
        <is>
          <t>Indoor-Sportcentrum Eindhoven</t>
        </is>
      </c>
      <c r="E51" s="29" t="inlineStr">
        <is>
          <t>Hollanda'nın en büyük kapalı spor merkezlerinden biri; saha ve salon kiralanabiliyor</t>
        </is>
      </c>
      <c r="F51" s="29" t="inlineStr">
        <is>
          <t>Indoor-Sportcentrum Eindhoven, Theo Koomenlaan 1'de 50x80 metrelik salonuyla Hollanda'nın en büyük kapalı spor merkezlerinden biri. Salonda korfbol, hokey, hentbol ve futbol için 3 kombine saha, 15 badminton ve 12 voleybol sahası ve 2250 kişilik sabit tribün var. Açılış saatleri 8.00-23.00; 2026-2027 saatlik kira ücreti salonun üçte biri için 61,92 €, tamamı için 185,77 €.</t>
        </is>
      </c>
      <c r="G51" s="29" t="inlineStr">
        <is>
          <t>Indoor-Sportcentrum, spor salonu kiralama, badminton, voleybol, korfbol, Theo Koomenlaan</t>
        </is>
      </c>
      <c r="H51" s="29" t="inlineStr">
        <is>
          <t>new;settled</t>
        </is>
      </c>
      <c r="I51" s="29" t="inlineStr">
        <is>
          <t>eindhoven:kaynak:287</t>
        </is>
      </c>
      <c r="J51" s="49" t="n">
        <v>46317</v>
      </c>
      <c r="K51" s="51" t="n">
        <v>2118</v>
      </c>
      <c r="L51" s="29" t="inlineStr">
        <is>
          <t>Hayır</t>
        </is>
      </c>
      <c r="M51" s="29" t="inlineStr">
        <is>
          <t>Taslak</t>
        </is>
      </c>
      <c r="N51" s="29" t="inlineStr">
        <is>
          <t>Spor</t>
        </is>
      </c>
      <c r="O51" s="29" t="inlineStr">
        <is>
          <t>Stratum</t>
        </is>
      </c>
      <c r="P51" s="29" t="inlineStr">
        <is>
          <t>Kapalı alan</t>
        </is>
      </c>
      <c r="Q51" s="29" t="inlineStr">
        <is>
          <t>Theo Koomenlaan 1, 5644 HZ Eindhoven</t>
        </is>
      </c>
      <c r="R51" s="50" t="n">
        <v>51.41222</v>
      </c>
      <c r="S51" s="50" t="n">
        <v>5.48111</v>
      </c>
      <c r="T51" s="29" t="n"/>
      <c r="U51" s="29" t="inlineStr">
        <is>
          <t>Top, huni gibi küçük malzemeler verilmiyor, kiralayanın kendisi getiriyor. Rezervasyon talebi için 040 238 8866 (hafta içi 08.30-17.00) ya da sportreservering@eindhoven.nl; binanın yanında ücretsiz katlı otopark var.</t>
        </is>
      </c>
      <c r="V51" s="29" t="inlineStr">
        <is>
          <t>Hayır</t>
        </is>
      </c>
      <c r="W51" s="29" t="n"/>
    </row>
    <row r="52" ht="54" customHeight="1">
      <c r="A52" s="29" t="inlineStr">
        <is>
          <t>eindhoven:ir-ottenbad</t>
        </is>
      </c>
      <c r="B52" s="29" t="inlineStr">
        <is>
          <t>eindhoven</t>
        </is>
      </c>
      <c r="C52" s="29" t="inlineStr">
        <is>
          <t>ir-ottenbad</t>
        </is>
      </c>
      <c r="D52" s="29" t="inlineStr">
        <is>
          <t>Ir. Ottenbad</t>
        </is>
      </c>
      <c r="E52" s="29" t="inlineStr">
        <is>
          <t>Woensel-Noord'da, hemen yanında ücretsiz otopark olan yüzme havuzu</t>
        </is>
      </c>
      <c r="F52" s="29" t="inlineStr">
        <is>
          <t>Ir. Ottenbad, Woensel-Noord'da Vijfkamplaan 12'de bulunan bir yüzme havuzu (zwembad). Havuzun hemen yanında ücretsiz büyük bir açık otopark var; burada engelli park yerleri de ayrılmış. Sorular için (040) 238 8800 numarası aranabiliyor.</t>
        </is>
      </c>
      <c r="G52" s="29" t="inlineStr">
        <is>
          <t>Ottenbad, yüzme havuzu, zwembad, Woensel, Vijfkamplaan, yüzme dersi</t>
        </is>
      </c>
      <c r="H52" s="29" t="inlineStr">
        <is>
          <t>new;settled</t>
        </is>
      </c>
      <c r="I52" s="29" t="inlineStr">
        <is>
          <t>eindhoven:kaynak:288</t>
        </is>
      </c>
      <c r="J52" s="49" t="n">
        <v>46317</v>
      </c>
      <c r="K52" s="51" t="n">
        <v>2119</v>
      </c>
      <c r="L52" s="29" t="inlineStr">
        <is>
          <t>Hayır</t>
        </is>
      </c>
      <c r="M52" s="29" t="inlineStr">
        <is>
          <t>Taslak</t>
        </is>
      </c>
      <c r="N52" s="29" t="inlineStr">
        <is>
          <t>Spor</t>
        </is>
      </c>
      <c r="O52" s="29" t="inlineStr">
        <is>
          <t>Woensel-Noord</t>
        </is>
      </c>
      <c r="P52" s="29" t="inlineStr">
        <is>
          <t>Karma</t>
        </is>
      </c>
      <c r="Q52" s="29" t="inlineStr">
        <is>
          <t>Vijfkamplaan 12, 5624 EB Eindhoven</t>
        </is>
      </c>
      <c r="R52" s="50" t="n">
        <v>51.47647</v>
      </c>
      <c r="S52" s="50" t="n">
        <v>5.45764</v>
      </c>
      <c r="T52" s="29" t="n"/>
      <c r="U52" s="29" t="inlineStr">
        <is>
          <t>Yüzme dersleriyle ilgili bilgi talebi sayfası var. Otoparkta arabada değerli eşya bırakılmaması isteniyor.</t>
        </is>
      </c>
      <c r="V52" s="29" t="inlineStr">
        <is>
          <t>Hayır</t>
        </is>
      </c>
      <c r="W52" s="29" t="n"/>
    </row>
    <row r="53" ht="54" customHeight="1">
      <c r="A53" s="29" t="inlineStr">
        <is>
          <t>eindhoven:area-51-skatepark</t>
        </is>
      </c>
      <c r="B53" s="29" t="inlineStr">
        <is>
          <t>eindhoven</t>
        </is>
      </c>
      <c r="C53" s="29" t="inlineStr">
        <is>
          <t>area-51-skatepark</t>
        </is>
      </c>
      <c r="D53" s="29" t="inlineStr">
        <is>
          <t>Area 51 Skatepark</t>
        </is>
      </c>
      <c r="E53" s="29" t="inlineStr">
        <is>
          <t>Strijp-S'te kaykay, BMX, scooter ve paten için kapalı park</t>
        </is>
      </c>
      <c r="F53" s="29" t="inlineStr">
        <is>
          <t>Area 51, Strijp-S'te Ketelhuisplein 18'de kaykay, BMX, WCMX, stuntstep (stunt scooter), inline ve tekerlekli paten için kapalı bir park. Girişler zaman dilimli seanslarla; online seans bileti 8 €, kasada 1 € daha pahalı. Tam gün bileti 14,50 € ve yalnız online, yalnız hafta içi satılıyor; tatil dönemlerinde ve hafta sonları tam gün bileti yok. Pazartesi kapalı; Eindhoven Strijp-S tren istasyonundan beş dakika yürüme mesafesinde.</t>
        </is>
      </c>
      <c r="G53" s="29" t="inlineStr">
        <is>
          <t>Area 51, skatepark, kaykay, BMX, Strijp-S, kapalı park</t>
        </is>
      </c>
      <c r="H53" s="29" t="inlineStr">
        <is>
          <t>new;settled</t>
        </is>
      </c>
      <c r="I53" s="29" t="inlineStr">
        <is>
          <t>eindhoven:kaynak:289</t>
        </is>
      </c>
      <c r="J53" s="49" t="n">
        <v>46317</v>
      </c>
      <c r="K53" s="51" t="n">
        <v>2120</v>
      </c>
      <c r="L53" s="29" t="inlineStr">
        <is>
          <t>Hayır</t>
        </is>
      </c>
      <c r="M53" s="29" t="inlineStr">
        <is>
          <t>Taslak</t>
        </is>
      </c>
      <c r="N53" s="29" t="inlineStr">
        <is>
          <t>Spor</t>
        </is>
      </c>
      <c r="O53" s="29" t="inlineStr">
        <is>
          <t>Strijp</t>
        </is>
      </c>
      <c r="P53" s="29" t="inlineStr">
        <is>
          <t>Kapalı alan</t>
        </is>
      </c>
      <c r="Q53" s="29" t="inlineStr">
        <is>
          <t>Ketelhuisplein 18, 5617 AE Eindhoven</t>
        </is>
      </c>
      <c r="R53" s="50" t="n">
        <v>51.44837</v>
      </c>
      <c r="S53" s="50" t="n">
        <v>5.4561</v>
      </c>
      <c r="T53" s="29" t="n"/>
      <c r="U53" s="29" t="inlineStr">
        <is>
          <t>Pistte kaymak için en az 7 yaşında olmak gerekiyor (Academy 51 üyeleri hariç); ebeveynler piste giremiyor, balkondan ya da kafeden izleyebiliyor. 16 yaşına kadar kask zorunlu; kaykay, BMX ya da scooter ile kask kirası 6 €, yalnız kask 2,50 €. Ödeme yalnız kartla.</t>
        </is>
      </c>
      <c r="V53" s="29" t="inlineStr">
        <is>
          <t>Hayır</t>
        </is>
      </c>
      <c r="W53" s="29" t="n"/>
    </row>
    <row r="54" ht="54" customHeight="1">
      <c r="A54" s="29" t="inlineStr">
        <is>
          <t>eindhoven:urban-sportpark-t-schoot</t>
        </is>
      </c>
      <c r="B54" s="29" t="inlineStr">
        <is>
          <t>eindhoven</t>
        </is>
      </c>
      <c r="C54" s="29" t="inlineStr">
        <is>
          <t>urban-sportpark-t-schoot</t>
        </is>
      </c>
      <c r="D54" s="29" t="inlineStr">
        <is>
          <t>Urban Sportpark 't Schoot</t>
        </is>
      </c>
      <c r="E54" s="29" t="inlineStr">
        <is>
          <t>Calisthenics, freerun ve pumptrack alanları olan açık hava kentsel spor parkı</t>
        </is>
      </c>
      <c r="F54" s="29" t="inlineStr">
        <is>
          <t>Urban Sportpark, Halvemaanstraat 130'da birçok spor ve hareket imkânı sunan çok amaçlı bir kentsel spor parkı. Calisthenics, survival ve freerun gibi kentsel sporlar için alanların yanında bir pumptrack (tümsekli bisiklet ve kaykay pisti) var.</t>
        </is>
      </c>
      <c r="G54" s="29" t="inlineStr">
        <is>
          <t>Urban Sportpark, calisthenics, freerun, pumptrack, açık hava spor, Strijp</t>
        </is>
      </c>
      <c r="H54" s="29" t="inlineStr">
        <is>
          <t>new;settled</t>
        </is>
      </c>
      <c r="I54" s="29" t="inlineStr">
        <is>
          <t>eindhoven:kaynak:290</t>
        </is>
      </c>
      <c r="J54" s="49" t="n">
        <v>46317</v>
      </c>
      <c r="K54" s="51" t="n">
        <v>2121</v>
      </c>
      <c r="L54" s="29" t="inlineStr">
        <is>
          <t>Hayır</t>
        </is>
      </c>
      <c r="M54" s="29" t="inlineStr">
        <is>
          <t>Taslak</t>
        </is>
      </c>
      <c r="N54" s="29" t="inlineStr">
        <is>
          <t>Spor</t>
        </is>
      </c>
      <c r="O54" s="29" t="inlineStr">
        <is>
          <t>Strijp</t>
        </is>
      </c>
      <c r="P54" s="29" t="inlineStr">
        <is>
          <t>Açık hava</t>
        </is>
      </c>
      <c r="Q54" s="29" t="inlineStr">
        <is>
          <t>Halvemaanstraat 130, 5651 BR Eindhoven</t>
        </is>
      </c>
      <c r="R54" s="50" t="n">
        <v>51.44774</v>
      </c>
      <c r="S54" s="50" t="n">
        <v>5.43753</v>
      </c>
      <c r="T54" s="29" t="n"/>
      <c r="U54" s="29" t="inlineStr">
        <is>
          <t>Çocuklar için bir oyun alanı ve tek başına çalışmak isteyenler için egzersiz aletleri de aynı parkta.</t>
        </is>
      </c>
      <c r="V54" s="29" t="inlineStr">
        <is>
          <t>Hayır</t>
        </is>
      </c>
      <c r="W54" s="29" t="n"/>
    </row>
    <row r="55" ht="54" customHeight="1">
      <c r="A55" s="29" t="inlineStr">
        <is>
          <t>eindhoven:sportpark-strijp</t>
        </is>
      </c>
      <c r="B55" s="29" t="inlineStr">
        <is>
          <t>eindhoven</t>
        </is>
      </c>
      <c r="C55" s="29" t="inlineStr">
        <is>
          <t>sportpark-strijp</t>
        </is>
      </c>
      <c r="D55" s="29" t="inlineStr">
        <is>
          <t>Sportpark Strijp</t>
        </is>
      </c>
      <c r="E55" s="29" t="inlineStr">
        <is>
          <t>Christiaan Huygens College'un yanında futbol, korfbol, hentbol sahaları ve tenis kortları</t>
        </is>
      </c>
      <c r="F55" s="29" t="inlineStr">
        <is>
          <t>Sportpark Strijp, Rijstenweg 5'te Christiaan Huygens College'un yanındaki çok amaçlı bir spor parkı. Futbol sahaları (2 çim, 2 suni çim), 2 korfbol ve 2 hentbol sahası ile 3 her hava koşuluna uygun tenis kortu var; parkı rekreasyon amaçlı kullanım ve antrenmanlar için kiralamak mümkün. Açılış saatleri 8.00-23.00.</t>
        </is>
      </c>
      <c r="G55" s="29" t="inlineStr">
        <is>
          <t>Sportpark Strijp, saha kiralama, futbol, korfbol, hentbol, Rijstenweg</t>
        </is>
      </c>
      <c r="H55" s="29" t="inlineStr">
        <is>
          <t>new;settled</t>
        </is>
      </c>
      <c r="I55" s="29" t="inlineStr">
        <is>
          <t>eindhoven:kaynak:291</t>
        </is>
      </c>
      <c r="J55" s="49" t="n">
        <v>46317</v>
      </c>
      <c r="K55" s="51" t="n">
        <v>2122</v>
      </c>
      <c r="L55" s="29" t="inlineStr">
        <is>
          <t>Hayır</t>
        </is>
      </c>
      <c r="M55" s="29" t="inlineStr">
        <is>
          <t>Taslak</t>
        </is>
      </c>
      <c r="N55" s="29" t="inlineStr">
        <is>
          <t>Spor</t>
        </is>
      </c>
      <c r="O55" s="29" t="inlineStr">
        <is>
          <t>Strijp</t>
        </is>
      </c>
      <c r="P55" s="29" t="inlineStr">
        <is>
          <t>Açık hava</t>
        </is>
      </c>
      <c r="Q55" s="29" t="inlineStr">
        <is>
          <t>Rijstenweg 5, 5652 CG Eindhoven</t>
        </is>
      </c>
      <c r="R55" s="50" t="n">
        <v>51.43682</v>
      </c>
      <c r="S55" s="50" t="n">
        <v>5.44682</v>
      </c>
      <c r="T55" s="29" t="n"/>
      <c r="U55" s="29" t="inlineStr">
        <is>
          <t>Tenis kortlarını Tennis Club Engelsbergen kiraya veriyor. Sahaların 2026-2027 saatlik kira ücreti: çim futbol sahası 48 €, suni çim futbol sahası 72 €, korfbol sahası (çim ya da suni çim) 65 €, hentbol sahası 25 €. Ücretlere saha aydınlatması dahil değil; tek seferlik kiralamada tüm sahalar için saatlik 25 € elektrik ücreti ekleniyor.</t>
        </is>
      </c>
      <c r="V55" s="29" t="inlineStr">
        <is>
          <t>Hayır</t>
        </is>
      </c>
      <c r="W55" s="29" t="n"/>
    </row>
    <row r="56" ht="54" customHeight="1">
      <c r="A56" s="29" t="inlineStr">
        <is>
          <t>eindhoven:jan-louwers-stadion</t>
        </is>
      </c>
      <c r="B56" s="29" t="inlineStr">
        <is>
          <t>eindhoven</t>
        </is>
      </c>
      <c r="C56" s="29" t="inlineStr">
        <is>
          <t>jan-louwers-stadion</t>
        </is>
      </c>
      <c r="D56" s="29" t="inlineStr">
        <is>
          <t>Jan Louwers Stadion</t>
        </is>
      </c>
      <c r="E56" s="29" t="inlineStr">
        <is>
          <t>1934'ten beri FC Eindhoven'ın sahası olan 4.200 koltuklu stadyum</t>
        </is>
      </c>
      <c r="F56" s="29" t="inlineStr">
        <is>
          <t>Jan Louwers Stadion, Aalsterweg'deki, FC Eindhoven'ın 1934'ten beri maçlarını oynadığı stadyum. 1997'den beri, 1952-1955 yılları arasında FC Eindhoven'da öne çıkan futbolcu Jan Louwers'in adını taşıyor. Stadyumda 4.200 koltuk var.</t>
        </is>
      </c>
      <c r="G56" s="29" t="inlineStr">
        <is>
          <t>Jan Louwers Stadion, FC Eindhoven, futbol, stadyum, Aalsterweg, maç</t>
        </is>
      </c>
      <c r="H56" s="29" t="inlineStr">
        <is>
          <t>new;settled</t>
        </is>
      </c>
      <c r="I56" s="29" t="inlineStr">
        <is>
          <t>eindhoven:kaynak:292</t>
        </is>
      </c>
      <c r="J56" s="49" t="n">
        <v>46317</v>
      </c>
      <c r="K56" s="51" t="n">
        <v>2123</v>
      </c>
      <c r="L56" s="29" t="inlineStr">
        <is>
          <t>Hayır</t>
        </is>
      </c>
      <c r="M56" s="29" t="inlineStr">
        <is>
          <t>Taslak</t>
        </is>
      </c>
      <c r="N56" s="29" t="inlineStr">
        <is>
          <t>Spor</t>
        </is>
      </c>
      <c r="O56" s="29" t="inlineStr">
        <is>
          <t>Stratum</t>
        </is>
      </c>
      <c r="P56" s="29" t="inlineStr">
        <is>
          <t>Açık hava</t>
        </is>
      </c>
      <c r="Q56" s="29" t="inlineStr">
        <is>
          <t>Aalsterweg, Eindhoven</t>
        </is>
      </c>
      <c r="R56" s="50" t="n">
        <v>51.41167</v>
      </c>
      <c r="S56" s="50" t="n">
        <v>5.47944</v>
      </c>
      <c r="T56" s="29" t="n"/>
      <c r="U56" s="29" t="inlineStr">
        <is>
          <t>Çevrede yeterince ücretsiz park yeri var ve stadyuma toplu taşımayla rahat ulaşılıyor. Kulüp 2026-2027 sezonu için seizoenkaart (sezon kartı) satıyor.</t>
        </is>
      </c>
      <c r="V56" s="29" t="inlineStr">
        <is>
          <t>Hayır</t>
        </is>
      </c>
      <c r="W56" s="29" t="n"/>
    </row>
    <row r="57" ht="54" customHeight="1">
      <c r="A57" s="29" t="inlineStr">
        <is>
          <t>eindhoven:klimcentrum-neoliet-eindhoven-zuid</t>
        </is>
      </c>
      <c r="B57" s="29" t="inlineStr">
        <is>
          <t>eindhoven</t>
        </is>
      </c>
      <c r="C57" s="29" t="inlineStr">
        <is>
          <t>klimcentrum-neoliet-eindhoven-zuid</t>
        </is>
      </c>
      <c r="D57" s="29" t="inlineStr">
        <is>
          <t>Klimcentrum Neoliet Eindhoven-Zuid</t>
        </is>
      </c>
      <c r="E57" s="29" t="inlineStr">
        <is>
          <t>3+ ile 7c+ arasında yaklaşık 100 rotası olan ipli tırmanış salonu</t>
        </is>
      </c>
      <c r="F57" s="29" t="inlineStr">
        <is>
          <t>Klimcentrum Neoliet Eindhoven-Zuid, Theo Koomenlaan 3'te tırmanış duvarları, bir kaya duvarı ve ip parkurları olan bir tırmanış merkezi. Zorluk derecesi 3+ ile 7c+ arasında değişen yaklaşık 100 rota var; duvar yükseklikleri 11 ile 15 metre arasında. Merkezde büyük bir restoran ile toplantı ve ders salonları da bulunuyor.</t>
        </is>
      </c>
      <c r="G57" s="29" t="inlineStr">
        <is>
          <t>Neoliet, tırmanış, klimcentrum, ipli tırmanış, Eindhoven-Zuid, Theo Koomenlaan</t>
        </is>
      </c>
      <c r="H57" s="29" t="inlineStr">
        <is>
          <t>new;settled</t>
        </is>
      </c>
      <c r="I57" s="29" t="inlineStr">
        <is>
          <t>eindhoven:kaynak:293</t>
        </is>
      </c>
      <c r="J57" s="49" t="n">
        <v>46317</v>
      </c>
      <c r="K57" s="51" t="n">
        <v>2124</v>
      </c>
      <c r="L57" s="29" t="inlineStr">
        <is>
          <t>Hayır</t>
        </is>
      </c>
      <c r="M57" s="29" t="inlineStr">
        <is>
          <t>Taslak</t>
        </is>
      </c>
      <c r="N57" s="29" t="inlineStr">
        <is>
          <t>Spor</t>
        </is>
      </c>
      <c r="O57" s="29" t="inlineStr">
        <is>
          <t>Stratum</t>
        </is>
      </c>
      <c r="P57" s="29" t="inlineStr">
        <is>
          <t>Kapalı alan</t>
        </is>
      </c>
      <c r="Q57" s="29" t="inlineStr">
        <is>
          <t>Theo Koomenlaan 3, 5644 HZ Eindhoven</t>
        </is>
      </c>
      <c r="R57" s="50" t="n">
        <v>51.41281</v>
      </c>
      <c r="S57" s="50" t="n">
        <v>5.47961</v>
      </c>
      <c r="T57" s="29" t="n"/>
      <c r="U57" s="29" t="inlineStr">
        <is>
          <t>Hafta içi akşamları açılıyor (salı ve perşembe 18:00, çarşamba 15:00, cuma 16:00; hepsi 22:30'a kadar); cumartesi 12:00-18:00 açık, pazar ve pazartesi kapalı.</t>
        </is>
      </c>
      <c r="V57" s="29" t="inlineStr">
        <is>
          <t>Hayır</t>
        </is>
      </c>
      <c r="W57" s="29" t="n"/>
    </row>
    <row r="58" ht="54" customHeight="1">
      <c r="A58" s="29" t="inlineStr">
        <is>
          <t>eindhoven:monk-bouldergym</t>
        </is>
      </c>
      <c r="B58" s="29" t="inlineStr">
        <is>
          <t>eindhoven</t>
        </is>
      </c>
      <c r="C58" s="29" t="inlineStr">
        <is>
          <t>monk-bouldergym</t>
        </is>
      </c>
      <c r="D58" s="29" t="inlineStr">
        <is>
          <t>Monk Bouldergym</t>
        </is>
      </c>
      <c r="E58" s="29" t="inlineStr">
        <is>
          <t>Strijp'te, gece yarısına kadar açık bouldering (ipsiz tırmanış) salonu</t>
        </is>
      </c>
      <c r="F58" s="29" t="inlineStr">
        <is>
          <t>Monk Bouldergym, Berkenstraat 1A'da bir bouldering (alçak duvarda ipsiz tırmanış) salonu. Her gün 09:00'da açılıyor; cuma 01:00'e, diğer günler gece yarısına kadar açık. Strijp-S tren istasyonundan 15 dakika, Glaspoort otobüs durağından 6 dakika yürüme mesafesinde.</t>
        </is>
      </c>
      <c r="G58" s="29" t="inlineStr">
        <is>
          <t>Monk, bouldering, tırmanış salonu, boulder, Strijp-S, Berkenstraat</t>
        </is>
      </c>
      <c r="H58" s="29" t="inlineStr">
        <is>
          <t>new;settled</t>
        </is>
      </c>
      <c r="I58" s="29" t="inlineStr">
        <is>
          <t>eindhoven:kaynak:294</t>
        </is>
      </c>
      <c r="J58" s="49" t="n">
        <v>46317</v>
      </c>
      <c r="K58" s="51" t="n">
        <v>2125</v>
      </c>
      <c r="L58" s="29" t="inlineStr">
        <is>
          <t>Hayır</t>
        </is>
      </c>
      <c r="M58" s="29" t="inlineStr">
        <is>
          <t>Taslak</t>
        </is>
      </c>
      <c r="N58" s="29" t="inlineStr">
        <is>
          <t>Spor</t>
        </is>
      </c>
      <c r="O58" s="29" t="inlineStr">
        <is>
          <t>Strijp</t>
        </is>
      </c>
      <c r="P58" s="29" t="inlineStr">
        <is>
          <t>Kapalı alan</t>
        </is>
      </c>
      <c r="Q58" s="29" t="inlineStr">
        <is>
          <t>Berkenstraat 1A, 5616 LV Eindhoven</t>
        </is>
      </c>
      <c r="R58" s="50" t="n">
        <v>51.44375</v>
      </c>
      <c r="S58" s="50" t="n">
        <v>5.45852</v>
      </c>
      <c r="T58" s="29" t="n"/>
      <c r="U58" s="29" t="inlineStr">
        <is>
          <t>Ödeme yalnız banka kartı ya da kredi kartıyla. Mahalleyi rahatsız etmemek için Berkenstraat ve çevresindeki sokaklara park edilmemesi isteniyor; Kastanjelaan'daki P4 otoparkı ve yol kenarı (bölge 5157) ücretli, salonun yanında da bir otopark var; park etmenin ilk 15 dakikası ücretsiz.</t>
        </is>
      </c>
      <c r="V58" s="29" t="inlineStr">
        <is>
          <t>Hayır</t>
        </is>
      </c>
      <c r="W58" s="29" t="n"/>
    </row>
    <row r="59" ht="54" customHeight="1">
      <c r="A59" s="29" t="inlineStr">
        <is>
          <t>eindhoven:happy-canoe</t>
        </is>
      </c>
      <c r="B59" s="29" t="inlineStr">
        <is>
          <t>eindhoven</t>
        </is>
      </c>
      <c r="C59" s="29" t="inlineStr">
        <is>
          <t>happy-canoe</t>
        </is>
      </c>
      <c r="D59" s="29" t="inlineStr">
        <is>
          <t>Happy Canoe</t>
        </is>
      </c>
      <c r="E59" s="29" t="inlineStr">
        <is>
          <t>Dommel nehri boyunca 1,5-2 saatlik kano turu</t>
        </is>
      </c>
      <c r="F59" s="29" t="inlineStr">
        <is>
          <t>Happy Canoe, Dommel nehri boyunca Brabant manzarası içinden geçen kano turları düzenliyor; tur 1,5 ile 2 saat sürüyor, Genneper Watermolen'de (Genneper su değirmeni) başlayıp aynı yerde bitiyor. Adres Genneperweg 143. Perşembeden pazara 10:00-18:00 arası açık; diğer günler rezervasyonla.</t>
        </is>
      </c>
      <c r="G59" s="29" t="inlineStr">
        <is>
          <t>Happy Canoe, kano, Dommel, Genneper, su sporu, kano turu</t>
        </is>
      </c>
      <c r="H59" s="29" t="inlineStr">
        <is>
          <t>new;settled</t>
        </is>
      </c>
      <c r="I59" s="29" t="inlineStr">
        <is>
          <t>eindhoven:kaynak:295;eindhoven:kaynak:401</t>
        </is>
      </c>
      <c r="J59" s="49" t="n">
        <v>46317</v>
      </c>
      <c r="K59" s="51" t="n">
        <v>2126</v>
      </c>
      <c r="L59" s="29" t="inlineStr">
        <is>
          <t>Hayır</t>
        </is>
      </c>
      <c r="M59" s="29" t="inlineStr">
        <is>
          <t>Taslak</t>
        </is>
      </c>
      <c r="N59" s="29" t="inlineStr">
        <is>
          <t>Spor</t>
        </is>
      </c>
      <c r="O59" s="29" t="inlineStr">
        <is>
          <t>Gestel</t>
        </is>
      </c>
      <c r="P59" s="29" t="inlineStr">
        <is>
          <t>Açık hava</t>
        </is>
      </c>
      <c r="Q59" s="29" t="inlineStr">
        <is>
          <t>Genneperweg 143, 5644 RS Eindhoven</t>
        </is>
      </c>
      <c r="R59" s="50" t="n">
        <v>51.42304</v>
      </c>
      <c r="S59" s="50" t="n">
        <v>5.47029</v>
      </c>
      <c r="T59" s="29" t="n"/>
      <c r="U59" s="29" t="inlineStr">
        <is>
          <t>Rezervasyon mekânın web sitesinden yapılıyor; tur çocuklarla, ekip olarak ya da çift olarak yapılabilecek bir etkinlik diye tanıtılıyor. Telefon +31 (0)6 3077 5949. 23 Ekim 2026 itibarıyla 2026 kano sezonu bitti ve şu an yalnız gruplar e-postayla (info@happycanoe.nl) rezervasyon yapabiliyor (Happy Canoe'nun rezervasyon sayfası).</t>
        </is>
      </c>
      <c r="V59" s="29" t="inlineStr">
        <is>
          <t>Hayır</t>
        </is>
      </c>
      <c r="W59" s="29" t="n"/>
    </row>
    <row r="60" ht="54" customHeight="1">
      <c r="A60" s="29" t="inlineStr">
        <is>
          <t>eindhoven:eindhoven-atletiek</t>
        </is>
      </c>
      <c r="B60" s="29" t="inlineStr">
        <is>
          <t>eindhoven</t>
        </is>
      </c>
      <c r="C60" s="29" t="inlineStr">
        <is>
          <t>eindhoven-atletiek</t>
        </is>
      </c>
      <c r="D60" s="29" t="inlineStr">
        <is>
          <t>Eindhoven Atletiek</t>
        </is>
      </c>
      <c r="E60" s="29" t="inlineStr">
        <is>
          <t>1000'den fazla üyesi olan, her yaşa antrenman sunan atletizm kulübü</t>
        </is>
      </c>
      <c r="F60" s="29" t="inlineStr">
        <is>
          <t>Eindhoven Atletiek, 1000'den fazla üyesiyle Hollanda'nın yedinci büyük atletizm kulübü; Sportpark De Hondsheuvels'teki Eef Kamerbeek Atletiekcentrum'da (J C Dirkxpad 7) çalışıyor. Her yaş grubu için antrenman ve ulusal ya da bölgesel yarışmalara katılım imkânı var; üyeler profesyonelce de, keyif için bir saatliğine de spor yapabiliyor. Kulüp yılda iki kez Hypotheker Beekloop koşusunu düzenliyor.</t>
        </is>
      </c>
      <c r="G60" s="29" t="inlineStr">
        <is>
          <t>Eindhoven Atletiek, atletizm, koşu kulübü, Hondsheuvels, atletizm pisti, Beekloop</t>
        </is>
      </c>
      <c r="H60" s="29" t="inlineStr">
        <is>
          <t>new;settled</t>
        </is>
      </c>
      <c r="I60" s="29" t="inlineStr">
        <is>
          <t>eindhoven:kaynak:296</t>
        </is>
      </c>
      <c r="J60" s="49" t="n">
        <v>46317</v>
      </c>
      <c r="K60" s="51" t="n">
        <v>2127</v>
      </c>
      <c r="L60" s="29" t="inlineStr">
        <is>
          <t>Hayır</t>
        </is>
      </c>
      <c r="M60" s="29" t="inlineStr">
        <is>
          <t>Taslak</t>
        </is>
      </c>
      <c r="N60" s="29" t="inlineStr">
        <is>
          <t>Spor</t>
        </is>
      </c>
      <c r="O60" s="29" t="inlineStr">
        <is>
          <t>Woensel-Zuid</t>
        </is>
      </c>
      <c r="P60" s="29" t="inlineStr">
        <is>
          <t>Açık hava</t>
        </is>
      </c>
      <c r="Q60" s="29" t="inlineStr">
        <is>
          <t>Eef Kamerbeek Atletiekcentrum, Sportpark De Hondsheuvels, J C Dirkxpad 7, 5631 BZ Eindhoven</t>
        </is>
      </c>
      <c r="R60" s="50" t="n">
        <v>51.45396</v>
      </c>
      <c r="S60" s="50" t="n">
        <v>5.49353</v>
      </c>
      <c r="T60" s="29" t="n"/>
      <c r="U60" s="29" t="inlineStr">
        <is>
          <t>Merkez istasyondan pist 20-25 dakikalık yürüyüş mesafesinde; 4 numaralı Heesterakker otobüsüyle 5-7 dakikada Maxima Medisch Centrum hastanesi durağına gidip oradan ring yolu tarafındaki girişe yürünüyor.</t>
        </is>
      </c>
      <c r="V60" s="29" t="inlineStr">
        <is>
          <t>Hayır</t>
        </is>
      </c>
      <c r="W60" s="29" t="n"/>
    </row>
    <row r="61" ht="54" customHeight="1">
      <c r="A61" s="29" t="inlineStr">
        <is>
          <t>eindhoven:genneper-parken</t>
        </is>
      </c>
      <c r="B61" s="29" t="inlineStr">
        <is>
          <t>eindhoven</t>
        </is>
      </c>
      <c r="C61" s="29" t="inlineStr">
        <is>
          <t>genneper-parken</t>
        </is>
      </c>
      <c r="D61" s="29" t="inlineStr">
        <is>
          <t>Genneper Parken</t>
        </is>
      </c>
      <c r="E61" s="29" t="inlineStr">
        <is>
          <t>Ring yolunun içinde spor, kültür ve dinlenmeyi bir araya getiren doğa alanı</t>
        </is>
      </c>
      <c r="F61" s="29" t="inlineStr">
        <is>
          <t>Genneper Parken, Eindhoven'ın ring yolunun (çevre yolu) içinde kalan bir doğa alanı; This is Eindhoven onu sporun, kültürün ve dinlenmenin buluştuğu bir yer olarak tanıtıyor. Yürüyüş yolları Dommel ve Tongelreep derelerinin çevresindeki doğada dolaştırıyor. Parktaki Paviljoen Genneper Parken'in bahçesinde mini golf oynanabiliyor; çocuklar için patates kızartması, krep ve fırın pizza var.</t>
        </is>
      </c>
      <c r="G61" s="29" t="inlineStr">
        <is>
          <t>Genneper Parken, park, doğa yürüyüşü, Dommel, Tongelreep, mini golf, Gestel</t>
        </is>
      </c>
      <c r="H61" s="29" t="inlineStr">
        <is>
          <t>new;settled</t>
        </is>
      </c>
      <c r="I61" s="29" t="inlineStr">
        <is>
          <t>eindhoven:kaynak:190;eindhoven:kaynak:189;eindhoven:kaynak:325</t>
        </is>
      </c>
      <c r="J61" s="49" t="n">
        <v>46317</v>
      </c>
      <c r="K61" s="51" t="n">
        <v>2201</v>
      </c>
      <c r="L61" s="29" t="inlineStr">
        <is>
          <t>Hayır</t>
        </is>
      </c>
      <c r="M61" s="29" t="inlineStr">
        <is>
          <t>Taslak</t>
        </is>
      </c>
      <c r="N61" s="29" t="inlineStr">
        <is>
          <t>Doğa ve açık hava</t>
        </is>
      </c>
      <c r="O61" s="29" t="inlineStr">
        <is>
          <t>Gestel</t>
        </is>
      </c>
      <c r="P61" s="29" t="inlineStr">
        <is>
          <t>Açık hava</t>
        </is>
      </c>
      <c r="Q61" s="29" t="inlineStr">
        <is>
          <t>Antoon Coolenlaan 1, 5644 RX Eindhoven</t>
        </is>
      </c>
      <c r="R61" s="50" t="n">
        <v>51.42056</v>
      </c>
      <c r="S61" s="50" t="n">
        <v>5.47389</v>
      </c>
      <c r="T61" s="29" t="n"/>
      <c r="U61" s="29" t="inlineStr">
        <is>
          <t>This is Eindhoven parkı Hollanda'nın en büyük parklarından biri sayıyor; içinde karikatürist Ton Smit'in evi de gezilebiliyor. Paviljoen hafta içi 11:00–22:00, hafta sonu 10:00–22:00 açık.</t>
        </is>
      </c>
      <c r="V61" s="29" t="inlineStr">
        <is>
          <t>Hayır</t>
        </is>
      </c>
      <c r="W61" s="29" t="n"/>
    </row>
    <row r="62" ht="54" customHeight="1">
      <c r="A62" s="29" t="inlineStr">
        <is>
          <t>eindhoven:stadswandelpark</t>
        </is>
      </c>
      <c r="B62" s="29" t="inlineStr">
        <is>
          <t>eindhoven</t>
        </is>
      </c>
      <c r="C62" s="29" t="inlineStr">
        <is>
          <t>stadswandelpark</t>
        </is>
      </c>
      <c r="D62" s="29" t="inlineStr">
        <is>
          <t>Stadswandelpark</t>
        </is>
      </c>
      <c r="E62" s="29" t="inlineStr">
        <is>
          <t>Heykel bahçesi, suya bakan çimenlikleri ve gözlemevi olan tarihî şehir parkı</t>
        </is>
      </c>
      <c r="F62" s="29" t="inlineStr">
        <is>
          <t>Stadswandelpark, Parktheater ile Witte Dorp arasında, şehrin kenarında bir park; gezinmek ya da piknik yapmak için birebir. Doğasının yanında 30 eserlik heykel bahçesi, suya bakan geniş çimenlikleri ve 'spacewalk' uygulamasıyla tanınıyor. Van Abbemuseum'dan Anne Frankplantsoen ve Dommelplantsoen üzerinden 15 dakikadan kısa bir yürüyüşle varılıyor.</t>
        </is>
      </c>
      <c r="G62" s="29" t="inlineStr">
        <is>
          <t>Stadswandelpark, şehir parkı, heykel bahçesi, piknik, Stratum, Dommel</t>
        </is>
      </c>
      <c r="H62" s="29" t="inlineStr">
        <is>
          <t>new;settled</t>
        </is>
      </c>
      <c r="I62" s="29" t="inlineStr">
        <is>
          <t>eindhoven:kaynak:297;eindhoven:kaynak:191</t>
        </is>
      </c>
      <c r="J62" s="49" t="n">
        <v>46317</v>
      </c>
      <c r="K62" s="51" t="n">
        <v>2202</v>
      </c>
      <c r="L62" s="29" t="inlineStr">
        <is>
          <t>Hayır</t>
        </is>
      </c>
      <c r="M62" s="29" t="inlineStr">
        <is>
          <t>Taslak</t>
        </is>
      </c>
      <c r="N62" s="29" t="inlineStr">
        <is>
          <t>Doğa ve açık hava</t>
        </is>
      </c>
      <c r="O62" s="29" t="inlineStr">
        <is>
          <t>Stratum</t>
        </is>
      </c>
      <c r="P62" s="29" t="inlineStr">
        <is>
          <t>Açık hava</t>
        </is>
      </c>
      <c r="Q62" s="29" t="inlineStr">
        <is>
          <t>Alberdingk Thijmlaan, 5615 EB Eindhoven</t>
        </is>
      </c>
      <c r="R62" s="50" t="n">
        <v>51.42556</v>
      </c>
      <c r="S62" s="50" t="n">
        <v>5.47611</v>
      </c>
      <c r="T62" s="29" t="n"/>
      <c r="U62" s="29" t="inlineStr">
        <is>
          <t>Park 1921'den beri herkese açık, Stadswandelpark adını 1931'de aldı; Radyo Anıtı ve gözlemevi Philips'in izlerini taşıyor. Yıl içinde Blend şarap festivali, Rock 'n Roll buluşması ve Kral Günü bit pazarı burada kuruluyor.</t>
        </is>
      </c>
      <c r="V62" s="29" t="inlineStr">
        <is>
          <t>Hayır</t>
        </is>
      </c>
      <c r="W62" s="29" t="n"/>
    </row>
    <row r="63" ht="54" customHeight="1">
      <c r="A63" s="29" t="inlineStr">
        <is>
          <t>eindhoven:philips-de-jongh-wandelpark</t>
        </is>
      </c>
      <c r="B63" s="29" t="inlineStr">
        <is>
          <t>eindhoven</t>
        </is>
      </c>
      <c r="C63" s="29" t="inlineStr">
        <is>
          <t>philips-de-jongh-wandelpark</t>
        </is>
      </c>
      <c r="D63" s="29" t="inlineStr">
        <is>
          <t>Philips de Jongh Wandelpark</t>
        </is>
      </c>
      <c r="E63" s="29" t="inlineStr">
        <is>
          <t>Anıt ağaçları ve düzenlenmiş yürüyüş yollarıyla Philips ailesinden kalan park</t>
        </is>
      </c>
      <c r="F63" s="29" t="inlineStr">
        <is>
          <t>Philips de Jongh Wandelpark, Eindhoven'ın kuzeyinde, Strijp semtinde anıt ağaçları ve düzenlenmiş yürüyüş yolları olan tarihî bir park. Adını Anton Philips'in eşi Anna Philips de Jongh'tan alıyor ve 1920'de şehre bağışlandı. Bir zamanlar Philips ailesinin özel mülküydü; bugün herkese açık.</t>
        </is>
      </c>
      <c r="G63" s="29" t="inlineStr">
        <is>
          <t>Philips de Jongh Wandelpark, park, anıt ağaçlar, yürüyüş, Strijp, Philips</t>
        </is>
      </c>
      <c r="H63" s="29" t="inlineStr">
        <is>
          <t>new;settled</t>
        </is>
      </c>
      <c r="I63" s="29" t="inlineStr">
        <is>
          <t>eindhoven:kaynak:298;eindhoven:kaynak:189;eindhoven:kaynak:311</t>
        </is>
      </c>
      <c r="J63" s="49" t="n">
        <v>46317</v>
      </c>
      <c r="K63" s="51" t="n">
        <v>2203</v>
      </c>
      <c r="L63" s="29" t="inlineStr">
        <is>
          <t>Hayır</t>
        </is>
      </c>
      <c r="M63" s="29" t="inlineStr">
        <is>
          <t>Taslak</t>
        </is>
      </c>
      <c r="N63" s="29" t="inlineStr">
        <is>
          <t>Doğa ve açık hava</t>
        </is>
      </c>
      <c r="O63" s="29" t="inlineStr">
        <is>
          <t>Strijp</t>
        </is>
      </c>
      <c r="P63" s="29" t="inlineStr">
        <is>
          <t>Açık hava</t>
        </is>
      </c>
      <c r="Q63" s="29" t="inlineStr">
        <is>
          <t>Oirschotsedijk 2, 5651 GC Eindhoven</t>
        </is>
      </c>
      <c r="R63" s="50" t="n">
        <v>51.45722</v>
      </c>
      <c r="S63" s="50" t="n">
        <v>5.44306</v>
      </c>
      <c r="T63" s="29" t="n"/>
      <c r="U63" s="29" t="inlineStr">
        <is>
          <t>Philips ailesinin yaşadığı Landgoed De Wielewaal parkın yakınında; Philips Fruittuin meyve bahçesi de biraz kuzeyinde kalıyor.</t>
        </is>
      </c>
      <c r="V63" s="29" t="inlineStr">
        <is>
          <t>Hayır</t>
        </is>
      </c>
      <c r="W63" s="29" t="n"/>
    </row>
    <row r="64" ht="54" customHeight="1">
      <c r="A64" s="29" t="inlineStr">
        <is>
          <t>eindhoven:philips-van-lenneppark</t>
        </is>
      </c>
      <c r="B64" s="29" t="inlineStr">
        <is>
          <t>eindhoven</t>
        </is>
      </c>
      <c r="C64" s="29" t="inlineStr">
        <is>
          <t>philips-van-lenneppark</t>
        </is>
      </c>
      <c r="D64" s="29" t="inlineStr">
        <is>
          <t>Philips van Lenneppark</t>
        </is>
      </c>
      <c r="E64" s="29" t="inlineStr">
        <is>
          <t>Şehrin batı kenarında mangal, futbol ve tenis alanı olan geniş park</t>
        </is>
      </c>
      <c r="F64" s="29" t="inlineStr">
        <is>
          <t>Philips van Lenneppark, Eindhoven'ın kuzeyinde, şehrin batı kenarında ve otoyolun yakınında büyük bir park. 1964'te Philips-Van Lennep çifti tarafından şehre bağışlandı. Gelenler mangal yapıyor, futbol ve tenis oynuyor ya da yürüyüşe çıkıyor; parkta çok sayıda oyun alanı, bir hayvan çiftliği ve kaykay parkı var.</t>
        </is>
      </c>
      <c r="G64" s="29" t="inlineStr">
        <is>
          <t>Philips van Lenneppark, park, mangal, kaykay parkı, oyun alanı, Strijp</t>
        </is>
      </c>
      <c r="H64" s="29" t="inlineStr">
        <is>
          <t>new;settled</t>
        </is>
      </c>
      <c r="I64" s="29" t="inlineStr">
        <is>
          <t>eindhoven:kaynak:299;eindhoven:kaynak:189;eindhoven:kaynak:306</t>
        </is>
      </c>
      <c r="J64" s="49" t="n">
        <v>46317</v>
      </c>
      <c r="K64" s="51" t="n">
        <v>2204</v>
      </c>
      <c r="L64" s="29" t="inlineStr">
        <is>
          <t>Hayır</t>
        </is>
      </c>
      <c r="M64" s="29" t="inlineStr">
        <is>
          <t>Taslak</t>
        </is>
      </c>
      <c r="N64" s="29" t="inlineStr">
        <is>
          <t>Doğa ve açık hava</t>
        </is>
      </c>
      <c r="O64" s="29" t="inlineStr">
        <is>
          <t>Strijp</t>
        </is>
      </c>
      <c r="P64" s="29" t="inlineStr">
        <is>
          <t>Açık hava</t>
        </is>
      </c>
      <c r="Q64" s="29" t="inlineStr">
        <is>
          <t>Pieter Stockmanslaan 5, 5657 BB Eindhoven</t>
        </is>
      </c>
      <c r="R64" s="50" t="n">
        <v>51.45167</v>
      </c>
      <c r="S64" s="50" t="n">
        <v>5.41556</v>
      </c>
      <c r="T64" s="29" t="n"/>
      <c r="U64" s="29" t="inlineStr">
        <is>
          <t>Alan aslında park olarak değil sanayi bölgesi olarak ayrılmıştı. Parktaki çocuk çiftliğinin adı Eigen Wijs Boerderij.</t>
        </is>
      </c>
      <c r="V64" s="29" t="inlineStr">
        <is>
          <t>Hayır</t>
        </is>
      </c>
      <c r="W64" s="29" t="n"/>
    </row>
    <row r="65" ht="54" customHeight="1">
      <c r="A65" s="29" t="inlineStr">
        <is>
          <t>eindhoven:henri-dunantpark</t>
        </is>
      </c>
      <c r="B65" s="29" t="inlineStr">
        <is>
          <t>eindhoven</t>
        </is>
      </c>
      <c r="C65" s="29" t="inlineStr">
        <is>
          <t>henri-dunantpark</t>
        </is>
      </c>
      <c r="D65" s="29" t="inlineStr">
        <is>
          <t>Henri Dunantpark</t>
        </is>
      </c>
      <c r="E65" s="29" t="inlineStr">
        <is>
          <t>Woensel'de çimenlikleri, balık tutma göleti ve sanat eserleri olan 22 hektarlık park</t>
        </is>
      </c>
      <c r="F65" s="29" t="inlineStr">
        <is>
          <t>Henri Dunantpark, Woensel'in De Tempel semtinde, Rode Kruislaan üzerinde 22 hektarlık bir park. Belediyenin baş tasarımcısı P. Ramp tarafından 1971-72'de, çevresindeki düz hatlı binalara karşıt, şehrin içinde samimi bir doğa parçası olarak tasarlandı. Geniş çimenlerde piknik ve oyun için yer var, bir de balık tutma göleti bulunuyor; Speelpark De Splinter da parkın içinde.</t>
        </is>
      </c>
      <c r="G65" s="29" t="inlineStr">
        <is>
          <t>Henri Dunantpark, park, Woensel, piknik, balık tutma, De Tempel</t>
        </is>
      </c>
      <c r="H65" s="29" t="inlineStr">
        <is>
          <t>new;settled</t>
        </is>
      </c>
      <c r="I65" s="29" t="inlineStr">
        <is>
          <t>eindhoven:kaynak:300;eindhoven:kaynak:189</t>
        </is>
      </c>
      <c r="J65" s="49" t="n">
        <v>46317</v>
      </c>
      <c r="K65" s="51" t="n">
        <v>2205</v>
      </c>
      <c r="L65" s="29" t="inlineStr">
        <is>
          <t>Hayır</t>
        </is>
      </c>
      <c r="M65" s="29" t="inlineStr">
        <is>
          <t>Taslak</t>
        </is>
      </c>
      <c r="N65" s="29" t="inlineStr">
        <is>
          <t>Doğa ve açık hava</t>
        </is>
      </c>
      <c r="O65" s="29" t="inlineStr">
        <is>
          <t>Woensel-Noord</t>
        </is>
      </c>
      <c r="P65" s="29" t="inlineStr">
        <is>
          <t>Açık hava</t>
        </is>
      </c>
      <c r="Q65" s="29" t="inlineStr">
        <is>
          <t>Rode Kruislaan 14, 5628 GM Eindhoven</t>
        </is>
      </c>
      <c r="R65" s="50" t="n">
        <v>51.48056</v>
      </c>
      <c r="S65" s="50" t="n">
        <v>5.47167</v>
      </c>
      <c r="T65" s="29" t="n"/>
      <c r="U65" s="29" t="inlineStr">
        <is>
          <t>Mayıs 2013'ten beri parkta bir ANWB Groenplein var: ANWB, belediye ve yakın sakinlerin ortak girişimi olan, mahallelinin buluşup yeşil alanın tadını çıkardığı bir meydan.</t>
        </is>
      </c>
      <c r="V65" s="29" t="inlineStr">
        <is>
          <t>Hayır</t>
        </is>
      </c>
      <c r="W65" s="29" t="n"/>
    </row>
    <row r="66" ht="54" customHeight="1">
      <c r="A66" s="29" t="inlineStr">
        <is>
          <t>eindhoven:landgoed-de-wielewaal</t>
        </is>
      </c>
      <c r="B66" s="29" t="inlineStr">
        <is>
          <t>eindhoven</t>
        </is>
      </c>
      <c r="C66" s="29" t="inlineStr">
        <is>
          <t>landgoed-de-wielewaal</t>
        </is>
      </c>
      <c r="D66" s="29" t="inlineStr">
        <is>
          <t>Landgoed De Wielewaal</t>
        </is>
      </c>
      <c r="E66" s="29" t="inlineStr">
        <is>
          <t>Philips ailesinin eski malikânesi: Eylül 2025'ten beri ilk kez halka açık orman, çayır ve göller</t>
        </is>
      </c>
      <c r="F66" s="29" t="inlineStr">
        <is>
          <t>Landgoed De Wielewaal (De Wielewaal malikânesi), Eindhoven'ın kuzeybatısında, Lichtbos içinde ormanları, ağaçlı yolları, çayırları ve küçük gölleriyle uzun yıllar Philips ailesine ait olmuş bir arazi. Belediye araziyi 2022 baharında satın aldı ve 27 Eylül 2025'ten beri ilk kez halka açık. Her gün gün doğumundan gün batımına kadar açık, giriş ücretsiz; köpekler tasmalı olarak girebiliyor. Önemli noktalardan geçen yaklaşık 4 kilometrelik yürüyüş rotası molalarla birlikte yaklaşık 1,5 saat sürüyor.</t>
        </is>
      </c>
      <c r="G66" s="29" t="inlineStr">
        <is>
          <t>Landgoed De Wielewaal, Lichtbos, Philips, orman yürüyüşü, Strijp, ücretsiz</t>
        </is>
      </c>
      <c r="H66" s="29" t="inlineStr">
        <is>
          <t>new;settled</t>
        </is>
      </c>
      <c r="I66" s="29" t="inlineStr">
        <is>
          <t>eindhoven:kaynak:301</t>
        </is>
      </c>
      <c r="J66" s="49" t="n">
        <v>46317</v>
      </c>
      <c r="K66" s="51" t="n">
        <v>2206</v>
      </c>
      <c r="L66" s="29" t="inlineStr">
        <is>
          <t>Evet</t>
        </is>
      </c>
      <c r="M66" s="29" t="inlineStr">
        <is>
          <t>Taslak</t>
        </is>
      </c>
      <c r="N66" s="29" t="inlineStr">
        <is>
          <t>Doğa ve açık hava</t>
        </is>
      </c>
      <c r="O66" s="29" t="inlineStr">
        <is>
          <t>Strijp</t>
        </is>
      </c>
      <c r="P66" s="29" t="inlineStr">
        <is>
          <t>Açık hava</t>
        </is>
      </c>
      <c r="Q66" s="29" t="inlineStr">
        <is>
          <t>Oirschotsedijk 3, Eindhoven (diğer girişler: Elburglaan 12 ve Elburglaan 2)</t>
        </is>
      </c>
      <c r="R66" s="50" t="n">
        <v>51.4556</v>
      </c>
      <c r="S66" s="50" t="n">
        <v>5.4314</v>
      </c>
      <c r="T66" s="29" t="n"/>
      <c r="U66" s="29" t="inlineStr">
        <is>
          <t>Otopark az olduğu için belediye arabayla gelmemeyi, olabildiğince yürüyerek ya da bisikletle gelmeyi öneriyor. Tekerlekli sandalye ve bebek arabasıyla gidilebilen 3,3 kilometrelik engelsiz bir rota var; bisikletliler burada misafir sayılıyor ve 10-15 km/saati geçmemeleri isteniyor.</t>
        </is>
      </c>
      <c r="V66" s="29" t="inlineStr">
        <is>
          <t>Hayır</t>
        </is>
      </c>
      <c r="W66" s="29" t="n"/>
    </row>
    <row r="67" ht="54" customHeight="1">
      <c r="A67" s="29" t="inlineStr">
        <is>
          <t>eindhoven:wandelpark-eckart-eckartse-bos</t>
        </is>
      </c>
      <c r="B67" s="29" t="inlineStr">
        <is>
          <t>eindhoven</t>
        </is>
      </c>
      <c r="C67" s="29" t="inlineStr">
        <is>
          <t>wandelpark-eckart-eckartse-bos</t>
        </is>
      </c>
      <c r="D67" s="29" t="inlineStr">
        <is>
          <t>Wandelpark Eckart</t>
        </is>
      </c>
      <c r="E67" s="29" t="inlineStr">
        <is>
          <t>Karpendonkse Plas gölüne komşu ormanlık yürüyüş parkı</t>
        </is>
      </c>
      <c r="F67" s="29" t="inlineStr">
        <is>
          <t>Wandelpark Eckart, Karpendonkse Plas adlı büyük yapay gölün kıyısında uzanan ormanlık bir yürüyüş alanı. Göl bir zamanlar kum çıkarmak için kazılmış; bugün hem sakin dinlenme anlarına hem büyük festivallere sahne oluyor. Dikkatli kuş gözlemcileri burada pek çok türde su kuşu görebiliyor.</t>
        </is>
      </c>
      <c r="G67" s="29" t="inlineStr">
        <is>
          <t>Wandelpark Eckart, Karpendonkse Plas, orman, yürüyüş, kuş gözlemi, Tongelre</t>
        </is>
      </c>
      <c r="H67" s="29" t="inlineStr">
        <is>
          <t>new;settled</t>
        </is>
      </c>
      <c r="I67" s="29" t="inlineStr">
        <is>
          <t>eindhoven:kaynak:189</t>
        </is>
      </c>
      <c r="J67" s="49" t="n">
        <v>46317</v>
      </c>
      <c r="K67" s="51" t="n">
        <v>2207</v>
      </c>
      <c r="L67" s="29" t="inlineStr">
        <is>
          <t>Hayır</t>
        </is>
      </c>
      <c r="M67" s="29" t="inlineStr">
        <is>
          <t>Taslak</t>
        </is>
      </c>
      <c r="N67" s="29" t="inlineStr">
        <is>
          <t>Doğa ve açık hava</t>
        </is>
      </c>
      <c r="O67" s="29" t="inlineStr">
        <is>
          <t>Tongelre</t>
        </is>
      </c>
      <c r="P67" s="29" t="inlineStr">
        <is>
          <t>Açık hava</t>
        </is>
      </c>
      <c r="Q67" s="29" t="inlineStr">
        <is>
          <t>Karpendonkse Plas kıyısı, Eindhoven</t>
        </is>
      </c>
      <c r="R67" s="50" t="n">
        <v>51.45831</v>
      </c>
      <c r="S67" s="50" t="n">
        <v>5.51169</v>
      </c>
      <c r="T67" s="29" t="n"/>
      <c r="U67" s="29" t="inlineStr">
        <is>
          <t>Acıkanlar için göl manzaralı 't Zusje restoranı var.</t>
        </is>
      </c>
      <c r="V67" s="29" t="inlineStr">
        <is>
          <t>Hayır</t>
        </is>
      </c>
      <c r="W67" s="29" t="n"/>
    </row>
    <row r="68" ht="54" customHeight="1">
      <c r="A68" s="29" t="inlineStr">
        <is>
          <t>eindhoven:heempark-frater-simon-deltour</t>
        </is>
      </c>
      <c r="B68" s="29" t="inlineStr">
        <is>
          <t>eindhoven</t>
        </is>
      </c>
      <c r="C68" s="29" t="inlineStr">
        <is>
          <t>heempark-frater-simon-deltour</t>
        </is>
      </c>
      <c r="D68" s="29" t="inlineStr">
        <is>
          <t>Heempark Frater Simon Deltour</t>
        </is>
      </c>
      <c r="E68" s="29" t="inlineStr">
        <is>
          <t>Genneper Parken içinde yerli bitki ve hayvanlarla dolu küçük doğa bahçesi</t>
        </is>
      </c>
      <c r="F68" s="29" t="inlineStr">
        <is>
          <t>Heempark Frater Simon Deltour, Genneper Parken'in içinde insan eliyle düzenlenmiş küçük bir peyzaj alanı; heempark (yerli türlerin sergilendiği doğa bahçesi) yerli bitki ve hayvan türleriyle dolu. Sağlam bir çift botla kendi başınıza keşfe çıkabilirsiniz.</t>
        </is>
      </c>
      <c r="G68" s="29" t="inlineStr">
        <is>
          <t>Heempark Frater Simon Deltour, heempark, yerli bitkiler, Genneper Parken, doğa, Gestel</t>
        </is>
      </c>
      <c r="H68" s="29" t="inlineStr">
        <is>
          <t>new;settled</t>
        </is>
      </c>
      <c r="I68" s="29" t="inlineStr">
        <is>
          <t>eindhoven:kaynak:189</t>
        </is>
      </c>
      <c r="J68" s="49" t="n">
        <v>46317</v>
      </c>
      <c r="K68" s="51" t="n">
        <v>2208</v>
      </c>
      <c r="L68" s="29" t="inlineStr">
        <is>
          <t>Hayır</t>
        </is>
      </c>
      <c r="M68" s="29" t="inlineStr">
        <is>
          <t>Taslak</t>
        </is>
      </c>
      <c r="N68" s="29" t="inlineStr">
        <is>
          <t>Doğa ve açık hava</t>
        </is>
      </c>
      <c r="O68" s="29" t="inlineStr">
        <is>
          <t>Gestel</t>
        </is>
      </c>
      <c r="P68" s="29" t="inlineStr">
        <is>
          <t>Açık hava</t>
        </is>
      </c>
      <c r="Q68" s="29" t="inlineStr">
        <is>
          <t>Genneper Parken içinde, Eindhoven</t>
        </is>
      </c>
      <c r="R68" s="50" t="n">
        <v>51.42282</v>
      </c>
      <c r="S68" s="50" t="n">
        <v>5.46995</v>
      </c>
      <c r="T68" s="29" t="n"/>
      <c r="U68" s="29" t="inlineStr">
        <is>
          <t>Yaz tatilinde çocuklar için cücelerle ilgili oyun ve etkinliklerle dolu bir doğa yürüyüşü kuruluyor.</t>
        </is>
      </c>
      <c r="V68" s="29" t="inlineStr">
        <is>
          <t>Hayır</t>
        </is>
      </c>
      <c r="W68" s="29" t="n"/>
    </row>
    <row r="69" ht="54" customHeight="1">
      <c r="A69" s="29" t="inlineStr">
        <is>
          <t>eindhoven:wasven</t>
        </is>
      </c>
      <c r="B69" s="29" t="inlineStr">
        <is>
          <t>eindhoven</t>
        </is>
      </c>
      <c r="C69" s="29" t="inlineStr">
        <is>
          <t>wasven</t>
        </is>
      </c>
      <c r="D69" s="29" t="inlineStr">
        <is>
          <t>Wasven</t>
        </is>
      </c>
      <c r="E69" s="29" t="inlineStr">
        <is>
          <t>Tongelre'de çiftlik dükkânı ve gasterij'i (kafe-restoran) olan ekolojik çiftlik</t>
        </is>
      </c>
      <c r="F69" s="29" t="inlineStr">
        <is>
          <t>Wasven, Celebeslaan'da ekolojik bir çiftlik; dükkânı ve gasterij'i (çiftlik kafe-restoranı) neredeyse her gün açık. Gasterij salıdan pazara 10:00–17:00, dükkân salıdan cumartesiye 10:00–16:00 açık; pazartesi ikisi de kapalı. Mutfak kapanıştan bir saat önce kapanıyor, resmî tatillerde ise çiftlik kapalı.</t>
        </is>
      </c>
      <c r="G69" s="29" t="inlineStr">
        <is>
          <t>Wasven, çiftlik, gasterij, çiftlik dükkânı, Tongelre, ekolojik</t>
        </is>
      </c>
      <c r="H69" s="29" t="inlineStr">
        <is>
          <t>new;settled</t>
        </is>
      </c>
      <c r="I69" s="29" t="inlineStr">
        <is>
          <t>eindhoven:kaynak:302;eindhoven:kaynak:307</t>
        </is>
      </c>
      <c r="J69" s="49" t="n">
        <v>46317</v>
      </c>
      <c r="K69" s="51" t="n">
        <v>2209</v>
      </c>
      <c r="L69" s="29" t="inlineStr">
        <is>
          <t>Hayır</t>
        </is>
      </c>
      <c r="M69" s="29" t="inlineStr">
        <is>
          <t>Taslak</t>
        </is>
      </c>
      <c r="N69" s="29" t="inlineStr">
        <is>
          <t>Doğa ve açık hava</t>
        </is>
      </c>
      <c r="O69" s="29" t="inlineStr">
        <is>
          <t>Tongelre</t>
        </is>
      </c>
      <c r="P69" s="29" t="inlineStr">
        <is>
          <t>Açık hava</t>
        </is>
      </c>
      <c r="Q69" s="29" t="inlineStr">
        <is>
          <t>Celebeslaan 30, 5641 AG Eindhoven</t>
        </is>
      </c>
      <c r="R69" s="50" t="n">
        <v>51.44919</v>
      </c>
      <c r="S69" s="50" t="n">
        <v>5.51246</v>
      </c>
      <c r="T69" s="29" t="n"/>
      <c r="U69" s="29" t="inlineStr">
        <is>
          <t>Gasterij'de masa ayırtmak için iletişim sayfasındaki rezervasyon bağlantısı kullanılıyor. Çiftliğin avlusunda çocukların güneş ve su enerjisiyle oynadığı bir oyun bahçesi de var.</t>
        </is>
      </c>
      <c r="V69" s="29" t="inlineStr">
        <is>
          <t>Hayır</t>
        </is>
      </c>
      <c r="W69" s="29" t="n"/>
    </row>
    <row r="70" ht="54" customHeight="1">
      <c r="A70" s="29" t="inlineStr">
        <is>
          <t>eindhoven:de-ontdekfabriek</t>
        </is>
      </c>
      <c r="B70" s="29" t="inlineStr">
        <is>
          <t>eindhoven</t>
        </is>
      </c>
      <c r="C70" s="29" t="inlineStr">
        <is>
          <t>de-ontdekfabriek</t>
        </is>
      </c>
      <c r="D70" s="29" t="inlineStr">
        <is>
          <t>De Ontdekfabriek</t>
        </is>
      </c>
      <c r="E70" s="29" t="inlineStr">
        <is>
          <t>Strijp-S'te 4–12 yaş çocuklar ve aileleri için 'birlikte yap' macerası</t>
        </is>
      </c>
      <c r="F70" s="29" t="inlineStr">
        <is>
          <t>De Ontdekfabriek, Strijp-S'teki Apparatenfabriek binasında yaklaşık 4–12 yaş arası çocuklar ve aileleri için bir Meemaak-avontuur (birlikte yapma macerası) sunuyor. Giriş 0–3 yaş için ücretsiz, 4 yaş ve üstü için 9,50 € (online rezervasyonda hizmet bedeli hariç); ödeme yalnız kartla (PIN). Güvenlik nedeniyle çocukların yanında her zaman en az bir bilet almış yetişkin bulunmalı.</t>
        </is>
      </c>
      <c r="G70" s="29" t="inlineStr">
        <is>
          <t>De Ontdekfabriek, çocuk müzesi, Strijp-S, keşif, aile, Torenallee</t>
        </is>
      </c>
      <c r="H70" s="29" t="inlineStr">
        <is>
          <t>new;settled</t>
        </is>
      </c>
      <c r="I70" s="29" t="inlineStr">
        <is>
          <t>eindhoven:kaynak:303</t>
        </is>
      </c>
      <c r="J70" s="49" t="n">
        <v>46317</v>
      </c>
      <c r="K70" s="51" t="n">
        <v>2210</v>
      </c>
      <c r="L70" s="29" t="inlineStr">
        <is>
          <t>Evet</t>
        </is>
      </c>
      <c r="M70" s="29" t="inlineStr">
        <is>
          <t>Taslak</t>
        </is>
      </c>
      <c r="N70" s="29" t="inlineStr">
        <is>
          <t>Çocuklarla keşif</t>
        </is>
      </c>
      <c r="O70" s="29" t="inlineStr">
        <is>
          <t>Strijp</t>
        </is>
      </c>
      <c r="P70" s="29" t="inlineStr">
        <is>
          <t>Kapalı alan</t>
        </is>
      </c>
      <c r="Q70" s="29" t="inlineStr">
        <is>
          <t>Torenallee 22, 5617 BD Eindhoven (Strijp-S / Apparatenfabriek)</t>
        </is>
      </c>
      <c r="R70" s="50" t="n">
        <v>51.44806</v>
      </c>
      <c r="S70" s="50" t="n">
        <v>5.45694</v>
      </c>
      <c r="T70" s="29" t="n"/>
      <c r="U70" s="29" t="inlineStr">
        <is>
          <t>NS Strijp-S istasyonu 5-10 dakika yürüme mesafesinde; 401, 402 ve 403 hızlı otobüsleri ile 13 ve 18 numaralı hatların durağı binanın önünde. İçeride dışarıdan getirilen yiyecek-içecek tüketilemiyor (küçük barda satılıyor), yardımcı köpekler dışında köpek alınmıyor; Strijp-S otoparkları için günlük çıkış kartı kasada 15 €.</t>
        </is>
      </c>
      <c r="V70" s="29" t="inlineStr">
        <is>
          <t>Hayır</t>
        </is>
      </c>
      <c r="W70" s="29" t="n"/>
    </row>
    <row r="71" ht="54" customHeight="1">
      <c r="A71" s="29" t="inlineStr">
        <is>
          <t>eindhoven:speelpark-de-splinter</t>
        </is>
      </c>
      <c r="B71" s="29" t="inlineStr">
        <is>
          <t>eindhoven</t>
        </is>
      </c>
      <c r="C71" s="29" t="inlineStr">
        <is>
          <t>speelpark-de-splinter</t>
        </is>
      </c>
      <c r="D71" s="29" t="inlineStr">
        <is>
          <t>Speelpark De Splinter</t>
        </is>
      </c>
      <c r="E71" s="29" t="inlineStr">
        <is>
          <t>Küçükler köşesi ve sevgi hayvanat bahçesi olan büyük oyun parkı</t>
        </is>
      </c>
      <c r="F71" s="29" t="inlineStr">
        <is>
          <t>Speelpark De Splinter, her yaştan çocuğun eğlenebildiği geniş bir oyun alanı; bütün aile için bir gezi yeri olarak tanıtılıyor. En küçükler için oyun aletli bir köşe ve hayvanların sevilebildiği küçük bir hayvanat bahçesi var. Hafta içi 09:00–18:00, cumartesi 10:00–18:00, pazar 12:00–18:00 açık.</t>
        </is>
      </c>
      <c r="G71" s="29" t="inlineStr">
        <is>
          <t>Speelpark De Splinter, oyun parkı, sevgi hayvanat bahçesi, küçük çocuklar, Woensel</t>
        </is>
      </c>
      <c r="H71" s="29" t="inlineStr">
        <is>
          <t>new;settled</t>
        </is>
      </c>
      <c r="I71" s="29" t="inlineStr">
        <is>
          <t>eindhoven:kaynak:304;eindhoven:kaynak:300</t>
        </is>
      </c>
      <c r="J71" s="49" t="n">
        <v>46317</v>
      </c>
      <c r="K71" s="51" t="n">
        <v>2211</v>
      </c>
      <c r="L71" s="29" t="inlineStr">
        <is>
          <t>Hayır</t>
        </is>
      </c>
      <c r="M71" s="29" t="inlineStr">
        <is>
          <t>Taslak</t>
        </is>
      </c>
      <c r="N71" s="29" t="inlineStr">
        <is>
          <t>Çocuklarla keşif</t>
        </is>
      </c>
      <c r="O71" s="29" t="inlineStr">
        <is>
          <t>Woensel-Noord</t>
        </is>
      </c>
      <c r="P71" s="29" t="inlineStr">
        <is>
          <t>Açık hava</t>
        </is>
      </c>
      <c r="Q71" s="29" t="inlineStr">
        <is>
          <t>Rode Kruislaan 2, 5628 GM Eindhoven</t>
        </is>
      </c>
      <c r="R71" s="50" t="n">
        <v>51.47727</v>
      </c>
      <c r="S71" s="50" t="n">
        <v>5.47147</v>
      </c>
      <c r="T71" s="29" t="n"/>
      <c r="U71" s="29" t="inlineStr">
        <is>
          <t>Oyun parkı Henri Dunantpark'ın içinde; parkta yeşil alanın yanında sanat eserleri de var.</t>
        </is>
      </c>
      <c r="V71" s="29" t="inlineStr">
        <is>
          <t>Hayır</t>
        </is>
      </c>
      <c r="W71" s="29" t="n"/>
    </row>
    <row r="72" ht="54" customHeight="1">
      <c r="A72" s="29" t="inlineStr">
        <is>
          <t>eindhoven:genneper-hoeve</t>
        </is>
      </c>
      <c r="B72" s="29" t="inlineStr">
        <is>
          <t>eindhoven</t>
        </is>
      </c>
      <c r="C72" s="29" t="inlineStr">
        <is>
          <t>genneper-hoeve</t>
        </is>
      </c>
      <c r="D72" s="29" t="inlineStr">
        <is>
          <t>Genneper Hoeve</t>
        </is>
      </c>
      <c r="E72" s="29" t="inlineStr">
        <is>
          <t>Çiftçinin hayvanlarla, tarlalarla ve bahçeyle uğraşını yakından görebileceğiniz organik çiftlik</t>
        </is>
      </c>
      <c r="F72" s="29" t="inlineStr">
        <is>
          <t>Genneper Hoeve, şehrin kenarında organik bir çiftlik; çiftçinin hayvanlarla, tarlalarla ve bahçeyle nasıl ilgilendiğini yerinde görüyorsunuz. Çiftlik dükkânında çok taze ürünler satılıyor; Het Proeflokaal'da (tadım salonu) kendi yetiştirdikleri sebzelerden sandviç ve çorbalar, Genneper peyniri tabakları ve tatlılar var. Her gün 10:00–17:00 açık.</t>
        </is>
      </c>
      <c r="G72" s="29" t="inlineStr">
        <is>
          <t>Genneper Hoeve, organik çiftlik, çiftlik dükkânı, Het Proeflokaal, Gestel, inekler</t>
        </is>
      </c>
      <c r="H72" s="29" t="inlineStr">
        <is>
          <t>new;settled</t>
        </is>
      </c>
      <c r="I72" s="29" t="inlineStr">
        <is>
          <t>eindhoven:kaynak:305;eindhoven:kaynak:189</t>
        </is>
      </c>
      <c r="J72" s="49" t="n">
        <v>46317</v>
      </c>
      <c r="K72" s="51" t="n">
        <v>2212</v>
      </c>
      <c r="L72" s="29" t="inlineStr">
        <is>
          <t>Hayır</t>
        </is>
      </c>
      <c r="M72" s="29" t="inlineStr">
        <is>
          <t>Taslak</t>
        </is>
      </c>
      <c r="N72" s="29" t="inlineStr">
        <is>
          <t>Çocuklarla keşif</t>
        </is>
      </c>
      <c r="O72" s="29" t="inlineStr">
        <is>
          <t>Gestel</t>
        </is>
      </c>
      <c r="P72" s="29" t="inlineStr">
        <is>
          <t>Açık hava</t>
        </is>
      </c>
      <c r="Q72" s="29" t="inlineStr">
        <is>
          <t>Tongelreeppad 1, 5644 RZ Eindhoven</t>
        </is>
      </c>
      <c r="R72" s="50" t="n">
        <v>51.42032</v>
      </c>
      <c r="S72" s="50" t="n">
        <v>5.47441</v>
      </c>
      <c r="T72" s="29" t="n"/>
      <c r="U72" s="29" t="inlineStr">
        <is>
          <t>Çocuklar inekleri sevebiliyor; This is Eindhoven, Genneper Parken yürüyüşünü burada organik ürünler ve dondurmayla bitirmeyi öneriyor.</t>
        </is>
      </c>
      <c r="V72" s="29" t="inlineStr">
        <is>
          <t>Hayır</t>
        </is>
      </c>
      <c r="W72" s="29" t="n"/>
    </row>
    <row r="73" ht="54" customHeight="1">
      <c r="A73" s="29" t="inlineStr">
        <is>
          <t>eindhoven:eigen-wijs-boerderij</t>
        </is>
      </c>
      <c r="B73" s="29" t="inlineStr">
        <is>
          <t>eindhoven</t>
        </is>
      </c>
      <c r="C73" s="29" t="inlineStr">
        <is>
          <t>eigen-wijs-boerderij</t>
        </is>
      </c>
      <c r="D73" s="29" t="inlineStr">
        <is>
          <t>Eigen Wijs Boerderij</t>
        </is>
      </c>
      <c r="E73" s="29" t="inlineStr">
        <is>
          <t>Philips van Lenneppark'ta çocukların hayvanlar arasında gün geçirebildiği kinderboerderij</t>
        </is>
      </c>
      <c r="F73" s="29" t="inlineStr">
        <is>
          <t>Eigen Wijs Boerderij, Philips van Lenneppark'ın içinde bir kinderboerderij (çocuk çiftliği); çocuklarla hayvanların arasında bir gün geçirmek mümkün. Düzenli olarak hayvanları tanıtan buluşmalar yapılıyor; parkta bir oyun alanı ve büfe de var.</t>
        </is>
      </c>
      <c r="G73" s="29" t="inlineStr">
        <is>
          <t>Eigen Wijs Boerderij, kinderboerderij, çocuk çiftliği, hayvanlar, Philips van Lenneppark</t>
        </is>
      </c>
      <c r="H73" s="29" t="inlineStr">
        <is>
          <t>new;settled</t>
        </is>
      </c>
      <c r="I73" s="29" t="inlineStr">
        <is>
          <t>eindhoven:kaynak:306</t>
        </is>
      </c>
      <c r="J73" s="49" t="n">
        <v>46317</v>
      </c>
      <c r="K73" s="51" t="n">
        <v>2213</v>
      </c>
      <c r="L73" s="29" t="inlineStr">
        <is>
          <t>Hayır</t>
        </is>
      </c>
      <c r="M73" s="29" t="inlineStr">
        <is>
          <t>Taslak</t>
        </is>
      </c>
      <c r="N73" s="29" t="inlineStr">
        <is>
          <t>Çocuklarla keşif</t>
        </is>
      </c>
      <c r="O73" s="29" t="inlineStr">
        <is>
          <t>Strijp</t>
        </is>
      </c>
      <c r="P73" s="29" t="inlineStr">
        <is>
          <t>Açık hava</t>
        </is>
      </c>
      <c r="Q73" s="29" t="inlineStr">
        <is>
          <t>Oude Vensedijk 5, 5652 RT Eindhoven</t>
        </is>
      </c>
      <c r="R73" s="50" t="n">
        <v>51.44819</v>
      </c>
      <c r="S73" s="50" t="n">
        <v>5.42956</v>
      </c>
      <c r="T73" s="29" t="n"/>
      <c r="U73" s="29" t="inlineStr">
        <is>
          <t>Salıdan pazara 10:00–17:00 açık, pazartesi kapalı. Arabayla gelenler için park imkânı var.</t>
        </is>
      </c>
      <c r="V73" s="29" t="inlineStr">
        <is>
          <t>Hayır</t>
        </is>
      </c>
      <c r="W73" s="29" t="n"/>
    </row>
    <row r="74" ht="54" customHeight="1">
      <c r="A74" s="29" t="inlineStr">
        <is>
          <t>eindhoven:wasvenboerderij-speeltuin</t>
        </is>
      </c>
      <c r="B74" s="29" t="inlineStr">
        <is>
          <t>eindhoven</t>
        </is>
      </c>
      <c r="C74" s="29" t="inlineStr">
        <is>
          <t>wasvenboerderij-speeltuin</t>
        </is>
      </c>
      <c r="D74" s="29" t="inlineStr">
        <is>
          <t>Wasvenboerderij &amp; Speeltuin</t>
        </is>
      </c>
      <c r="E74" s="29" t="inlineStr">
        <is>
          <t>Ekolojik çiftliğin avlusunda güneş ve su enerjisiyle oynanan oyun bahçesi</t>
        </is>
      </c>
      <c r="F74" s="29" t="inlineStr">
        <is>
          <t>Speeltuin Wasvenboerderij, ekolojik bir çiftliğin avlusunda kurulmuş sürdürülebilir ve kendine özgü bir speeltuin (oyun bahçesi). Çocuklar burada güneş ve su enerjisiyle oynayabiliyor. Salıdan pazara 10:00–18:00 açık, pazartesi kapalı.</t>
        </is>
      </c>
      <c r="G74" s="29" t="inlineStr">
        <is>
          <t>Wasvenboerderij, speeltuin, oyun bahçesi, sürdürülebilir, Tongelre, çiftlik</t>
        </is>
      </c>
      <c r="H74" s="29" t="inlineStr">
        <is>
          <t>new;settled</t>
        </is>
      </c>
      <c r="I74" s="29" t="inlineStr">
        <is>
          <t>eindhoven:kaynak:307</t>
        </is>
      </c>
      <c r="J74" s="49" t="n">
        <v>46317</v>
      </c>
      <c r="K74" s="51" t="n">
        <v>2214</v>
      </c>
      <c r="L74" s="29" t="inlineStr">
        <is>
          <t>Hayır</t>
        </is>
      </c>
      <c r="M74" s="29" t="inlineStr">
        <is>
          <t>Taslak</t>
        </is>
      </c>
      <c r="N74" s="29" t="inlineStr">
        <is>
          <t>Çocuklarla keşif</t>
        </is>
      </c>
      <c r="O74" s="29" t="inlineStr">
        <is>
          <t>Tongelre</t>
        </is>
      </c>
      <c r="P74" s="29" t="inlineStr">
        <is>
          <t>Açık hava</t>
        </is>
      </c>
      <c r="Q74" s="29" t="inlineStr">
        <is>
          <t>Celebeslaan 30, 5641 AG Eindhoven</t>
        </is>
      </c>
      <c r="R74" s="50" t="n">
        <v>51.44915</v>
      </c>
      <c r="S74" s="50" t="n">
        <v>5.51216</v>
      </c>
      <c r="T74" s="29" t="n"/>
      <c r="U74" s="29" t="inlineStr">
        <is>
          <t>Oyun bahçesinin yanında barlı bir restoran da bulunuyor.</t>
        </is>
      </c>
      <c r="V74" s="29" t="inlineStr">
        <is>
          <t>Hayır</t>
        </is>
      </c>
      <c r="W74" s="29" t="n"/>
    </row>
    <row r="75" ht="54" customHeight="1">
      <c r="A75" s="29" t="inlineStr">
        <is>
          <t>eindhoven:speeltuin-philipsdorp</t>
        </is>
      </c>
      <c r="B75" s="29" t="inlineStr">
        <is>
          <t>eindhoven</t>
        </is>
      </c>
      <c r="C75" s="29" t="inlineStr">
        <is>
          <t>speeltuin-philipsdorp</t>
        </is>
      </c>
      <c r="D75" s="29" t="inlineStr">
        <is>
          <t>Speeltuin Philipsdorp</t>
        </is>
      </c>
      <c r="E75" s="29" t="inlineStr">
        <is>
          <t>Speeltuinvereniging Philipsdorp'un (oyun bahçesi derneği) Anthony van Leeuwenhoeklaan'daki oyun bahçesi</t>
        </is>
      </c>
      <c r="F75" s="29" t="inlineStr">
        <is>
          <t>Speeltuin Philipsdorp, Anthony van Leeuwenhoeklaan'da Speeltuinvereniging Philipsdorp (oyun bahçesi derneği) tarafından yürütülen bir oyun bahçesi. Grupla gelmek isteyenler sitedeki grup rezervasyon formunu dolduruyor; diğer sorular için iletişim formu var.</t>
        </is>
      </c>
      <c r="G75" s="29" t="inlineStr">
        <is>
          <t>Speeltuin Philipsdorp, speeltuin, oyun bahçesi, Philipsdorp, grup ziyareti</t>
        </is>
      </c>
      <c r="H75" s="29" t="inlineStr">
        <is>
          <t>new;settled</t>
        </is>
      </c>
      <c r="I75" s="29" t="inlineStr">
        <is>
          <t>eindhoven:kaynak:308;eindhoven:kaynak:339;eindhoven:kaynak:395;eindhoven:kaynak:396</t>
        </is>
      </c>
      <c r="J75" s="49" t="n">
        <v>46317</v>
      </c>
      <c r="K75" s="51" t="n">
        <v>2215</v>
      </c>
      <c r="L75" s="29" t="inlineStr">
        <is>
          <t>Hayır</t>
        </is>
      </c>
      <c r="M75" s="29" t="inlineStr">
        <is>
          <t>Taslak</t>
        </is>
      </c>
      <c r="N75" s="29" t="inlineStr">
        <is>
          <t>Çocuklarla keşif</t>
        </is>
      </c>
      <c r="O75" s="29" t="inlineStr">
        <is>
          <t>Strijp</t>
        </is>
      </c>
      <c r="P75" s="29" t="inlineStr">
        <is>
          <t>Açık hava</t>
        </is>
      </c>
      <c r="Q75" s="29" t="inlineStr">
        <is>
          <t>Anthony van Leeuwenhoeklaan 30, 5612 PB Eindhoven</t>
        </is>
      </c>
      <c r="R75" s="50" t="n">
        <v>51.44664</v>
      </c>
      <c r="S75" s="50" t="n">
        <v>5.46378</v>
      </c>
      <c r="T75" s="29" t="n"/>
      <c r="U75" s="29" t="inlineStr">
        <is>
          <t>Ne oyun bahçesi ne de bahçenin binası parti için kiralanıyor; çocuk partisi ve akşam saatleri için rezervasyon alınmıyor. Çocuk partisi düşünenlerden önce sitedeki bilgi PDF'ini okumaları isteniyor. 23 Ekim 2026 itibarıyla oyun bahçesi kış arasında ve 28 Mart 2027 Pazar'a kadar kapalı; normalde Paskalya'dan sonbahar okul tatilinin sonuna kadar açık (Speeltuin Philipsdorp'un sitesi).</t>
        </is>
      </c>
      <c r="V75" s="29" t="inlineStr">
        <is>
          <t>Hayır</t>
        </is>
      </c>
      <c r="W75" s="29" t="n"/>
    </row>
    <row r="76" ht="54" customHeight="1">
      <c r="A76" s="29" t="inlineStr">
        <is>
          <t>eindhoven:sint-joseph-speeltuin</t>
        </is>
      </c>
      <c r="B76" s="29" t="inlineStr">
        <is>
          <t>eindhoven</t>
        </is>
      </c>
      <c r="C76" s="29" t="inlineStr">
        <is>
          <t>sint-joseph-speeltuin</t>
        </is>
      </c>
      <c r="D76" s="29" t="inlineStr">
        <is>
          <t>Sint Joseph Speeltuin</t>
        </is>
      </c>
      <c r="E76" s="29" t="inlineStr">
        <is>
          <t>50'den fazla çeşit oyun aletiyle Eindhoven çevresinin en büyük oyun bahçelerinden biri</t>
        </is>
      </c>
      <c r="F76" s="29" t="inlineStr">
        <is>
          <t>Sint Joseph Speeltuin, 50'yi aşkın çeşit oyun aletiyle Eindhoven çevresinin en büyük oyun bahçelerinden biri; 0–12 yaş arası çocuklar için. Pazartesi, salı, perşembe ve cuma 15:00–17:00, çarşamba ve cumartesi 13:00–17:00 açık; pazar kapalı.</t>
        </is>
      </c>
      <c r="G76" s="29" t="inlineStr">
        <is>
          <t>Sint Joseph Speeltuin, speeltuin, oyun bahçesi, 0-12 yaş, Tongelre</t>
        </is>
      </c>
      <c r="H76" s="29" t="inlineStr">
        <is>
          <t>new;settled</t>
        </is>
      </c>
      <c r="I76" s="29" t="inlineStr">
        <is>
          <t>eindhoven:kaynak:309;eindhoven:kaynak:397</t>
        </is>
      </c>
      <c r="J76" s="49" t="n">
        <v>46317</v>
      </c>
      <c r="K76" s="51" t="n">
        <v>2216</v>
      </c>
      <c r="L76" s="29" t="inlineStr">
        <is>
          <t>Hayır</t>
        </is>
      </c>
      <c r="M76" s="29" t="inlineStr">
        <is>
          <t>Taslak</t>
        </is>
      </c>
      <c r="N76" s="29" t="inlineStr">
        <is>
          <t>Çocuklarla keşif</t>
        </is>
      </c>
      <c r="O76" s="29" t="inlineStr">
        <is>
          <t>Tongelre</t>
        </is>
      </c>
      <c r="P76" s="29" t="inlineStr">
        <is>
          <t>Açık hava</t>
        </is>
      </c>
      <c r="Q76" s="29" t="inlineStr">
        <is>
          <t>Sint Josephlaan 1, 5642 HA Eindhoven</t>
        </is>
      </c>
      <c r="R76" s="50" t="n">
        <v>51.43754</v>
      </c>
      <c r="S76" s="50" t="n">
        <v>5.51261</v>
      </c>
      <c r="T76" s="29" t="n"/>
      <c r="U76" s="29" t="inlineStr">
        <is>
          <t>Güney bölgesinin (Regio Zuid) okul tatillerinde 13:00'ten itibaren açık. 23 Ekim 2026 itibarıyla oyun bahçesinin sezonu Paskalya'dan sonbahar okul tatiline kadar sürüyor; sonbahar tatilinden Paskalya'ya kadar oyun bahçesi sezon dışı (Sint Joseph Speeltuin'in sitesi).</t>
        </is>
      </c>
      <c r="V76" s="29" t="inlineStr">
        <is>
          <t>Hayır</t>
        </is>
      </c>
      <c r="W76" s="29" t="n"/>
    </row>
    <row r="77" ht="54" customHeight="1">
      <c r="A77" s="29" t="inlineStr">
        <is>
          <t>eindhoven:speeltuin-voj</t>
        </is>
      </c>
      <c r="B77" s="29" t="inlineStr">
        <is>
          <t>eindhoven</t>
        </is>
      </c>
      <c r="C77" s="29" t="inlineStr">
        <is>
          <t>speeltuin-voj</t>
        </is>
      </c>
      <c r="D77" s="29" t="inlineStr">
        <is>
          <t>Speeltuin VOJ</t>
        </is>
      </c>
      <c r="E77" s="29" t="inlineStr">
        <is>
          <t>Çeşitli oyun aletleri, piknik masaları ve gölgelik oturma yerleri olan oyun bahçesi</t>
        </is>
      </c>
      <c r="F77" s="29" t="inlineStr">
        <is>
          <t>Speeltuin VOJ, çok çeşitli oyun aletleri olan hoş bir oyun bahçesi. Ebeveynler için piknik masaları ve sıcak günlerde gölgede oturacak yerler var.</t>
        </is>
      </c>
      <c r="G77" s="29" t="inlineStr">
        <is>
          <t>Speeltuin VOJ, speeltuin, oyun bahçesi, piknik masası, Woensel-Zuid</t>
        </is>
      </c>
      <c r="H77" s="29" t="inlineStr">
        <is>
          <t>new;settled</t>
        </is>
      </c>
      <c r="I77" s="29" t="inlineStr">
        <is>
          <t>eindhoven:kaynak:310</t>
        </is>
      </c>
      <c r="J77" s="49" t="n">
        <v>46317</v>
      </c>
      <c r="K77" s="51" t="n">
        <v>2217</v>
      </c>
      <c r="L77" s="29" t="inlineStr">
        <is>
          <t>Hayır</t>
        </is>
      </c>
      <c r="M77" s="29" t="inlineStr">
        <is>
          <t>Taslak</t>
        </is>
      </c>
      <c r="N77" s="29" t="inlineStr">
        <is>
          <t>Çocuklarla keşif</t>
        </is>
      </c>
      <c r="O77" s="29" t="inlineStr">
        <is>
          <t>Woensel-Zuid</t>
        </is>
      </c>
      <c r="P77" s="29" t="inlineStr">
        <is>
          <t>Açık hava</t>
        </is>
      </c>
      <c r="Q77" s="29" t="inlineStr">
        <is>
          <t>Keldermansstraat 43 A, 5622 EE Eindhoven</t>
        </is>
      </c>
      <c r="R77" s="50" t="n">
        <v>51.46111</v>
      </c>
      <c r="S77" s="50" t="n">
        <v>5.4569</v>
      </c>
      <c r="T77" s="29" t="n"/>
      <c r="U77" s="29" t="inlineStr">
        <is>
          <t>This is Eindhoven'daki saatlere göre pazartesi, salı, perşembe ve cuma 15:00–17:00, çarşamba ve cumartesi 13:00–17:00 açık; pazar kapalı. Aynı sayfa, en güncel açılış saatleri için Speeltuin VOJ'un kendi sitesine bakılmasını istiyor.</t>
        </is>
      </c>
      <c r="V77" s="29" t="inlineStr">
        <is>
          <t>Hayır</t>
        </is>
      </c>
      <c r="W77" s="29" t="n"/>
    </row>
    <row r="78" ht="54" customHeight="1">
      <c r="A78" s="29" t="inlineStr">
        <is>
          <t>eindhoven:philips-fruittuin</t>
        </is>
      </c>
      <c r="B78" s="29" t="inlineStr">
        <is>
          <t>eindhoven</t>
        </is>
      </c>
      <c r="C78" s="29" t="inlineStr">
        <is>
          <t>philips-fruittuin</t>
        </is>
      </c>
      <c r="D78" s="29" t="inlineStr">
        <is>
          <t>Philips Fruittuin</t>
        </is>
      </c>
      <c r="E78" s="29" t="inlineStr">
        <is>
          <t>Philips'ten kalan meyve bahçesi: elma toplama günleri, hazine avı, krep evi ve çiftlik dükkânı</t>
        </is>
      </c>
      <c r="F78" s="29" t="inlineStr">
        <is>
          <t>Philips Fruittuin, Philips de Jongh parkının biraz kuzeyinde, Groene Corridor (yeşil koridor) üzerinde bir meyve bahçesi; bisikletle geçmek, yürümek ya da çocuklarla meyve toplamak için uygun. Sitesinde elma toplama günleri, piknik, budama atölyesi ve hazine avı gibi etkinlikler yer alıyor. Bahçede Eindhoven'ın tek krep evi Pannenkoekenhuis de Proeftuin ve yerel meyve suyu satan Landwinkel (çiftlik dükkânı) var.</t>
        </is>
      </c>
      <c r="G78" s="29" t="inlineStr">
        <is>
          <t>Philips Fruittuin, meyve bahçesi, elma toplama, hazine avı, krep, Landwinkel, Strijp</t>
        </is>
      </c>
      <c r="H78" s="29" t="inlineStr">
        <is>
          <t>new;settled</t>
        </is>
      </c>
      <c r="I78" s="29" t="inlineStr">
        <is>
          <t>eindhoven:kaynak:311;eindhoven:kaynak:189</t>
        </is>
      </c>
      <c r="J78" s="49" t="n">
        <v>46317</v>
      </c>
      <c r="K78" s="51" t="n">
        <v>2218</v>
      </c>
      <c r="L78" s="29" t="inlineStr">
        <is>
          <t>Hayır</t>
        </is>
      </c>
      <c r="M78" s="29" t="inlineStr">
        <is>
          <t>Taslak</t>
        </is>
      </c>
      <c r="N78" s="29" t="inlineStr">
        <is>
          <t>Çocuklarla keşif</t>
        </is>
      </c>
      <c r="O78" s="29" t="inlineStr">
        <is>
          <t>Strijp</t>
        </is>
      </c>
      <c r="P78" s="29" t="inlineStr">
        <is>
          <t>Açık hava</t>
        </is>
      </c>
      <c r="Q78" s="29" t="inlineStr">
        <is>
          <t>Oirschotsedijk 14/a, 5651 GC Eindhoven</t>
        </is>
      </c>
      <c r="R78" s="50" t="n">
        <v>51.4638</v>
      </c>
      <c r="S78" s="50" t="n">
        <v>5.42788</v>
      </c>
      <c r="T78" s="29" t="n"/>
      <c r="U78" s="29" t="inlineStr">
        <is>
          <t>Krep evi salı-perşembe 10:00–18:00, cuma-cumartesi 10:00–20:00, pazar 11:00–20:00 açık; 1 Temmuz–31 Ağustos arasında salı-cumartesi 10:00–20:00. Landwinkel salı-cumartesi 10:00–17:00, pazar 11:00–17:00; ikisi de pazartesi kapalı. Arabayla yalnız Achtseweg Zuid tarafından girilebiliyor.</t>
        </is>
      </c>
      <c r="V78" s="29" t="inlineStr">
        <is>
          <t>Hayır</t>
        </is>
      </c>
      <c r="W78" s="29" t="n"/>
    </row>
    <row r="79" ht="54" customHeight="1">
      <c r="A79" s="29" t="inlineStr">
        <is>
          <t>eindhoven:monkey-town</t>
        </is>
      </c>
      <c r="B79" s="29" t="inlineStr">
        <is>
          <t>eindhoven</t>
        </is>
      </c>
      <c r="C79" s="29" t="inlineStr">
        <is>
          <t>monkey-town</t>
        </is>
      </c>
      <c r="D79" s="29" t="inlineStr">
        <is>
          <t>Monkey Town</t>
        </is>
      </c>
      <c r="E79" s="29" t="inlineStr">
        <is>
          <t>Tırmanma aletleri, tüneller, hava yastıkları ve top havuzlarıyla kapalı oyun alanı</t>
        </is>
      </c>
      <c r="F79" s="29" t="inlineStr">
        <is>
          <t>Monkey Town, çok sayıda tırmanma aleti, tünel, hava yastığı ve top havuzu olan kapalı bir oyun alanı. Çocuklar oynarken ebeveynler yiyecek-içecek bölümünde ve eğlence köşesinde dinlenebiliyor. Haftanın her günü 09:00–18:00 açık.</t>
        </is>
      </c>
      <c r="G79" s="29" t="inlineStr">
        <is>
          <t>Monkey Town, kapalı oyun alanı, top havuzu, tırmanma, Woensel-Noord</t>
        </is>
      </c>
      <c r="H79" s="29" t="inlineStr">
        <is>
          <t>new;settled</t>
        </is>
      </c>
      <c r="I79" s="29" t="inlineStr">
        <is>
          <t>eindhoven:kaynak:312</t>
        </is>
      </c>
      <c r="J79" s="49" t="n">
        <v>46317</v>
      </c>
      <c r="K79" s="51" t="n">
        <v>2219</v>
      </c>
      <c r="L79" s="29" t="inlineStr">
        <is>
          <t>Hayır</t>
        </is>
      </c>
      <c r="M79" s="29" t="inlineStr">
        <is>
          <t>Taslak</t>
        </is>
      </c>
      <c r="N79" s="29" t="inlineStr">
        <is>
          <t>Çocuklarla keşif</t>
        </is>
      </c>
      <c r="O79" s="29" t="inlineStr">
        <is>
          <t>Woensel-Noord</t>
        </is>
      </c>
      <c r="P79" s="29" t="inlineStr">
        <is>
          <t>Kapalı alan</t>
        </is>
      </c>
      <c r="Q79" s="29" t="inlineStr">
        <is>
          <t>Vijfkamplaan 15, 5624 EB Eindhoven</t>
        </is>
      </c>
      <c r="R79" s="50" t="n">
        <v>51.47605</v>
      </c>
      <c r="S79" s="50" t="n">
        <v>5.45437</v>
      </c>
      <c r="T79" s="29" t="n"/>
      <c r="U79" s="29" t="inlineStr">
        <is>
          <t>Tamamen kapalı bir mekân olduğu için yağmurlu günlerde de çocukların enerji atabileceği bir yer.</t>
        </is>
      </c>
      <c r="V79" s="29" t="inlineStr">
        <is>
          <t>Hayır</t>
        </is>
      </c>
      <c r="W79" s="29" t="n"/>
    </row>
    <row r="80" ht="54" customHeight="1">
      <c r="A80" s="29" t="inlineStr">
        <is>
          <t>eindhoven:bounce-valley</t>
        </is>
      </c>
      <c r="B80" s="29" t="inlineStr">
        <is>
          <t>eindhoven</t>
        </is>
      </c>
      <c r="C80" s="29" t="inlineStr">
        <is>
          <t>bounce-valley</t>
        </is>
      </c>
      <c r="D80" s="29" t="inlineStr">
        <is>
          <t>Bounce Valley</t>
        </is>
      </c>
      <c r="E80" s="29" t="inlineStr">
        <is>
          <t>Eski bir kilisede 800 m²'yi aşan dev hava yastığıyla şişme park</t>
        </is>
      </c>
      <c r="F80" s="29" t="inlineStr">
        <is>
          <t>Bounce Valley, eski bir kilisenin içine kurulmuş bir şişme park; en büyük ilgi odağı 800 m²'den büyük bir hava yastığı. Wipe-out, interaktif oyunlar ve dev kaydıraklar da var. Çarşamba ve pazar 10:00–18:00, perşembe 15:00–18:00, cuma 13:00–21:00, cumartesi 10:00–21:00 açık; pazartesi ve salı kapalı.</t>
        </is>
      </c>
      <c r="G80" s="29" t="inlineStr">
        <is>
          <t>Bounce Valley, şişme park, trambolin, kaydırak, Gestel, çocuk partisi</t>
        </is>
      </c>
      <c r="H80" s="29" t="inlineStr">
        <is>
          <t>new;settled</t>
        </is>
      </c>
      <c r="I80" s="29" t="inlineStr">
        <is>
          <t>eindhoven:kaynak:313</t>
        </is>
      </c>
      <c r="J80" s="49" t="n">
        <v>46317</v>
      </c>
      <c r="K80" s="51" t="n">
        <v>2220</v>
      </c>
      <c r="L80" s="29" t="inlineStr">
        <is>
          <t>Hayır</t>
        </is>
      </c>
      <c r="M80" s="29" t="inlineStr">
        <is>
          <t>Taslak</t>
        </is>
      </c>
      <c r="N80" s="29" t="inlineStr">
        <is>
          <t>Çocuklarla keşif</t>
        </is>
      </c>
      <c r="O80" s="29" t="inlineStr">
        <is>
          <t>Gestel</t>
        </is>
      </c>
      <c r="P80" s="29" t="inlineStr">
        <is>
          <t>Kapalı alan</t>
        </is>
      </c>
      <c r="Q80" s="29" t="inlineStr">
        <is>
          <t>Schubertlaan 106, 5653 EP Eindhoven</t>
        </is>
      </c>
      <c r="R80" s="50" t="n">
        <v>51.42384</v>
      </c>
      <c r="S80" s="50" t="n">
        <v>5.45058</v>
      </c>
      <c r="T80" s="29" t="n"/>
      <c r="U80" s="29" t="inlineStr">
        <is>
          <t>Okul tatillerinde şişme park bütün hafta açık. Çocuk partisi, ekip etkinliği ya da arkadaşlarla bir akşam için de öneriliyor.</t>
        </is>
      </c>
      <c r="V80" s="29" t="inlineStr">
        <is>
          <t>Hayır</t>
        </is>
      </c>
      <c r="W80" s="29" t="n"/>
    </row>
    <row r="81" ht="54" customHeight="1">
      <c r="A81" s="29" t="inlineStr">
        <is>
          <t>eindhoven:laser-quest-eindhoven</t>
        </is>
      </c>
      <c r="B81" s="29" t="inlineStr">
        <is>
          <t>eindhoven</t>
        </is>
      </c>
      <c r="C81" s="29" t="inlineStr">
        <is>
          <t>laser-quest-eindhoven</t>
        </is>
      </c>
      <c r="D81" s="29" t="inlineStr">
        <is>
          <t>Laser Quest Eindhoven</t>
        </is>
      </c>
      <c r="E81" s="29" t="inlineStr">
        <is>
          <t>Lazer tag, kaçış odası, bilardo ve şehirde oynanan City Game sunan eğlence merkezi</t>
        </is>
      </c>
      <c r="F81" s="29" t="inlineStr">
        <is>
          <t>Laser Quest Eindhoven'da lazer tag oynanıyor, kaçış odasından çıkış aranıyor, bilardo da oynanabiliyor. Merkezdeki Oude Stadsgracht'ta, her gün 13:00'ten gece 01:00'e kadar açık.</t>
        </is>
      </c>
      <c r="G81" s="29" t="inlineStr">
        <is>
          <t>Laser Quest, lazer tag, kaçış odası, bilardo, City Game, Centrum</t>
        </is>
      </c>
      <c r="H81" s="29" t="inlineStr">
        <is>
          <t>new;settled</t>
        </is>
      </c>
      <c r="I81" s="29" t="inlineStr">
        <is>
          <t>eindhoven:kaynak:314</t>
        </is>
      </c>
      <c r="J81" s="49" t="n">
        <v>46317</v>
      </c>
      <c r="K81" s="51" t="n">
        <v>2221</v>
      </c>
      <c r="L81" s="29" t="inlineStr">
        <is>
          <t>Hayır</t>
        </is>
      </c>
      <c r="M81" s="29" t="inlineStr">
        <is>
          <t>Taslak</t>
        </is>
      </c>
      <c r="N81" s="29" t="inlineStr">
        <is>
          <t>Çocuklarla keşif</t>
        </is>
      </c>
      <c r="O81" s="29" t="inlineStr">
        <is>
          <t>Centrum</t>
        </is>
      </c>
      <c r="P81" s="29" t="inlineStr">
        <is>
          <t>Kapalı alan</t>
        </is>
      </c>
      <c r="Q81" s="29" t="inlineStr">
        <is>
          <t>Oude Stadsgracht 15, 5611 DD Eindhoven</t>
        </is>
      </c>
      <c r="R81" s="50" t="n">
        <v>51.43585</v>
      </c>
      <c r="S81" s="50" t="n">
        <v>5.48246</v>
      </c>
      <c r="T81" s="29" t="n"/>
      <c r="U81" s="29" t="inlineStr">
        <is>
          <t>Binadaki oyunların yanında, takımların şehrin içinde dolaşarak oynadığı açık hava City Game de sunuluyor.</t>
        </is>
      </c>
      <c r="V81" s="29" t="inlineStr">
        <is>
          <t>Hayır</t>
        </is>
      </c>
      <c r="W81" s="29" t="n"/>
    </row>
    <row r="82" ht="54" customHeight="1">
      <c r="A82" s="29" t="inlineStr">
        <is>
          <t>eindhoven:falconcrest-falconry</t>
        </is>
      </c>
      <c r="B82" s="29" t="inlineStr">
        <is>
          <t>eindhoven</t>
        </is>
      </c>
      <c r="C82" s="29" t="inlineStr">
        <is>
          <t>falconcrest-falconry</t>
        </is>
      </c>
      <c r="D82" s="29" t="inlineStr">
        <is>
          <t>Falconcrest Falconry</t>
        </is>
      </c>
      <c r="E82" s="29" t="inlineStr">
        <is>
          <t>Yırtıcı kuşlarla gösteri, atölye ve çocuk partisi düzenleyen valkerij (şahincilik merkezi)</t>
        </is>
      </c>
      <c r="F82" s="29" t="inlineStr">
        <is>
          <t>Falconcrest, Eindhovenseweg'de yırtıcı kuşlarla çalışan bir valkerij (şahincilik merkezi). Sitesinde gösteri (demonstratie), atölye, özel atölye ve çocuk partisi (kinderfeest) seçenekleri yer alıyor.</t>
        </is>
      </c>
      <c r="G82" s="29" t="inlineStr">
        <is>
          <t>Falconcrest, valkerij, şahincilik, yırtıcı kuşlar, gösteri, çocuk partisi</t>
        </is>
      </c>
      <c r="H82" s="29" t="inlineStr">
        <is>
          <t>new;settled</t>
        </is>
      </c>
      <c r="I82" s="29" t="inlineStr">
        <is>
          <t>eindhoven:kaynak:315</t>
        </is>
      </c>
      <c r="J82" s="49" t="n">
        <v>46317</v>
      </c>
      <c r="K82" s="51" t="n">
        <v>2222</v>
      </c>
      <c r="L82" s="29" t="inlineStr">
        <is>
          <t>Hayır</t>
        </is>
      </c>
      <c r="M82" s="29" t="inlineStr">
        <is>
          <t>Taslak</t>
        </is>
      </c>
      <c r="N82" s="29" t="inlineStr">
        <is>
          <t>Çocuklarla keşif</t>
        </is>
      </c>
      <c r="O82" s="29" t="inlineStr">
        <is>
          <t>Woensel-Noord</t>
        </is>
      </c>
      <c r="P82" s="29" t="inlineStr">
        <is>
          <t>Açık hava</t>
        </is>
      </c>
      <c r="Q82" s="29" t="inlineStr">
        <is>
          <t>Eindhovenseweg 44, 5633 BE Eindhoven</t>
        </is>
      </c>
      <c r="R82" s="50" t="n">
        <v>51.49384</v>
      </c>
      <c r="S82" s="50" t="n">
        <v>5.49607</v>
      </c>
      <c r="T82" s="29" t="n"/>
      <c r="U82" s="29" t="inlineStr">
        <is>
          <t>Ziyarete evcil hayvan getirilemiyor. Merkezin staj ve gönüllülük (Stage / Vrijwilliger) sayfası da var.</t>
        </is>
      </c>
      <c r="V82" s="29" t="inlineStr">
        <is>
          <t>Hayır</t>
        </is>
      </c>
      <c r="W82" s="29" t="n"/>
    </row>
    <row r="83" ht="54" customHeight="1">
      <c r="A83" s="29" t="inlineStr">
        <is>
          <t>eindhoven:next-level-escape-rooms</t>
        </is>
      </c>
      <c r="B83" s="29" t="inlineStr">
        <is>
          <t>eindhoven</t>
        </is>
      </c>
      <c r="C83" s="29" t="inlineStr">
        <is>
          <t>next-level-escape-rooms</t>
        </is>
      </c>
      <c r="D83" s="29" t="inlineStr">
        <is>
          <t>Next Level Escape Rooms</t>
        </is>
      </c>
      <c r="E83" s="29" t="inlineStr">
        <is>
          <t>Stratumseind'da bütün duyulara hitap eden interaktif kaçış odaları</t>
        </is>
      </c>
      <c r="F83" s="29" t="inlineStr">
        <is>
          <t>Next Level Escape Rooms, Stratumseind'da interaktif kaçış odaları sunan bir mekân. Haftanın her günü 10:00–23:00 açık.</t>
        </is>
      </c>
      <c r="G83" s="29" t="inlineStr">
        <is>
          <t>Next Level Escape Rooms, kaçış odası, escape room, Stratumseind, Centrum</t>
        </is>
      </c>
      <c r="H83" s="29" t="inlineStr">
        <is>
          <t>new;settled</t>
        </is>
      </c>
      <c r="I83" s="29" t="inlineStr">
        <is>
          <t>eindhoven:kaynak:316;eindhoven:kaynak:394</t>
        </is>
      </c>
      <c r="J83" s="49" t="n">
        <v>46317</v>
      </c>
      <c r="K83" s="51" t="n">
        <v>2223</v>
      </c>
      <c r="L83" s="29" t="inlineStr">
        <is>
          <t>Hayır</t>
        </is>
      </c>
      <c r="M83" s="29" t="inlineStr">
        <is>
          <t>Taslak</t>
        </is>
      </c>
      <c r="N83" s="29" t="inlineStr">
        <is>
          <t>Çocuklarla keşif</t>
        </is>
      </c>
      <c r="O83" s="29" t="inlineStr">
        <is>
          <t>Centrum</t>
        </is>
      </c>
      <c r="P83" s="29" t="inlineStr">
        <is>
          <t>Kapalı alan</t>
        </is>
      </c>
      <c r="Q83" s="29" t="inlineStr">
        <is>
          <t>Stratumseind 32, 5611 ET Eindhoven</t>
        </is>
      </c>
      <c r="R83" s="50" t="n">
        <v>51.43644</v>
      </c>
      <c r="S83" s="50" t="n">
        <v>5.48138</v>
      </c>
      <c r="T83" s="29" t="n"/>
      <c r="U83" s="29" t="inlineStr">
        <is>
          <t>Mekân odalarını özgünlük, kalite ve deneyim üzerine kuruyor; interaktif odalar bütün duyuları harekete geçirecek şekilde tasarlanmış. 23 Ekim 2026 itibarıyla mekânın Stratumseind 32'deki şu anki odaları, The Suspicious Farmhouse ve Catch Me If You Can, kapanacak ve kapandıktan sonra geri gelmeyecek; üçlemenin 3. bölümü ise yeni bir yerde açılacak (Next Level Escaperoom'un sitesi).</t>
        </is>
      </c>
      <c r="V83" s="29" t="inlineStr">
        <is>
          <t>Hayır</t>
        </is>
      </c>
      <c r="W83" s="29" t="n"/>
    </row>
    <row r="84" ht="54" customHeight="1">
      <c r="A84" s="29" t="inlineStr">
        <is>
          <t>eindhoven:glow-golf-eindhoven</t>
        </is>
      </c>
      <c r="B84" s="29" t="inlineStr">
        <is>
          <t>eindhoven</t>
        </is>
      </c>
      <c r="C84" s="29" t="inlineStr">
        <is>
          <t>glow-golf-eindhoven</t>
        </is>
      </c>
      <c r="D84" s="29" t="inlineStr">
        <is>
          <t>Glow Golf Eindhoven</t>
        </is>
      </c>
      <c r="E84" s="29" t="inlineStr">
        <is>
          <t>Floresan dekorda, 3D gözlüklerle oynanan macera temalı mini golf</t>
        </is>
      </c>
      <c r="F84" s="29" t="inlineStr">
        <is>
          <t>Glow Golf, bütün aile için macera temalı bir mini golf: parkur baştan sona floresan bir dekorun içinde. Yol boyunca bilimkurgudan uzay gemilerine ve Jura bölgesine kadar farklı sahnelerden geçiliyor. Pazartesi–perşembe ve pazar 12:00–22:00, cuma ve cumartesi 12:00–00:00 açık.</t>
        </is>
      </c>
      <c r="G84" s="29" t="inlineStr">
        <is>
          <t>Glow Golf, mini golf, floresan, 3D, aile etkinliği, Woensel-Noord</t>
        </is>
      </c>
      <c r="H84" s="29" t="inlineStr">
        <is>
          <t>new;settled</t>
        </is>
      </c>
      <c r="I84" s="29" t="inlineStr">
        <is>
          <t>eindhoven:kaynak:317</t>
        </is>
      </c>
      <c r="J84" s="49" t="n">
        <v>46317</v>
      </c>
      <c r="K84" s="51" t="n">
        <v>2224</v>
      </c>
      <c r="L84" s="29" t="inlineStr">
        <is>
          <t>Hayır</t>
        </is>
      </c>
      <c r="M84" s="29" t="inlineStr">
        <is>
          <t>Taslak</t>
        </is>
      </c>
      <c r="N84" s="29" t="inlineStr">
        <is>
          <t>Çocuklarla keşif</t>
        </is>
      </c>
      <c r="O84" s="29" t="inlineStr">
        <is>
          <t>Woensel-Noord</t>
        </is>
      </c>
      <c r="P84" s="29" t="inlineStr">
        <is>
          <t>Kapalı alan</t>
        </is>
      </c>
      <c r="Q84" s="29" t="inlineStr">
        <is>
          <t>Vijfkamplaan 6 C, 5624 EB Eindhoven</t>
        </is>
      </c>
      <c r="R84" s="50" t="n">
        <v>51.4779</v>
      </c>
      <c r="S84" s="50" t="n">
        <v>5.45595</v>
      </c>
      <c r="T84" s="29" t="n"/>
      <c r="U84" s="29" t="inlineStr">
        <is>
          <t>Özel 3D gözlüklerle zemin, duvarlar ve dekor derinlik kazanıyor, oyun da zorlaşıyor. Rezervasyon bağlantısı This is Eindhoven sayfasında.</t>
        </is>
      </c>
      <c r="V84" s="29" t="inlineStr">
        <is>
          <t>Hayır</t>
        </is>
      </c>
      <c r="W84" s="29" t="n"/>
    </row>
    <row r="85" ht="54" customHeight="1">
      <c r="A85" s="29" t="inlineStr">
        <is>
          <t>eindhoven:str-eat-bars-kitchens</t>
        </is>
      </c>
      <c r="B85" s="29" t="inlineStr">
        <is>
          <t>eindhoven</t>
        </is>
      </c>
      <c r="C85" s="29" t="inlineStr">
        <is>
          <t>str-eat-bars-kitchens</t>
        </is>
      </c>
      <c r="D85" s="29" t="inlineStr">
        <is>
          <t>STR'EAT bars &amp; kitchens</t>
        </is>
      </c>
      <c r="E85" s="29" t="inlineStr">
        <is>
          <t>Strijp-S'te on mutfak ve üç barın aynı çatı altında toplandığı yemek pazarı</t>
        </is>
      </c>
      <c r="F85" s="29" t="inlineStr">
        <is>
          <t>STR'EAT, Strijp-S'te on mutfak ile üç barın bir araya geldiği bir foodmarket (yemek pazarı). Sabah gazete eşliğinde kahveden gece geç saatteki içkiye kadar gün boyu süren bir konsept olarak tanıtılıyor. Pazartesiden perşembeye ve pazar 11:00–22:00, cuma ve cumartesi 11:00–00:00 arası açık.</t>
        </is>
      </c>
      <c r="G85" s="29" t="inlineStr">
        <is>
          <t>STR'EAT, foodmarket, yemek pazarı, Strijp-S, Torenallee, bar, restoran</t>
        </is>
      </c>
      <c r="H85" s="29" t="inlineStr">
        <is>
          <t>new;settled</t>
        </is>
      </c>
      <c r="I85" s="29" t="inlineStr">
        <is>
          <t>eindhoven:kaynak:318</t>
        </is>
      </c>
      <c r="J85" s="49" t="n">
        <v>46317</v>
      </c>
      <c r="K85" s="51" t="n">
        <v>2301</v>
      </c>
      <c r="L85" s="29" t="inlineStr">
        <is>
          <t>Evet</t>
        </is>
      </c>
      <c r="M85" s="29" t="inlineStr">
        <is>
          <t>Taslak</t>
        </is>
      </c>
      <c r="N85" s="29" t="inlineStr">
        <is>
          <t>Yeme ve içme</t>
        </is>
      </c>
      <c r="O85" s="29" t="inlineStr">
        <is>
          <t>Strijp</t>
        </is>
      </c>
      <c r="P85" s="29" t="inlineStr">
        <is>
          <t>Kapalı alan</t>
        </is>
      </c>
      <c r="Q85" s="29" t="inlineStr">
        <is>
          <t>Torenallee 86-02, 5617 BD Eindhoven</t>
        </is>
      </c>
      <c r="R85" s="50" t="n">
        <v>51.44787</v>
      </c>
      <c r="S85" s="50" t="n">
        <v>5.45435</v>
      </c>
      <c r="T85" s="29" t="n"/>
      <c r="U85" s="29" t="inlineStr">
        <is>
          <t>This is Eindhoven burayı, yerlilerin nerede vakit geçirdiğini merak edenlere öneriyor.</t>
        </is>
      </c>
      <c r="V85" s="29" t="inlineStr">
        <is>
          <t>Hayır</t>
        </is>
      </c>
      <c r="W85" s="29" t="n"/>
    </row>
    <row r="86" ht="54" customHeight="1">
      <c r="A86" s="29" t="inlineStr">
        <is>
          <t>eindhoven:brouwerij-het-veem</t>
        </is>
      </c>
      <c r="B86" s="29" t="inlineStr">
        <is>
          <t>eindhoven</t>
        </is>
      </c>
      <c r="C86" s="29" t="inlineStr">
        <is>
          <t>brouwerij-het-veem</t>
        </is>
      </c>
      <c r="D86" s="29" t="inlineStr">
        <is>
          <t>Brouwerij Het Veem</t>
        </is>
      </c>
      <c r="E86" s="29" t="inlineStr">
        <is>
          <t>Veem binasında bira üretimi, tadım salonu ve bira dükkânı bir arada</t>
        </is>
      </c>
      <c r="F86" s="29" t="inlineStr">
        <is>
          <t>Brouwerij Het Veem, Strijp-S'teki Veem binasında bira üretimi, tadım salonu (proeflokaal) ve bira dükkânını bir araya getiriyor; This is Eindhoven'a göre eskiden Philips deposu olan bu yerde bugün speciaal bier (özel bira) içiliyor. Tadım salonunda yirmi dört musluktan en sıra dışı biralar akıyor. Çarşamba ve perşembe 14:00–00:00, cuma 13:00–00:00, cumartesi 12:00–00:00, pazar 12:00–22:00 açık; pazartesi ve salı kapalı.</t>
        </is>
      </c>
      <c r="G86" s="29" t="inlineStr">
        <is>
          <t>Brouwerij Het Veem, Proeflokaal Het Veem, bira, speciaal bier, tadım, Strijp-S, Torenallee</t>
        </is>
      </c>
      <c r="H86" s="29" t="inlineStr">
        <is>
          <t>new;settled</t>
        </is>
      </c>
      <c r="I86" s="29" t="inlineStr">
        <is>
          <t>eindhoven:kaynak:234;eindhoven:kaynak:352</t>
        </is>
      </c>
      <c r="J86" s="49" t="n">
        <v>46317</v>
      </c>
      <c r="K86" s="51" t="n">
        <v>2302</v>
      </c>
      <c r="L86" s="29" t="inlineStr">
        <is>
          <t>Hayır</t>
        </is>
      </c>
      <c r="M86" s="29" t="inlineStr">
        <is>
          <t>Taslak</t>
        </is>
      </c>
      <c r="N86" s="29" t="inlineStr">
        <is>
          <t>Yeme ve içme</t>
        </is>
      </c>
      <c r="O86" s="29" t="inlineStr">
        <is>
          <t>Strijp</t>
        </is>
      </c>
      <c r="P86" s="29" t="inlineStr">
        <is>
          <t>Kapalı alan</t>
        </is>
      </c>
      <c r="Q86" s="29" t="inlineStr">
        <is>
          <t>Torenallee 86, 5617 BE Eindhoven</t>
        </is>
      </c>
      <c r="R86" s="50" t="n">
        <v>51.44787</v>
      </c>
      <c r="S86" s="50" t="n">
        <v>5.45435</v>
      </c>
      <c r="T86" s="29" t="n"/>
      <c r="U86" s="29" t="inlineStr">
        <is>
          <t>Seçmekte zorlanırsanız mekânın bira uzmanları tadımda size eşlik ediyor; tek tek seçmek istemeyenler üç ya da beş farklı biradan oluşan bir tadım seti (tasting flight) isteyebiliyor.</t>
        </is>
      </c>
      <c r="V86" s="29" t="inlineStr">
        <is>
          <t>Hayır</t>
        </is>
      </c>
      <c r="W86" s="29" t="n"/>
    </row>
    <row r="87" ht="54" customHeight="1">
      <c r="A87" s="29" t="inlineStr">
        <is>
          <t>eindhoven:stadsbrouwerij-eindhoven</t>
        </is>
      </c>
      <c r="B87" s="29" t="inlineStr">
        <is>
          <t>eindhoven</t>
        </is>
      </c>
      <c r="C87" s="29" t="inlineStr">
        <is>
          <t>stadsbrouwerij-eindhoven</t>
        </is>
      </c>
      <c r="D87" s="29" t="inlineStr">
        <is>
          <t>Stadsbrouwerij Eindhoven</t>
        </is>
      </c>
      <c r="E87" s="29" t="inlineStr">
        <is>
          <t>Bleekweg 1'de bira tadımı, öğle ve akşam yemeği sunan şehir bira evi</t>
        </is>
      </c>
      <c r="F87" s="29" t="inlineStr">
        <is>
          <t>Stadsbrouwerij Eindhoven, Bleekweg 1'de (5611 EZ) bir kafe işletiyor. Rezervasyon formunda öğle yemeği, akşam yemeği, Proeflokaal'de (tadım salonu) borrel (içki buluşması) ya da parti, kapalı salon kiralama, bierproeverij (bira tadımı) ve toplantı seçenekleri var. Kafe pazartesi kapalı; salı ve çarşamba 15:00–23:00, perşembe 15:00–00:00, cuma 14:00–01:00, cumartesi 12:00–01:00, pazar 12:00–22:00 açık.</t>
        </is>
      </c>
      <c r="G87" s="29" t="inlineStr">
        <is>
          <t>Stadsbrouwerij, bira tadımı, bierproeverij, Proeflokaal, borrel, Bleekweg, kafe</t>
        </is>
      </c>
      <c r="H87" s="29" t="inlineStr">
        <is>
          <t>new;settled</t>
        </is>
      </c>
      <c r="I87" s="29" t="inlineStr">
        <is>
          <t>eindhoven:kaynak:320</t>
        </is>
      </c>
      <c r="J87" s="49" t="n">
        <v>46317</v>
      </c>
      <c r="K87" s="51" t="n">
        <v>2303</v>
      </c>
      <c r="L87" s="29" t="inlineStr">
        <is>
          <t>Hayır</t>
        </is>
      </c>
      <c r="M87" s="29" t="inlineStr">
        <is>
          <t>Taslak</t>
        </is>
      </c>
      <c r="N87" s="29" t="inlineStr">
        <is>
          <t>Yeme ve içme</t>
        </is>
      </c>
      <c r="O87" s="29" t="inlineStr">
        <is>
          <t>Centrum</t>
        </is>
      </c>
      <c r="P87" s="29" t="inlineStr">
        <is>
          <t>Kapalı alan</t>
        </is>
      </c>
      <c r="Q87" s="29" t="inlineStr">
        <is>
          <t>Bleekweg 1, 5611 EZ Eindhoven</t>
        </is>
      </c>
      <c r="R87" s="50" t="n">
        <v>51.43569</v>
      </c>
      <c r="S87" s="50" t="n">
        <v>5.48456</v>
      </c>
      <c r="T87" s="29" t="n"/>
      <c r="U87" s="29" t="inlineStr">
        <is>
          <t>Grup talepleri telefonla işleme alınmıyor ve onaylanmıyor; grup için sayfadaki formu doldurmak gerekiyor. Ekip forma e-postayla 3 iş günü içinde dönmeyi hedefliyor; acil sorular için 040-8428000 aranabilir.</t>
        </is>
      </c>
      <c r="V87" s="29" t="inlineStr">
        <is>
          <t>Hayır</t>
        </is>
      </c>
      <c r="W87" s="29" t="n"/>
    </row>
    <row r="88" ht="54" customHeight="1">
      <c r="A88" s="29" t="inlineStr">
        <is>
          <t>eindhoven:stratumseind</t>
        </is>
      </c>
      <c r="B88" s="29" t="inlineStr">
        <is>
          <t>eindhoven</t>
        </is>
      </c>
      <c r="C88" s="29" t="inlineStr">
        <is>
          <t>stratumseind</t>
        </is>
      </c>
      <c r="D88" s="29" t="inlineStr">
        <is>
          <t>Stratumseind</t>
        </is>
      </c>
      <c r="E88" s="29" t="inlineStr">
        <is>
          <t>Hollanda'nın en uzun bar sokağı: 225 metrede 40 kafe</t>
        </is>
      </c>
      <c r="F88" s="29" t="inlineStr">
        <is>
          <t>Stratumseind, Eindhoven gençlerinin gece dışarı çıktığı sokak. This is Eindhoven'a göre burası Hollanda'nın en uzun pub (bar) sokağı: 225 metre boyunca, çoğu zaman 7/24 açık olan 40 kafe sıralanıyor. Sokak şehir merkezinde, 5611 posta kodu bölgesinde.</t>
        </is>
      </c>
      <c r="G88" s="29" t="inlineStr">
        <is>
          <t>Stratumseind, bar sokağı, gece hayatı, pub, kafe, Centrum</t>
        </is>
      </c>
      <c r="H88" s="29" t="inlineStr">
        <is>
          <t>new;settled</t>
        </is>
      </c>
      <c r="I88" s="29" t="inlineStr">
        <is>
          <t>eindhoven:kaynak:321</t>
        </is>
      </c>
      <c r="J88" s="49" t="n">
        <v>46317</v>
      </c>
      <c r="K88" s="51" t="n">
        <v>2304</v>
      </c>
      <c r="L88" s="29" t="inlineStr">
        <is>
          <t>Evet</t>
        </is>
      </c>
      <c r="M88" s="29" t="inlineStr">
        <is>
          <t>Taslak</t>
        </is>
      </c>
      <c r="N88" s="29" t="inlineStr">
        <is>
          <t>Yeme ve içme</t>
        </is>
      </c>
      <c r="O88" s="29" t="inlineStr">
        <is>
          <t>Centrum</t>
        </is>
      </c>
      <c r="P88" s="29" t="inlineStr">
        <is>
          <t>Açık hava</t>
        </is>
      </c>
      <c r="Q88" s="29" t="inlineStr">
        <is>
          <t>Stratumseind, 5611 Eindhoven</t>
        </is>
      </c>
      <c r="R88" s="50" t="n">
        <v>51.43611</v>
      </c>
      <c r="S88" s="50" t="n">
        <v>5.48222</v>
      </c>
      <c r="T88" s="29" t="n"/>
      <c r="U88" s="29" t="inlineStr">
        <is>
          <t>Sokaktaki 'café'ler kahveci değil, bar.</t>
        </is>
      </c>
      <c r="V88" s="29" t="inlineStr">
        <is>
          <t>Hayır</t>
        </is>
      </c>
      <c r="W88" s="29" t="n"/>
    </row>
    <row r="89" ht="54" customHeight="1">
      <c r="A89" s="29" t="inlineStr">
        <is>
          <t>eindhoven:kazerne</t>
        </is>
      </c>
      <c r="B89" s="29" t="inlineStr">
        <is>
          <t>eindhoven</t>
        </is>
      </c>
      <c r="C89" s="29" t="inlineStr">
        <is>
          <t>kazerne</t>
        </is>
      </c>
      <c r="D89" s="29" t="inlineStr">
        <is>
          <t>Kazerne</t>
        </is>
      </c>
      <c r="E89" s="29" t="inlineStr">
        <is>
          <t>Paradijslaan'da ByDay kafesi, BarBistro restoranı ve iç bahçesi olan tasarım mekânı</t>
        </is>
      </c>
      <c r="F89" s="29" t="inlineStr">
        <is>
          <t>Kazerne'de kahvaltı, kahve ve öğle yemeği için ByDay; borrel (akşam içkisi) ve akşam yemeği için BarBistro restoranı var, güzel havada her şey iç bahçede de sunuluyor. BarBistro'nun mutfağı pazartesiden cumartesiye 17:00'den itibaren açık. Menü mevsime göre değişiyor, her şey mekânda hazırlanıyor; à la carte yenebildiği gibi shared dining (paylaşımlı) düzeni de var. Mekân, önde gelen tasarımcıların işleriyle çevrili.</t>
        </is>
      </c>
      <c r="G89" s="29" t="inlineStr">
        <is>
          <t>Kazerne, BarBistro, ByDay, restoran, şarap barı, iç bahçe, Paradijslaan</t>
        </is>
      </c>
      <c r="H89" s="29" t="inlineStr">
        <is>
          <t>new;settled</t>
        </is>
      </c>
      <c r="I89" s="29" t="inlineStr">
        <is>
          <t>eindhoven:kaynak:322</t>
        </is>
      </c>
      <c r="J89" s="49" t="n">
        <v>46317</v>
      </c>
      <c r="K89" s="51" t="n">
        <v>2305</v>
      </c>
      <c r="L89" s="29" t="inlineStr">
        <is>
          <t>Hayır</t>
        </is>
      </c>
      <c r="M89" s="29" t="inlineStr">
        <is>
          <t>Taslak</t>
        </is>
      </c>
      <c r="N89" s="29" t="inlineStr">
        <is>
          <t>Yeme ve içme</t>
        </is>
      </c>
      <c r="O89" s="29" t="inlineStr">
        <is>
          <t>Centrum</t>
        </is>
      </c>
      <c r="P89" s="29" t="inlineStr">
        <is>
          <t>Kapalı alan</t>
        </is>
      </c>
      <c r="Q89" s="29" t="inlineStr">
        <is>
          <t>Paradijslaan 2-8, 5611 KN Eindhoven (ikinci adres: Grote Berg 9, 5611 KH)</t>
        </is>
      </c>
      <c r="R89" s="50" t="n">
        <v>51.43604</v>
      </c>
      <c r="S89" s="50" t="n">
        <v>5.47737</v>
      </c>
      <c r="T89" s="29" t="n"/>
      <c r="U89" s="29" t="inlineStr">
        <is>
          <t>Vejetaryen, vegan ya da glütensiz yemek isteyenler isteğini söylerse alternatif öneriliyor. 9 kişiden kalabalık gruplar için rezervasyon +31 40 207 37 30 veya reservations@kazerne.com üzerinden konuşuluyor.</t>
        </is>
      </c>
      <c r="V89" s="29" t="inlineStr">
        <is>
          <t>Hayır</t>
        </is>
      </c>
      <c r="W89" s="29" t="n"/>
    </row>
    <row r="90" ht="54" customHeight="1">
      <c r="A90" s="29" t="inlineStr">
        <is>
          <t>eindhoven:grand-cafe-de-lichttoren</t>
        </is>
      </c>
      <c r="B90" s="29" t="inlineStr">
        <is>
          <t>eindhoven</t>
        </is>
      </c>
      <c r="C90" s="29" t="inlineStr">
        <is>
          <t>grand-cafe-de-lichttoren</t>
        </is>
      </c>
      <c r="D90" s="29" t="inlineStr">
        <is>
          <t>De Lichttoren</t>
        </is>
      </c>
      <c r="E90" s="29" t="inlineStr">
        <is>
          <t>Philips'in eski ampul fabrikasında restoran, kahve köşesi ve büyük şehir terası</t>
        </is>
      </c>
      <c r="F90" s="29" t="inlineStr">
        <is>
          <t>De Lichttoren, Philips'in eski ampul fabrikası olan ikonik Lichttoren binasında restoran, kahve köşesi, içki (borrel) bölümü ve büyük bir şehir terasını bir araya getiriyor; iyi bir kahve, uzun bir öğle yemeği, akşam yemeği ya da güneşte bir içki için uygun. Adres De Lichttoren 6 (5611 BJ), Eindhoven Centraal'a 6 dakikalık yürüme mesafesinde. Pazartesi ve pazar 10:00–21:00, salı ve çarşamba 11:00–22:00, perşembe 11:00–23:00, cuma 11:00–00:30, cumartesi 10:00–00:30 açık. Küçük çocuklar için çocuk köşesi ve engelli tuvaleti var.</t>
        </is>
      </c>
      <c r="G90" s="29" t="inlineStr">
        <is>
          <t>De Lichttoren, restoran, kahve, teras, Philips, çocuk köşesi, Centrum</t>
        </is>
      </c>
      <c r="H90" s="29" t="inlineStr">
        <is>
          <t>new;settled</t>
        </is>
      </c>
      <c r="I90" s="29" t="inlineStr">
        <is>
          <t>eindhoven:kaynak:323;eindhoven:kaynak:353</t>
        </is>
      </c>
      <c r="J90" s="49" t="n">
        <v>46317</v>
      </c>
      <c r="K90" s="51" t="n">
        <v>2306</v>
      </c>
      <c r="L90" s="29" t="inlineStr">
        <is>
          <t>Hayır</t>
        </is>
      </c>
      <c r="M90" s="29" t="inlineStr">
        <is>
          <t>Taslak</t>
        </is>
      </c>
      <c r="N90" s="29" t="inlineStr">
        <is>
          <t>Yeme ve içme</t>
        </is>
      </c>
      <c r="O90" s="29" t="inlineStr">
        <is>
          <t>Centrum</t>
        </is>
      </c>
      <c r="P90" s="29" t="inlineStr">
        <is>
          <t>Kapalı alan</t>
        </is>
      </c>
      <c r="Q90" s="29" t="inlineStr">
        <is>
          <t>De Lichttoren 6, 5611 BJ Eindhoven</t>
        </is>
      </c>
      <c r="R90" s="50" t="n">
        <v>51.44058</v>
      </c>
      <c r="S90" s="50" t="n">
        <v>5.47397</v>
      </c>
      <c r="T90" s="29" t="n"/>
      <c r="U90" s="29" t="inlineStr">
        <is>
          <t>Köpekler yalnız terasa kabul ediliyor; içeriye sadece yardımcı köpekler girebiliyor. Arabayla gelenler için Q-park Mathildelaan ve Q-park Lichtplein bir dakikalık yürüme mesafesinde.</t>
        </is>
      </c>
      <c r="V90" s="29" t="inlineStr">
        <is>
          <t>Hayır</t>
        </is>
      </c>
      <c r="W90" s="29" t="n"/>
    </row>
    <row r="91" ht="54" customHeight="1">
      <c r="A91" s="29" t="inlineStr">
        <is>
          <t>eindhoven:pannenkoekenhuis-de-proeftuin</t>
        </is>
      </c>
      <c r="B91" s="29" t="inlineStr">
        <is>
          <t>eindhoven</t>
        </is>
      </c>
      <c r="C91" s="29" t="inlineStr">
        <is>
          <t>pannenkoekenhuis-de-proeftuin</t>
        </is>
      </c>
      <c r="D91" s="29" t="inlineStr">
        <is>
          <t>Pannenkoekenhuis De Proeftuin</t>
        </is>
      </c>
      <c r="E91" s="29" t="inlineStr">
        <is>
          <t>Meyve bahçesine bakan, yeşillikler içinde modern bir krep evi</t>
        </is>
      </c>
      <c r="F91" s="29" t="inlineStr">
        <is>
          <t>De Proeftuin, şehre yakın, yeşillikler içinde ve meyve bahçesine bakan bir pannenkoekenhuis (Hollanda krebi evi). This is Eindhoven onu renkli ve modern döşenmiş, sade, lezzetli ve uygun fiyatlı yemekler sunan bir yer olarak tanıtıyor. Pazartesi kapalı; salıdan cumartesiye 10:00–20:00, pazar 11:00–20:00 açık.</t>
        </is>
      </c>
      <c r="G91" s="29" t="inlineStr">
        <is>
          <t>pannenkoek, krep, De Proeftuin, pannenkoekenhuis, meyve bahçesi, Oirschotsedijk</t>
        </is>
      </c>
      <c r="H91" s="29" t="inlineStr">
        <is>
          <t>new;settled</t>
        </is>
      </c>
      <c r="I91" s="29" t="inlineStr">
        <is>
          <t>eindhoven:kaynak:324</t>
        </is>
      </c>
      <c r="J91" s="49" t="n">
        <v>46317</v>
      </c>
      <c r="K91" s="51" t="n">
        <v>2307</v>
      </c>
      <c r="L91" s="29" t="inlineStr">
        <is>
          <t>Hayır</t>
        </is>
      </c>
      <c r="M91" s="29" t="inlineStr">
        <is>
          <t>Taslak</t>
        </is>
      </c>
      <c r="N91" s="29" t="inlineStr">
        <is>
          <t>Yeme ve içme</t>
        </is>
      </c>
      <c r="O91" s="29" t="inlineStr">
        <is>
          <t>Strijp</t>
        </is>
      </c>
      <c r="P91" s="29" t="inlineStr">
        <is>
          <t>Karma</t>
        </is>
      </c>
      <c r="Q91" s="29" t="inlineStr">
        <is>
          <t>Oirschotsedijk 14 a, 5651 GC Eindhoven</t>
        </is>
      </c>
      <c r="R91" s="50" t="n">
        <v>51.46363</v>
      </c>
      <c r="S91" s="50" t="n">
        <v>5.42617</v>
      </c>
      <c r="T91" s="29" t="n"/>
      <c r="U91" s="29" t="inlineStr">
        <is>
          <t>Toplu taşımayla yaklaşık 20 dakikalık bir yol; masa ayırtmak için This is Eindhoven sayfasındaki 'Reserve a table' bağlantısı ya da +31 (0)40 262 14 53 kullanılabilir.</t>
        </is>
      </c>
      <c r="V91" s="29" t="inlineStr">
        <is>
          <t>Hayır</t>
        </is>
      </c>
      <c r="W91" s="29" t="n"/>
    </row>
    <row r="92" ht="54" customHeight="1">
      <c r="A92" s="29" t="inlineStr">
        <is>
          <t>eindhoven:paviljoen-genneper-parken</t>
        </is>
      </c>
      <c r="B92" s="29" t="inlineStr">
        <is>
          <t>eindhoven</t>
        </is>
      </c>
      <c r="C92" s="29" t="inlineStr">
        <is>
          <t>paviljoen-genneper-parken</t>
        </is>
      </c>
      <c r="D92" s="29" t="inlineStr">
        <is>
          <t>Paviljoen Genneper Parken</t>
        </is>
      </c>
      <c r="E92" s="29" t="inlineStr">
        <is>
          <t>Genneper Parken'in kenarında oyun parkı ve mini golfü olan restoran</t>
        </is>
      </c>
      <c r="F92" s="29" t="inlineStr">
        <is>
          <t>Paviljoen Genneper Parken, Genneper Parken'in kenarında öğle ve akşam yemeği sunan bir restoran. Hafta içi 11:00–22:00, hafta sonu 10:00–22:00 açık; öğle mutfağı 11:00'den yaklaşık 16:00'ya, akşam mutfağı 17:00'den yaklaşık 20:00'ye kadar çalışıyor. Çocuklar için içeride oyun dolabı, dışarıda oyun parkı ve midgetgolf (mini golf) var; mini golf için rezervasyon gerekmiyor.</t>
        </is>
      </c>
      <c r="G92" s="29" t="inlineStr">
        <is>
          <t>Genneper Parken, paviljoen, restoran, oyun parkı, midgetgolf, mini golf, çocuk</t>
        </is>
      </c>
      <c r="H92" s="29" t="inlineStr">
        <is>
          <t>new;settled</t>
        </is>
      </c>
      <c r="I92" s="29" t="inlineStr">
        <is>
          <t>eindhoven:kaynak:325</t>
        </is>
      </c>
      <c r="J92" s="49" t="n">
        <v>46317</v>
      </c>
      <c r="K92" s="51" t="n">
        <v>2308</v>
      </c>
      <c r="L92" s="29" t="inlineStr">
        <is>
          <t>Hayır</t>
        </is>
      </c>
      <c r="M92" s="29" t="inlineStr">
        <is>
          <t>Taslak</t>
        </is>
      </c>
      <c r="N92" s="29" t="inlineStr">
        <is>
          <t>Yeme ve içme</t>
        </is>
      </c>
      <c r="O92" s="29" t="inlineStr">
        <is>
          <t>Stratum</t>
        </is>
      </c>
      <c r="P92" s="29" t="inlineStr">
        <is>
          <t>Karma</t>
        </is>
      </c>
      <c r="Q92" s="29" t="inlineStr">
        <is>
          <t>Antoon Coolenlaan 2a, 5644 RX Eindhoven</t>
        </is>
      </c>
      <c r="R92" s="50" t="n">
        <v>51.41637</v>
      </c>
      <c r="S92" s="50" t="n">
        <v>5.48049</v>
      </c>
      <c r="T92" s="29" t="n"/>
      <c r="U92" s="29" t="inlineStr">
        <is>
          <t>Öğle yemeği için rezervasyon zorunlu değil ama kalabalık olabildiği için öneriliyor; 10 kişiden büyük gruplar e-postayla yazmalı. Paket servis ve eve teslimat yok; köpekler içeri girebiliyor, yolun karşısındaki büyük otopark ücretsiz.</t>
        </is>
      </c>
      <c r="V92" s="29" t="inlineStr">
        <is>
          <t>Hayır</t>
        </is>
      </c>
      <c r="W92" s="29" t="n"/>
    </row>
    <row r="93" ht="54" customHeight="1">
      <c r="A93" s="29" t="inlineStr">
        <is>
          <t>eindhoven:de-mispelhoef</t>
        </is>
      </c>
      <c r="B93" s="29" t="inlineStr">
        <is>
          <t>eindhoven</t>
        </is>
      </c>
      <c r="C93" s="29" t="inlineStr">
        <is>
          <t>de-mispelhoef</t>
        </is>
      </c>
      <c r="D93" s="29" t="inlineStr">
        <is>
          <t>De Mispelhoef</t>
        </is>
      </c>
      <c r="E93" s="29" t="inlineStr">
        <is>
          <t>Oirschotsedijk'te öğle ve akşam yemeği veren eetcafé ve kiralık salonlar</t>
        </is>
      </c>
      <c r="F93" s="29" t="inlineStr">
        <is>
          <t>De Mispelhoef, Oirschotsedijk 9'da (5651 GB) bir eetcafé (yemek de sunan kafe) ve düğün, parti, resepsiyon, toplantı ve koffietafel (öğle ikramı) için salon kiralayan bir mekân. Eetcafé salıdan pazara 11.00–22.00 açık, mutfak 11:30–20:30 arası çalışıyor. Öğle veya akşam yemeği için doğrudan online rezervasyon yapılabiliyor; 10 kişiden fazla gruplar (040) 262 41 28'i aramalı.</t>
        </is>
      </c>
      <c r="G93" s="29" t="inlineStr">
        <is>
          <t>De Mispelhoef, eetcafé, restoran, düğün salonu, Oirschotsedijk, Eindhoven Airport</t>
        </is>
      </c>
      <c r="H93" s="29" t="inlineStr">
        <is>
          <t>new;settled</t>
        </is>
      </c>
      <c r="I93" s="29" t="inlineStr">
        <is>
          <t>eindhoven:kaynak:326</t>
        </is>
      </c>
      <c r="J93" s="49" t="n">
        <v>46317</v>
      </c>
      <c r="K93" s="51" t="n">
        <v>2309</v>
      </c>
      <c r="L93" s="29" t="inlineStr">
        <is>
          <t>Hayır</t>
        </is>
      </c>
      <c r="M93" s="29" t="inlineStr">
        <is>
          <t>Taslak</t>
        </is>
      </c>
      <c r="N93" s="29" t="inlineStr">
        <is>
          <t>Yeme ve içme</t>
        </is>
      </c>
      <c r="O93" s="29" t="inlineStr">
        <is>
          <t>Strijp</t>
        </is>
      </c>
      <c r="P93" s="29" t="inlineStr">
        <is>
          <t>Karma</t>
        </is>
      </c>
      <c r="Q93" s="29" t="inlineStr">
        <is>
          <t>Oirschotsedijk 9, 5651 GB Eindhoven</t>
        </is>
      </c>
      <c r="R93" s="50" t="n">
        <v>51.46725</v>
      </c>
      <c r="S93" s="50" t="n">
        <v>5.40694</v>
      </c>
      <c r="T93" s="29" t="n"/>
      <c r="U93" s="29" t="inlineStr">
        <is>
          <t>Arabayla A2 otoyolunun Eindhoven Airport (randweg) çıkışından kolayca ulaşılıyor ve otopark ücretsiz. Salon görmek isteyenlere randevu salı 10.00–20.00, çarşamba-cuma 10.00–12.00 arasında veriliyor.</t>
        </is>
      </c>
      <c r="V93" s="29" t="inlineStr">
        <is>
          <t>Hayır</t>
        </is>
      </c>
      <c r="W93" s="29" t="n"/>
    </row>
    <row r="94" ht="54" customHeight="1">
      <c r="A94" s="29" t="inlineStr">
        <is>
          <t>eindhoven:centrale-markt-18-septemberplein</t>
        </is>
      </c>
      <c r="B94" s="29" t="inlineStr">
        <is>
          <t>eindhoven</t>
        </is>
      </c>
      <c r="C94" s="29" t="inlineStr">
        <is>
          <t>centrale-markt-18-septemberplein</t>
        </is>
      </c>
      <c r="D94" s="29" t="inlineStr">
        <is>
          <t>Centrale Markt (18 Septemberplein)</t>
        </is>
      </c>
      <c r="E94" s="29" t="inlineStr">
        <is>
          <t>Her salı 18 Septemberplein'da kurulan sebze, meyve, kumaş ve çiçek pazarı</t>
        </is>
      </c>
      <c r="F94" s="29" t="inlineStr">
        <is>
          <t>Centrale Markt her salı 18 Septemberplein'da kuruluyor; tezgâhlarda taze sebze ve meyve, çiçek, ekmek, peynir, kumaş ve kozmetik bulunuyor. This is Eindhoven pazarda Türk lezzetlerinin ve yerel ürünlerin de satıldığını yazıyor. Etkinlik sayfasındaki 27 Ekim 2026 tarihli pazar 09:00–16:00 arası gösteriliyor.</t>
        </is>
      </c>
      <c r="G94" s="29" t="inlineStr">
        <is>
          <t>pazar, markt, 18 Septemberplein, salı pazarı, Türk ürünleri, sebze meyve</t>
        </is>
      </c>
      <c r="H94" s="29" t="inlineStr">
        <is>
          <t>new;settled</t>
        </is>
      </c>
      <c r="I94" s="29" t="inlineStr">
        <is>
          <t>eindhoven:kaynak:327</t>
        </is>
      </c>
      <c r="J94" s="49" t="n">
        <v>46317</v>
      </c>
      <c r="K94" s="51" t="n">
        <v>2310</v>
      </c>
      <c r="L94" s="29" t="inlineStr">
        <is>
          <t>Hayır</t>
        </is>
      </c>
      <c r="M94" s="29" t="inlineStr">
        <is>
          <t>Taslak</t>
        </is>
      </c>
      <c r="N94" s="29" t="inlineStr">
        <is>
          <t>Yeme ve içme</t>
        </is>
      </c>
      <c r="O94" s="29" t="inlineStr">
        <is>
          <t>Centrum</t>
        </is>
      </c>
      <c r="P94" s="29" t="inlineStr">
        <is>
          <t>Açık hava</t>
        </is>
      </c>
      <c r="Q94" s="29" t="inlineStr">
        <is>
          <t>18 Septemberplein, Eindhoven</t>
        </is>
      </c>
      <c r="R94" s="50" t="n">
        <v>51.4413</v>
      </c>
      <c r="S94" s="50" t="n">
        <v>5.4776</v>
      </c>
      <c r="T94" s="29" t="n"/>
      <c r="U94" s="29" t="inlineStr">
        <is>
          <t>Alışverişten sonra iki tipik Hollanda atıştırmalığını denemek için iyi bir fırsat: kibbeling (kızarmış balık parçaları) ve worstenbroodje (sosis dolgulu ekmek).</t>
        </is>
      </c>
      <c r="V94" s="29" t="inlineStr">
        <is>
          <t>Hayır</t>
        </is>
      </c>
      <c r="W94" s="29" t="n"/>
    </row>
    <row r="95" ht="54" customHeight="1">
      <c r="A95" s="29" t="inlineStr">
        <is>
          <t>eindhoven:sint-catharinakerk</t>
        </is>
      </c>
      <c r="B95" s="29" t="inlineStr">
        <is>
          <t>eindhoven</t>
        </is>
      </c>
      <c r="C95" s="29" t="inlineStr">
        <is>
          <t>sint-catharinakerk</t>
        </is>
      </c>
      <c r="D95" s="29" t="inlineStr">
        <is>
          <t>Sint-Catharinakerk</t>
        </is>
      </c>
      <c r="E95" s="29" t="inlineStr">
        <is>
          <t>Catharinaplein'de, İskenderiyeli Azize Catharina'ya adanmış Roma Katolik kilisesi</t>
        </is>
      </c>
      <c r="F95" s="29" t="inlineStr">
        <is>
          <t>Sint-Catharinakerk, Eindhoven şehir merkezinde Catharinaplein'de duran ve İskenderiyeli Azize Catharina'ya adanmış bir Roma Katolik kilisesi. Stratumseind'in başında, harap olan eski Catharinakerk'in yerine yapıldı. Salıdan cumartesiye 10:00–16:30, pazar 11:00–16:30 açık, pazartesi kapalı; kiliseye tekerlekli sandalyeyle girilebiliyor.</t>
        </is>
      </c>
      <c r="G95" s="29" t="inlineStr">
        <is>
          <t>Catharinakerk, Sint-Catharinakerk, kilise, Catharinaplein, Muziek in de Cathrien, konser, Centrum</t>
        </is>
      </c>
      <c r="H95" s="29" t="inlineStr">
        <is>
          <t>new;settled</t>
        </is>
      </c>
      <c r="I95" s="29" t="inlineStr">
        <is>
          <t>eindhoven:kaynak:328</t>
        </is>
      </c>
      <c r="J95" s="49" t="n">
        <v>46317</v>
      </c>
      <c r="K95" s="51" t="n">
        <v>2311</v>
      </c>
      <c r="L95" s="29" t="inlineStr">
        <is>
          <t>Evet</t>
        </is>
      </c>
      <c r="M95" s="29" t="inlineStr">
        <is>
          <t>Taslak</t>
        </is>
      </c>
      <c r="N95" s="29" t="inlineStr">
        <is>
          <t>Tarih ve mimari</t>
        </is>
      </c>
      <c r="O95" s="29" t="inlineStr">
        <is>
          <t>Centrum</t>
        </is>
      </c>
      <c r="P95" s="29" t="inlineStr">
        <is>
          <t>Kapalı alan</t>
        </is>
      </c>
      <c r="Q95" s="29" t="inlineStr">
        <is>
          <t>Catharinaplein 1, 5611 DE Eindhoven</t>
        </is>
      </c>
      <c r="R95" s="50" t="n">
        <v>51.43702</v>
      </c>
      <c r="S95" s="50" t="n">
        <v>5.47914</v>
      </c>
      <c r="T95" s="29" t="n"/>
      <c r="U95" s="29" t="inlineStr">
        <is>
          <t>Kilise aynı zamanda bir konser mekânı: 1988'den beri burada 'Muziek in de Cathrien' konser dizisi düzenleniyor. This is Eindhoven'a göre cumartesi öğleden sonraları kilisenin dolması artık istisna değil.</t>
        </is>
      </c>
      <c r="V95" s="29" t="inlineStr">
        <is>
          <t>Hayır</t>
        </is>
      </c>
      <c r="W95" s="29" t="n"/>
    </row>
    <row r="96" ht="54" customHeight="1">
      <c r="A96" s="29" t="inlineStr">
        <is>
          <t>eindhoven:strijp-s</t>
        </is>
      </c>
      <c r="B96" s="29" t="inlineStr">
        <is>
          <t>eindhoven</t>
        </is>
      </c>
      <c r="C96" s="29" t="inlineStr">
        <is>
          <t>strijp-s</t>
        </is>
      </c>
      <c r="D96" s="29" t="inlineStr">
        <is>
          <t>Strijp-S</t>
        </is>
      </c>
      <c r="E96" s="29" t="inlineStr">
        <is>
          <t>27 hektarlık eski Philips sanayi alanından doğan yaratıcı bölge</t>
        </is>
      </c>
      <c r="F96" s="29" t="inlineStr">
        <is>
          <t>Strijp-S, sanayi ve tarih mirasıyla dolu 27 hektarlık eski bir Philips alanı; bugün kültür, konut ve çalışma alanlarının iç içe geçtiği bir bölgeye dönüşmüş. This is Eindhoven burayı şehrin 'yaratıcı kalbi' diye tanıtıyor. Philips döneminin fabrikaları yıkılmamış: bölge bugün dükkânlar, restoranlar, ofisler ve yaratıcı sakinlerle dolu, ama endüstriyel karakterini koruyor.</t>
        </is>
      </c>
      <c r="G96" s="29" t="inlineStr">
        <is>
          <t>Strijp-S, Philips, sanayi mirası, yaratıcı bölge, Anton ve Gerard, Klokgebouw</t>
        </is>
      </c>
      <c r="H96" s="29" t="inlineStr">
        <is>
          <t>new;settled</t>
        </is>
      </c>
      <c r="I96" s="29" t="inlineStr">
        <is>
          <t>eindhoven:kaynak:329;eindhoven:kaynak:339</t>
        </is>
      </c>
      <c r="J96" s="49" t="n">
        <v>46317</v>
      </c>
      <c r="K96" s="51" t="n">
        <v>2312</v>
      </c>
      <c r="L96" s="29" t="inlineStr">
        <is>
          <t>Evet</t>
        </is>
      </c>
      <c r="M96" s="29" t="inlineStr">
        <is>
          <t>Taslak</t>
        </is>
      </c>
      <c r="N96" s="29" t="inlineStr">
        <is>
          <t>Tarih ve mimari</t>
        </is>
      </c>
      <c r="O96" s="29" t="inlineStr">
        <is>
          <t>Strijp</t>
        </is>
      </c>
      <c r="P96" s="29" t="inlineStr">
        <is>
          <t>Açık hava</t>
        </is>
      </c>
      <c r="Q96" s="29" t="inlineStr">
        <is>
          <t>Strijp-S, Eindhoven</t>
        </is>
      </c>
      <c r="R96" s="50" t="n">
        <v>51.4483</v>
      </c>
      <c r="S96" s="50" t="n">
        <v>5.4572</v>
      </c>
      <c r="T96" s="29" t="n"/>
      <c r="U96" s="29" t="inlineStr">
        <is>
          <t>Bölgeyi düşününce ilk akla gelen büyük beyaz Anton ve Gerard binaları eskiden Philips ürünlerinin yapıldığı fabrikalardı; bugün içinde güzel loft daireler (geniş, açık planlı daireler) bulunan konut binaları. This is Eindhoven'a göre toplu taşımayla 5 dakikalık mesafede.</t>
        </is>
      </c>
      <c r="V96" s="29" t="inlineStr">
        <is>
          <t>Hayır</t>
        </is>
      </c>
      <c r="W96" s="29" t="n"/>
    </row>
    <row r="97" ht="54" customHeight="1">
      <c r="A97" s="29" t="inlineStr">
        <is>
          <t>eindhoven:klokgebouw</t>
        </is>
      </c>
      <c r="B97" s="29" t="inlineStr">
        <is>
          <t>eindhoven</t>
        </is>
      </c>
      <c r="C97" s="29" t="inlineStr">
        <is>
          <t>klokgebouw</t>
        </is>
      </c>
      <c r="D97" s="29" t="inlineStr">
        <is>
          <t>Klokgebouw</t>
        </is>
      </c>
      <c r="E97" s="29" t="inlineStr">
        <is>
          <t>Saatinde PHILIPSPILIHP harfleri olan, Strijp-S'in simgesi eski Philips binası</t>
        </is>
      </c>
      <c r="F97" s="29" t="inlineStr">
        <is>
          <t>Klokgebouw, Strijp-S'te Klokgebouw 50'de duran eski bir Philips binası. 1920'lerin sonunda yapıldı ve burada Philips'in Bakelit markası Philite üretildi. Adını kulesinin tepesindeki saatten alıyor; saatte rakam yerine PHILIPSPILIHP harfleri var. Bugün 100'den fazla yaratıcı girişimcinin çalışma alanı, aranan bir etkinlik mekânı ve müzisyenlerin prova edip konser verdiği PopEI'ye ev sahipliği yapıyor.</t>
        </is>
      </c>
      <c r="G97" s="29" t="inlineStr">
        <is>
          <t>Klokgebouw, Strijp-S, Philips, saat kulesi, PopEI, etkinlik mekânı, Philite</t>
        </is>
      </c>
      <c r="H97" s="29" t="inlineStr">
        <is>
          <t>new;settled</t>
        </is>
      </c>
      <c r="I97" s="29" t="inlineStr">
        <is>
          <t>eindhoven:kaynak:330;eindhoven:kaynak:339</t>
        </is>
      </c>
      <c r="J97" s="49" t="n">
        <v>46317</v>
      </c>
      <c r="K97" s="51" t="n">
        <v>2313</v>
      </c>
      <c r="L97" s="29" t="inlineStr">
        <is>
          <t>Hayır</t>
        </is>
      </c>
      <c r="M97" s="29" t="inlineStr">
        <is>
          <t>Taslak</t>
        </is>
      </c>
      <c r="N97" s="29" t="inlineStr">
        <is>
          <t>Tarih ve mimari</t>
        </is>
      </c>
      <c r="O97" s="29" t="inlineStr">
        <is>
          <t>Strijp</t>
        </is>
      </c>
      <c r="P97" s="29" t="inlineStr">
        <is>
          <t>Kapalı alan</t>
        </is>
      </c>
      <c r="Q97" s="29" t="inlineStr">
        <is>
          <t>Klokgebouw 50, 5617 AB Eindhoven</t>
        </is>
      </c>
      <c r="R97" s="50" t="n">
        <v>51.4492</v>
      </c>
      <c r="S97" s="50" t="n">
        <v>5.457</v>
      </c>
      <c r="T97" s="29" t="n"/>
      <c r="U97" s="29" t="inlineStr">
        <is>
          <t>Klokgebouw etkinlik bileti satmıyor; bilet için etkinliği düzenleyen kuruluşa başvurmak gerekiyor. Trenle Eindhoven Strijp-S istasyonunda inilebiliyor, Centraal'dan ise 401, 402 veya 403 numaralı otobüsle Strijp-S durağına gidiliyor.</t>
        </is>
      </c>
      <c r="V97" s="29" t="inlineStr">
        <is>
          <t>Hayır</t>
        </is>
      </c>
      <c r="W97" s="29" t="n"/>
    </row>
    <row r="98" ht="54" customHeight="1">
      <c r="A98" s="29" t="inlineStr">
        <is>
          <t>eindhoven:hovenring</t>
        </is>
      </c>
      <c r="B98" s="29" t="inlineStr">
        <is>
          <t>eindhoven</t>
        </is>
      </c>
      <c r="C98" s="29" t="inlineStr">
        <is>
          <t>hovenring</t>
        </is>
      </c>
      <c r="D98" s="29" t="inlineStr">
        <is>
          <t>Hovenring</t>
        </is>
      </c>
      <c r="E98" s="29" t="inlineStr">
        <is>
          <t>Bir pilona kablolarla asılı, bisikletli ve yayalara ayrılmış havada kavşak</t>
        </is>
      </c>
      <c r="F98" s="29" t="inlineStr">
        <is>
          <t>Hovenring, Eindhoven ile Veldhoven'ı bağlayan yollardan birindeki kavşağın üzerinde, bir pilona kablolarla asılı duran bir bisiklet döner kavşağı. Bu özel kavşak sayesinde bisikletliler ve yayalar araç trafiğine takılmadan Eindhoven'dan Veldhoven'a ya da Meerhoven'dan De Hurk'e, hangi yöne isterlerse geçebiliyor.</t>
        </is>
      </c>
      <c r="G98" s="29" t="inlineStr">
        <is>
          <t>Hovenring, bisiklet kavşağı, asma kavşak, Veldhoven, Meerhoven, mühendislik</t>
        </is>
      </c>
      <c r="H98" s="29" t="inlineStr">
        <is>
          <t>new;settled</t>
        </is>
      </c>
      <c r="I98" s="29" t="inlineStr">
        <is>
          <t>eindhoven:kaynak:331</t>
        </is>
      </c>
      <c r="J98" s="49" t="n">
        <v>46317</v>
      </c>
      <c r="K98" s="51" t="n">
        <v>2314</v>
      </c>
      <c r="L98" s="29" t="inlineStr">
        <is>
          <t>Hayır</t>
        </is>
      </c>
      <c r="M98" s="29" t="inlineStr">
        <is>
          <t>Taslak</t>
        </is>
      </c>
      <c r="N98" s="29" t="inlineStr">
        <is>
          <t>Tarih ve mimari</t>
        </is>
      </c>
      <c r="O98" s="29" t="inlineStr">
        <is>
          <t>Strijp</t>
        </is>
      </c>
      <c r="P98" s="29" t="inlineStr">
        <is>
          <t>Açık hava</t>
        </is>
      </c>
      <c r="Q98" s="29" t="inlineStr">
        <is>
          <t>Grasdreef 1, 5658 HX Eindhoven</t>
        </is>
      </c>
      <c r="R98" s="50" t="n">
        <v>51.43339</v>
      </c>
      <c r="S98" s="50" t="n">
        <v>5.41932</v>
      </c>
      <c r="T98" s="29" t="n"/>
      <c r="U98" s="29" t="inlineStr">
        <is>
          <t>Müze ya da bina değil, kullanımda olan bir kavşak: görmek için bisikletle ya da yürüyerek üzerinden geçebilirsiniz. This is Eindhoven yolu toplu taşımayla 20 dakika olarak gösteriyor.</t>
        </is>
      </c>
      <c r="V98" s="29" t="inlineStr">
        <is>
          <t>Hayır</t>
        </is>
      </c>
      <c r="W98" s="29" t="n"/>
    </row>
    <row r="99" ht="54" customHeight="1">
      <c r="A99" s="29" t="inlineStr">
        <is>
          <t>eindhoven:genneper-watermolen</t>
        </is>
      </c>
      <c r="B99" s="29" t="inlineStr">
        <is>
          <t>eindhoven</t>
        </is>
      </c>
      <c r="C99" s="29" t="inlineStr">
        <is>
          <t>genneper-watermolen</t>
        </is>
      </c>
      <c r="D99" s="29" t="inlineStr">
        <is>
          <t>Genneper Watermolen</t>
        </is>
      </c>
      <c r="E99" s="29" t="inlineStr">
        <is>
          <t>Organik ürün, un çeşitleri ve hazır ekmek karışımları satılan su değirmeni</t>
        </is>
      </c>
      <c r="F99" s="29" t="inlineStr">
        <is>
          <t>Genneper Watermolen (Genneper su değirmeni), Genneperweg 143'te (5644 RS) duruyor. Değirmende bugün organik ürünler, farklı un çeşitleri, kuruyemiş, meyve ve hazır ekmek karışımları satılıyor. Salıdan cumartesiye 10:00–17:00 açık; pazar ve pazartesi kapalı.</t>
        </is>
      </c>
      <c r="G99" s="29" t="inlineStr">
        <is>
          <t>Genneper Watermolen, su değirmeni, un, organik ürün, ekmek karışımı, Genneperweg</t>
        </is>
      </c>
      <c r="H99" s="29" t="inlineStr">
        <is>
          <t>new;settled</t>
        </is>
      </c>
      <c r="I99" s="29" t="inlineStr">
        <is>
          <t>eindhoven:kaynak:332</t>
        </is>
      </c>
      <c r="J99" s="49" t="n">
        <v>46317</v>
      </c>
      <c r="K99" s="51" t="n">
        <v>2315</v>
      </c>
      <c r="L99" s="29" t="inlineStr">
        <is>
          <t>Hayır</t>
        </is>
      </c>
      <c r="M99" s="29" t="inlineStr">
        <is>
          <t>Taslak</t>
        </is>
      </c>
      <c r="N99" s="29" t="inlineStr">
        <is>
          <t>Tarih ve mimari</t>
        </is>
      </c>
      <c r="O99" s="29" t="inlineStr">
        <is>
          <t>Gestel</t>
        </is>
      </c>
      <c r="P99" s="29" t="inlineStr">
        <is>
          <t>Kapalı alan</t>
        </is>
      </c>
      <c r="Q99" s="29" t="inlineStr">
        <is>
          <t>Genneperweg 143, 5644 RS Eindhoven</t>
        </is>
      </c>
      <c r="R99" s="50" t="n">
        <v>51.42306</v>
      </c>
      <c r="S99" s="50" t="n">
        <v>5.47</v>
      </c>
      <c r="T99" s="29" t="n"/>
      <c r="U99" s="29" t="inlineStr">
        <is>
          <t>Evde ekmek yapanlar için un ve hazır karışım alınabilecek bir değirmen dükkânı. This is Eindhoven bisikletle 15 dakikalık yol diyor; telefon +31 (0)6 532 580 67.</t>
        </is>
      </c>
      <c r="V99" s="29" t="inlineStr">
        <is>
          <t>Hayır</t>
        </is>
      </c>
      <c r="W99" s="29" t="n"/>
    </row>
    <row r="100" ht="54" customHeight="1">
      <c r="A100" s="29" t="inlineStr">
        <is>
          <t>eindhoven:klooster-marienhage</t>
        </is>
      </c>
      <c r="B100" s="29" t="inlineStr">
        <is>
          <t>eindhoven</t>
        </is>
      </c>
      <c r="C100" s="29" t="inlineStr">
        <is>
          <t>klooster-marienhage</t>
        </is>
      </c>
      <c r="D100" s="29" t="inlineStr">
        <is>
          <t>Klooster Mariënhage</t>
        </is>
      </c>
      <c r="E100" s="29" t="inlineStr">
        <is>
          <t>Eski Mariënhage manastırı; bugün DOMUSDELA kompleksinde butik otel</t>
        </is>
      </c>
      <c r="F100" s="29" t="inlineStr">
        <is>
          <t>Mariënhage eski bir klooster (manastır); bugün Kanaalstraat 4'teki (5611 CT) DOMUSDELA kompleksinde butik Hotel Mariënhage olarak işletiliyor. Otelin tanıtımına göre burada Eindhoven'ın en eski duvarı korunmuş; girişte Hollandalı tasarım ikilisi Studio Drift'in ışık sanatı göze çarpıyor. Kompleksin içinde Brasserie Rita ile Restaurant Goyvaerts var; manastır bahçesinin adı Tuin van Eden (Aden Bahçesi). Otel, 'Gebouw van het jaar 2020' (2020'nin Yılın Binası) seçiminde halk ödülünü kazandı.</t>
        </is>
      </c>
      <c r="G100" s="29" t="inlineStr">
        <is>
          <t>Mariënhage, Klooster Mariënhage, manastır, Hotel Mariënhage, DOMUSDELA, Kanaalstraat, Centrum</t>
        </is>
      </c>
      <c r="H100" s="29" t="inlineStr">
        <is>
          <t>new;settled</t>
        </is>
      </c>
      <c r="I100" s="29" t="inlineStr">
        <is>
          <t>eindhoven:kaynak:333;eindhoven:kaynak:354</t>
        </is>
      </c>
      <c r="J100" s="49" t="n">
        <v>46317</v>
      </c>
      <c r="K100" s="51" t="n">
        <v>2316</v>
      </c>
      <c r="L100" s="29" t="inlineStr">
        <is>
          <t>Hayır</t>
        </is>
      </c>
      <c r="M100" s="29" t="inlineStr">
        <is>
          <t>Taslak</t>
        </is>
      </c>
      <c r="N100" s="29" t="inlineStr">
        <is>
          <t>Tarih ve mimari</t>
        </is>
      </c>
      <c r="O100" s="29" t="inlineStr">
        <is>
          <t>Centrum</t>
        </is>
      </c>
      <c r="P100" s="29" t="inlineStr">
        <is>
          <t>Kapalı alan</t>
        </is>
      </c>
      <c r="Q100" s="29" t="inlineStr">
        <is>
          <t>Kanaalstraat 4, 5611 CT Eindhoven</t>
        </is>
      </c>
      <c r="R100" s="50" t="n">
        <v>51.43859</v>
      </c>
      <c r="S100" s="50" t="n">
        <v>5.48504</v>
      </c>
      <c r="T100" s="29" t="n"/>
      <c r="U100" s="29" t="inlineStr">
        <is>
          <t>İstasyondan yürüyerek gelmek için merkez çıkışından Stationsplein'ı karşıya geçin, sağa Dommelstraat'a, sonra sola Vestdijk'e ve yine sola Kanaalstraat'a dönün; otelin girişi kilisenin uzun cephesi boyunca yürüyünce sokağın ortasında. Bisikletle gelenler iç avludaki bisiklet parkını, arabayla gelenler Q-Park de Heuvel'deki ya da otelin kendi arazisindeki ücretli park yerlerini kullanabiliyor.</t>
        </is>
      </c>
      <c r="V100" s="29" t="inlineStr">
        <is>
          <t>Hayır</t>
        </is>
      </c>
      <c r="W100" s="29" t="n"/>
    </row>
    <row r="101" ht="54" customHeight="1">
      <c r="A101" s="29" t="inlineStr">
        <is>
          <t>eindhoven:heilige-hartkerk-hart-van-eindhoven</t>
        </is>
      </c>
      <c r="B101" s="29" t="inlineStr">
        <is>
          <t>eindhoven</t>
        </is>
      </c>
      <c r="C101" s="29" t="inlineStr">
        <is>
          <t>heilige-hartkerk-hart-van-eindhoven</t>
        </is>
      </c>
      <c r="D101" s="29" t="inlineStr">
        <is>
          <t>Heilige Hartkerk (Hart van Eindhoven)</t>
        </is>
      </c>
      <c r="E101" s="29" t="inlineStr">
        <is>
          <t>Eski Heilige Hartkerk'te bowling, karaoke ve oyunları bir araya getiren eğlence merkezi</t>
        </is>
      </c>
      <c r="F101" s="29" t="inlineStr">
        <is>
          <t>Hart van Eindhoven, Ploegstraat 3'teki (5615 HA) eski Heilige Hartkerk (Kutsal Kalp Kilisesi) binasına kurulmuş bir eğlence merkezi. Kilisede bowling (Holy Bowling), özel odada karaoke, oyun barı De SpelKapel ve interaktif zeminde oynanan Beat the Matrix bir arada; oyun alanı 1500 m². Bowlingde pist başına saatlik ücret 28,50 euro'dan başlıyor. Pazartesi kapalı; salıdan perşembeye ve pazar 12:00–22:00, cuma ve cumartesi 12:00–00:00 açık, ama saatler rezervasyonlara göre belirleniyor.</t>
        </is>
      </c>
      <c r="G101" s="29" t="inlineStr">
        <is>
          <t>Hart van Eindhoven, Heilige Hartkerk, bowling, karaoke, kilise, Ploegstraat, Gestel</t>
        </is>
      </c>
      <c r="H101" s="29" t="inlineStr">
        <is>
          <t>new;settled</t>
        </is>
      </c>
      <c r="I101" s="29" t="inlineStr">
        <is>
          <t>eindhoven:kaynak:334;eindhoven:kaynak:355</t>
        </is>
      </c>
      <c r="J101" s="49" t="n">
        <v>46317</v>
      </c>
      <c r="K101" s="51" t="n">
        <v>2317</v>
      </c>
      <c r="L101" s="29" t="inlineStr">
        <is>
          <t>Hayır</t>
        </is>
      </c>
      <c r="M101" s="29" t="inlineStr">
        <is>
          <t>Taslak</t>
        </is>
      </c>
      <c r="N101" s="29" t="inlineStr">
        <is>
          <t>Tarih ve mimari</t>
        </is>
      </c>
      <c r="O101" s="29" t="inlineStr">
        <is>
          <t>Gestel</t>
        </is>
      </c>
      <c r="P101" s="29" t="inlineStr">
        <is>
          <t>Kapalı alan</t>
        </is>
      </c>
      <c r="Q101" s="29" t="inlineStr">
        <is>
          <t>Ploegstraat 3, 5615 HA Eindhoven</t>
        </is>
      </c>
      <c r="R101" s="50" t="n">
        <v>51.43301</v>
      </c>
      <c r="S101" s="50" t="n">
        <v>5.47275</v>
      </c>
      <c r="T101" s="29" t="n"/>
      <c r="U101" s="29" t="inlineStr">
        <is>
          <t>Rezervasyon web sitesinden online yapılıyor; mekân 2 ile 200 kişi arası grupları ağırlıyor. Grup, etkinlik ya da özel istekler için iletişim formu, telefonla ulaşmak için +31 40 298 95 35 kullanılıyor.</t>
        </is>
      </c>
      <c r="V101" s="29" t="inlineStr">
        <is>
          <t>Hayır</t>
        </is>
      </c>
      <c r="W101" s="29" t="n"/>
    </row>
    <row r="102" ht="54" customHeight="1">
      <c r="A102" s="29" t="inlineStr">
        <is>
          <t>eindhoven:catharinakerkhof</t>
        </is>
      </c>
      <c r="B102" s="29" t="inlineStr">
        <is>
          <t>eindhoven</t>
        </is>
      </c>
      <c r="C102" s="29" t="inlineStr">
        <is>
          <t>catharinakerkhof</t>
        </is>
      </c>
      <c r="D102" s="29" t="inlineStr">
        <is>
          <t>Catharinakerkhof</t>
        </is>
      </c>
      <c r="E102" s="29" t="inlineStr">
        <is>
          <t>Her gün ziyarete açık, Terebinth ve LOB üyesi Sint Catharinakerkhof mezarlığı</t>
        </is>
      </c>
      <c r="F102" s="29" t="inlineStr">
        <is>
          <t>Sint Catharinakerkhof bir begraafplaats (mezarlık); ziyaretçiler her gün açılış saatleri içinde gelebiliyor: yazın 09:00–19:00, kışın 09:00–17:00. Mezarlık, mezar mirasıyla ilgilenen Terebinth vakfına (Stichting funerair erfgoed) ve ulusal mezarlıklar birliği LOB'a üye. İdare, girişin hemen yanındaki Poortkamer'de çarşamba 9.30–11.00 arası açık.</t>
        </is>
      </c>
      <c r="G102" s="29" t="inlineStr">
        <is>
          <t>Catharinakerkhof, mezarlık, begraafplaats, Allerzielen, Zwembadweg, funerair erfgoed</t>
        </is>
      </c>
      <c r="H102" s="29" t="inlineStr">
        <is>
          <t>new;settled</t>
        </is>
      </c>
      <c r="I102" s="29" t="inlineStr">
        <is>
          <t>eindhoven:kaynak:335</t>
        </is>
      </c>
      <c r="J102" s="49" t="n">
        <v>46317</v>
      </c>
      <c r="K102" s="51" t="n">
        <v>2318</v>
      </c>
      <c r="L102" s="29" t="inlineStr">
        <is>
          <t>Hayır</t>
        </is>
      </c>
      <c r="M102" s="29" t="inlineStr">
        <is>
          <t>Taslak</t>
        </is>
      </c>
      <c r="N102" s="29" t="inlineStr">
        <is>
          <t>Tarih ve mimari</t>
        </is>
      </c>
      <c r="O102" s="29" t="inlineStr">
        <is>
          <t>Gestel</t>
        </is>
      </c>
      <c r="P102" s="29" t="inlineStr">
        <is>
          <t>Açık hava</t>
        </is>
      </c>
      <c r="Q102" s="29" t="inlineStr">
        <is>
          <t>Zwembadweg 20A, 5611 KS Eindhoven (girişin yanındaki idare)</t>
        </is>
      </c>
      <c r="R102" s="50" t="n">
        <v>51.43361</v>
      </c>
      <c r="S102" s="50" t="n">
        <v>5.47607</v>
      </c>
      <c r="T102" s="29" t="n"/>
      <c r="U102" s="29" t="inlineStr">
        <is>
          <t>Allerzielen (Tüm Ölüler Günü) anması 2 Kasım 2026'da saat 18.00'de mezarlığın Aula salonunda yapılıyor.</t>
        </is>
      </c>
      <c r="V102" s="29" t="inlineStr">
        <is>
          <t>Hayır</t>
        </is>
      </c>
      <c r="W102" s="29" t="n"/>
    </row>
    <row r="103" ht="54" customHeight="1">
      <c r="A103" s="29" t="inlineStr">
        <is>
          <t>eindhoven:18-septemberplein</t>
        </is>
      </c>
      <c r="B103" s="29" t="inlineStr">
        <is>
          <t>eindhoven</t>
        </is>
      </c>
      <c r="C103" s="29" t="inlineStr">
        <is>
          <t>18-septemberplein</t>
        </is>
      </c>
      <c r="D103" s="29" t="inlineStr">
        <is>
          <t>18 Septemberplein</t>
        </is>
      </c>
      <c r="E103" s="29" t="inlineStr">
        <is>
          <t>Adını 1944'teki kurtuluştan alan, salı pazarıyla bilinen merkez meydanı</t>
        </is>
      </c>
      <c r="F103" s="29" t="inlineStr">
        <is>
          <t>18 Septemberplein, Eindhoven'ın kalbinde Piazza, Demer, Vestdijk, Stationsplein ve Blob'un buluştuğu meydan. Adını şehrin 1944'teki kurtuluşundan alıyor ve en çok salı günleri kurulan haftalık pazarıyla biliniyor.</t>
        </is>
      </c>
      <c r="G103" s="29" t="inlineStr">
        <is>
          <t>18 Septemberplein, meydan, Blob, Piazza, Stationsplein, salı pazarı, kurtuluş</t>
        </is>
      </c>
      <c r="H103" s="29" t="inlineStr">
        <is>
          <t>new;settled</t>
        </is>
      </c>
      <c r="I103" s="29" t="inlineStr">
        <is>
          <t>eindhoven:kaynak:336</t>
        </is>
      </c>
      <c r="J103" s="49" t="n">
        <v>46317</v>
      </c>
      <c r="K103" s="51" t="n">
        <v>2319</v>
      </c>
      <c r="L103" s="29" t="inlineStr">
        <is>
          <t>Hayır</t>
        </is>
      </c>
      <c r="M103" s="29" t="inlineStr">
        <is>
          <t>Taslak</t>
        </is>
      </c>
      <c r="N103" s="29" t="inlineStr">
        <is>
          <t>Tarih ve mimari</t>
        </is>
      </c>
      <c r="O103" s="29" t="inlineStr">
        <is>
          <t>Centrum</t>
        </is>
      </c>
      <c r="P103" s="29" t="inlineStr">
        <is>
          <t>Açık hava</t>
        </is>
      </c>
      <c r="Q103" s="29" t="inlineStr">
        <is>
          <t>18 Septemberplein 1, 5611 AL Eindhoven</t>
        </is>
      </c>
      <c r="R103" s="50" t="n">
        <v>51.4413</v>
      </c>
      <c r="S103" s="50" t="n">
        <v>5.4776</v>
      </c>
      <c r="T103" s="29" t="n"/>
      <c r="U103" s="29" t="inlineStr">
        <is>
          <t>Adındaki 18 Eylül, Eindhoven'ın 1944'teki kurtuluşuna gönderme. Salı pazarının saatleri ve tezgâhları ayrı Centrale Markt kaydında anlatılıyor.</t>
        </is>
      </c>
      <c r="V103" s="29" t="inlineStr">
        <is>
          <t>Hayır</t>
        </is>
      </c>
      <c r="W103" s="29" t="n"/>
    </row>
    <row r="104" ht="54" customHeight="1">
      <c r="A104" s="29" t="inlineStr">
        <is>
          <t>eindhoven:eindhoven-centraal</t>
        </is>
      </c>
      <c r="B104" s="29" t="inlineStr">
        <is>
          <t>eindhoven</t>
        </is>
      </c>
      <c r="C104" s="29" t="inlineStr">
        <is>
          <t>eindhoven-centraal</t>
        </is>
      </c>
      <c r="D104" s="29" t="inlineStr">
        <is>
          <t>Eindhoven Centraal</t>
        </is>
      </c>
      <c r="E104" s="29" t="inlineStr">
        <is>
          <t>Şehre trenle gelip gitmenin ana kapısı olan merkez istasyon</t>
        </is>
      </c>
      <c r="F104" s="29" t="inlineStr">
        <is>
          <t>Eindhoven Centraal, This is Eindhoven'a göre şehre gelip gitmenin en iyi yolu olan merkez tren istasyonu; adresi Stationsplein 22, 5611 AC. Toplu taşımayla ilgili tüm bilgiler ns.nl ve 9292.nl'de; telefonla bilgi için 0900 92 92 veriliyor.</t>
        </is>
      </c>
      <c r="G104" s="29" t="inlineStr">
        <is>
          <t>Eindhoven Centraal, tren istasyonu, NS, 9292, Stationsplein, toplu taşıma</t>
        </is>
      </c>
      <c r="H104" s="29" t="inlineStr">
        <is>
          <t>planning;new</t>
        </is>
      </c>
      <c r="I104" s="29" t="inlineStr">
        <is>
          <t>eindhoven:kaynak:337</t>
        </is>
      </c>
      <c r="J104" s="49" t="n">
        <v>46317</v>
      </c>
      <c r="K104" s="51" t="n">
        <v>2320</v>
      </c>
      <c r="L104" s="29" t="inlineStr">
        <is>
          <t>Hayır</t>
        </is>
      </c>
      <c r="M104" s="29" t="inlineStr">
        <is>
          <t>Taslak</t>
        </is>
      </c>
      <c r="N104" s="29" t="inlineStr">
        <is>
          <t>Tarih ve mimari</t>
        </is>
      </c>
      <c r="O104" s="29" t="inlineStr">
        <is>
          <t>Centrum</t>
        </is>
      </c>
      <c r="P104" s="29" t="inlineStr">
        <is>
          <t>Kapalı alan</t>
        </is>
      </c>
      <c r="Q104" s="29" t="inlineStr">
        <is>
          <t>Stationsplein 22, 5611 AC Eindhoven</t>
        </is>
      </c>
      <c r="R104" s="50" t="n">
        <v>51.44278</v>
      </c>
      <c r="S104" s="50" t="n">
        <v>5.47972</v>
      </c>
      <c r="T104" s="29" t="n"/>
      <c r="U104" s="29" t="inlineStr">
        <is>
          <t>Trenden inince hızlı bir kahve ya da atıştırmalık için istasyon içinde Starbucks, Julia's ve AH to go gibi satış noktaları var.</t>
        </is>
      </c>
      <c r="V104" s="29" t="inlineStr">
        <is>
          <t>Hayır</t>
        </is>
      </c>
      <c r="W104" s="29" t="n"/>
    </row>
    <row r="105" ht="54" customHeight="1">
      <c r="A105" s="29" t="inlineStr">
        <is>
          <t>eindhoven:huize-de-laak</t>
        </is>
      </c>
      <c r="B105" s="29" t="inlineStr">
        <is>
          <t>eindhoven</t>
        </is>
      </c>
      <c r="C105" s="29" t="inlineStr">
        <is>
          <t>huize-de-laak</t>
        </is>
      </c>
      <c r="D105" s="29" t="inlineStr">
        <is>
          <t>Huize De Laak</t>
        </is>
      </c>
      <c r="E105" s="29" t="inlineStr">
        <is>
          <t>Anton Philips için 1907'de yapılan, Parklaan'dan görülebilen villa</t>
        </is>
      </c>
      <c r="F105" s="29" t="inlineStr">
        <is>
          <t>Huize (ya da Villa) de Laak, Dommel semtinin en etkileyici yapılarından biri. Villa 1907'de Anton Philips adına yaptırıldı; Anton Philips eşiyle birlikte burada yaşadı. Mülkte villanın yanı sıra arabalık (koetshuis), limonluk, bahçe evi, şoför evi ve Dommel'e komşu bir bahçe var. Villayı Johan Wilhelm Hanrath yaptı, bahçeyi Leonard Springer düzenledi; adını eskiden bölgeden geçen Dommel kolu Laak'tan alıyor.</t>
        </is>
      </c>
      <c r="G105" s="29" t="inlineStr">
        <is>
          <t>Huize De Laak, Villa de Laak, Anton Philips, Parklaan, Dommel, Hanrath, Tongelre</t>
        </is>
      </c>
      <c r="H105" s="29" t="inlineStr">
        <is>
          <t>new;settled</t>
        </is>
      </c>
      <c r="I105" s="29" t="inlineStr">
        <is>
          <t>eindhoven:kaynak:338;eindhoven:kaynak:339;eindhoven:kaynak:340</t>
        </is>
      </c>
      <c r="J105" s="49" t="n">
        <v>46317</v>
      </c>
      <c r="K105" s="51" t="n">
        <v>2321</v>
      </c>
      <c r="L105" s="29" t="inlineStr">
        <is>
          <t>Hayır</t>
        </is>
      </c>
      <c r="M105" s="29" t="inlineStr">
        <is>
          <t>Taslak</t>
        </is>
      </c>
      <c r="N105" s="29" t="inlineStr">
        <is>
          <t>Tarih ve mimari</t>
        </is>
      </c>
      <c r="O105" s="29" t="inlineStr">
        <is>
          <t>Tongelre</t>
        </is>
      </c>
      <c r="P105" s="29" t="inlineStr">
        <is>
          <t>Açık hava</t>
        </is>
      </c>
      <c r="Q105" s="29" t="inlineStr">
        <is>
          <t>Parklaan 99, 5611 CW Eindhoven</t>
        </is>
      </c>
      <c r="R105" s="50" t="n">
        <v>51.44107</v>
      </c>
      <c r="S105" s="50" t="n">
        <v>5.48631</v>
      </c>
      <c r="T105" s="29" t="n"/>
      <c r="U105" s="29" t="inlineStr">
        <is>
          <t>Villa serbestçe ziyarete açık değil ama Parklaan'dan iyi görülebiliyor. Nachtegaallaan'dan yukarı yürürseniz arabalığı sağ tarafınızda görürsünüz.</t>
        </is>
      </c>
      <c r="V105" s="29" t="inlineStr">
        <is>
          <t>Hayır</t>
        </is>
      </c>
      <c r="W105" s="29" t="n"/>
    </row>
    <row r="106" ht="54" customHeight="1">
      <c r="A106" s="29" t="inlineStr">
        <is>
          <t>eindhoven:philipsdorp</t>
        </is>
      </c>
      <c r="B106" s="29" t="inlineStr">
        <is>
          <t>eindhoven</t>
        </is>
      </c>
      <c r="C106" s="29" t="inlineStr">
        <is>
          <t>philipsdorp</t>
        </is>
      </c>
      <c r="D106" s="29" t="inlineStr">
        <is>
          <t>Philipsdorp</t>
        </is>
      </c>
      <c r="E106" s="29" t="inlineStr">
        <is>
          <t>Hızla büyüyen Philips fabrikasının çalışanları için Strijp'te kurulan işçi mahallesi</t>
        </is>
      </c>
      <c r="F106" s="29" t="inlineStr">
        <is>
          <t>Philipsdorp, hızla büyüyen Philips fabrikasının çalışanlarına kendilerine ait bir yer sağlamak amacıyla Strijp semtinde kuruldu. This is Eindhoven'a göre mahalle, Philips'in Drenthe'den gelen işçiler için 1920'lerde yaptırdığı Drents Dorp'tan yaklaşık on yıl önce yapıldı. Şirketin altın çağında gelişen ve bugün de Philips'le anılan bölgelerden biri.</t>
        </is>
      </c>
      <c r="G106" s="29" t="inlineStr">
        <is>
          <t>Philipsdorp, Philips, işçi mahallesi, Strijp, Drents Dorp, PSV</t>
        </is>
      </c>
      <c r="H106" s="29" t="inlineStr">
        <is>
          <t>new;settled</t>
        </is>
      </c>
      <c r="I106" s="29" t="inlineStr">
        <is>
          <t>eindhoven:kaynak:339;eindhoven:kaynak:340</t>
        </is>
      </c>
      <c r="J106" s="49" t="n">
        <v>46317</v>
      </c>
      <c r="K106" s="51" t="n">
        <v>2322</v>
      </c>
      <c r="L106" s="29" t="inlineStr">
        <is>
          <t>Hayır</t>
        </is>
      </c>
      <c r="M106" s="29" t="inlineStr">
        <is>
          <t>Taslak</t>
        </is>
      </c>
      <c r="N106" s="29" t="inlineStr">
        <is>
          <t>Tarih ve mimari</t>
        </is>
      </c>
      <c r="O106" s="29" t="inlineStr">
        <is>
          <t>Strijp</t>
        </is>
      </c>
      <c r="P106" s="29" t="inlineStr">
        <is>
          <t>Açık hava</t>
        </is>
      </c>
      <c r="Q106" s="29" t="inlineStr">
        <is>
          <t>Philipsdorp, Strijp semti, Eindhoven</t>
        </is>
      </c>
      <c r="R106" s="50" t="n">
        <v>51.4414</v>
      </c>
      <c r="S106" s="50" t="n">
        <v>5.4644</v>
      </c>
      <c r="T106" s="29" t="n"/>
      <c r="U106" s="29" t="inlineStr">
        <is>
          <t>PSV'nin evi Philips Stadion da bu mahalleye bağlı: Philips geçen yüzyılın başında Philipsdorp sakinleri için şehirle Strijp-S fabrikaları arasındaki bir çayırda spor parkı kurdu. Bugün aynı yerde 35.150 kişilik bir stadyum var.</t>
        </is>
      </c>
      <c r="V106" s="29" t="inlineStr">
        <is>
          <t>Hayır</t>
        </is>
      </c>
      <c r="W106" s="29" t="n"/>
    </row>
    <row r="107" ht="54" customHeight="1">
      <c r="A107" s="29" t="inlineStr">
        <is>
          <t>eindhoven:de-witte-dame-lichtfabriek</t>
        </is>
      </c>
      <c r="B107" s="29" t="inlineStr">
        <is>
          <t>eindhoven</t>
        </is>
      </c>
      <c r="C107" s="29" t="inlineStr">
        <is>
          <t>de-witte-dame-lichtfabriek</t>
        </is>
      </c>
      <c r="D107" s="29" t="inlineStr">
        <is>
          <t>De Witte Dame</t>
        </is>
      </c>
      <c r="E107" s="29" t="inlineStr">
        <is>
          <t>Philips'in eski ampul fabrikası, bugün tasarım, sanat ve bilgi binası</t>
        </is>
      </c>
      <c r="F107" s="29" t="inlineStr">
        <is>
          <t>De Witte Dame (Beyaz Hanım), ampul üretimi büyüyünce Philips'in Emmasingel'deki ilk küçük fabrikanın yolun karşısına yeni fabrika binası olarak yaptırdığı yapı. Bugün tasarım, sanat, bilgi ve teknoloji için kullanılan çok işlevli bir bina ve Eindhoven'ın en kolay tanınan yapılarından biri. This is Eindhoven'a göre bina, şehrin yıllar içinde geçirdiği değişimin simgesi.</t>
        </is>
      </c>
      <c r="G107" s="29" t="inlineStr">
        <is>
          <t>De Witte Dame, Witte Dame, Beyaz Hanım, Philips, Emmasingel, Philips Museum, tasarım</t>
        </is>
      </c>
      <c r="H107" s="29" t="inlineStr">
        <is>
          <t>new;settled</t>
        </is>
      </c>
      <c r="I107" s="29" t="inlineStr">
        <is>
          <t>eindhoven:kaynak:340;eindhoven:kaynak:339</t>
        </is>
      </c>
      <c r="J107" s="49" t="n">
        <v>46317</v>
      </c>
      <c r="K107" s="51" t="n">
        <v>2323</v>
      </c>
      <c r="L107" s="29" t="inlineStr">
        <is>
          <t>Hayır</t>
        </is>
      </c>
      <c r="M107" s="29" t="inlineStr">
        <is>
          <t>Taslak</t>
        </is>
      </c>
      <c r="N107" s="29" t="inlineStr">
        <is>
          <t>Tarih ve mimari</t>
        </is>
      </c>
      <c r="O107" s="29" t="inlineStr">
        <is>
          <t>Centrum</t>
        </is>
      </c>
      <c r="P107" s="29" t="inlineStr">
        <is>
          <t>Karma</t>
        </is>
      </c>
      <c r="Q107" s="29" t="inlineStr">
        <is>
          <t>Emmasingel, Eindhoven merkez (Philips Museum'un karşısı)</t>
        </is>
      </c>
      <c r="R107" s="50" t="n">
        <v>51.43889</v>
      </c>
      <c r="S107" s="50" t="n">
        <v>5.47444</v>
      </c>
      <c r="T107" s="29" t="n"/>
      <c r="U107" s="29" t="inlineStr">
        <is>
          <t>Tam karşısındaki eski küçük ampul fabrikası 2001'den beri ulusal anıt ve bugün Philips Museum'a da ev sahipliği yapıyor; iki bina yolun iki yanında, karşı karşıya duruyor.</t>
        </is>
      </c>
      <c r="V107" s="29" t="inlineStr">
        <is>
          <t>Hayır</t>
        </is>
      </c>
      <c r="W107" s="29" t="n"/>
    </row>
    <row r="108" ht="54" customHeight="1">
      <c r="A108" s="29" t="inlineStr">
        <is>
          <t>eindhoven:de-oude-telefooncentrale</t>
        </is>
      </c>
      <c r="B108" s="29" t="inlineStr">
        <is>
          <t>eindhoven</t>
        </is>
      </c>
      <c r="C108" s="29" t="inlineStr">
        <is>
          <t>de-oude-telefooncentrale</t>
        </is>
      </c>
      <c r="D108" s="29" t="inlineStr">
        <is>
          <t>De Oude Telefooncentrale</t>
        </is>
      </c>
      <c r="E108" s="29" t="inlineStr">
        <is>
          <t>1978'e kadar Eindhoven'ın telefon santralinin çalıştığı eski Philips binası SEY</t>
        </is>
      </c>
      <c r="F108" s="29" t="inlineStr">
        <is>
          <t>De Oude Telefooncentrale (Eski Telefon Santrali), Strijp-S'te eskiden SEY diye anılan bir Philips binasında. Eindhoven'ın telefon santrali 1978'e kadar burada çalıştı; santral operatörleri birinci kattaydı. Bugün yeme-içme mekânı: This is Eindhoven'ın Strijp-S rehberi onu 'Coffee, beer, wine and more' (kahve, bira, şarap ve dahası) başlığı altında, 'Other cuisines' (başka mutfaklar) etiketiyle listeliyor. Pazartesiden cumartesiye 11:00–22:00, pazar 11:00–21:00 açık.</t>
        </is>
      </c>
      <c r="G108" s="29" t="inlineStr">
        <is>
          <t>De Oude Telefooncentrale, SEY, Philips, telefon santrali, Strijp-S, Horowitzstraat</t>
        </is>
      </c>
      <c r="H108" s="29" t="inlineStr">
        <is>
          <t>new;settled</t>
        </is>
      </c>
      <c r="I108" s="29" t="inlineStr">
        <is>
          <t>eindhoven:kaynak:341;eindhoven:kaynak:234</t>
        </is>
      </c>
      <c r="J108" s="49" t="n">
        <v>46317</v>
      </c>
      <c r="K108" s="51" t="n">
        <v>2324</v>
      </c>
      <c r="L108" s="29" t="inlineStr">
        <is>
          <t>Hayır</t>
        </is>
      </c>
      <c r="M108" s="29" t="inlineStr">
        <is>
          <t>Taslak</t>
        </is>
      </c>
      <c r="N108" s="29" t="inlineStr">
        <is>
          <t>Tarih ve mimari</t>
        </is>
      </c>
      <c r="O108" s="29" t="inlineStr">
        <is>
          <t>Strijp</t>
        </is>
      </c>
      <c r="P108" s="29" t="inlineStr">
        <is>
          <t>Kapalı alan</t>
        </is>
      </c>
      <c r="Q108" s="29" t="inlineStr">
        <is>
          <t>Professor Horowitzstraat 200, 5617 BD Eindhoven</t>
        </is>
      </c>
      <c r="R108" s="50" t="n">
        <v>51.44508</v>
      </c>
      <c r="S108" s="50" t="n">
        <v>5.45847</v>
      </c>
      <c r="T108" s="29" t="n"/>
      <c r="U108" s="29" t="inlineStr">
        <is>
          <t>This is Eindhoven burayı birbirinize vakit ayırabileceğiniz bir yer olarak tanıtıyor ve personelin de sohbet etmeye hevesli olduğunu özellikle belirtiyor. Telefon: +31 (0)40 240 20 24.</t>
        </is>
      </c>
      <c r="V108" s="29" t="inlineStr">
        <is>
          <t>Hayır</t>
        </is>
      </c>
      <c r="W108" s="29" t="n"/>
    </row>
    <row r="109" ht="54" customHeight="1">
      <c r="A109" s="29" t="inlineStr">
        <is>
          <t>eindhoven:ton-smits-huis</t>
        </is>
      </c>
      <c r="B109" s="29" t="inlineStr">
        <is>
          <t>eindhoven</t>
        </is>
      </c>
      <c r="C109" s="29" t="inlineStr">
        <is>
          <t>ton-smits-huis</t>
        </is>
      </c>
      <c r="D109" s="29" t="inlineStr">
        <is>
          <t>Ton Smits Huis</t>
        </is>
      </c>
      <c r="E109" s="29" t="inlineStr">
        <is>
          <t>Karikatürist ve ressam Ton Smits'in eski atölye evi, bugün kayıtlı bir müze</t>
        </is>
      </c>
      <c r="F109" s="29" t="inlineStr">
        <is>
          <t>Eindhoven'daki bu müze tümüyle ressam ve karikatürist Ton Smits'e (1921-1981) ayrılmış; kapılarını 1983 sonunda açtı, Nisan 2009'da resmî müze kaydına girdi. Koleksiyonda yaklaşık yirmi bin özgün karikatür ve kurşun kalem eskiz ile birkaç yüz tablo var. Evin eski atölyesi sergi alanına dönüştürülmüş; Ton Smits temalı değişen sergilerin yanında başka sanatçıların işlerine de yer verilmeye çalışılıyor. Giriş kişi başı 3,50 euro.</t>
        </is>
      </c>
      <c r="G109" s="29" t="inlineStr">
        <is>
          <t>Ton Smits, karikatür, cartoon, müze, atölye evi, Stratum</t>
        </is>
      </c>
      <c r="H109" s="29" t="inlineStr">
        <is>
          <t>new;settled</t>
        </is>
      </c>
      <c r="I109" s="29" t="inlineStr">
        <is>
          <t>eindhoven:kaynak:342;eindhoven:kaynak:343</t>
        </is>
      </c>
      <c r="J109" s="49" t="n">
        <v>46317</v>
      </c>
      <c r="K109" s="51" t="n">
        <v>2401</v>
      </c>
      <c r="L109" s="29" t="inlineStr">
        <is>
          <t>Hayır</t>
        </is>
      </c>
      <c r="M109" s="29" t="inlineStr">
        <is>
          <t>Taslak</t>
        </is>
      </c>
      <c r="N109" s="29" t="inlineStr">
        <is>
          <t>Müzeler</t>
        </is>
      </c>
      <c r="O109" s="29" t="inlineStr">
        <is>
          <t>Stratum</t>
        </is>
      </c>
      <c r="P109" s="29" t="inlineStr">
        <is>
          <t>Kapalı alan</t>
        </is>
      </c>
      <c r="Q109" s="29" t="inlineStr">
        <is>
          <t>Jacob Reviuslaan 25, 5644 TP Eindhoven</t>
        </is>
      </c>
      <c r="R109" s="50" t="n">
        <v>51.42232</v>
      </c>
      <c r="S109" s="50" t="n">
        <v>5.48181</v>
      </c>
      <c r="T109" s="29" t="n"/>
      <c r="U109" s="29" t="inlineStr">
        <is>
          <t>Kapıda yalnız nakit alınıyor, kartla ödeme yok; Museumkaart da geçmiyor. 10 kişi ve üzeri gruplar kişi başı 3,00 euro ödüyor.</t>
        </is>
      </c>
      <c r="V109" s="29" t="inlineStr">
        <is>
          <t>Hayır</t>
        </is>
      </c>
      <c r="W109" s="29" t="n"/>
    </row>
    <row r="110" ht="54" customHeight="1">
      <c r="A110" s="29" t="inlineStr">
        <is>
          <t>eindhoven:hezemans-indoor-karting</t>
        </is>
      </c>
      <c r="B110" s="29" t="inlineStr">
        <is>
          <t>eindhoven</t>
        </is>
      </c>
      <c r="C110" s="29" t="inlineStr">
        <is>
          <t>hezemans-indoor-karting</t>
        </is>
      </c>
      <c r="D110" s="29" t="inlineStr">
        <is>
          <t>Hezemans Indoor Karting</t>
        </is>
      </c>
      <c r="E110" s="29" t="inlineStr">
        <is>
          <t>Mike Hezemans'ın tasarladığı iki katlı elektrikli kart pisti</t>
        </is>
      </c>
      <c r="F110" s="29" t="inlineStr">
        <is>
          <t>Vijfkamplaan'daki bu kapalı pistte elektrikli kartlarla yarışılıyor; parkuru yarış pilotu Mike Hezemans tasarlamış. Pist 650 metre uzunluğunda, 5 ile 9 metre arası genişlikte, 12 virajlı ve iki katlı; KNAF sertifikası taşıyor. Bir heat 8 dakika sürüyor. Yetişkin karting sayfasındaki güncel fiyatlar kişi başı: tek heat 19,99 euro, iki heat 37,99 euro, üç heat 49,99 euro.</t>
        </is>
      </c>
      <c r="G110" s="29" t="inlineStr">
        <is>
          <t>karting, elektrikli kart, kart pisti, Hezemans, kapalı spor, Woensel</t>
        </is>
      </c>
      <c r="H110" s="29" t="inlineStr">
        <is>
          <t>new;settled</t>
        </is>
      </c>
      <c r="I110" s="29" t="inlineStr">
        <is>
          <t>eindhoven:kaynak:344</t>
        </is>
      </c>
      <c r="J110" s="49" t="n">
        <v>46317</v>
      </c>
      <c r="K110" s="51" t="n">
        <v>2402</v>
      </c>
      <c r="L110" s="29" t="inlineStr">
        <is>
          <t>Hayır</t>
        </is>
      </c>
      <c r="M110" s="29" t="inlineStr">
        <is>
          <t>Taslak</t>
        </is>
      </c>
      <c r="N110" s="29" t="inlineStr">
        <is>
          <t>Spor</t>
        </is>
      </c>
      <c r="O110" s="29" t="inlineStr">
        <is>
          <t>Woensel-Noord</t>
        </is>
      </c>
      <c r="P110" s="29" t="inlineStr">
        <is>
          <t>Kapalı alan</t>
        </is>
      </c>
      <c r="Q110" s="29" t="inlineStr">
        <is>
          <t>Vijfkamplaan, Eindhoven</t>
        </is>
      </c>
      <c r="R110" s="50" t="n">
        <v>51.4755</v>
      </c>
      <c r="S110" s="50" t="n">
        <v>5.45844</v>
      </c>
      <c r="T110" s="29" t="n"/>
      <c r="U110" s="29" t="inlineStr">
        <is>
          <t>Yetişkin kartları yaklaşık 60 km/s, junior kartları 50 km/s, mini kartları 30 km/s hıza çıkıyor. Özel kıyafet gerekmiyor ama kapalı ayakkabı şart, terlik ya da sandaletle sürülmüyor; atkı gibi uçuşan ya da sarkan giysilere izin verilmiyor, başörtüsü ise tişörtün içine sokulabiliyor.</t>
        </is>
      </c>
      <c r="V110" s="29" t="inlineStr">
        <is>
          <t>Hayır</t>
        </is>
      </c>
      <c r="W110" s="29" t="n"/>
    </row>
    <row r="111" ht="54" customHeight="1">
      <c r="A111" s="29" t="inlineStr">
        <is>
          <t>eindhoven:stadhuis-van-eindhoven</t>
        </is>
      </c>
      <c r="B111" s="29" t="inlineStr">
        <is>
          <t>eindhoven</t>
        </is>
      </c>
      <c r="C111" s="29" t="inlineStr">
        <is>
          <t>stadhuis-van-eindhoven</t>
        </is>
      </c>
      <c r="D111" s="29" t="inlineStr">
        <is>
          <t>Stadhuis van Eindhoven</t>
        </is>
      </c>
      <c r="E111" s="29" t="inlineStr">
        <is>
          <t>Meclis salonunun ve nikâh salonunun bulunduğu belediye binası</t>
        </is>
      </c>
      <c r="F111" s="29" t="inlineStr">
        <is>
          <t>Eindhoven belediye binası (stadhuis) Stadhuisplein 1'de. İçeri, bir wethouder (belediye başkan yardımcısı) ya da meclis üyesiyle randevunuz varsa veya bir meclis toplantısını izlemek istiyorsanız girebiliyorsunuz; belediyenin nikâh salonu da bu binada. Belediye işlemlerinin yapıldığı Inwonersplein (vatandaş hizmet salonu) binanın hemen solunda, büyük kırmızı okun yanında.</t>
        </is>
      </c>
      <c r="G111" s="29" t="inlineStr">
        <is>
          <t>stadhuis, belediye binası, gemeente Eindhoven, Inwonersplein, nikâh salonu, Stadhuisplein</t>
        </is>
      </c>
      <c r="H111" s="29" t="inlineStr">
        <is>
          <t>new;settled</t>
        </is>
      </c>
      <c r="I111" s="29" t="inlineStr">
        <is>
          <t>eindhoven:kaynak:345</t>
        </is>
      </c>
      <c r="J111" s="49" t="n">
        <v>46317</v>
      </c>
      <c r="K111" s="51" t="n">
        <v>2403</v>
      </c>
      <c r="L111" s="29" t="inlineStr">
        <is>
          <t>Hayır</t>
        </is>
      </c>
      <c r="M111" s="29" t="inlineStr">
        <is>
          <t>Taslak</t>
        </is>
      </c>
      <c r="N111" s="29" t="inlineStr">
        <is>
          <t>Tarih ve mimari</t>
        </is>
      </c>
      <c r="O111" s="29" t="inlineStr">
        <is>
          <t>Centrum</t>
        </is>
      </c>
      <c r="P111" s="29" t="inlineStr">
        <is>
          <t>Kapalı alan</t>
        </is>
      </c>
      <c r="Q111" s="29" t="inlineStr">
        <is>
          <t>Stadhuisplein 1, 5611 EM Eindhoven</t>
        </is>
      </c>
      <c r="R111" s="50" t="n">
        <v>51.435</v>
      </c>
      <c r="S111" s="50" t="n">
        <v>5.48</v>
      </c>
      <c r="T111" s="29" t="n"/>
      <c r="U111" s="29" t="inlineStr">
        <is>
          <t>Inwonersplein pazartesi 8.30-19.00, salı-cuma 8.30-17.00, cumartesi 9.00-12.00 arası açık ama önce online ya da 14 040 üzerinden randevu gerekiyor. Cumartesi yalnız randevuyla ve yalnız Hollanda pasaportu ya da kimlik kartı, ehliyet, VOG (iyi hal belgesi) ve BRP uittreksel (nüfus kaydı örneği) başvurusu yapılıyor; diğer işler için hafta içine randevu alınıyor. Hazırlanmış belgeyi teslim almak için randevu şart değil. Tekerlekli sandalye kullananlar için iki rampa ve bir engelli asansörü var.</t>
        </is>
      </c>
      <c r="V111" s="29" t="inlineStr">
        <is>
          <t>Hayır</t>
        </is>
      </c>
      <c r="W111" s="29" t="n"/>
    </row>
    <row r="112" ht="54" customHeight="1">
      <c r="A112" s="29" t="inlineStr">
        <is>
          <t>eindhoven:victoriapark</t>
        </is>
      </c>
      <c r="B112" s="29" t="inlineStr">
        <is>
          <t>eindhoven</t>
        </is>
      </c>
      <c r="C112" s="29" t="inlineStr">
        <is>
          <t>victoriapark</t>
        </is>
      </c>
      <c r="D112" s="29" t="inlineStr">
        <is>
          <t>Victoriapark</t>
        </is>
      </c>
      <c r="E112" s="29" t="inlineStr">
        <is>
          <t>Şehir merkezinde eski bir otoparkın yerine yapılan, içinden yeniden yüzeye çıkarılan Gender deresi geçen park</t>
        </is>
      </c>
      <c r="F112" s="29" t="inlineStr">
        <is>
          <t>Victoriapark, Emmasingelkwadrant'ı şehir merkezinin yeni cazibe noktasına dönüştüren projenin parçası: Victoriapark, Lichtstraat ve Lichtplein sokakları arasındaki eski otopark alanında, Philips'in simge yapılarıyla çevrili bir park. Yapımına Ağustos 2024'te başlandı; 2026 yazından beri büyük bölümü hazır: yürüyüş yolları, yeniden yüzeye çıkarılan Gender deresi, dere üzerindeki köprü ve Gerard Philips heykeli yerinde. Tamamlandığında 13.000 metrekarelik alanda 200 ağaç olacak; park ve dere sağanak yağmurda suyu toplama işi de görüyor. Öğle arasında ya da şehirde alışveriş yaparken kısa bir mola yeri olarak düşünüldü.</t>
        </is>
      </c>
      <c r="G112" s="29" t="inlineStr">
        <is>
          <t>Victoriapark, şehir parkı, Gender deresi, Emmasingelkwadrant, Gerard Philips, Centrum</t>
        </is>
      </c>
      <c r="H112" s="29" t="inlineStr">
        <is>
          <t>new;settled</t>
        </is>
      </c>
      <c r="I112" s="29" t="inlineStr">
        <is>
          <t>eindhoven:kaynak:359</t>
        </is>
      </c>
      <c r="J112" s="49" t="n">
        <v>46317</v>
      </c>
      <c r="K112" s="51" t="n">
        <v>2501</v>
      </c>
      <c r="L112" s="29" t="inlineStr">
        <is>
          <t>Hayır</t>
        </is>
      </c>
      <c r="M112" s="29" t="inlineStr">
        <is>
          <t>Taslak</t>
        </is>
      </c>
      <c r="N112" s="29" t="inlineStr">
        <is>
          <t>Doğa ve açık hava</t>
        </is>
      </c>
      <c r="O112" s="29" t="inlineStr">
        <is>
          <t>Centrum</t>
        </is>
      </c>
      <c r="P112" s="29" t="inlineStr">
        <is>
          <t>Açık hava</t>
        </is>
      </c>
      <c r="Q112" s="29" t="inlineStr">
        <is>
          <t>Victoriapark, Lichtstraat ve Lichtplein sokakları arası, Eindhoven</t>
        </is>
      </c>
      <c r="R112" s="50" t="n">
        <v>51.439969</v>
      </c>
      <c r="S112" s="50" t="n">
        <v>5.472656</v>
      </c>
      <c r="T112" s="29" t="n"/>
      <c r="U112" s="29" t="inlineStr">
        <is>
          <t>Park henüz tam bitmedi: belediyenin Ekim 2026'daki planına göre 2026 sonunda studio VANTOT'un ışık eseri Sunseeker parka yerleştirilecek, ağaçlar ve çalılar dikilecek; çim ve çiçek karışımı 2027 baharında ekilecek. Belediye, zemin her yerde aynı kolaylıkta işlenemediği için bazı işlerin uzadığını da yazıyor. Parktaki Gerard Philips heykeli 'Poort naar de toekomst' (Geleceğe Açılan Kapı), şehirde Anton ve Frits Philips'in birer köşesi varken eksik kalan Gerard Philips'e bir saygı; eser 15 Mayıs 2023'te belediyeye resmen bağışlandı.</t>
        </is>
      </c>
      <c r="V112" s="29" t="inlineStr">
        <is>
          <t>Hayır</t>
        </is>
      </c>
      <c r="W112" s="29" t="n"/>
    </row>
    <row r="113" ht="54" customHeight="1">
      <c r="A113" s="29" t="inlineStr">
        <is>
          <t>eindhoven:landgoed-de-grote-beek</t>
        </is>
      </c>
      <c r="B113" s="29" t="inlineStr">
        <is>
          <t>eindhoven</t>
        </is>
      </c>
      <c r="C113" s="29" t="inlineStr">
        <is>
          <t>landgoed-de-grote-beek</t>
        </is>
      </c>
      <c r="D113" s="29" t="inlineStr">
        <is>
          <t>Landgoed De Grote Beek</t>
        </is>
      </c>
      <c r="E113" s="29" t="inlineStr">
        <is>
          <t>Ruh sağlığı kurumu GGzE'nin yüz yılı aşkın süredir bulunduğu yeşil arazide 4 kilometrelik Breinpad doğa yürüyüşü</t>
        </is>
      </c>
      <c r="F113" s="29" t="inlineStr">
        <is>
          <t>Landgoed De Grote Beek (De Grote Beek malikânesi), ruh sağlığı kurumu GGzE'nin yüz yılı aşkın süredir yer aldığı yeşil bir arazi; binaların, ormanın, sanat eserlerinin ve doğanın arasından yürünüyor. GGzE psikolojik sorunları olan çocuk, genç, yetişkin ve yaşlılara bakım ve destek veriyor; arazide kurumun binaları var: buraya randevuyla gelenler doğru binayı arazideki bilgi panolarından buluyor, resepsiyon Boschdijk'teki ana girişte. Arazideki Breinpad toplam 4 kilometrelik kıvrımlı bir rota: ilgi çekici yapıların, sanat eserlerinin ve oturma yerlerinin yanından geçiyor, yönü Breinmarker denen işaretlerden takip ediliyor. GGzE, Breinpad'i 2018'den beri danışanlarına, onların yakınlarına ve çalışanlarına olduğu kadar Brainport bölgesinde yaşayanlara, derneklere ve şirketlere de yürüyüş alanı olarak açıyor.</t>
        </is>
      </c>
      <c r="G113" s="29" t="inlineStr">
        <is>
          <t>Landgoed De Grote Beek, Breinpad, doğa yürüyüşü, orman, GGzE, Woensel</t>
        </is>
      </c>
      <c r="H113" s="29" t="inlineStr">
        <is>
          <t>new;settled</t>
        </is>
      </c>
      <c r="I113" s="29" t="inlineStr">
        <is>
          <t>eindhoven:kaynak:360;eindhoven:kaynak:391;eindhoven:kaynak:392</t>
        </is>
      </c>
      <c r="J113" s="49" t="n">
        <v>46317</v>
      </c>
      <c r="K113" s="51" t="n">
        <v>2502</v>
      </c>
      <c r="L113" s="29" t="inlineStr">
        <is>
          <t>Hayır</t>
        </is>
      </c>
      <c r="M113" s="29" t="inlineStr">
        <is>
          <t>Taslak</t>
        </is>
      </c>
      <c r="N113" s="29" t="inlineStr">
        <is>
          <t>Doğa ve açık hava</t>
        </is>
      </c>
      <c r="O113" s="29" t="inlineStr">
        <is>
          <t>Woensel-Zuid</t>
        </is>
      </c>
      <c r="P113" s="29" t="inlineStr">
        <is>
          <t>Açık hava</t>
        </is>
      </c>
      <c r="Q113" s="29" t="inlineStr">
        <is>
          <t>Landgoed De Grote Beek, Eindhoven</t>
        </is>
      </c>
      <c r="R113" s="50" t="n">
        <v>51.467425</v>
      </c>
      <c r="S113" s="50" t="n">
        <v>5.446903</v>
      </c>
      <c r="T113" s="29" t="n"/>
      <c r="U113" s="29" t="inlineStr">
        <is>
          <t>GGzE'nin sayfasından PDF olarak indirilebilen 'Breinpad wandelgids 2024' (Breinpad yürüyüş rehberi), rotanın ardındaki düşünceyi anlatıyor.</t>
        </is>
      </c>
      <c r="V113" s="29" t="inlineStr">
        <is>
          <t>Hayır</t>
        </is>
      </c>
      <c r="W113" s="29" t="n"/>
    </row>
    <row r="114" ht="54" customHeight="1">
      <c r="A114" s="29" t="inlineStr">
        <is>
          <t>eindhoven:stratumse-heide</t>
        </is>
      </c>
      <c r="B114" s="29" t="inlineStr">
        <is>
          <t>eindhoven</t>
        </is>
      </c>
      <c r="C114" s="29" t="inlineStr">
        <is>
          <t>stratumse-heide</t>
        </is>
      </c>
      <c r="D114" s="29" t="inlineStr">
        <is>
          <t>Stratumse Heide</t>
        </is>
      </c>
      <c r="E114" s="29" t="inlineStr">
        <is>
          <t>Eindhoven'ın güneydoğu ucunda, Schuttersbosch adıyla da bilinen, küçük gölleri olan orman alanı</t>
        </is>
      </c>
      <c r="F114" s="29" t="inlineStr">
        <is>
          <t>Stratumse Heide, Brabants Landschap'ın Eindhoven'ın güneydoğusundaki doğa alanlarından biri; buradaki ormana Schuttersbosch da deniyor. Şehre hemen bitişik olan orman yürüyüşçüler, bisikletliler ve açık havada spor yapanlar tarafından çok ziyaret ediliyor. Alan aslında uçuşan kum üzerinde bir heide'ydi (fundalık); kereste için sarıçamla ağaçlandırıldı, zamanla Amerikan meşesi gibi yapraklı ağaçların da karıştığı bir ormana dönüştü. Alandaki birkaç ven (sığ küçük göl), burayı hem ziyaretçiler hem hayvanlar için çekici kılıyor.</t>
        </is>
      </c>
      <c r="G114" s="29" t="inlineStr">
        <is>
          <t>Stratumse Heide, Schuttersbosch, doğa yürüyüşü, fundalık, Schotse hooglanders, bisiklet, Stratum</t>
        </is>
      </c>
      <c r="H114" s="29" t="inlineStr">
        <is>
          <t>new;settled</t>
        </is>
      </c>
      <c r="I114" s="29" t="inlineStr">
        <is>
          <t>eindhoven:kaynak:361</t>
        </is>
      </c>
      <c r="J114" s="49" t="n">
        <v>46317</v>
      </c>
      <c r="K114" s="51" t="n">
        <v>2503</v>
      </c>
      <c r="L114" s="29" t="inlineStr">
        <is>
          <t>Hayır</t>
        </is>
      </c>
      <c r="M114" s="29" t="inlineStr">
        <is>
          <t>Taslak</t>
        </is>
      </c>
      <c r="N114" s="29" t="inlineStr">
        <is>
          <t>Doğa ve açık hava</t>
        </is>
      </c>
      <c r="O114" s="29" t="inlineStr">
        <is>
          <t>Stratum</t>
        </is>
      </c>
      <c r="P114" s="29" t="inlineStr">
        <is>
          <t>Açık hava</t>
        </is>
      </c>
      <c r="Q114" s="29" t="inlineStr">
        <is>
          <t>Stratumse Heide (Schuttersbosch), Eindhoven'ın güneydoğu kenarı</t>
        </is>
      </c>
      <c r="R114" s="50" t="n">
        <v>51.4083</v>
      </c>
      <c r="S114" s="50" t="n">
        <v>5.5142</v>
      </c>
      <c r="T114" s="29" t="n"/>
      <c r="U114" s="29" t="inlineStr">
        <is>
          <t>Alanda yalnız yol ve patikalarda yürünebiliyor, köpekler tasmalı olmalı. Brabants Landschap, kanalizasyon çalışmaları için kaldırdığı otlatma çitini yeniden kuracağını ve İskoç highland sığırlarının (Schotse hooglanders) en geç 2025'in son çeyreğinde alana döneceğini duyurmuş, sığırlar döndüğünde bu kuralın daha sıkı denetleneceğini yazmıştı. Duyuruda yeni çitin ahşap direkli ve üç sıra elektrikli telden olacağı, yürüyüşçüler için klaphek (yaya geçiş kapısı) konacağı belirtiliyordu.</t>
        </is>
      </c>
      <c r="V114" s="29" t="inlineStr">
        <is>
          <t>Hayır</t>
        </is>
      </c>
      <c r="W114" s="29" t="n"/>
    </row>
    <row r="115" ht="54" customHeight="1">
      <c r="A115" s="29" t="inlineStr">
        <is>
          <t>eindhoven:park-meerland</t>
        </is>
      </c>
      <c r="B115" s="29" t="inlineStr">
        <is>
          <t>eindhoven</t>
        </is>
      </c>
      <c r="C115" s="29" t="inlineStr">
        <is>
          <t>park-meerland</t>
        </is>
      </c>
      <c r="D115" s="29" t="inlineStr">
        <is>
          <t>Park Meerland</t>
        </is>
      </c>
      <c r="E115" s="29" t="inlineStr">
        <is>
          <t>Meerhoven'ın ortasında, eski Welschap hava üssünün yerinde İngiliz peyzaj parkı örneğiyle düzenlenen park</t>
        </is>
      </c>
      <c r="F115" s="29" t="inlineStr">
        <is>
          <t>Eindhoven'ın en genç semti Meerhoven'ın merkezindeki Park Meerland, eskiden Welschap askerî hava üssünün bulunduğu yerde bir İngiliz peyzaj parkı örnek alınarak düzenlendi ve semtteki beş mahalleyi birbirine bağlıyor. Göletler, küçük köprüler, kıvrımlı yürüyüş yolları, güzel manzaralı yumuşak tepeler, oyun ve inek çayırları var; her yerde bank bulunuyor. Biocentrale'nin yakınında Hollanda'nın en genç arboretumu (ağaç bahçesi) yer alıyor; park 2011'de Dirk Roosenburgprijs'i kazandı.</t>
        </is>
      </c>
      <c r="G115" s="29" t="inlineStr">
        <is>
          <t>Park Meerland, Meerhoven, arboretum, peyzaj parkı, Welschap, yürüyüş, Strijp</t>
        </is>
      </c>
      <c r="H115" s="29" t="inlineStr">
        <is>
          <t>new;settled</t>
        </is>
      </c>
      <c r="I115" s="29" t="inlineStr">
        <is>
          <t>eindhoven:kaynak:362</t>
        </is>
      </c>
      <c r="J115" s="49" t="n">
        <v>46317</v>
      </c>
      <c r="K115" s="51" t="n">
        <v>2504</v>
      </c>
      <c r="L115" s="29" t="inlineStr">
        <is>
          <t>Hayır</t>
        </is>
      </c>
      <c r="M115" s="29" t="inlineStr">
        <is>
          <t>Taslak</t>
        </is>
      </c>
      <c r="N115" s="29" t="inlineStr">
        <is>
          <t>Doğa ve açık hava</t>
        </is>
      </c>
      <c r="O115" s="29" t="inlineStr">
        <is>
          <t>Strijp</t>
        </is>
      </c>
      <c r="P115" s="29" t="inlineStr">
        <is>
          <t>Açık hava</t>
        </is>
      </c>
      <c r="Q115" s="29" t="inlineStr">
        <is>
          <t>Meerhoven semtinin merkezi, Eindhoven</t>
        </is>
      </c>
      <c r="R115" s="50" t="n">
        <v>51.442317</v>
      </c>
      <c r="S115" s="50" t="n">
        <v>5.399193</v>
      </c>
      <c r="T115" s="29" t="n"/>
      <c r="U115" s="29" t="inlineStr">
        <is>
          <t>Parkta hayvanları ve su kuşlarını beslemek 6 Haziran'dan beri yasak. Strijp semt ekibinin (stadsdeelteam Strijp) 'Strijp door stad en land' kitapçığındaki Meerhoven yürüyüşü büyük ölçüde parkın içinden geçiyor; kitapçık ve park haritası (plattegrond) parkın sitesinde.</t>
        </is>
      </c>
      <c r="V115" s="29" t="inlineStr">
        <is>
          <t>Hayır</t>
        </is>
      </c>
      <c r="W115" s="29" t="n"/>
    </row>
    <row r="116" ht="54" customHeight="1">
      <c r="A116" s="29" t="inlineStr">
        <is>
          <t>eindhoven:inkijkmuseum</t>
        </is>
      </c>
      <c r="B116" s="29" t="inlineStr">
        <is>
          <t>eindhoven</t>
        </is>
      </c>
      <c r="C116" s="29" t="inlineStr">
        <is>
          <t>inkijkmuseum</t>
        </is>
      </c>
      <c r="D116" s="29" t="inlineStr">
        <is>
          <t>Inkijkmuseum</t>
        </is>
      </c>
      <c r="E116" s="29" t="inlineStr">
        <is>
          <t>Dommelstraat'ta, Dommel kıyısındaki 1884 yapımı eski Spoelhuis'te küçük müze ve buluşma yeri</t>
        </is>
      </c>
      <c r="F116" s="29" t="inlineStr">
        <is>
          <t>Inkijkmuseum, şehir merkezinde Dommelstraat'taki eski Spoelhuis'te (keten yıkama evi) küçük bir müze ve buluşma yeri; içi baştan sona gezici sergi Show Your Hope'un eserleriyle döşeli. 1884'te yapılan bina Van den Briel en Verster keten fabrikasına aitti: evlerde dokunan keten Dommel üzerinden teknelerle getirilir, tekneler binanın altına kadar girerdi. İkinci Dünya Savaşı'nda sokak tarafındaki odanın zeminindeki kapağın altı, Arbeitseinsatz'dan (zorunlu çalışma) kaçanlar için bir saklanma yeriydi. 2007-2008'deki yenilemenin ardından müze 8 Kasım 2008'de yeniden açıldı ve Spoelhuis gemeentelijk monument (belediye anıtı) oldu.</t>
        </is>
      </c>
      <c r="G116" s="29" t="inlineStr">
        <is>
          <t>Inkijkmuseum, Spoelhuis, küçük müze, Dommelstraat, Fête de la Musique, Globaal Dorp, Centrum</t>
        </is>
      </c>
      <c r="H116" s="29" t="inlineStr">
        <is>
          <t>new;settled</t>
        </is>
      </c>
      <c r="I116" s="29" t="inlineStr">
        <is>
          <t>eindhoven:kaynak:363;eindhoven:kaynak:377;eindhoven:kaynak:393</t>
        </is>
      </c>
      <c r="J116" s="49" t="n">
        <v>46317</v>
      </c>
      <c r="K116" s="51" t="n">
        <v>2505</v>
      </c>
      <c r="L116" s="29" t="inlineStr">
        <is>
          <t>Hayır</t>
        </is>
      </c>
      <c r="M116" s="29" t="inlineStr">
        <is>
          <t>Taslak</t>
        </is>
      </c>
      <c r="N116" s="29" t="inlineStr">
        <is>
          <t>Müzeler</t>
        </is>
      </c>
      <c r="O116" s="29" t="inlineStr">
        <is>
          <t>Centrum</t>
        </is>
      </c>
      <c r="P116" s="29" t="inlineStr">
        <is>
          <t>Karma</t>
        </is>
      </c>
      <c r="Q116" s="29" t="inlineStr">
        <is>
          <t>Dommelstraat 2A, Eindhoven</t>
        </is>
      </c>
      <c r="R116" s="50" t="n">
        <v>51.441611</v>
      </c>
      <c r="S116" s="50" t="n">
        <v>5.484478</v>
      </c>
      <c r="T116" s="29" t="n"/>
      <c r="U116" s="29" t="inlineStr">
        <is>
          <t>Inkijkmuseum sitesinde düzenli ziyaret saati ya da giriş ücreti yayımlamıyor; gezmek istersen müzeyi 040-8488230 numaralı telefondan arayabilirsin. Müzenin Globaal Dorp (küresel köy) adını verdiği alanda en fazla 20 kişilik küçük müzik, şiir, film ve sergi etkinlikleri yapılıyor; kendi programını önerirsen düzenleme ve tanıtımda destek veriyorlar. Wereldmaaltijd adlı uluslararası yemek programında ülkeni yemekleriyle tanıtabilir, tarif paylaşabilir ve Hollandaca pratik yapabilirsin; yer dar olduğu için yemeğe gelmeden önce iletişime geçip yer ayırtman öneriliyor. Inkijkmuseum 2009'dan beri her yıl 21 Haziran'da Eindhoven'da ücretsiz Fête de la Musique müzik festivalini düzenliyor. Müzede Bed &amp; Paintings adıyla tabloların arasında gecelemek de mümkün: bu bölüm bugün 20 metrekarelik üç 'spacebox' (konut birimi) içeriyor; odalar iki kişilik ayırtılıyor ve her odada çift kişilik yatak, küçük mutfak, kendi duşu ve tuvaleti var. Oda için rezervasyon şart; AirBnB ya da Hostelworld üzerinden yapılıyor.</t>
        </is>
      </c>
      <c r="V116" s="29" t="inlineStr">
        <is>
          <t>Hayır</t>
        </is>
      </c>
      <c r="W116" s="29" t="n"/>
    </row>
    <row r="117" ht="54" customHeight="1">
      <c r="A117" s="29" t="inlineStr">
        <is>
          <t>eindhoven:de-vooruitgang</t>
        </is>
      </c>
      <c r="B117" s="29" t="inlineStr">
        <is>
          <t>eindhoven</t>
        </is>
      </c>
      <c r="C117" s="29" t="inlineStr">
        <is>
          <t>de-vooruitgang</t>
        </is>
      </c>
      <c r="D117" s="29" t="inlineStr">
        <is>
          <t>De Vooruitgang</t>
        </is>
      </c>
      <c r="E117" s="29" t="inlineStr">
        <is>
          <t>Markt meydanında 25 yıldır açık restoran-kafe: öğle yemeğinden kokteyle, terastan dans pistine</t>
        </is>
      </c>
      <c r="F117" s="29" t="inlineStr">
        <is>
          <t>Markt meydanındaki De Vooruitgang, 25 yıldır meydanın simgelerinden biri: öğle yemeğinden gece geç saatlerdeki borrel'e (içki buluşması), terasta geçen bir öğleden sonradan dans pistinde biten bir akşama kadar yemek ve kokteyl sunuyor. Adresi Markt 11, 5611 EB Eindhoven. Pazartesiden perşembeye 11.00-23.00, cuma ve cumartesi 11.00-03.00, pazar 11.00-22.00 arası açık; cuma ve cumartesi saat 22.00'de masalar ve sandalyeler toplanıp mekân gece programına hazırlanıyor.</t>
        </is>
      </c>
      <c r="G117" s="29" t="inlineStr">
        <is>
          <t>De Vooruitgang, Markt, restoran, kafe, teras, kokteyl, dans, Centrum</t>
        </is>
      </c>
      <c r="H117" s="29" t="inlineStr">
        <is>
          <t>new;settled</t>
        </is>
      </c>
      <c r="I117" s="29" t="inlineStr">
        <is>
          <t>eindhoven:kaynak:364;eindhoven:kaynak:375</t>
        </is>
      </c>
      <c r="J117" s="49" t="n">
        <v>46317</v>
      </c>
      <c r="K117" s="51" t="n">
        <v>2506</v>
      </c>
      <c r="L117" s="29" t="inlineStr">
        <is>
          <t>Hayır</t>
        </is>
      </c>
      <c r="M117" s="29" t="inlineStr">
        <is>
          <t>Taslak</t>
        </is>
      </c>
      <c r="N117" s="29" t="inlineStr">
        <is>
          <t>Yeme ve içme</t>
        </is>
      </c>
      <c r="O117" s="29" t="inlineStr">
        <is>
          <t>Centrum</t>
        </is>
      </c>
      <c r="P117" s="29" t="inlineStr">
        <is>
          <t>Karma</t>
        </is>
      </c>
      <c r="Q117" s="29" t="inlineStr">
        <is>
          <t>Markt 11, 5611 EB Eindhoven</t>
        </is>
      </c>
      <c r="R117" s="50" t="n">
        <v>51.439157</v>
      </c>
      <c r="S117" s="50" t="n">
        <v>5.478999</v>
      </c>
      <c r="T117" s="29" t="n"/>
      <c r="U117" s="29" t="inlineStr">
        <is>
          <t>Terasa özel önceden rezervasyon yapılamıyor; yerini garantilemek istiyorsan restoranda bir masa ayırt, yer varsa seni dışarıya oturtuyorlar. Noel'in iki günü, yılbaşı arifesi (Oudjaarsdag) ve yılbaşı günü de 11.00-03.00 arası açık. Telefon: 040 243 3995.</t>
        </is>
      </c>
      <c r="V117" s="29" t="inlineStr">
        <is>
          <t>Hayır</t>
        </is>
      </c>
      <c r="W117" s="29" t="n"/>
    </row>
    <row r="118" ht="54" customHeight="1">
      <c r="A118" s="29" t="inlineStr">
        <is>
          <t>eindhoven:de-wildeman</t>
        </is>
      </c>
      <c r="B118" s="29" t="inlineStr">
        <is>
          <t>eindhoven</t>
        </is>
      </c>
      <c r="C118" s="29" t="inlineStr">
        <is>
          <t>de-wildeman</t>
        </is>
      </c>
      <c r="D118" s="29" t="inlineStr">
        <is>
          <t>De Wildeman</t>
        </is>
      </c>
      <c r="E118" s="29" t="inlineStr">
        <is>
          <t>Markt 10'da öğle ve akşam yemeği, borrel, quiz geceleri ve hafta sonu eğlencesi sunan kafe-restoran</t>
        </is>
      </c>
      <c r="F118" s="29" t="inlineStr">
        <is>
          <t>De Wildeman'da öğle ya da akşam yemeği yiyebilir, borrel (içki buluşması) yapabilir veya gece eğlenmeye gelebilirsin; mutfak imza burgerlerden kaburgaya (spare ribs) kadar Amerikan lezzetlerini kendi yorumuyla sunuyor. Markt 10'daki mekânın kapısı, sitedeki saat tablosuna göre her gün 10.00'da açılıyor (sitede gösterilen Instagram profilinde ise 'her gün 11.00'den itibaren' yazıyor); kapanış pazartesi ve pazar 23.00, salıdan perşembeye 01.00, cuma ve cumartesi 03.00. Mutfak pazardan perşembeye 21.00'e, cuma ve cumartesi 22.00'ye kadar açık; cuma ve cumartesi akşamları gece eğlencesi var.</t>
        </is>
      </c>
      <c r="G118" s="29" t="inlineStr">
        <is>
          <t>De Wildeman, Markt, kafe-restoran, borrel, pub quiz, speciaalbier, Centrum</t>
        </is>
      </c>
      <c r="H118" s="29" t="inlineStr">
        <is>
          <t>new;settled</t>
        </is>
      </c>
      <c r="I118" s="29" t="inlineStr">
        <is>
          <t>eindhoven:kaynak:365;eindhoven:kaynak:376;eindhoven:kaynak:390</t>
        </is>
      </c>
      <c r="J118" s="49" t="n">
        <v>46317</v>
      </c>
      <c r="K118" s="51" t="n">
        <v>2507</v>
      </c>
      <c r="L118" s="29" t="inlineStr">
        <is>
          <t>Hayır</t>
        </is>
      </c>
      <c r="M118" s="29" t="inlineStr">
        <is>
          <t>Taslak</t>
        </is>
      </c>
      <c r="N118" s="29" t="inlineStr">
        <is>
          <t>Yeme ve içme</t>
        </is>
      </c>
      <c r="O118" s="29" t="inlineStr">
        <is>
          <t>Centrum</t>
        </is>
      </c>
      <c r="P118" s="29" t="inlineStr">
        <is>
          <t>Karma</t>
        </is>
      </c>
      <c r="Q118" s="29" t="inlineStr">
        <is>
          <t>Markt 10, Eindhoven</t>
        </is>
      </c>
      <c r="R118" s="50" t="n">
        <v>51.43922</v>
      </c>
      <c r="S118" s="50" t="n">
        <v>5.478942</v>
      </c>
      <c r="T118" s="29" t="n"/>
      <c r="U118" s="29" t="inlineStr">
        <is>
          <t>Her salı ve çarşamba akşamı Quiznight var: takımınla gelip ödüllü pub quiz'e katılabilirsin, yer rezervasyon sistemi üzerinden ayırtılıyor. Perşembe akşamları 18.00'den itibaren fıçıdan speciaalbier (özel bira) 4,50 euro. Mekân düzenli olarak temalı partiler ve sahne performansları da düzenliyor; telefon 040 245 2300.</t>
        </is>
      </c>
      <c r="V118" s="29" t="inlineStr">
        <is>
          <t>Hayır</t>
        </is>
      </c>
      <c r="W118" s="29" t="n"/>
    </row>
    <row r="119" ht="54" customHeight="1">
      <c r="A119" s="29" t="inlineStr">
        <is>
          <t>eindhoven:restaurant-1910</t>
        </is>
      </c>
      <c r="B119" s="29" t="inlineStr">
        <is>
          <t>eindhoven</t>
        </is>
      </c>
      <c r="C119" s="29" t="inlineStr">
        <is>
          <t>restaurant-1910</t>
        </is>
      </c>
      <c r="D119" s="29" t="inlineStr">
        <is>
          <t>Restaurant 1910</t>
        </is>
      </c>
      <c r="E119" s="29" t="inlineStr">
        <is>
          <t>De Bergen'de, 1910 yapımı eski bir evde 2006'dan beri açık olan restoran</t>
        </is>
      </c>
      <c r="F119" s="29" t="inlineStr">
        <is>
          <t>Restaurant 1910, 2006'da Willemstraat 43a'daki (5611 HC), 1910'da yapılmış eski bir evde açıldı; bina Eindhoven'ın otantik köşelerinden De Bergen'de. Mutfak haftanın yedi günü 11.00-21.30 arası açık. Online rezervasyonda yer görünmüyorsa 040 296 1863'ü arayabilirsin; restoran yine de bir yer bulmaya çalışıyor.</t>
        </is>
      </c>
      <c r="G119" s="29" t="inlineStr">
        <is>
          <t>Restaurant 1910, De Bergen, restoran, akşam yemeği, grup yemeği, Willemstraat, Centrum</t>
        </is>
      </c>
      <c r="H119" s="29" t="inlineStr">
        <is>
          <t>new;settled</t>
        </is>
      </c>
      <c r="I119" s="29" t="inlineStr">
        <is>
          <t>eindhoven:kaynak:366</t>
        </is>
      </c>
      <c r="J119" s="49" t="n">
        <v>46317</v>
      </c>
      <c r="K119" s="51" t="n">
        <v>2508</v>
      </c>
      <c r="L119" s="29" t="inlineStr">
        <is>
          <t>Hayır</t>
        </is>
      </c>
      <c r="M119" s="29" t="inlineStr">
        <is>
          <t>Taslak</t>
        </is>
      </c>
      <c r="N119" s="29" t="inlineStr">
        <is>
          <t>Yeme ve içme</t>
        </is>
      </c>
      <c r="O119" s="29" t="inlineStr">
        <is>
          <t>Centrum</t>
        </is>
      </c>
      <c r="P119" s="29" t="inlineStr">
        <is>
          <t>Kapalı alan</t>
        </is>
      </c>
      <c r="Q119" s="29" t="inlineStr">
        <is>
          <t>Willemstraat 43a, 5611 HC Eindhoven</t>
        </is>
      </c>
      <c r="R119" s="50" t="n">
        <v>51.438355</v>
      </c>
      <c r="S119" s="50" t="n">
        <v>5.471433</v>
      </c>
      <c r="T119" s="29" t="n"/>
      <c r="U119" s="29" t="inlineStr">
        <is>
          <t>Restoranın 3 private dining room'unda (özel yemek salonu) en fazla 35 kişilik gruplar rahatsız edilmeden öğle ya da akşam yemeği yiyebiliyor; uygunluk için ekibe sorabilir ya da reserveren@1910.nl adresine yazabilirsin. Sitedeki kapalı günler listesine göre restoran 1, 2 ve 3 Ocak'ta, karnaval günlerinde, Koningsnacht ve Koningsdag'da (Kral Gecesi ve Kral Günü), Noel'in birinci ve ikinci gününde, 27 ve 31 Aralık'ta kapalı. Otopark için sitede Q-Park öneriliyor.</t>
        </is>
      </c>
      <c r="V119" s="29" t="inlineStr">
        <is>
          <t>Hayır</t>
        </is>
      </c>
      <c r="W119" s="29" t="n"/>
    </row>
    <row r="120" ht="54" customHeight="1">
      <c r="A120" s="29" t="inlineStr">
        <is>
          <t>eindhoven:brasserie-bellevue</t>
        </is>
      </c>
      <c r="B120" s="29" t="inlineStr">
        <is>
          <t>eindhoven</t>
        </is>
      </c>
      <c r="C120" s="29" t="inlineStr">
        <is>
          <t>brasserie-bellevue</t>
        </is>
      </c>
      <c r="D120" s="29" t="inlineStr">
        <is>
          <t>Brasserie Bellevue</t>
        </is>
      </c>
      <c r="E120" s="29" t="inlineStr">
        <is>
          <t>Öğle yemeğinden akşam yemeğine haftada altı gün açık, teraslı brasserie</t>
        </is>
      </c>
      <c r="F120" s="29" t="inlineStr">
        <is>
          <t>Brasserie Bellevue, Kleine Berg 45'te haftada altı gün öğle yemeği, borrel (içki buluşması) ve akşam yemeği için açık. Pazartesiden perşembeye 12:00–22:30, cuma ve cumartesi 12:00–23:30 arası hizmet veriyor, pazar kapalı; mutfak her gün 21:30'da kapanıyor. Restoranda ya da terasta yer garantilemek isteyenlere önceden rezervasyon yapmaları öneriliyor.</t>
        </is>
      </c>
      <c r="G120" s="29" t="inlineStr">
        <is>
          <t>Brasserie Bellevue, brasserie, restoran, öğle yemeği, akşam yemeği, borrel, teras, Kleine Berg</t>
        </is>
      </c>
      <c r="H120" s="29" t="inlineStr">
        <is>
          <t>new;settled</t>
        </is>
      </c>
      <c r="I120" s="29" t="inlineStr">
        <is>
          <t>eindhoven:kaynak:367</t>
        </is>
      </c>
      <c r="J120" s="49" t="n">
        <v>46317</v>
      </c>
      <c r="K120" s="51" t="n">
        <v>2509</v>
      </c>
      <c r="L120" s="29" t="inlineStr">
        <is>
          <t>Hayır</t>
        </is>
      </c>
      <c r="M120" s="29" t="inlineStr">
        <is>
          <t>Taslak</t>
        </is>
      </c>
      <c r="N120" s="29" t="inlineStr">
        <is>
          <t>Yeme ve içme</t>
        </is>
      </c>
      <c r="O120" s="29" t="inlineStr">
        <is>
          <t>Centrum</t>
        </is>
      </c>
      <c r="P120" s="29" t="inlineStr">
        <is>
          <t>Kapalı alan</t>
        </is>
      </c>
      <c r="Q120" s="29" t="inlineStr">
        <is>
          <t>Kleine Berg 45, 5611 JS Eindhoven</t>
        </is>
      </c>
      <c r="R120" s="50" t="n">
        <v>51.436741</v>
      </c>
      <c r="S120" s="50" t="n">
        <v>5.475172</v>
      </c>
      <c r="T120" s="29" t="n"/>
      <c r="U120" s="29" t="inlineStr">
        <is>
          <t>Rezervasyon, tarihten 48 saat öncesine kadar ücretsiz iptal edilebiliyor; daha geç iptal edilirse ya da kişi sayısı düşerse 50 euro, hiç gelinmezse kişi başı 50 euro isteniyor. Geç kalacaksan restorana haber ver; haber verilmezse masa 15 dakika sonra başkasına veriliyor. Köpekler, masanın altında yatmaları şartıyla terasa alınıyor; birkaç dakikalık yürüme mesafesinde Q-Park Hooghuis (Keizersgracht 9a) ve De Rungraaf (de Rungraaf 86) otoparkları var.</t>
        </is>
      </c>
      <c r="V120" s="29" t="inlineStr">
        <is>
          <t>Hayır</t>
        </is>
      </c>
      <c r="W120" s="29" t="n"/>
    </row>
    <row r="121" ht="54" customHeight="1">
      <c r="A121" s="29" t="inlineStr">
        <is>
          <t>eindhoven:cafe-barolo</t>
        </is>
      </c>
      <c r="B121" s="29" t="inlineStr">
        <is>
          <t>eindhoven</t>
        </is>
      </c>
      <c r="C121" s="29" t="inlineStr">
        <is>
          <t>cafe-barolo</t>
        </is>
      </c>
      <c r="D121" s="29" t="inlineStr">
        <is>
          <t>Café Barolo</t>
        </is>
      </c>
      <c r="E121" s="29" t="inlineStr">
        <is>
          <t>Keizersgracht'ta, Adrian Zarzo'nun özel koleksiyonundan seçilmiş dünya şarapları</t>
        </is>
      </c>
      <c r="F121" s="29" t="inlineStr">
        <is>
          <t>Keizersgracht 4'teki Café Barolo bir şarap barı; dünyanın dört bir yanından şaraplar, Eindhoven'daki Zarzo ve Zuid by Adrian Zarzo işletmeleriyle tanınan Adrian Zarzo'nun özel koleksiyonundan seçiliyor. Kadehle sunulan 40 şarabın yanında digestifler, güçlendirilmiş şaraplar ve 300'e yakın şişelik bir şarap listesi var. Pazartesiden çarşambaya kapalı; perşembe 15:00–23:00, cuma ve cumartesi 14:00–00:00, pazar 12:00–21:00 arası açık.</t>
        </is>
      </c>
      <c r="G121" s="29" t="inlineStr">
        <is>
          <t>Café Barolo, şarap barı, wine bar, şarap tadımı, tasting, Adrian Zarzo, Keizersgracht</t>
        </is>
      </c>
      <c r="H121" s="29" t="inlineStr">
        <is>
          <t>new;settled</t>
        </is>
      </c>
      <c r="I121" s="29" t="inlineStr">
        <is>
          <t>eindhoven:kaynak:368;eindhoven:kaynak:389</t>
        </is>
      </c>
      <c r="J121" s="49" t="n">
        <v>46317</v>
      </c>
      <c r="K121" s="51" t="n">
        <v>2510</v>
      </c>
      <c r="L121" s="29" t="inlineStr">
        <is>
          <t>Hayır</t>
        </is>
      </c>
      <c r="M121" s="29" t="inlineStr">
        <is>
          <t>Taslak</t>
        </is>
      </c>
      <c r="N121" s="29" t="inlineStr">
        <is>
          <t>Yeme ve içme</t>
        </is>
      </c>
      <c r="O121" s="29" t="inlineStr">
        <is>
          <t>Centrum</t>
        </is>
      </c>
      <c r="P121" s="29" t="inlineStr">
        <is>
          <t>Kapalı alan</t>
        </is>
      </c>
      <c r="Q121" s="29" t="inlineStr">
        <is>
          <t>Keizersgracht 4, 5611 GD Eindhoven</t>
        </is>
      </c>
      <c r="R121" s="50" t="n">
        <v>51.437835</v>
      </c>
      <c r="S121" s="50" t="n">
        <v>5.475983</v>
      </c>
      <c r="T121" s="29" t="n"/>
      <c r="U121" s="29" t="inlineStr">
        <is>
          <t>Tadım (tasting) seçenekleri, küçük atıştırmalıklarla dört yarım kadehten tam bir yemekle eşleştirilen altı yarım kadehe kadar uzanıyor; hangi tadımı istediğini sitedeki rezervasyon aracında saat seçtikten sonra belirtiyorsun. Menüde istiridye, fıstıklı mortadella ve havyar gibi soğuk tabakların yanı sıra öküz kuyruğu kroketi ve peynir tabağı da bulunuyor.</t>
        </is>
      </c>
      <c r="V121" s="29" t="inlineStr">
        <is>
          <t>Hayır</t>
        </is>
      </c>
      <c r="W121" s="29" t="n"/>
    </row>
    <row r="122" ht="54" customHeight="1">
      <c r="A122" s="29" t="inlineStr">
        <is>
          <t>eindhoven:de-gaper</t>
        </is>
      </c>
      <c r="B122" s="29" t="inlineStr">
        <is>
          <t>eindhoven</t>
        </is>
      </c>
      <c r="C122" s="29" t="inlineStr">
        <is>
          <t>de-gaper</t>
        </is>
      </c>
      <c r="D122" s="29" t="inlineStr">
        <is>
          <t>De Gaper</t>
        </is>
      </c>
      <c r="E122" s="29" t="inlineStr">
        <is>
          <t>Alt katta Proeflokaal, birinci katta Eetkamer: Wilhelminaplein'de kafe ve restoran</t>
        </is>
      </c>
      <c r="F122" s="29" t="inlineStr">
        <is>
          <t>Wilhelminaplein'deki De Gaper bir kafe ve restoran: alt kattaki bar Proeflokaal (tadım salonu) her gün 15:00'ten itibaren açık; birinci kattaki Eetkamer (yemek salonu) ise perşembeden pazara 17:30'dan itibaren hizmet veriyor, pazartesi, salı ve çarşamba kapalı. Eetkamer'de şef Tjerk'in yemekleri sunuluyor; alt katta acıkanlar borrel ve atıştırmalık menüsünden sipariş verebiliyor. Hem alt kattaki barın hem de üst kattaki restoranın girişi, meydanın Heilige Geeststraat ile kesiştiği köşede.</t>
        </is>
      </c>
      <c r="G122" s="29" t="inlineStr">
        <is>
          <t>De Gaper, Proeflokaal, Eetkamer, kafe, restoran, borrel, Wilhelminaplein</t>
        </is>
      </c>
      <c r="H122" s="29" t="inlineStr">
        <is>
          <t>new;settled</t>
        </is>
      </c>
      <c r="I122" s="29" t="inlineStr">
        <is>
          <t>eindhoven:kaynak:369;eindhoven:kaynak:378</t>
        </is>
      </c>
      <c r="J122" s="49" t="n">
        <v>46317</v>
      </c>
      <c r="K122" s="51" t="n">
        <v>2511</v>
      </c>
      <c r="L122" s="29" t="inlineStr">
        <is>
          <t>Hayır</t>
        </is>
      </c>
      <c r="M122" s="29" t="inlineStr">
        <is>
          <t>Taslak</t>
        </is>
      </c>
      <c r="N122" s="29" t="inlineStr">
        <is>
          <t>Yeme ve içme</t>
        </is>
      </c>
      <c r="O122" s="29" t="inlineStr">
        <is>
          <t>Centrum</t>
        </is>
      </c>
      <c r="P122" s="29" t="inlineStr">
        <is>
          <t>Kapalı alan</t>
        </is>
      </c>
      <c r="Q122" s="29" t="inlineStr">
        <is>
          <t>Wilhelminaplein (Heilige Geeststraat köşesi), Eindhoven</t>
        </is>
      </c>
      <c r="R122" s="50" t="n">
        <v>51.437909</v>
      </c>
      <c r="S122" s="50" t="n">
        <v>5.471856</v>
      </c>
      <c r="T122" s="29" t="n"/>
      <c r="U122" s="29" t="inlineStr">
        <is>
          <t>Eetkamer için rezervasyon her gün 15.00–00.00 arasında +31 40 246 77 70 numaralı telefondan ya da info@gaper.nl adresinden yapılıyor. Eetkamer 50'yi aşkın kişi alıyor; 15 kişiden kalabalık gruplar için şef, grupla görüşerek (seçmeli) bir menü hazırlıyor. Proeflokaal ve terası, resepsiyon ya da borrel gibi gayriresmî buluşmalar için de kullanılabiliyor.</t>
        </is>
      </c>
      <c r="V122" s="29" t="inlineStr">
        <is>
          <t>Hayır</t>
        </is>
      </c>
      <c r="W122" s="29" t="n"/>
    </row>
    <row r="123" ht="54" customHeight="1">
      <c r="A123" s="29" t="inlineStr">
        <is>
          <t>eindhoven:cafe-wilhelmina</t>
        </is>
      </c>
      <c r="B123" s="29" t="inlineStr">
        <is>
          <t>eindhoven</t>
        </is>
      </c>
      <c r="C123" s="29" t="inlineStr">
        <is>
          <t>cafe-wilhelmina</t>
        </is>
      </c>
      <c r="D123" s="29" t="inlineStr">
        <is>
          <t>Café Wilhelmina</t>
        </is>
      </c>
      <c r="E123" s="29" t="inlineStr">
        <is>
          <t>1971'den beri canlı müzik: grup konserleri ve DJ geceleri</t>
        </is>
      </c>
      <c r="F123" s="29" t="inlineStr">
        <is>
          <t>Wilhelminaplein 6'daki Café Wilhelmina 1971'den beri faaliyette; sitesi kendini canlı müzik, barda insanlar ve meydanda hep bir şeylerin döndüğü bir yer olarak tanıtıyor. Ajandada rock'n'roll, rockabilly, rhythm &amp; blues ve country gibi türlerde grup konserleri ile gece geç saatlere kadar dans edilen KROEG KLUP adlı DJ geceleri var. Kafe pazartesiden çarşambaya 12:00–01:00, perşembeden pazara 12:00–02:00 arası açık.</t>
        </is>
      </c>
      <c r="G123" s="29" t="inlineStr">
        <is>
          <t>Café Wilhelmina, canlı müzik, konser, DJ gecesi, KROEG KLUP, kafe, Wilhelminaplein</t>
        </is>
      </c>
      <c r="H123" s="29" t="inlineStr">
        <is>
          <t>new;settled</t>
        </is>
      </c>
      <c r="I123" s="29" t="inlineStr">
        <is>
          <t>eindhoven:kaynak:374;eindhoven:kaynak:379;eindhoven:kaynak:380</t>
        </is>
      </c>
      <c r="J123" s="49" t="n">
        <v>46317</v>
      </c>
      <c r="K123" s="51" t="n">
        <v>2512</v>
      </c>
      <c r="L123" s="29" t="inlineStr">
        <is>
          <t>Hayır</t>
        </is>
      </c>
      <c r="M123" s="29" t="inlineStr">
        <is>
          <t>Taslak</t>
        </is>
      </c>
      <c r="N123" s="29" t="inlineStr">
        <is>
          <t>Sahne ve müzik</t>
        </is>
      </c>
      <c r="O123" s="29" t="inlineStr">
        <is>
          <t>Centrum</t>
        </is>
      </c>
      <c r="P123" s="29" t="inlineStr">
        <is>
          <t>Kapalı alan</t>
        </is>
      </c>
      <c r="Q123" s="29" t="inlineStr">
        <is>
          <t>Wilhelminaplein 6, 5611 HE Eindhoven</t>
        </is>
      </c>
      <c r="R123" s="50" t="n">
        <v>51.437871</v>
      </c>
      <c r="S123" s="50" t="n">
        <v>5.471814</v>
      </c>
      <c r="T123" s="29" t="n"/>
      <c r="U123" s="29" t="inlineStr">
        <is>
          <t>Özel parti düzenlemek isteyenler ve kafede çalmak isteyen gruplar, iletişim sayfasındaki formlarla başvurabiliyor. Ajandadaki bazı konserlerin bileti 'Koop tickets' (bilet al) bağlantısından alınıyor; bazı konserlerde ise giriş kapıda nakit ya da kartla ödeniyor.</t>
        </is>
      </c>
      <c r="V123" s="29" t="inlineStr">
        <is>
          <t>Hayır</t>
        </is>
      </c>
      <c r="W123" s="29" t="n"/>
    </row>
    <row r="124" ht="54" customHeight="1">
      <c r="A124" s="29" t="inlineStr">
        <is>
          <t>eindhoven:altstadt-eindhoven</t>
        </is>
      </c>
      <c r="B124" s="29" t="inlineStr">
        <is>
          <t>eindhoven</t>
        </is>
      </c>
      <c r="C124" s="29" t="inlineStr">
        <is>
          <t>altstadt-eindhoven</t>
        </is>
      </c>
      <c r="D124" s="29" t="inlineStr">
        <is>
          <t>Altstadt Eindhoven</t>
        </is>
      </c>
      <c r="E124" s="29" t="inlineStr">
        <is>
          <t>Stratumseind'de haftada birkaç kez konser veren kafe</t>
        </is>
      </c>
      <c r="F124" s="29" t="inlineStr">
        <is>
          <t>Stratumseind 71'deki Altstadt Eindhoven bir kafe, ama haftada birkaç kez konser de veriyor; konserlerin bir kısmı ücretsiz. Mekân sahneye hem yeni yetenekleri hem de tanınmış sanatçıları çıkarmayı hedefliyor; bölgeden ya da çok daha uzaklardan gelen gruplar indie'den rock'a, psych'tan electropop'a uzanan türlerde çalıyor. Her gün 16:00'da açılıyor; pazartesiden perşembeye ve pazar 02:00'ye, cuma ve cumartesi 04:00'e kadar açık.</t>
        </is>
      </c>
      <c r="G124" s="29" t="inlineStr">
        <is>
          <t>Altstadt Eindhoven, konser, canlı müzik, kafe, indie, rock, Stratumseind</t>
        </is>
      </c>
      <c r="H124" s="29" t="inlineStr">
        <is>
          <t>new;settled</t>
        </is>
      </c>
      <c r="I124" s="29" t="inlineStr">
        <is>
          <t>eindhoven:kaynak:370</t>
        </is>
      </c>
      <c r="J124" s="49" t="n">
        <v>46317</v>
      </c>
      <c r="K124" s="51" t="n">
        <v>2513</v>
      </c>
      <c r="L124" s="29" t="inlineStr">
        <is>
          <t>Hayır</t>
        </is>
      </c>
      <c r="M124" s="29" t="inlineStr">
        <is>
          <t>Taslak</t>
        </is>
      </c>
      <c r="N124" s="29" t="inlineStr">
        <is>
          <t>Sahne ve müzik</t>
        </is>
      </c>
      <c r="O124" s="29" t="inlineStr">
        <is>
          <t>Centrum</t>
        </is>
      </c>
      <c r="P124" s="29" t="inlineStr">
        <is>
          <t>Kapalı alan</t>
        </is>
      </c>
      <c r="Q124" s="29" t="inlineStr">
        <is>
          <t>Stratumseind 71, 5611 EP Eindhoven</t>
        </is>
      </c>
      <c r="R124" s="50" t="n">
        <v>51.436335</v>
      </c>
      <c r="S124" s="50" t="n">
        <v>5.48224</v>
      </c>
      <c r="T124" s="29" t="n"/>
      <c r="U124" s="29" t="inlineStr">
        <is>
          <t>Sitede sahneye çıkan gruplara örnek olarak HAEVN, psychobilly türünün kurucuları sayılan Sparky ve grubu Demented Are Go, 2018'de neredeyse bütün festivallerde çalan De Likt ve katmanlı, epik indie sesiyle The Slow Show anılıyor. Mekânda gönüllülerle profesyoneller birlikte çalışıyor; açık pozisyonlar sitenin 'Werken bij Altstadt' bölümünde duyuruluyor.</t>
        </is>
      </c>
      <c r="V124" s="29" t="inlineStr">
        <is>
          <t>Hayır</t>
        </is>
      </c>
      <c r="W124" s="29" t="n"/>
    </row>
    <row r="125" ht="54" customHeight="1">
      <c r="A125" s="29" t="inlineStr">
        <is>
          <t>eindhoven:rugby-club-eindhoven</t>
        </is>
      </c>
      <c r="B125" s="29" t="inlineStr">
        <is>
          <t>eindhoven</t>
        </is>
      </c>
      <c r="C125" s="29" t="inlineStr">
        <is>
          <t>rugby-club-eindhoven</t>
        </is>
      </c>
      <c r="D125" s="29" t="inlineStr">
        <is>
          <t>Rugby Club Eindhoven</t>
        </is>
      </c>
      <c r="E125" s="29" t="inlineStr">
        <is>
          <t>1929'da kurulan, Hollanda'nın en eski beş rugby kulübünden biri</t>
        </is>
      </c>
      <c r="F125" s="29" t="inlineStr">
        <is>
          <t>Kısaca RCE diye anılan Rugby Club Eindhoven, Sportcomplex Eindhoven Noord'da yer alan ve hızla büyüyen bir kulüp; 1929'da kuruldu ve kendini Hollanda'nın en eski beş rugby kulübünden biri sayıyor. 6 yaş altı Guppen'den yetişkin kadın ve erkek takımlarına kadar her yaşa takım var; Walking Rugby ve Touch takımları da bulunuyor. Lig her yıl eylül başında tüm yaş grupları için başlıyor; Heren 1 (erkekler) ve Dames (kadınlar) salı ve perşembe 20:00–21:30 arası antrenman yapıyor, maçlarını pazar günü oynuyor.</t>
        </is>
      </c>
      <c r="G125" s="29" t="inlineStr">
        <is>
          <t>Rugby Club Eindhoven, RCE, rugby, rugby kulübü, Touch, Walking Rugby, Eindhoven Noord</t>
        </is>
      </c>
      <c r="H125" s="29" t="inlineStr">
        <is>
          <t>new;settled</t>
        </is>
      </c>
      <c r="I125" s="29" t="inlineStr">
        <is>
          <t>eindhoven:kaynak:372;eindhoven:kaynak:384;eindhoven:kaynak:385</t>
        </is>
      </c>
      <c r="J125" s="49" t="n">
        <v>46317</v>
      </c>
      <c r="K125" s="51" t="n">
        <v>2515</v>
      </c>
      <c r="L125" s="29" t="inlineStr">
        <is>
          <t>Hayır</t>
        </is>
      </c>
      <c r="M125" s="29" t="inlineStr">
        <is>
          <t>Taslak</t>
        </is>
      </c>
      <c r="N125" s="29" t="inlineStr">
        <is>
          <t>Spor</t>
        </is>
      </c>
      <c r="O125" s="29" t="inlineStr">
        <is>
          <t>Woensel-Noord</t>
        </is>
      </c>
      <c r="P125" s="29" t="inlineStr">
        <is>
          <t>Açık hava</t>
        </is>
      </c>
      <c r="Q125" s="29" t="inlineStr">
        <is>
          <t>Sportcomplex Eindhoven Noord, Eindhoven</t>
        </is>
      </c>
      <c r="R125" s="50" t="n">
        <v>51.474509</v>
      </c>
      <c r="S125" s="50" t="n">
        <v>5.456532</v>
      </c>
      <c r="T125" s="29" t="n"/>
      <c r="U125" s="29" t="inlineStr">
        <is>
          <t>2026-2027 sezonu aidatı yetişkin oyuncular (senior) için 255 euro, rekreasyonel (recreant) oyuncular için 179 euro; gençlerde yaşa göre 77 euro (U6) ile 179 euro (U18) arasında. Aidat ödeme talebini her sezon kulüp adına ClubCollect gönderiyor; rugby'yi bırakmak istersen bunu 15 Haziran'dan önce kulübe bildir, böylece yeni sezonun aidatını ödemen gerekmez. Temel ekipman krampon (vidalı ya da plastik dişli), dişlik, rugby şortu, RCE çorabı ya da uzun antrenman çorabı, sliding şortu ve rugby forması; bunların bir kısmı kulüp binasındaki bardan alınabiliyor.</t>
        </is>
      </c>
      <c r="V125" s="29" t="inlineStr">
        <is>
          <t>Hayır</t>
        </is>
      </c>
      <c r="W125" s="29" t="n"/>
    </row>
    <row r="126" ht="54" customHeight="1">
      <c r="A126" s="29" t="inlineStr">
        <is>
          <t>eindhoven:hc-oranje-rood</t>
        </is>
      </c>
      <c r="B126" s="29" t="inlineStr">
        <is>
          <t>eindhoven</t>
        </is>
      </c>
      <c r="C126" s="29" t="inlineStr">
        <is>
          <t>hc-oranje-rood</t>
        </is>
      </c>
      <c r="D126" s="29" t="inlineStr">
        <is>
          <t>HC Oranje-Rood</t>
        </is>
      </c>
      <c r="E126" s="29" t="inlineStr">
        <is>
          <t>Genneper Parken'de, 2.500'ü aşkın üyeli hokey kulübü</t>
        </is>
      </c>
      <c r="F126" s="29" t="inlineStr">
        <is>
          <t>Genneper Parken doğa ve spor alanındaki HC Oranje-Rood bir hokey kulübü; 2016'da EMHC (1921) ile MHC Oranje Zwart'ın (1933) birleşmesiyle kuruldu ve adını iki kulübün formalarındaki renklerden aldı. Eylül 2024 itibarıyla 2.500'ü aşkın üyesi var, bunların 1.600'ü gençlerde oynuyor. 2016'da kullanıma açılan tesiste dört sulu (waterveld), bir yarı sulu ve üç kumlu saha, 1.500 kişilik oturmalı ve 600 kişilik ayakta tribün, barı ve yiyecek köşesi olan bir kulüp binası ile dış barlı büyük bir teras bulunuyor.</t>
        </is>
      </c>
      <c r="G126" s="29" t="inlineStr">
        <is>
          <t>HC Oranje-Rood, hokey, hockey, hokey kulübü, Genneper Parken, Charles Roelslaan, Aalsterweg</t>
        </is>
      </c>
      <c r="H126" s="29" t="inlineStr">
        <is>
          <t>new;settled</t>
        </is>
      </c>
      <c r="I126" s="29" t="inlineStr">
        <is>
          <t>eindhoven:kaynak:373;eindhoven:kaynak:386;eindhoven:kaynak:387;eindhoven:kaynak:388</t>
        </is>
      </c>
      <c r="J126" s="49" t="n">
        <v>46317</v>
      </c>
      <c r="K126" s="51" t="n">
        <v>2516</v>
      </c>
      <c r="L126" s="29" t="inlineStr">
        <is>
          <t>Hayır</t>
        </is>
      </c>
      <c r="M126" s="29" t="inlineStr">
        <is>
          <t>Taslak</t>
        </is>
      </c>
      <c r="N126" s="29" t="inlineStr">
        <is>
          <t>Spor</t>
        </is>
      </c>
      <c r="O126" s="29" t="inlineStr">
        <is>
          <t>Stratum</t>
        </is>
      </c>
      <c r="P126" s="29" t="inlineStr">
        <is>
          <t>Açık hava</t>
        </is>
      </c>
      <c r="Q126" s="29" t="inlineStr">
        <is>
          <t>Charles Roelslaan 7A, 5644 HX Eindhoven</t>
        </is>
      </c>
      <c r="R126" s="50" t="n">
        <v>51.408611</v>
      </c>
      <c r="S126" s="50" t="n">
        <v>5.478333</v>
      </c>
      <c r="T126" s="29" t="n"/>
      <c r="U126" s="29" t="inlineStr">
        <is>
          <t>Tesisin tamamında 1 Ağustos 2022'den beri sigara içilmiyor; kural oyunculardan rakip takıma ve seyircilere kadar herkes için geçerli, kenar çizgisi, tribün ve giriş de buna dahil. Eindhoven Centraal'dan 317, 318 ya da 408 numaralı otobüsle gelenler P+R Genneper Parken durağında iniyor; kulüp binası P+R'ın arkasında. Arabayla gelenler hafta içi P4 otoparkını (navigasyona Charles Roelslaan 15 yazılıyor), lig ve turnuva günleri ise Aalsterweg 316'daki P+R'ı kullanıyor; burada park My Way uygulaması ve indirim koduyla ücretsiz.</t>
        </is>
      </c>
      <c r="V126" s="29" t="inlineStr">
        <is>
          <t>Hayır</t>
        </is>
      </c>
      <c r="W126" s="29" t="n"/>
    </row>
    <row r="127" ht="54" customHeight="1">
      <c r="A127" s="29" t="n"/>
      <c r="B127" s="29" t="n"/>
      <c r="C127" s="29" t="n"/>
      <c r="D127" s="29" t="n"/>
      <c r="E127" s="29" t="n"/>
      <c r="F127" s="29" t="n"/>
      <c r="G127" s="29" t="n"/>
      <c r="H127" s="29" t="n"/>
      <c r="I127" s="29" t="n"/>
      <c r="J127" s="49" t="n"/>
      <c r="K127" s="51" t="n"/>
      <c r="L127" s="29" t="n"/>
      <c r="M127" s="29" t="n"/>
      <c r="N127" s="29" t="n"/>
      <c r="O127" s="29" t="n"/>
      <c r="P127" s="29" t="n"/>
      <c r="Q127" s="29" t="n"/>
      <c r="R127" s="50" t="n"/>
      <c r="S127" s="50" t="n"/>
      <c r="T127" s="29" t="n"/>
      <c r="U127" s="29" t="n"/>
      <c r="V127" s="29" t="n"/>
      <c r="W127" s="29" t="n"/>
    </row>
    <row r="128" ht="54" customHeight="1">
      <c r="A128" s="29" t="n"/>
      <c r="B128" s="29" t="n"/>
      <c r="C128" s="29" t="n"/>
      <c r="D128" s="29" t="n"/>
      <c r="E128" s="29" t="n"/>
      <c r="F128" s="29" t="n"/>
      <c r="G128" s="29" t="n"/>
      <c r="H128" s="29" t="n"/>
      <c r="I128" s="29" t="n"/>
      <c r="J128" s="49" t="n"/>
      <c r="K128" s="51" t="n"/>
      <c r="L128" s="29" t="n"/>
      <c r="M128" s="29" t="n"/>
      <c r="N128" s="29" t="n"/>
      <c r="O128" s="29" t="n"/>
      <c r="P128" s="29" t="n"/>
      <c r="Q128" s="29" t="n"/>
      <c r="R128" s="50" t="n"/>
      <c r="S128" s="50" t="n"/>
      <c r="T128" s="29" t="n"/>
      <c r="U128" s="29" t="n"/>
      <c r="V128" s="29" t="n"/>
      <c r="W128" s="29" t="n"/>
    </row>
    <row r="129" ht="54" customHeight="1">
      <c r="A129" s="29" t="n"/>
      <c r="B129" s="29" t="n"/>
      <c r="C129" s="29" t="n"/>
      <c r="D129" s="29" t="n"/>
      <c r="E129" s="29" t="n"/>
      <c r="F129" s="29" t="n"/>
      <c r="G129" s="29" t="n"/>
      <c r="H129" s="29" t="n"/>
      <c r="I129" s="29" t="n"/>
      <c r="J129" s="49" t="n"/>
      <c r="K129" s="51" t="n"/>
      <c r="L129" s="29" t="n"/>
      <c r="M129" s="29" t="n"/>
      <c r="N129" s="29" t="n"/>
      <c r="O129" s="29" t="n"/>
      <c r="P129" s="29" t="n"/>
      <c r="Q129" s="29" t="n"/>
      <c r="R129" s="50" t="n"/>
      <c r="S129" s="50" t="n"/>
      <c r="T129" s="29" t="n"/>
      <c r="U129" s="29" t="n"/>
      <c r="V129" s="29" t="n"/>
      <c r="W129" s="29" t="n"/>
    </row>
    <row r="130" ht="54" customHeight="1">
      <c r="A130" s="29" t="n"/>
      <c r="B130" s="29" t="n"/>
      <c r="C130" s="29" t="n"/>
      <c r="D130" s="29" t="n"/>
      <c r="E130" s="29" t="n"/>
      <c r="F130" s="29" t="n"/>
      <c r="G130" s="29" t="n"/>
      <c r="H130" s="29" t="n"/>
      <c r="I130" s="29" t="n"/>
      <c r="J130" s="49" t="n"/>
      <c r="K130" s="51" t="n"/>
      <c r="L130" s="29" t="n"/>
      <c r="M130" s="29" t="n"/>
      <c r="N130" s="29" t="n"/>
      <c r="O130" s="29" t="n"/>
      <c r="P130" s="29" t="n"/>
      <c r="Q130" s="29" t="n"/>
      <c r="R130" s="50" t="n"/>
      <c r="S130" s="50" t="n"/>
      <c r="T130" s="29" t="n"/>
      <c r="U130" s="29" t="n"/>
      <c r="V130" s="29" t="n"/>
      <c r="W130" s="29" t="n"/>
    </row>
    <row r="131" ht="54" customHeight="1">
      <c r="A131" s="29" t="n"/>
      <c r="B131" s="29" t="n"/>
      <c r="C131" s="29" t="n"/>
      <c r="D131" s="29" t="n"/>
      <c r="E131" s="29" t="n"/>
      <c r="F131" s="29" t="n"/>
      <c r="G131" s="29" t="n"/>
      <c r="H131" s="29" t="n"/>
      <c r="I131" s="29" t="n"/>
      <c r="J131" s="49" t="n"/>
      <c r="K131" s="51" t="n"/>
      <c r="L131" s="29" t="n"/>
      <c r="M131" s="29" t="n"/>
      <c r="N131" s="29" t="n"/>
      <c r="O131" s="29" t="n"/>
      <c r="P131" s="29" t="n"/>
      <c r="Q131" s="29" t="n"/>
      <c r="R131" s="50" t="n"/>
      <c r="S131" s="50" t="n"/>
      <c r="T131" s="29" t="n"/>
      <c r="U131" s="29" t="n"/>
      <c r="V131" s="29" t="n"/>
      <c r="W131" s="29" t="n"/>
    </row>
    <row r="132" ht="54" customHeight="1">
      <c r="A132" s="29" t="n"/>
      <c r="B132" s="29" t="n"/>
      <c r="C132" s="29" t="n"/>
      <c r="D132" s="29" t="n"/>
      <c r="E132" s="29" t="n"/>
      <c r="F132" s="29" t="n"/>
      <c r="G132" s="29" t="n"/>
      <c r="H132" s="29" t="n"/>
      <c r="I132" s="29" t="n"/>
      <c r="J132" s="49" t="n"/>
      <c r="K132" s="51" t="n"/>
      <c r="L132" s="29" t="n"/>
      <c r="M132" s="29" t="n"/>
      <c r="N132" s="29" t="n"/>
      <c r="O132" s="29" t="n"/>
      <c r="P132" s="29" t="n"/>
      <c r="Q132" s="29" t="n"/>
      <c r="R132" s="50" t="n"/>
      <c r="S132" s="50" t="n"/>
      <c r="T132" s="29" t="n"/>
      <c r="U132" s="29" t="n"/>
      <c r="V132" s="29" t="n"/>
      <c r="W132" s="29" t="n"/>
    </row>
    <row r="133" ht="54" customHeight="1">
      <c r="A133" s="29" t="n"/>
      <c r="B133" s="29" t="n"/>
      <c r="C133" s="29" t="n"/>
      <c r="D133" s="29" t="n"/>
      <c r="E133" s="29" t="n"/>
      <c r="F133" s="29" t="n"/>
      <c r="G133" s="29" t="n"/>
      <c r="H133" s="29" t="n"/>
      <c r="I133" s="29" t="n"/>
      <c r="J133" s="49" t="n"/>
      <c r="K133" s="51" t="n"/>
      <c r="L133" s="29" t="n"/>
      <c r="M133" s="29" t="n"/>
      <c r="N133" s="29" t="n"/>
      <c r="O133" s="29" t="n"/>
      <c r="P133" s="29" t="n"/>
      <c r="Q133" s="29" t="n"/>
      <c r="R133" s="50" t="n"/>
      <c r="S133" s="50" t="n"/>
      <c r="T133" s="29" t="n"/>
      <c r="U133" s="29" t="n"/>
      <c r="V133" s="29" t="n"/>
      <c r="W133" s="29" t="n"/>
    </row>
    <row r="134" ht="54" customHeight="1">
      <c r="A134" s="29" t="n"/>
      <c r="B134" s="29" t="n"/>
      <c r="C134" s="29" t="n"/>
      <c r="D134" s="29" t="n"/>
      <c r="E134" s="29" t="n"/>
      <c r="F134" s="29" t="n"/>
      <c r="G134" s="29" t="n"/>
      <c r="H134" s="29" t="n"/>
      <c r="I134" s="29" t="n"/>
      <c r="J134" s="49" t="n"/>
      <c r="K134" s="51" t="n"/>
      <c r="L134" s="29" t="n"/>
      <c r="M134" s="29" t="n"/>
      <c r="N134" s="29" t="n"/>
      <c r="O134" s="29" t="n"/>
      <c r="P134" s="29" t="n"/>
      <c r="Q134" s="29" t="n"/>
      <c r="R134" s="50" t="n"/>
      <c r="S134" s="50" t="n"/>
      <c r="T134" s="29" t="n"/>
      <c r="U134" s="29" t="n"/>
      <c r="V134" s="29" t="n"/>
      <c r="W134" s="29" t="n"/>
    </row>
    <row r="135" ht="54" customHeight="1">
      <c r="A135" s="29" t="n"/>
      <c r="B135" s="29" t="n"/>
      <c r="C135" s="29" t="n"/>
      <c r="D135" s="29" t="n"/>
      <c r="E135" s="29" t="n"/>
      <c r="F135" s="29" t="n"/>
      <c r="G135" s="29" t="n"/>
      <c r="H135" s="29" t="n"/>
      <c r="I135" s="29" t="n"/>
      <c r="J135" s="49" t="n"/>
      <c r="K135" s="51" t="n"/>
      <c r="L135" s="29" t="n"/>
      <c r="M135" s="29" t="n"/>
      <c r="N135" s="29" t="n"/>
      <c r="O135" s="29" t="n"/>
      <c r="P135" s="29" t="n"/>
      <c r="Q135" s="29" t="n"/>
      <c r="R135" s="50" t="n"/>
      <c r="S135" s="50" t="n"/>
      <c r="T135" s="29" t="n"/>
      <c r="U135" s="29" t="n"/>
      <c r="V135" s="29" t="n"/>
      <c r="W135" s="29" t="n"/>
    </row>
    <row r="136" ht="54" customHeight="1">
      <c r="A136" s="29" t="n"/>
      <c r="B136" s="29" t="n"/>
      <c r="C136" s="29" t="n"/>
      <c r="D136" s="29" t="n"/>
      <c r="E136" s="29" t="n"/>
      <c r="F136" s="29" t="n"/>
      <c r="G136" s="29" t="n"/>
      <c r="H136" s="29" t="n"/>
      <c r="I136" s="29" t="n"/>
      <c r="J136" s="49" t="n"/>
      <c r="K136" s="51" t="n"/>
      <c r="L136" s="29" t="n"/>
      <c r="M136" s="29" t="n"/>
      <c r="N136" s="29" t="n"/>
      <c r="O136" s="29" t="n"/>
      <c r="P136" s="29" t="n"/>
      <c r="Q136" s="29" t="n"/>
      <c r="R136" s="50" t="n"/>
      <c r="S136" s="50" t="n"/>
      <c r="T136" s="29" t="n"/>
      <c r="U136" s="29" t="n"/>
      <c r="V136" s="29" t="n"/>
      <c r="W136" s="29" t="n"/>
    </row>
    <row r="137" ht="54" customHeight="1">
      <c r="A137" s="29" t="n"/>
      <c r="B137" s="29" t="n"/>
      <c r="C137" s="29" t="n"/>
      <c r="D137" s="29" t="n"/>
      <c r="E137" s="29" t="n"/>
      <c r="F137" s="29" t="n"/>
      <c r="G137" s="29" t="n"/>
      <c r="H137" s="29" t="n"/>
      <c r="I137" s="29" t="n"/>
      <c r="J137" s="49" t="n"/>
      <c r="K137" s="51" t="n"/>
      <c r="L137" s="29" t="n"/>
      <c r="M137" s="29" t="n"/>
      <c r="N137" s="29" t="n"/>
      <c r="O137" s="29" t="n"/>
      <c r="P137" s="29" t="n"/>
      <c r="Q137" s="29" t="n"/>
      <c r="R137" s="50" t="n"/>
      <c r="S137" s="50" t="n"/>
      <c r="T137" s="29" t="n"/>
      <c r="U137" s="29" t="n"/>
      <c r="V137" s="29" t="n"/>
      <c r="W137" s="29" t="n"/>
    </row>
    <row r="138" ht="54" customHeight="1">
      <c r="A138" s="29" t="n"/>
      <c r="B138" s="29" t="n"/>
      <c r="C138" s="29" t="n"/>
      <c r="D138" s="29" t="n"/>
      <c r="E138" s="29" t="n"/>
      <c r="F138" s="29" t="n"/>
      <c r="G138" s="29" t="n"/>
      <c r="H138" s="29" t="n"/>
      <c r="I138" s="29" t="n"/>
      <c r="J138" s="49" t="n"/>
      <c r="K138" s="51" t="n"/>
      <c r="L138" s="29" t="n"/>
      <c r="M138" s="29" t="n"/>
      <c r="N138" s="29" t="n"/>
      <c r="O138" s="29" t="n"/>
      <c r="P138" s="29" t="n"/>
      <c r="Q138" s="29" t="n"/>
      <c r="R138" s="50" t="n"/>
      <c r="S138" s="50" t="n"/>
      <c r="T138" s="29" t="n"/>
      <c r="U138" s="29" t="n"/>
      <c r="V138" s="29" t="n"/>
      <c r="W138" s="29" t="n"/>
    </row>
    <row r="139" ht="54" customHeight="1">
      <c r="A139" s="29" t="n"/>
      <c r="B139" s="29" t="n"/>
      <c r="C139" s="29" t="n"/>
      <c r="D139" s="29" t="n"/>
      <c r="E139" s="29" t="n"/>
      <c r="F139" s="29" t="n"/>
      <c r="G139" s="29" t="n"/>
      <c r="H139" s="29" t="n"/>
      <c r="I139" s="29" t="n"/>
      <c r="J139" s="49" t="n"/>
      <c r="K139" s="51" t="n"/>
      <c r="L139" s="29" t="n"/>
      <c r="M139" s="29" t="n"/>
      <c r="N139" s="29" t="n"/>
      <c r="O139" s="29" t="n"/>
      <c r="P139" s="29" t="n"/>
      <c r="Q139" s="29" t="n"/>
      <c r="R139" s="50" t="n"/>
      <c r="S139" s="50" t="n"/>
      <c r="T139" s="29" t="n"/>
      <c r="U139" s="29" t="n"/>
      <c r="V139" s="29" t="n"/>
      <c r="W139" s="29" t="n"/>
    </row>
    <row r="140" ht="54" customHeight="1">
      <c r="A140" s="29" t="n"/>
      <c r="B140" s="29" t="n"/>
      <c r="C140" s="29" t="n"/>
      <c r="D140" s="29" t="n"/>
      <c r="E140" s="29" t="n"/>
      <c r="F140" s="29" t="n"/>
      <c r="G140" s="29" t="n"/>
      <c r="H140" s="29" t="n"/>
      <c r="I140" s="29" t="n"/>
      <c r="J140" s="49" t="n"/>
      <c r="K140" s="51" t="n"/>
      <c r="L140" s="29" t="n"/>
      <c r="M140" s="29" t="n"/>
      <c r="N140" s="29" t="n"/>
      <c r="O140" s="29" t="n"/>
      <c r="P140" s="29" t="n"/>
      <c r="Q140" s="29" t="n"/>
      <c r="R140" s="50" t="n"/>
      <c r="S140" s="50" t="n"/>
      <c r="T140" s="29" t="n"/>
      <c r="U140" s="29" t="n"/>
      <c r="V140" s="29" t="n"/>
      <c r="W140" s="29" t="n"/>
    </row>
    <row r="141" ht="54" customHeight="1">
      <c r="A141" s="29" t="n"/>
      <c r="B141" s="29" t="n"/>
      <c r="C141" s="29" t="n"/>
      <c r="D141" s="29" t="n"/>
      <c r="E141" s="29" t="n"/>
      <c r="F141" s="29" t="n"/>
      <c r="G141" s="29" t="n"/>
      <c r="H141" s="29" t="n"/>
      <c r="I141" s="29" t="n"/>
      <c r="J141" s="49" t="n"/>
      <c r="K141" s="51" t="n"/>
      <c r="L141" s="29" t="n"/>
      <c r="M141" s="29" t="n"/>
      <c r="N141" s="29" t="n"/>
      <c r="O141" s="29" t="n"/>
      <c r="P141" s="29" t="n"/>
      <c r="Q141" s="29" t="n"/>
      <c r="R141" s="50" t="n"/>
      <c r="S141" s="50" t="n"/>
      <c r="T141" s="29" t="n"/>
      <c r="U141" s="29" t="n"/>
      <c r="V141" s="29" t="n"/>
      <c r="W141" s="29" t="n"/>
    </row>
    <row r="142" ht="54" customHeight="1">
      <c r="A142" s="29" t="n"/>
      <c r="B142" s="29" t="n"/>
      <c r="C142" s="29" t="n"/>
      <c r="D142" s="29" t="n"/>
      <c r="E142" s="29" t="n"/>
      <c r="F142" s="29" t="n"/>
      <c r="G142" s="29" t="n"/>
      <c r="H142" s="29" t="n"/>
      <c r="I142" s="29" t="n"/>
      <c r="J142" s="49" t="n"/>
      <c r="K142" s="51" t="n"/>
      <c r="L142" s="29" t="n"/>
      <c r="M142" s="29" t="n"/>
      <c r="N142" s="29" t="n"/>
      <c r="O142" s="29" t="n"/>
      <c r="P142" s="29" t="n"/>
      <c r="Q142" s="29" t="n"/>
      <c r="R142" s="50" t="n"/>
      <c r="S142" s="50" t="n"/>
      <c r="T142" s="29" t="n"/>
      <c r="U142" s="29" t="n"/>
      <c r="V142" s="29" t="n"/>
      <c r="W142" s="29" t="n"/>
    </row>
    <row r="143" ht="54" customHeight="1">
      <c r="A143" s="29" t="n"/>
      <c r="B143" s="29" t="n"/>
      <c r="C143" s="29" t="n"/>
      <c r="D143" s="29" t="n"/>
      <c r="E143" s="29" t="n"/>
      <c r="F143" s="29" t="n"/>
      <c r="G143" s="29" t="n"/>
      <c r="H143" s="29" t="n"/>
      <c r="I143" s="29" t="n"/>
      <c r="J143" s="49" t="n"/>
      <c r="K143" s="51" t="n"/>
      <c r="L143" s="29" t="n"/>
      <c r="M143" s="29" t="n"/>
      <c r="N143" s="29" t="n"/>
      <c r="O143" s="29" t="n"/>
      <c r="P143" s="29" t="n"/>
      <c r="Q143" s="29" t="n"/>
      <c r="R143" s="50" t="n"/>
      <c r="S143" s="50" t="n"/>
      <c r="T143" s="29" t="n"/>
      <c r="U143" s="29" t="n"/>
      <c r="V143" s="29" t="n"/>
      <c r="W143" s="29" t="n"/>
    </row>
    <row r="144" ht="54" customHeight="1">
      <c r="A144" s="29" t="n"/>
      <c r="B144" s="29" t="n"/>
      <c r="C144" s="29" t="n"/>
      <c r="D144" s="29" t="n"/>
      <c r="E144" s="29" t="n"/>
      <c r="F144" s="29" t="n"/>
      <c r="G144" s="29" t="n"/>
      <c r="H144" s="29" t="n"/>
      <c r="I144" s="29" t="n"/>
      <c r="J144" s="49" t="n"/>
      <c r="K144" s="51" t="n"/>
      <c r="L144" s="29" t="n"/>
      <c r="M144" s="29" t="n"/>
      <c r="N144" s="29" t="n"/>
      <c r="O144" s="29" t="n"/>
      <c r="P144" s="29" t="n"/>
      <c r="Q144" s="29" t="n"/>
      <c r="R144" s="50" t="n"/>
      <c r="S144" s="50" t="n"/>
      <c r="T144" s="29" t="n"/>
      <c r="U144" s="29" t="n"/>
      <c r="V144" s="29" t="n"/>
      <c r="W144" s="29" t="n"/>
    </row>
    <row r="145" ht="54" customHeight="1">
      <c r="A145" s="29" t="n"/>
      <c r="B145" s="29" t="n"/>
      <c r="C145" s="29" t="n"/>
      <c r="D145" s="29" t="n"/>
      <c r="E145" s="29" t="n"/>
      <c r="F145" s="29" t="n"/>
      <c r="G145" s="29" t="n"/>
      <c r="H145" s="29" t="n"/>
      <c r="I145" s="29" t="n"/>
      <c r="J145" s="49" t="n"/>
      <c r="K145" s="51" t="n"/>
      <c r="L145" s="29" t="n"/>
      <c r="M145" s="29" t="n"/>
      <c r="N145" s="29" t="n"/>
      <c r="O145" s="29" t="n"/>
      <c r="P145" s="29" t="n"/>
      <c r="Q145" s="29" t="n"/>
      <c r="R145" s="50" t="n"/>
      <c r="S145" s="50" t="n"/>
      <c r="T145" s="29" t="n"/>
      <c r="U145" s="29" t="n"/>
      <c r="V145" s="29" t="n"/>
      <c r="W145" s="29" t="n"/>
    </row>
    <row r="146" ht="54" customHeight="1">
      <c r="A146" s="29" t="n"/>
      <c r="B146" s="29" t="n"/>
      <c r="C146" s="29" t="n"/>
      <c r="D146" s="29" t="n"/>
      <c r="E146" s="29" t="n"/>
      <c r="F146" s="29" t="n"/>
      <c r="G146" s="29" t="n"/>
      <c r="H146" s="29" t="n"/>
      <c r="I146" s="29" t="n"/>
      <c r="J146" s="49" t="n"/>
      <c r="K146" s="51" t="n"/>
      <c r="L146" s="29" t="n"/>
      <c r="M146" s="29" t="n"/>
      <c r="N146" s="29" t="n"/>
      <c r="O146" s="29" t="n"/>
      <c r="P146" s="29" t="n"/>
      <c r="Q146" s="29" t="n"/>
      <c r="R146" s="50" t="n"/>
      <c r="S146" s="50" t="n"/>
      <c r="T146" s="29" t="n"/>
      <c r="U146" s="29" t="n"/>
      <c r="V146" s="29" t="n"/>
      <c r="W146" s="29" t="n"/>
    </row>
    <row r="147" ht="54" customHeight="1">
      <c r="A147" s="29" t="n"/>
      <c r="B147" s="29" t="n"/>
      <c r="C147" s="29" t="n"/>
      <c r="D147" s="29" t="n"/>
      <c r="E147" s="29" t="n"/>
      <c r="F147" s="29" t="n"/>
      <c r="G147" s="29" t="n"/>
      <c r="H147" s="29" t="n"/>
      <c r="I147" s="29" t="n"/>
      <c r="J147" s="49" t="n"/>
      <c r="K147" s="51" t="n"/>
      <c r="L147" s="29" t="n"/>
      <c r="M147" s="29" t="n"/>
      <c r="N147" s="29" t="n"/>
      <c r="O147" s="29" t="n"/>
      <c r="P147" s="29" t="n"/>
      <c r="Q147" s="29" t="n"/>
      <c r="R147" s="50" t="n"/>
      <c r="S147" s="50" t="n"/>
      <c r="T147" s="29" t="n"/>
      <c r="U147" s="29" t="n"/>
      <c r="V147" s="29" t="n"/>
      <c r="W147" s="29" t="n"/>
    </row>
    <row r="148" ht="54" customHeight="1">
      <c r="A148" s="29" t="n"/>
      <c r="B148" s="29" t="n"/>
      <c r="C148" s="29" t="n"/>
      <c r="D148" s="29" t="n"/>
      <c r="E148" s="29" t="n"/>
      <c r="F148" s="29" t="n"/>
      <c r="G148" s="29" t="n"/>
      <c r="H148" s="29" t="n"/>
      <c r="I148" s="29" t="n"/>
      <c r="J148" s="49" t="n"/>
      <c r="K148" s="51" t="n"/>
      <c r="L148" s="29" t="n"/>
      <c r="M148" s="29" t="n"/>
      <c r="N148" s="29" t="n"/>
      <c r="O148" s="29" t="n"/>
      <c r="P148" s="29" t="n"/>
      <c r="Q148" s="29" t="n"/>
      <c r="R148" s="50" t="n"/>
      <c r="S148" s="50" t="n"/>
      <c r="T148" s="29" t="n"/>
      <c r="U148" s="29" t="n"/>
      <c r="V148" s="29" t="n"/>
      <c r="W148" s="29" t="n"/>
    </row>
    <row r="149" ht="54" customHeight="1">
      <c r="A149" s="29" t="n"/>
      <c r="B149" s="29" t="n"/>
      <c r="C149" s="29" t="n"/>
      <c r="D149" s="29" t="n"/>
      <c r="E149" s="29" t="n"/>
      <c r="F149" s="29" t="n"/>
      <c r="G149" s="29" t="n"/>
      <c r="H149" s="29" t="n"/>
      <c r="I149" s="29" t="n"/>
      <c r="J149" s="49" t="n"/>
      <c r="K149" s="51" t="n"/>
      <c r="L149" s="29" t="n"/>
      <c r="M149" s="29" t="n"/>
      <c r="N149" s="29" t="n"/>
      <c r="O149" s="29" t="n"/>
      <c r="P149" s="29" t="n"/>
      <c r="Q149" s="29" t="n"/>
      <c r="R149" s="50" t="n"/>
      <c r="S149" s="50" t="n"/>
      <c r="T149" s="29" t="n"/>
      <c r="U149" s="29" t="n"/>
      <c r="V149" s="29" t="n"/>
      <c r="W149" s="29" t="n"/>
    </row>
    <row r="150" ht="54" customHeight="1">
      <c r="A150" s="29" t="n"/>
      <c r="B150" s="29" t="n"/>
      <c r="C150" s="29" t="n"/>
      <c r="D150" s="29" t="n"/>
      <c r="E150" s="29" t="n"/>
      <c r="F150" s="29" t="n"/>
      <c r="G150" s="29" t="n"/>
      <c r="H150" s="29" t="n"/>
      <c r="I150" s="29" t="n"/>
      <c r="J150" s="49" t="n"/>
      <c r="K150" s="51" t="n"/>
      <c r="L150" s="29" t="n"/>
      <c r="M150" s="29" t="n"/>
      <c r="N150" s="29" t="n"/>
      <c r="O150" s="29" t="n"/>
      <c r="P150" s="29" t="n"/>
      <c r="Q150" s="29" t="n"/>
      <c r="R150" s="50" t="n"/>
      <c r="S150" s="50" t="n"/>
      <c r="T150" s="29" t="n"/>
      <c r="U150" s="29" t="n"/>
      <c r="V150" s="29" t="n"/>
      <c r="W150" s="29" t="n"/>
    </row>
    <row r="151" ht="54" customHeight="1">
      <c r="A151" s="29" t="n"/>
      <c r="B151" s="29" t="n"/>
      <c r="C151" s="29" t="n"/>
      <c r="D151" s="29" t="n"/>
      <c r="E151" s="29" t="n"/>
      <c r="F151" s="29" t="n"/>
      <c r="G151" s="29" t="n"/>
      <c r="H151" s="29" t="n"/>
      <c r="I151" s="29" t="n"/>
      <c r="J151" s="49" t="n"/>
      <c r="K151" s="51" t="n"/>
      <c r="L151" s="29" t="n"/>
      <c r="M151" s="29" t="n"/>
      <c r="N151" s="29" t="n"/>
      <c r="O151" s="29" t="n"/>
      <c r="P151" s="29" t="n"/>
      <c r="Q151" s="29" t="n"/>
      <c r="R151" s="50" t="n"/>
      <c r="S151" s="50" t="n"/>
      <c r="T151" s="29" t="n"/>
      <c r="U151" s="29" t="n"/>
      <c r="V151" s="29" t="n"/>
      <c r="W151" s="29" t="n"/>
    </row>
    <row r="152" ht="54" customHeight="1">
      <c r="A152" s="29" t="n"/>
      <c r="B152" s="29" t="n"/>
      <c r="C152" s="29" t="n"/>
      <c r="D152" s="29" t="n"/>
      <c r="E152" s="29" t="n"/>
      <c r="F152" s="29" t="n"/>
      <c r="G152" s="29" t="n"/>
      <c r="H152" s="29" t="n"/>
      <c r="I152" s="29" t="n"/>
      <c r="J152" s="49" t="n"/>
      <c r="K152" s="51" t="n"/>
      <c r="L152" s="29" t="n"/>
      <c r="M152" s="29" t="n"/>
      <c r="N152" s="29" t="n"/>
      <c r="O152" s="29" t="n"/>
      <c r="P152" s="29" t="n"/>
      <c r="Q152" s="29" t="n"/>
      <c r="R152" s="50" t="n"/>
      <c r="S152" s="50" t="n"/>
      <c r="T152" s="29" t="n"/>
      <c r="U152" s="29" t="n"/>
      <c r="V152" s="29" t="n"/>
      <c r="W152" s="29" t="n"/>
    </row>
    <row r="153" ht="54" customHeight="1">
      <c r="A153" s="29" t="n"/>
      <c r="B153" s="29" t="n"/>
      <c r="C153" s="29" t="n"/>
      <c r="D153" s="29" t="n"/>
      <c r="E153" s="29" t="n"/>
      <c r="F153" s="29" t="n"/>
      <c r="G153" s="29" t="n"/>
      <c r="H153" s="29" t="n"/>
      <c r="I153" s="29" t="n"/>
      <c r="J153" s="49" t="n"/>
      <c r="K153" s="51" t="n"/>
      <c r="L153" s="29" t="n"/>
      <c r="M153" s="29" t="n"/>
      <c r="N153" s="29" t="n"/>
      <c r="O153" s="29" t="n"/>
      <c r="P153" s="29" t="n"/>
      <c r="Q153" s="29" t="n"/>
      <c r="R153" s="50" t="n"/>
      <c r="S153" s="50" t="n"/>
      <c r="T153" s="29" t="n"/>
      <c r="U153" s="29" t="n"/>
      <c r="V153" s="29" t="n"/>
      <c r="W153" s="29" t="n"/>
    </row>
    <row r="154" ht="54" customHeight="1">
      <c r="A154" s="29" t="n"/>
      <c r="B154" s="29" t="n"/>
      <c r="C154" s="29" t="n"/>
      <c r="D154" s="29" t="n"/>
      <c r="E154" s="29" t="n"/>
      <c r="F154" s="29" t="n"/>
      <c r="G154" s="29" t="n"/>
      <c r="H154" s="29" t="n"/>
      <c r="I154" s="29" t="n"/>
      <c r="J154" s="49" t="n"/>
      <c r="K154" s="51" t="n"/>
      <c r="L154" s="29" t="n"/>
      <c r="M154" s="29" t="n"/>
      <c r="N154" s="29" t="n"/>
      <c r="O154" s="29" t="n"/>
      <c r="P154" s="29" t="n"/>
      <c r="Q154" s="29" t="n"/>
      <c r="R154" s="50" t="n"/>
      <c r="S154" s="50" t="n"/>
      <c r="T154" s="29" t="n"/>
      <c r="U154" s="29" t="n"/>
      <c r="V154" s="29" t="n"/>
      <c r="W154" s="29" t="n"/>
    </row>
    <row r="155" ht="54" customHeight="1">
      <c r="A155" s="29" t="n"/>
      <c r="B155" s="29" t="n"/>
      <c r="C155" s="29" t="n"/>
      <c r="D155" s="29" t="n"/>
      <c r="E155" s="29" t="n"/>
      <c r="F155" s="29" t="n"/>
      <c r="G155" s="29" t="n"/>
      <c r="H155" s="29" t="n"/>
      <c r="I155" s="29" t="n"/>
      <c r="J155" s="49" t="n"/>
      <c r="K155" s="51" t="n"/>
      <c r="L155" s="29" t="n"/>
      <c r="M155" s="29" t="n"/>
      <c r="N155" s="29" t="n"/>
      <c r="O155" s="29" t="n"/>
      <c r="P155" s="29" t="n"/>
      <c r="Q155" s="29" t="n"/>
      <c r="R155" s="50" t="n"/>
      <c r="S155" s="50" t="n"/>
      <c r="T155" s="29" t="n"/>
      <c r="U155" s="29" t="n"/>
      <c r="V155" s="29" t="n"/>
      <c r="W155" s="29" t="n"/>
    </row>
    <row r="156" ht="54" customHeight="1">
      <c r="A156" s="29" t="n"/>
      <c r="B156" s="29" t="n"/>
      <c r="C156" s="29" t="n"/>
      <c r="D156" s="29" t="n"/>
      <c r="E156" s="29" t="n"/>
      <c r="F156" s="29" t="n"/>
      <c r="G156" s="29" t="n"/>
      <c r="H156" s="29" t="n"/>
      <c r="I156" s="29" t="n"/>
      <c r="J156" s="49" t="n"/>
      <c r="K156" s="51" t="n"/>
      <c r="L156" s="29" t="n"/>
      <c r="M156" s="29" t="n"/>
      <c r="N156" s="29" t="n"/>
      <c r="O156" s="29" t="n"/>
      <c r="P156" s="29" t="n"/>
      <c r="Q156" s="29" t="n"/>
      <c r="R156" s="50" t="n"/>
      <c r="S156" s="50" t="n"/>
      <c r="T156" s="29" t="n"/>
      <c r="U156" s="29" t="n"/>
      <c r="V156" s="29" t="n"/>
      <c r="W156" s="29" t="n"/>
    </row>
    <row r="157" ht="54" customHeight="1">
      <c r="A157" s="29" t="n"/>
      <c r="B157" s="29" t="n"/>
      <c r="C157" s="29" t="n"/>
      <c r="D157" s="29" t="n"/>
      <c r="E157" s="29" t="n"/>
      <c r="F157" s="29" t="n"/>
      <c r="G157" s="29" t="n"/>
      <c r="H157" s="29" t="n"/>
      <c r="I157" s="29" t="n"/>
      <c r="J157" s="49" t="n"/>
      <c r="K157" s="51" t="n"/>
      <c r="L157" s="29" t="n"/>
      <c r="M157" s="29" t="n"/>
      <c r="N157" s="29" t="n"/>
      <c r="O157" s="29" t="n"/>
      <c r="P157" s="29" t="n"/>
      <c r="Q157" s="29" t="n"/>
      <c r="R157" s="50" t="n"/>
      <c r="S157" s="50" t="n"/>
      <c r="T157" s="29" t="n"/>
      <c r="U157" s="29" t="n"/>
      <c r="V157" s="29" t="n"/>
      <c r="W157" s="29" t="n"/>
    </row>
    <row r="158" ht="54" customHeight="1">
      <c r="A158" s="29" t="n"/>
      <c r="B158" s="29" t="n"/>
      <c r="C158" s="29" t="n"/>
      <c r="D158" s="29" t="n"/>
      <c r="E158" s="29" t="n"/>
      <c r="F158" s="29" t="n"/>
      <c r="G158" s="29" t="n"/>
      <c r="H158" s="29" t="n"/>
      <c r="I158" s="29" t="n"/>
      <c r="J158" s="49" t="n"/>
      <c r="K158" s="51" t="n"/>
      <c r="L158" s="29" t="n"/>
      <c r="M158" s="29" t="n"/>
      <c r="N158" s="29" t="n"/>
      <c r="O158" s="29" t="n"/>
      <c r="P158" s="29" t="n"/>
      <c r="Q158" s="29" t="n"/>
      <c r="R158" s="50" t="n"/>
      <c r="S158" s="50" t="n"/>
      <c r="T158" s="29" t="n"/>
      <c r="U158" s="29" t="n"/>
      <c r="V158" s="29" t="n"/>
      <c r="W158" s="29" t="n"/>
    </row>
    <row r="159" ht="54" customHeight="1">
      <c r="A159" s="29" t="n"/>
      <c r="B159" s="29" t="n"/>
      <c r="C159" s="29" t="n"/>
      <c r="D159" s="29" t="n"/>
      <c r="E159" s="29" t="n"/>
      <c r="F159" s="29" t="n"/>
      <c r="G159" s="29" t="n"/>
      <c r="H159" s="29" t="n"/>
      <c r="I159" s="29" t="n"/>
      <c r="J159" s="49" t="n"/>
      <c r="K159" s="51" t="n"/>
      <c r="L159" s="29" t="n"/>
      <c r="M159" s="29" t="n"/>
      <c r="N159" s="29" t="n"/>
      <c r="O159" s="29" t="n"/>
      <c r="P159" s="29" t="n"/>
      <c r="Q159" s="29" t="n"/>
      <c r="R159" s="50" t="n"/>
      <c r="S159" s="50" t="n"/>
      <c r="T159" s="29" t="n"/>
      <c r="U159" s="29" t="n"/>
      <c r="V159" s="29" t="n"/>
      <c r="W159" s="29" t="n"/>
    </row>
    <row r="160" ht="54" customHeight="1">
      <c r="A160" s="29" t="n"/>
      <c r="B160" s="29" t="n"/>
      <c r="C160" s="29" t="n"/>
      <c r="D160" s="29" t="n"/>
      <c r="E160" s="29" t="n"/>
      <c r="F160" s="29" t="n"/>
      <c r="G160" s="29" t="n"/>
      <c r="H160" s="29" t="n"/>
      <c r="I160" s="29" t="n"/>
      <c r="J160" s="49" t="n"/>
      <c r="K160" s="51" t="n"/>
      <c r="L160" s="29" t="n"/>
      <c r="M160" s="29" t="n"/>
      <c r="N160" s="29" t="n"/>
      <c r="O160" s="29" t="n"/>
      <c r="P160" s="29" t="n"/>
      <c r="Q160" s="29" t="n"/>
      <c r="R160" s="50" t="n"/>
      <c r="S160" s="50" t="n"/>
      <c r="T160" s="29" t="n"/>
      <c r="U160" s="29" t="n"/>
      <c r="V160" s="29" t="n"/>
      <c r="W160" s="29" t="n"/>
    </row>
    <row r="161" ht="54" customHeight="1">
      <c r="A161" s="29" t="n"/>
      <c r="B161" s="29" t="n"/>
      <c r="C161" s="29" t="n"/>
      <c r="D161" s="29" t="n"/>
      <c r="E161" s="29" t="n"/>
      <c r="F161" s="29" t="n"/>
      <c r="G161" s="29" t="n"/>
      <c r="H161" s="29" t="n"/>
      <c r="I161" s="29" t="n"/>
      <c r="J161" s="49" t="n"/>
      <c r="K161" s="51" t="n"/>
      <c r="L161" s="29" t="n"/>
      <c r="M161" s="29" t="n"/>
      <c r="N161" s="29" t="n"/>
      <c r="O161" s="29" t="n"/>
      <c r="P161" s="29" t="n"/>
      <c r="Q161" s="29" t="n"/>
      <c r="R161" s="50" t="n"/>
      <c r="S161" s="50" t="n"/>
      <c r="T161" s="29" t="n"/>
      <c r="U161" s="29" t="n"/>
      <c r="V161" s="29" t="n"/>
      <c r="W161" s="29" t="n"/>
    </row>
    <row r="162" ht="54" customHeight="1">
      <c r="A162" s="29" t="n"/>
      <c r="B162" s="29" t="n"/>
      <c r="C162" s="29" t="n"/>
      <c r="D162" s="29" t="n"/>
      <c r="E162" s="29" t="n"/>
      <c r="F162" s="29" t="n"/>
      <c r="G162" s="29" t="n"/>
      <c r="H162" s="29" t="n"/>
      <c r="I162" s="29" t="n"/>
      <c r="J162" s="49" t="n"/>
      <c r="K162" s="51" t="n"/>
      <c r="L162" s="29" t="n"/>
      <c r="M162" s="29" t="n"/>
      <c r="N162" s="29" t="n"/>
      <c r="O162" s="29" t="n"/>
      <c r="P162" s="29" t="n"/>
      <c r="Q162" s="29" t="n"/>
      <c r="R162" s="50" t="n"/>
      <c r="S162" s="50" t="n"/>
      <c r="T162" s="29" t="n"/>
      <c r="U162" s="29" t="n"/>
      <c r="V162" s="29" t="n"/>
      <c r="W162" s="29" t="n"/>
    </row>
    <row r="163" ht="54" customHeight="1">
      <c r="A163" s="29" t="n"/>
      <c r="B163" s="29" t="n"/>
      <c r="C163" s="29" t="n"/>
      <c r="D163" s="29" t="n"/>
      <c r="E163" s="29" t="n"/>
      <c r="F163" s="29" t="n"/>
      <c r="G163" s="29" t="n"/>
      <c r="H163" s="29" t="n"/>
      <c r="I163" s="29" t="n"/>
      <c r="J163" s="49" t="n"/>
      <c r="K163" s="51" t="n"/>
      <c r="L163" s="29" t="n"/>
      <c r="M163" s="29" t="n"/>
      <c r="N163" s="29" t="n"/>
      <c r="O163" s="29" t="n"/>
      <c r="P163" s="29" t="n"/>
      <c r="Q163" s="29" t="n"/>
      <c r="R163" s="50" t="n"/>
      <c r="S163" s="50" t="n"/>
      <c r="T163" s="29" t="n"/>
      <c r="U163" s="29" t="n"/>
      <c r="V163" s="29" t="n"/>
      <c r="W163" s="29" t="n"/>
    </row>
    <row r="164" ht="54" customHeight="1">
      <c r="A164" s="29" t="n"/>
      <c r="B164" s="29" t="n"/>
      <c r="C164" s="29" t="n"/>
      <c r="D164" s="29" t="n"/>
      <c r="E164" s="29" t="n"/>
      <c r="F164" s="29" t="n"/>
      <c r="G164" s="29" t="n"/>
      <c r="H164" s="29" t="n"/>
      <c r="I164" s="29" t="n"/>
      <c r="J164" s="49" t="n"/>
      <c r="K164" s="51" t="n"/>
      <c r="L164" s="29" t="n"/>
      <c r="M164" s="29" t="n"/>
      <c r="N164" s="29" t="n"/>
      <c r="O164" s="29" t="n"/>
      <c r="P164" s="29" t="n"/>
      <c r="Q164" s="29" t="n"/>
      <c r="R164" s="50" t="n"/>
      <c r="S164" s="50" t="n"/>
      <c r="T164" s="29" t="n"/>
      <c r="U164" s="29" t="n"/>
      <c r="V164" s="29" t="n"/>
      <c r="W164" s="29" t="n"/>
    </row>
    <row r="165" ht="54" customHeight="1">
      <c r="A165" s="29" t="n"/>
      <c r="B165" s="29" t="n"/>
      <c r="C165" s="29" t="n"/>
      <c r="D165" s="29" t="n"/>
      <c r="E165" s="29" t="n"/>
      <c r="F165" s="29" t="n"/>
      <c r="G165" s="29" t="n"/>
      <c r="H165" s="29" t="n"/>
      <c r="I165" s="29" t="n"/>
      <c r="J165" s="49" t="n"/>
      <c r="K165" s="51" t="n"/>
      <c r="L165" s="29" t="n"/>
      <c r="M165" s="29" t="n"/>
      <c r="N165" s="29" t="n"/>
      <c r="O165" s="29" t="n"/>
      <c r="P165" s="29" t="n"/>
      <c r="Q165" s="29" t="n"/>
      <c r="R165" s="50" t="n"/>
      <c r="S165" s="50" t="n"/>
      <c r="T165" s="29" t="n"/>
      <c r="U165" s="29" t="n"/>
      <c r="V165" s="29" t="n"/>
      <c r="W165" s="29" t="n"/>
    </row>
    <row r="166" ht="54" customHeight="1">
      <c r="A166" s="29" t="n"/>
      <c r="B166" s="29" t="n"/>
      <c r="C166" s="29" t="n"/>
      <c r="D166" s="29" t="n"/>
      <c r="E166" s="29" t="n"/>
      <c r="F166" s="29" t="n"/>
      <c r="G166" s="29" t="n"/>
      <c r="H166" s="29" t="n"/>
      <c r="I166" s="29" t="n"/>
      <c r="J166" s="49" t="n"/>
      <c r="K166" s="51" t="n"/>
      <c r="L166" s="29" t="n"/>
      <c r="M166" s="29" t="n"/>
      <c r="N166" s="29" t="n"/>
      <c r="O166" s="29" t="n"/>
      <c r="P166" s="29" t="n"/>
      <c r="Q166" s="29" t="n"/>
      <c r="R166" s="50" t="n"/>
      <c r="S166" s="50" t="n"/>
      <c r="T166" s="29" t="n"/>
      <c r="U166" s="29" t="n"/>
      <c r="V166" s="29" t="n"/>
      <c r="W166" s="29" t="n"/>
    </row>
    <row r="167" ht="54" customHeight="1">
      <c r="A167" s="29" t="n"/>
      <c r="B167" s="29" t="n"/>
      <c r="C167" s="29" t="n"/>
      <c r="D167" s="29" t="n"/>
      <c r="E167" s="29" t="n"/>
      <c r="F167" s="29" t="n"/>
      <c r="G167" s="29" t="n"/>
      <c r="H167" s="29" t="n"/>
      <c r="I167" s="29" t="n"/>
      <c r="J167" s="49" t="n"/>
      <c r="K167" s="51" t="n"/>
      <c r="L167" s="29" t="n"/>
      <c r="M167" s="29" t="n"/>
      <c r="N167" s="29" t="n"/>
      <c r="O167" s="29" t="n"/>
      <c r="P167" s="29" t="n"/>
      <c r="Q167" s="29" t="n"/>
      <c r="R167" s="50" t="n"/>
      <c r="S167" s="50" t="n"/>
      <c r="T167" s="29" t="n"/>
      <c r="U167" s="29" t="n"/>
      <c r="V167" s="29" t="n"/>
      <c r="W167" s="29" t="n"/>
    </row>
    <row r="168" ht="54" customHeight="1">
      <c r="A168" s="29" t="n"/>
      <c r="B168" s="29" t="n"/>
      <c r="C168" s="29" t="n"/>
      <c r="D168" s="29" t="n"/>
      <c r="E168" s="29" t="n"/>
      <c r="F168" s="29" t="n"/>
      <c r="G168" s="29" t="n"/>
      <c r="H168" s="29" t="n"/>
      <c r="I168" s="29" t="n"/>
      <c r="J168" s="49" t="n"/>
      <c r="K168" s="51" t="n"/>
      <c r="L168" s="29" t="n"/>
      <c r="M168" s="29" t="n"/>
      <c r="N168" s="29" t="n"/>
      <c r="O168" s="29" t="n"/>
      <c r="P168" s="29" t="n"/>
      <c r="Q168" s="29" t="n"/>
      <c r="R168" s="50" t="n"/>
      <c r="S168" s="50" t="n"/>
      <c r="T168" s="29" t="n"/>
      <c r="U168" s="29" t="n"/>
      <c r="V168" s="29" t="n"/>
      <c r="W168" s="29" t="n"/>
    </row>
    <row r="169" ht="54" customHeight="1">
      <c r="A169" s="29" t="n"/>
      <c r="B169" s="29" t="n"/>
      <c r="C169" s="29" t="n"/>
      <c r="D169" s="29" t="n"/>
      <c r="E169" s="29" t="n"/>
      <c r="F169" s="29" t="n"/>
      <c r="G169" s="29" t="n"/>
      <c r="H169" s="29" t="n"/>
      <c r="I169" s="29" t="n"/>
      <c r="J169" s="49" t="n"/>
      <c r="K169" s="51" t="n"/>
      <c r="L169" s="29" t="n"/>
      <c r="M169" s="29" t="n"/>
      <c r="N169" s="29" t="n"/>
      <c r="O169" s="29" t="n"/>
      <c r="P169" s="29" t="n"/>
      <c r="Q169" s="29" t="n"/>
      <c r="R169" s="50" t="n"/>
      <c r="S169" s="50" t="n"/>
      <c r="T169" s="29" t="n"/>
      <c r="U169" s="29" t="n"/>
      <c r="V169" s="29" t="n"/>
      <c r="W169" s="29" t="n"/>
    </row>
    <row r="170" ht="54" customHeight="1">
      <c r="A170" s="29" t="n"/>
      <c r="B170" s="29" t="n"/>
      <c r="C170" s="29" t="n"/>
      <c r="D170" s="29" t="n"/>
      <c r="E170" s="29" t="n"/>
      <c r="F170" s="29" t="n"/>
      <c r="G170" s="29" t="n"/>
      <c r="H170" s="29" t="n"/>
      <c r="I170" s="29" t="n"/>
      <c r="J170" s="49" t="n"/>
      <c r="K170" s="51" t="n"/>
      <c r="L170" s="29" t="n"/>
      <c r="M170" s="29" t="n"/>
      <c r="N170" s="29" t="n"/>
      <c r="O170" s="29" t="n"/>
      <c r="P170" s="29" t="n"/>
      <c r="Q170" s="29" t="n"/>
      <c r="R170" s="50" t="n"/>
      <c r="S170" s="50" t="n"/>
      <c r="T170" s="29" t="n"/>
      <c r="U170" s="29" t="n"/>
      <c r="V170" s="29" t="n"/>
      <c r="W170" s="29" t="n"/>
    </row>
    <row r="171" ht="54" customHeight="1">
      <c r="A171" s="29" t="n"/>
      <c r="B171" s="29" t="n"/>
      <c r="C171" s="29" t="n"/>
      <c r="D171" s="29" t="n"/>
      <c r="E171" s="29" t="n"/>
      <c r="F171" s="29" t="n"/>
      <c r="G171" s="29" t="n"/>
      <c r="H171" s="29" t="n"/>
      <c r="I171" s="29" t="n"/>
      <c r="J171" s="49" t="n"/>
      <c r="K171" s="51" t="n"/>
      <c r="L171" s="29" t="n"/>
      <c r="M171" s="29" t="n"/>
      <c r="N171" s="29" t="n"/>
      <c r="O171" s="29" t="n"/>
      <c r="P171" s="29" t="n"/>
      <c r="Q171" s="29" t="n"/>
      <c r="R171" s="50" t="n"/>
      <c r="S171" s="50" t="n"/>
      <c r="T171" s="29" t="n"/>
      <c r="U171" s="29" t="n"/>
      <c r="V171" s="29" t="n"/>
      <c r="W171" s="29" t="n"/>
    </row>
    <row r="172" ht="54" customHeight="1">
      <c r="A172" s="29" t="n"/>
      <c r="B172" s="29" t="n"/>
      <c r="C172" s="29" t="n"/>
      <c r="D172" s="29" t="n"/>
      <c r="E172" s="29" t="n"/>
      <c r="F172" s="29" t="n"/>
      <c r="G172" s="29" t="n"/>
      <c r="H172" s="29" t="n"/>
      <c r="I172" s="29" t="n"/>
      <c r="J172" s="49" t="n"/>
      <c r="K172" s="51" t="n"/>
      <c r="L172" s="29" t="n"/>
      <c r="M172" s="29" t="n"/>
      <c r="N172" s="29" t="n"/>
      <c r="O172" s="29" t="n"/>
      <c r="P172" s="29" t="n"/>
      <c r="Q172" s="29" t="n"/>
      <c r="R172" s="50" t="n"/>
      <c r="S172" s="50" t="n"/>
      <c r="T172" s="29" t="n"/>
      <c r="U172" s="29" t="n"/>
      <c r="V172" s="29" t="n"/>
      <c r="W172" s="29" t="n"/>
    </row>
    <row r="173" ht="54" customHeight="1">
      <c r="A173" s="29" t="n"/>
      <c r="B173" s="29" t="n"/>
      <c r="C173" s="29" t="n"/>
      <c r="D173" s="29" t="n"/>
      <c r="E173" s="29" t="n"/>
      <c r="F173" s="29" t="n"/>
      <c r="G173" s="29" t="n"/>
      <c r="H173" s="29" t="n"/>
      <c r="I173" s="29" t="n"/>
      <c r="J173" s="49" t="n"/>
      <c r="K173" s="51" t="n"/>
      <c r="L173" s="29" t="n"/>
      <c r="M173" s="29" t="n"/>
      <c r="N173" s="29" t="n"/>
      <c r="O173" s="29" t="n"/>
      <c r="P173" s="29" t="n"/>
      <c r="Q173" s="29" t="n"/>
      <c r="R173" s="50" t="n"/>
      <c r="S173" s="50" t="n"/>
      <c r="T173" s="29" t="n"/>
      <c r="U173" s="29" t="n"/>
      <c r="V173" s="29" t="n"/>
      <c r="W173" s="29" t="n"/>
    </row>
    <row r="174" ht="54" customHeight="1">
      <c r="A174" s="29" t="n"/>
      <c r="B174" s="29" t="n"/>
      <c r="C174" s="29" t="n"/>
      <c r="D174" s="29" t="n"/>
      <c r="E174" s="29" t="n"/>
      <c r="F174" s="29" t="n"/>
      <c r="G174" s="29" t="n"/>
      <c r="H174" s="29" t="n"/>
      <c r="I174" s="29" t="n"/>
      <c r="J174" s="49" t="n"/>
      <c r="K174" s="51" t="n"/>
      <c r="L174" s="29" t="n"/>
      <c r="M174" s="29" t="n"/>
      <c r="N174" s="29" t="n"/>
      <c r="O174" s="29" t="n"/>
      <c r="P174" s="29" t="n"/>
      <c r="Q174" s="29" t="n"/>
      <c r="R174" s="50" t="n"/>
      <c r="S174" s="50" t="n"/>
      <c r="T174" s="29" t="n"/>
      <c r="U174" s="29" t="n"/>
      <c r="V174" s="29" t="n"/>
      <c r="W174" s="29" t="n"/>
    </row>
    <row r="175" ht="54" customHeight="1">
      <c r="A175" s="29" t="n"/>
      <c r="B175" s="29" t="n"/>
      <c r="C175" s="29" t="n"/>
      <c r="D175" s="29" t="n"/>
      <c r="E175" s="29" t="n"/>
      <c r="F175" s="29" t="n"/>
      <c r="G175" s="29" t="n"/>
      <c r="H175" s="29" t="n"/>
      <c r="I175" s="29" t="n"/>
      <c r="J175" s="49" t="n"/>
      <c r="K175" s="51" t="n"/>
      <c r="L175" s="29" t="n"/>
      <c r="M175" s="29" t="n"/>
      <c r="N175" s="29" t="n"/>
      <c r="O175" s="29" t="n"/>
      <c r="P175" s="29" t="n"/>
      <c r="Q175" s="29" t="n"/>
      <c r="R175" s="50" t="n"/>
      <c r="S175" s="50" t="n"/>
      <c r="T175" s="29" t="n"/>
      <c r="U175" s="29" t="n"/>
      <c r="V175" s="29" t="n"/>
      <c r="W175" s="29" t="n"/>
    </row>
    <row r="176" ht="54" customHeight="1">
      <c r="A176" s="29" t="n"/>
      <c r="B176" s="29" t="n"/>
      <c r="C176" s="29" t="n"/>
      <c r="D176" s="29" t="n"/>
      <c r="E176" s="29" t="n"/>
      <c r="F176" s="29" t="n"/>
      <c r="G176" s="29" t="n"/>
      <c r="H176" s="29" t="n"/>
      <c r="I176" s="29" t="n"/>
      <c r="J176" s="49" t="n"/>
      <c r="K176" s="51" t="n"/>
      <c r="L176" s="29" t="n"/>
      <c r="M176" s="29" t="n"/>
      <c r="N176" s="29" t="n"/>
      <c r="O176" s="29" t="n"/>
      <c r="P176" s="29" t="n"/>
      <c r="Q176" s="29" t="n"/>
      <c r="R176" s="50" t="n"/>
      <c r="S176" s="50" t="n"/>
      <c r="T176" s="29" t="n"/>
      <c r="U176" s="29" t="n"/>
      <c r="V176" s="29" t="n"/>
      <c r="W176" s="29" t="n"/>
    </row>
    <row r="177" ht="54" customHeight="1">
      <c r="A177" s="29" t="n"/>
      <c r="B177" s="29" t="n"/>
      <c r="C177" s="29" t="n"/>
      <c r="D177" s="29" t="n"/>
      <c r="E177" s="29" t="n"/>
      <c r="F177" s="29" t="n"/>
      <c r="G177" s="29" t="n"/>
      <c r="H177" s="29" t="n"/>
      <c r="I177" s="29" t="n"/>
      <c r="J177" s="49" t="n"/>
      <c r="K177" s="51" t="n"/>
      <c r="L177" s="29" t="n"/>
      <c r="M177" s="29" t="n"/>
      <c r="N177" s="29" t="n"/>
      <c r="O177" s="29" t="n"/>
      <c r="P177" s="29" t="n"/>
      <c r="Q177" s="29" t="n"/>
      <c r="R177" s="50" t="n"/>
      <c r="S177" s="50" t="n"/>
      <c r="T177" s="29" t="n"/>
      <c r="U177" s="29" t="n"/>
      <c r="V177" s="29" t="n"/>
      <c r="W177" s="29" t="n"/>
    </row>
    <row r="178" ht="54" customHeight="1">
      <c r="A178" s="29" t="n"/>
      <c r="B178" s="29" t="n"/>
      <c r="C178" s="29" t="n"/>
      <c r="D178" s="29" t="n"/>
      <c r="E178" s="29" t="n"/>
      <c r="F178" s="29" t="n"/>
      <c r="G178" s="29" t="n"/>
      <c r="H178" s="29" t="n"/>
      <c r="I178" s="29" t="n"/>
      <c r="J178" s="49" t="n"/>
      <c r="K178" s="51" t="n"/>
      <c r="L178" s="29" t="n"/>
      <c r="M178" s="29" t="n"/>
      <c r="N178" s="29" t="n"/>
      <c r="O178" s="29" t="n"/>
      <c r="P178" s="29" t="n"/>
      <c r="Q178" s="29" t="n"/>
      <c r="R178" s="50" t="n"/>
      <c r="S178" s="50" t="n"/>
      <c r="T178" s="29" t="n"/>
      <c r="U178" s="29" t="n"/>
      <c r="V178" s="29" t="n"/>
      <c r="W178" s="29" t="n"/>
    </row>
    <row r="179" ht="54" customHeight="1">
      <c r="A179" s="29" t="n"/>
      <c r="B179" s="29" t="n"/>
      <c r="C179" s="29" t="n"/>
      <c r="D179" s="29" t="n"/>
      <c r="E179" s="29" t="n"/>
      <c r="F179" s="29" t="n"/>
      <c r="G179" s="29" t="n"/>
      <c r="H179" s="29" t="n"/>
      <c r="I179" s="29" t="n"/>
      <c r="J179" s="49" t="n"/>
      <c r="K179" s="51" t="n"/>
      <c r="L179" s="29" t="n"/>
      <c r="M179" s="29" t="n"/>
      <c r="N179" s="29" t="n"/>
      <c r="O179" s="29" t="n"/>
      <c r="P179" s="29" t="n"/>
      <c r="Q179" s="29" t="n"/>
      <c r="R179" s="50" t="n"/>
      <c r="S179" s="50" t="n"/>
      <c r="T179" s="29" t="n"/>
      <c r="U179" s="29" t="n"/>
      <c r="V179" s="29" t="n"/>
      <c r="W179" s="29" t="n"/>
    </row>
    <row r="180" ht="54" customHeight="1">
      <c r="A180" s="29" t="n"/>
      <c r="B180" s="29" t="n"/>
      <c r="C180" s="29" t="n"/>
      <c r="D180" s="29" t="n"/>
      <c r="E180" s="29" t="n"/>
      <c r="F180" s="29" t="n"/>
      <c r="G180" s="29" t="n"/>
      <c r="H180" s="29" t="n"/>
      <c r="I180" s="29" t="n"/>
      <c r="J180" s="49" t="n"/>
      <c r="K180" s="51" t="n"/>
      <c r="L180" s="29" t="n"/>
      <c r="M180" s="29" t="n"/>
      <c r="N180" s="29" t="n"/>
      <c r="O180" s="29" t="n"/>
      <c r="P180" s="29" t="n"/>
      <c r="Q180" s="29" t="n"/>
      <c r="R180" s="50" t="n"/>
      <c r="S180" s="50" t="n"/>
      <c r="T180" s="29" t="n"/>
      <c r="U180" s="29" t="n"/>
      <c r="V180" s="29" t="n"/>
      <c r="W180" s="29" t="n"/>
    </row>
    <row r="181" ht="54" customHeight="1">
      <c r="A181" s="29" t="n"/>
      <c r="B181" s="29" t="n"/>
      <c r="C181" s="29" t="n"/>
      <c r="D181" s="29" t="n"/>
      <c r="E181" s="29" t="n"/>
      <c r="F181" s="29" t="n"/>
      <c r="G181" s="29" t="n"/>
      <c r="H181" s="29" t="n"/>
      <c r="I181" s="29" t="n"/>
      <c r="J181" s="49" t="n"/>
      <c r="K181" s="51" t="n"/>
      <c r="L181" s="29" t="n"/>
      <c r="M181" s="29" t="n"/>
      <c r="N181" s="29" t="n"/>
      <c r="O181" s="29" t="n"/>
      <c r="P181" s="29" t="n"/>
      <c r="Q181" s="29" t="n"/>
      <c r="R181" s="50" t="n"/>
      <c r="S181" s="50" t="n"/>
      <c r="T181" s="29" t="n"/>
      <c r="U181" s="29" t="n"/>
      <c r="V181" s="29" t="n"/>
      <c r="W181" s="29" t="n"/>
    </row>
    <row r="182" ht="54" customHeight="1">
      <c r="A182" s="29" t="n"/>
      <c r="B182" s="29" t="n"/>
      <c r="C182" s="29" t="n"/>
      <c r="D182" s="29" t="n"/>
      <c r="E182" s="29" t="n"/>
      <c r="F182" s="29" t="n"/>
      <c r="G182" s="29" t="n"/>
      <c r="H182" s="29" t="n"/>
      <c r="I182" s="29" t="n"/>
      <c r="J182" s="49" t="n"/>
      <c r="K182" s="51" t="n"/>
      <c r="L182" s="29" t="n"/>
      <c r="M182" s="29" t="n"/>
      <c r="N182" s="29" t="n"/>
      <c r="O182" s="29" t="n"/>
      <c r="P182" s="29" t="n"/>
      <c r="Q182" s="29" t="n"/>
      <c r="R182" s="50" t="n"/>
      <c r="S182" s="50" t="n"/>
      <c r="T182" s="29" t="n"/>
      <c r="U182" s="29" t="n"/>
      <c r="V182" s="29" t="n"/>
      <c r="W182" s="29" t="n"/>
    </row>
    <row r="183" ht="54" customHeight="1">
      <c r="A183" s="29" t="n"/>
      <c r="B183" s="29" t="n"/>
      <c r="C183" s="29" t="n"/>
      <c r="D183" s="29" t="n"/>
      <c r="E183" s="29" t="n"/>
      <c r="F183" s="29" t="n"/>
      <c r="G183" s="29" t="n"/>
      <c r="H183" s="29" t="n"/>
      <c r="I183" s="29" t="n"/>
      <c r="J183" s="49" t="n"/>
      <c r="K183" s="51" t="n"/>
      <c r="L183" s="29" t="n"/>
      <c r="M183" s="29" t="n"/>
      <c r="N183" s="29" t="n"/>
      <c r="O183" s="29" t="n"/>
      <c r="P183" s="29" t="n"/>
      <c r="Q183" s="29" t="n"/>
      <c r="R183" s="50" t="n"/>
      <c r="S183" s="50" t="n"/>
      <c r="T183" s="29" t="n"/>
      <c r="U183" s="29" t="n"/>
      <c r="V183" s="29" t="n"/>
      <c r="W183" s="29" t="n"/>
    </row>
    <row r="184" ht="54" customHeight="1">
      <c r="A184" s="29" t="n"/>
      <c r="B184" s="29" t="n"/>
      <c r="C184" s="29" t="n"/>
      <c r="D184" s="29" t="n"/>
      <c r="E184" s="29" t="n"/>
      <c r="F184" s="29" t="n"/>
      <c r="G184" s="29" t="n"/>
      <c r="H184" s="29" t="n"/>
      <c r="I184" s="29" t="n"/>
      <c r="J184" s="49" t="n"/>
      <c r="K184" s="51" t="n"/>
      <c r="L184" s="29" t="n"/>
      <c r="M184" s="29" t="n"/>
      <c r="N184" s="29" t="n"/>
      <c r="O184" s="29" t="n"/>
      <c r="P184" s="29" t="n"/>
      <c r="Q184" s="29" t="n"/>
      <c r="R184" s="50" t="n"/>
      <c r="S184" s="50" t="n"/>
      <c r="T184" s="29" t="n"/>
      <c r="U184" s="29" t="n"/>
      <c r="V184" s="29" t="n"/>
      <c r="W184" s="29" t="n"/>
    </row>
    <row r="185" ht="54" customHeight="1">
      <c r="A185" s="29" t="n"/>
      <c r="B185" s="29" t="n"/>
      <c r="C185" s="29" t="n"/>
      <c r="D185" s="29" t="n"/>
      <c r="E185" s="29" t="n"/>
      <c r="F185" s="29" t="n"/>
      <c r="G185" s="29" t="n"/>
      <c r="H185" s="29" t="n"/>
      <c r="I185" s="29" t="n"/>
      <c r="J185" s="49" t="n"/>
      <c r="K185" s="51" t="n"/>
      <c r="L185" s="29" t="n"/>
      <c r="M185" s="29" t="n"/>
      <c r="N185" s="29" t="n"/>
      <c r="O185" s="29" t="n"/>
      <c r="P185" s="29" t="n"/>
      <c r="Q185" s="29" t="n"/>
      <c r="R185" s="50" t="n"/>
      <c r="S185" s="50" t="n"/>
      <c r="T185" s="29" t="n"/>
      <c r="U185" s="29" t="n"/>
      <c r="V185" s="29" t="n"/>
      <c r="W185" s="29" t="n"/>
    </row>
    <row r="186" ht="54" customHeight="1">
      <c r="A186" s="29" t="n"/>
      <c r="B186" s="29" t="n"/>
      <c r="C186" s="29" t="n"/>
      <c r="D186" s="29" t="n"/>
      <c r="E186" s="29" t="n"/>
      <c r="F186" s="29" t="n"/>
      <c r="G186" s="29" t="n"/>
      <c r="H186" s="29" t="n"/>
      <c r="I186" s="29" t="n"/>
      <c r="J186" s="49" t="n"/>
      <c r="K186" s="51" t="n"/>
      <c r="L186" s="29" t="n"/>
      <c r="M186" s="29" t="n"/>
      <c r="N186" s="29" t="n"/>
      <c r="O186" s="29" t="n"/>
      <c r="P186" s="29" t="n"/>
      <c r="Q186" s="29" t="n"/>
      <c r="R186" s="50" t="n"/>
      <c r="S186" s="50" t="n"/>
      <c r="T186" s="29" t="n"/>
      <c r="U186" s="29" t="n"/>
      <c r="V186" s="29" t="n"/>
      <c r="W186" s="29" t="n"/>
    </row>
    <row r="187" ht="54" customHeight="1">
      <c r="A187" s="29" t="n"/>
      <c r="B187" s="29" t="n"/>
      <c r="C187" s="29" t="n"/>
      <c r="D187" s="29" t="n"/>
      <c r="E187" s="29" t="n"/>
      <c r="F187" s="29" t="n"/>
      <c r="G187" s="29" t="n"/>
      <c r="H187" s="29" t="n"/>
      <c r="I187" s="29" t="n"/>
      <c r="J187" s="49" t="n"/>
      <c r="K187" s="51" t="n"/>
      <c r="L187" s="29" t="n"/>
      <c r="M187" s="29" t="n"/>
      <c r="N187" s="29" t="n"/>
      <c r="O187" s="29" t="n"/>
      <c r="P187" s="29" t="n"/>
      <c r="Q187" s="29" t="n"/>
      <c r="R187" s="50" t="n"/>
      <c r="S187" s="50" t="n"/>
      <c r="T187" s="29" t="n"/>
      <c r="U187" s="29" t="n"/>
      <c r="V187" s="29" t="n"/>
      <c r="W187" s="29" t="n"/>
    </row>
  </sheetData>
  <mergeCells count="1">
    <mergeCell ref="A3:H3"/>
  </mergeCells>
  <conditionalFormatting sqref="A8:A187">
    <cfRule type="expression" priority="1" dxfId="1">
      <formula>AND($A8&lt;&gt;"",ISBLANK(A8))</formula>
    </cfRule>
  </conditionalFormatting>
  <conditionalFormatting sqref="B8:B187">
    <cfRule type="expression" priority="2" dxfId="1">
      <formula>AND($A8&lt;&gt;"",ISBLANK(B8))</formula>
    </cfRule>
  </conditionalFormatting>
  <conditionalFormatting sqref="C8:C187">
    <cfRule type="expression" priority="3" dxfId="1">
      <formula>AND($A8&lt;&gt;"",ISBLANK(C8))</formula>
    </cfRule>
  </conditionalFormatting>
  <conditionalFormatting sqref="D8:D187">
    <cfRule type="expression" priority="4" dxfId="1">
      <formula>AND($A8&lt;&gt;"",ISBLANK(D8))</formula>
    </cfRule>
  </conditionalFormatting>
  <conditionalFormatting sqref="F8:F187">
    <cfRule type="expression" priority="5" dxfId="1">
      <formula>AND($A8&lt;&gt;"",ISBLANK(F8))</formula>
    </cfRule>
  </conditionalFormatting>
  <conditionalFormatting sqref="I8:I187">
    <cfRule type="expression" priority="6" dxfId="1">
      <formula>AND($A8&lt;&gt;"",ISBLANK(I8))</formula>
    </cfRule>
  </conditionalFormatting>
  <conditionalFormatting sqref="J8:J187">
    <cfRule type="expression" priority="7" dxfId="1">
      <formula>AND($A8&lt;&gt;"",ISBLANK(J8))</formula>
    </cfRule>
  </conditionalFormatting>
  <conditionalFormatting sqref="K8:K187">
    <cfRule type="expression" priority="8" dxfId="1">
      <formula>AND($A8&lt;&gt;"",ISBLANK(K8))</formula>
    </cfRule>
  </conditionalFormatting>
  <conditionalFormatting sqref="L8:L187">
    <cfRule type="expression" priority="9" dxfId="1">
      <formula>AND($A8&lt;&gt;"",ISBLANK(L8))</formula>
    </cfRule>
  </conditionalFormatting>
  <conditionalFormatting sqref="M8:M187">
    <cfRule type="expression" priority="10" dxfId="1">
      <formula>AND($A8&lt;&gt;"",ISBLANK(M8))</formula>
    </cfRule>
  </conditionalFormatting>
  <conditionalFormatting sqref="N8:N187">
    <cfRule type="expression" priority="11" dxfId="1">
      <formula>AND($A8&lt;&gt;"",ISBLANK(N8))</formula>
    </cfRule>
  </conditionalFormatting>
  <conditionalFormatting sqref="O8:O187">
    <cfRule type="expression" priority="12" dxfId="1">
      <formula>AND($A8&lt;&gt;"",ISBLANK(O8))</formula>
    </cfRule>
  </conditionalFormatting>
  <conditionalFormatting sqref="P8:P187">
    <cfRule type="expression" priority="13" dxfId="1">
      <formula>AND($A8&lt;&gt;"",ISBLANK(P8))</formula>
    </cfRule>
  </conditionalFormatting>
  <conditionalFormatting sqref="Q8:Q187">
    <cfRule type="expression" priority="14" dxfId="1">
      <formula>AND($A8&lt;&gt;"",ISBLANK(Q8))</formula>
    </cfRule>
  </conditionalFormatting>
  <conditionalFormatting sqref="V8:V187">
    <cfRule type="expression" priority="15" dxfId="1">
      <formula>AND($A8&lt;&gt;"",ISBLANK(V8))</formula>
    </cfRule>
  </conditionalFormatting>
  <dataValidations count="5">
    <dataValidation sqref="L8:L187" showDropDown="0" showInputMessage="0" showErrorMessage="0" allowBlank="0" type="list">
      <formula1>"Evet,Hayır"</formula1>
    </dataValidation>
    <dataValidation sqref="M8:M187" showDropDown="0" showInputMessage="0" showErrorMessage="0" allowBlank="0" type="list">
      <formula1>"Taslak,İnceleme,Düzeltme,Onaylandı"</formula1>
    </dataValidation>
    <dataValidation sqref="N8:N187" showDropDown="0" showInputMessage="0" showErrorMessage="0" allowBlank="0" type="list">
      <formula1>"Müzeler,Sanat ve sergiler,Sahne ve müzik,Spor,Doğa ve açık hava,Çocuklarla keşif,Yeme ve içme,Tarih ve mimari"</formula1>
    </dataValidation>
    <dataValidation sqref="P8:P187" showDropDown="0" showInputMessage="0" showErrorMessage="0" allowBlank="0" type="list">
      <formula1>"Kapalı alan,Açık hava,Karma"</formula1>
    </dataValidation>
    <dataValidation sqref="V8:V18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48" customWidth="1" min="16" max="16"/>
    <col width="58" customWidth="1" min="17" max="17"/>
    <col width="28" customWidth="1" min="18" max="18"/>
  </cols>
  <sheetData>
    <row r="1" ht="30" customHeight="1">
      <c r="A1" s="2" t="n"/>
      <c r="B1" s="2" t="n"/>
      <c r="C1" s="2" t="n"/>
      <c r="D1" s="2" t="n"/>
      <c r="E1" s="2" t="n"/>
      <c r="F1" s="2" t="n"/>
      <c r="G1" s="2" t="n"/>
      <c r="H1" s="2" t="n"/>
      <c r="I1" s="2" t="n"/>
      <c r="J1" s="2" t="n"/>
      <c r="K1" s="2" t="n"/>
      <c r="L1" s="2" t="n"/>
      <c r="M1" s="2" t="n"/>
      <c r="N1" s="2" t="n"/>
      <c r="O1" s="2" t="n"/>
      <c r="P1" s="2" t="n"/>
      <c r="Q1" s="2" t="n"/>
      <c r="R1" s="2" t="n"/>
    </row>
    <row r="2" ht="30" customHeight="1">
      <c r="A2" s="19" t="inlineStr">
        <is>
          <t>Corteqs · Mahalle ve yerel bölge</t>
        </is>
      </c>
      <c r="B2" s="2" t="n"/>
      <c r="C2" s="2" t="n"/>
      <c r="D2" s="2" t="n"/>
      <c r="E2" s="2" t="n"/>
      <c r="F2" s="2" t="n"/>
      <c r="G2" s="2" t="n"/>
      <c r="H2" s="2" t="n"/>
      <c r="I2" s="2" t="n"/>
      <c r="J2" s="2" t="n"/>
      <c r="K2" s="2" t="n"/>
      <c r="L2" s="2" t="n"/>
      <c r="M2" s="2" t="n"/>
      <c r="N2" s="2" t="n"/>
      <c r="O2" s="2" t="n"/>
      <c r="P2" s="2" t="n"/>
      <c r="Q2" s="2" t="n"/>
      <c r="R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row>
    <row r="4" ht="30" customHeight="1">
      <c r="A4" s="21" t="n"/>
      <c r="B4" s="21" t="n"/>
      <c r="C4" s="21" t="n"/>
      <c r="D4" s="21" t="n"/>
      <c r="E4" s="21" t="n"/>
      <c r="F4" s="21" t="n"/>
      <c r="G4" s="21" t="n"/>
      <c r="H4" s="21" t="n"/>
      <c r="I4" s="21" t="n"/>
      <c r="J4" s="21" t="n"/>
      <c r="K4" s="21" t="n"/>
      <c r="L4" s="21" t="n"/>
      <c r="M4" s="21" t="n"/>
      <c r="N4" s="21" t="n"/>
      <c r="O4" s="21" t="n"/>
      <c r="P4" s="21" t="n"/>
      <c r="Q4" s="21" t="n"/>
      <c r="R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İsteğe bağlı · alt satır</t>
        </is>
      </c>
      <c r="P5" s="22" t="inlineStr">
        <is>
          <t>İsteğe bağlı · JSON</t>
        </is>
      </c>
      <c r="Q5" s="22" t="inlineStr">
        <is>
          <t>İsteğe bağlı</t>
        </is>
      </c>
      <c r="R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Yer / konum</t>
        </is>
      </c>
      <c r="O6" s="25" t="inlineStr">
        <is>
          <t>Öne çıkan özellikler</t>
        </is>
      </c>
      <c r="P6" s="25" t="inlineStr">
        <is>
          <t>Karşılaştırma alanları (JSON)</t>
        </is>
      </c>
      <c r="Q6" s="25" t="inlineStr">
        <is>
          <t>Yaşam ve ev seçimi notu</t>
        </is>
      </c>
      <c r="R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location</t>
        </is>
      </c>
      <c r="O7" s="28" t="inlineStr">
        <is>
          <t>tags</t>
        </is>
      </c>
      <c r="P7" s="28" t="inlineStr">
        <is>
          <t>compare_json</t>
        </is>
      </c>
      <c r="Q7" s="28" t="inlineStr">
        <is>
          <t>note</t>
        </is>
      </c>
      <c r="R7" s="28" t="inlineStr">
        <is>
          <t>media_key</t>
        </is>
      </c>
    </row>
    <row r="8" ht="54" customHeight="1">
      <c r="A8" s="29" t="inlineStr">
        <is>
          <t>eindhoven:centrum-bolgesi</t>
        </is>
      </c>
      <c r="B8" s="29" t="inlineStr">
        <is>
          <t>eindhoven</t>
        </is>
      </c>
      <c r="C8" s="29" t="inlineStr">
        <is>
          <t>centrum-bolgesi</t>
        </is>
      </c>
      <c r="D8" s="29" t="inlineStr">
        <is>
          <t>Centrum bölgesi</t>
        </is>
      </c>
      <c r="E8" s="29" t="inlineStr">
        <is>
          <t>İstasyonun, mağazaların ve restoranların bulunduğu şehir merkezi</t>
        </is>
      </c>
      <c r="F8" s="29" t="inlineStr">
        <is>
          <t>Centrum, Eindhoven'ın tren istasyonunun ve yoğun alışveriş sokaklarının bulunduğu şehir merkezidir. Belediye merkezde yaşamanın avantajını şöyle anlatıyor: neredeyse her şey elinizin altında, geniş mağaza çeşidi, restoranlar ve sinemalar yakında. Expatica burayı kalabalığın tam ortasında olmak isteyen genç profesyoneller ve öğrenciler için uygun buluyor; çocuklu aileler genellikle başka bölgelerde oturuyor.</t>
        </is>
      </c>
      <c r="G8" s="29" t="inlineStr">
        <is>
          <t>Centrum, şehir merkezi, Eindhoven Centraal, Binnenstad, merkezde yaşam, Bergen, Witte Dame</t>
        </is>
      </c>
      <c r="H8" s="29" t="inlineStr">
        <is>
          <t>planning;new</t>
        </is>
      </c>
      <c r="I8" s="29" t="inlineStr">
        <is>
          <t>eindhoven:kaynak:227;eindhoven:kaynak:228;eindhoven:kaynak:229;eindhoven:kaynak:230</t>
        </is>
      </c>
      <c r="J8" s="49" t="n">
        <v>46317</v>
      </c>
      <c r="K8" s="51" t="n">
        <v>1301</v>
      </c>
      <c r="L8" s="29" t="inlineStr">
        <is>
          <t>Hayır</t>
        </is>
      </c>
      <c r="M8" s="29" t="inlineStr">
        <is>
          <t>Taslak</t>
        </is>
      </c>
      <c r="N8" s="29" t="inlineStr">
        <is>
          <t>Eindhoven şehir merkezi (Bergen ve Witte Dame, Binnenstad, Fellenoord ve istasyon bölgesi)</t>
        </is>
      </c>
      <c r="O8" s="29" t="inlineStr">
        <is>
          <t>Tren istasyonu yanında
Alışveriş ve restoranlar
Şehir parkları
Öğrenci ve genç profesyoneller</t>
        </is>
      </c>
      <c r="P8" s="29" t="inlineStr">
        <is>
          <t>{"Ulaşım": "Tren istasyonu bu bölgede; Centraal Station'dan çıkınca şehrin tam merkezindesiniz ve oradan bisikletle ya da yürüyerek gezebilirsiniz. Expatica'ya göre toplu taşıma ve bisiklet yolları Centrum'un her yerinden geçiyor.", "Yaşam ritmi": "Belediye merkezi 'bruisend' (hareketli) diye tarif ediyor: hemen her şey yakında. Expatica sokakları canlı ve kalabalık, mağaza ve restoranlarla dolu olarak anlatıyor.", "Konut tipi": "Expat Arrivals'a göre eski fabrikalar ve ofis blokları şık dairelere dönüşmüş. Expatica merkez mahallelerin satın alma ve kiralamada şehrin en pahalı yerleri arasında olduğunu yazıyor.", "Yeşil alan": "Belediye merkezde yaşayanların çeşitli şehir parklarından yararlanabildiğini yazıyor. Expat Arrivals'a göre Belediye Binası çevresinde yeşil ve biyoçeşitliliği artıran yeni girişimler var.", "Kimler için": "Expatica'ya göre kalabalığın ortasında olmak isteyen genç profesyoneller ve öğrenciler için; sağlık merkezi, ilkokul ve oyun alanı az olduğu için çocuklu aileler genellikle başka bölgelerde oturuyor."}</t>
        </is>
      </c>
      <c r="Q8" s="29" t="inlineStr">
        <is>
          <t>Belediye Centrum'daki yapı projelerini dört alanda topluyor: Stationsgebied (istasyon bölgesi), Binnenstad, Emmasingelkwadrant ve de Bergen. Bu kart bölge düzeyindedir; Bergen için ayrı kart var.</t>
        </is>
      </c>
      <c r="R8" s="29" t="n"/>
    </row>
    <row r="9" ht="54" customHeight="1">
      <c r="A9" s="29" t="inlineStr">
        <is>
          <t>eindhoven:de-bergen-mahallesi</t>
        </is>
      </c>
      <c r="B9" s="29" t="inlineStr">
        <is>
          <t>eindhoven</t>
        </is>
      </c>
      <c r="C9" s="29" t="inlineStr">
        <is>
          <t>de-bergen-mahallesi</t>
        </is>
      </c>
      <c r="D9" s="29" t="inlineStr">
        <is>
          <t>De Bergen mahallesi</t>
        </is>
      </c>
      <c r="E9" s="29" t="inlineStr">
        <is>
          <t>Eindhoven'ın en eski mahallelerinden: kafeleri ve galerileriyle bilinen tarihî semt</t>
        </is>
      </c>
      <c r="F9" s="29" t="inlineStr">
        <is>
          <t>De Bergen, 'Eindhoven'ın Quartier Latin'i' olarak da anılan, şehrin en eski ve belki de en sıcak mahallelerinden biridir. Savaştan az zarar gören birkaç bölgeden biri olduğu için karakteristik binalar ve sokaklar korunmuş. Çok sayıda kafe, restoran, özel dükkân ve galeri var; bu mahallede ev bulmak ise ucuz değil.</t>
        </is>
      </c>
      <c r="G9" s="29" t="inlineStr">
        <is>
          <t>De Bergen, Bergen, Eindhoven merkez, Kleine Berg, Quartier Latin, kafe, galeri</t>
        </is>
      </c>
      <c r="H9" s="29" t="inlineStr">
        <is>
          <t>planning;new</t>
        </is>
      </c>
      <c r="I9" s="29" t="inlineStr">
        <is>
          <t>eindhoven:kaynak:227;eindhoven:kaynak:231;eindhoven:kaynak:232;eindhoven:kaynak:228</t>
        </is>
      </c>
      <c r="J9" s="49" t="n">
        <v>46317</v>
      </c>
      <c r="K9" s="51" t="n">
        <v>1302</v>
      </c>
      <c r="L9" s="29" t="inlineStr">
        <is>
          <t>Hayır</t>
        </is>
      </c>
      <c r="M9" s="29" t="inlineStr">
        <is>
          <t>Taslak</t>
        </is>
      </c>
      <c r="N9" s="29" t="inlineStr">
        <is>
          <t>Eindhoven şehir merkezi, Centrum bölgesi (Bergen)</t>
        </is>
      </c>
      <c r="O9" s="29" t="inlineStr">
        <is>
          <t>Tarihî sokaklar
Kafe ve restoranlar
Galeriler
Merkeze yakın</t>
        </is>
      </c>
      <c r="P9" s="29" t="inlineStr">
        <is>
          <t>{"Ulaşım": "Mahalle Centrum bölgesinin içinde; bölgenin her yerinden toplu taşıma ve bisiklet yolları geçiyor. Expatica öğrencilerin TU/e ve Design Academy'ye yakınlığı yüzünden burada oturduğunu yazıyor.", "Yaşam ritmi": "Sanatsal bir semt: çok sayıda sıcak kafe ve restoran, özel mağazalar ve galeriler var. Dar sokaklarda restoranlar, şık barlar, brown cafe'ler (geleneksel kahveler) ve lüks butikler yan yana.", "Konut tipi": "Karakteristik güzel evlerle şık yeni binalar iç içe. Ev bulmak ucuz değil.", "Yeşil alan": "Mahallenin bağlı olduğu Centrum bölgesinde, belediyeye göre çeşitli şehir parkları var.", "Kimler için": "Expatica'ya göre öğrenciler burada sık oturuyor; This is Eindhoven ise ev fiyatlarının düşük olmadığını belirtiyor."}</t>
        </is>
      </c>
      <c r="Q9" s="29" t="inlineStr">
        <is>
          <t>Alışveriş için This is Eindhoven Kleine Berg'i 'mutlaka görülmeli' diye öneriyor.</t>
        </is>
      </c>
      <c r="R9" s="29" t="n"/>
    </row>
    <row r="10" ht="54" customHeight="1">
      <c r="A10" s="29" t="inlineStr">
        <is>
          <t>eindhoven:strijp-s-mahallesi</t>
        </is>
      </c>
      <c r="B10" s="29" t="inlineStr">
        <is>
          <t>eindhoven</t>
        </is>
      </c>
      <c r="C10" s="29" t="inlineStr">
        <is>
          <t>strijp-s-mahallesi</t>
        </is>
      </c>
      <c r="D10" s="29" t="inlineStr">
        <is>
          <t>Strijp-S mahallesi</t>
        </is>
      </c>
      <c r="E10" s="29" t="inlineStr">
        <is>
          <t>Eski Philips fabrika bölgesi: tasarım, kafe ve dönüştürülmüş binalar</t>
        </is>
      </c>
      <c r="F10" s="29" t="inlineStr">
        <is>
          <t>Strijp-S, eskiden yalnızca Philips çalışanlarının girebildiği 'yasak şehir'di; bugün eski fabrika binalarının neredeyse hepsi mağaza, restoran ve yaratıcı iş yerlerine dönüşmüş durumda. Her yıl Dutch Design Week (DDW) ve STRP Festival gibi etkinliklere ev sahipliği yapıyor. Eindhoven Centraal'dan trenle yalnızca bir durak uzakta. Expat Arrivals konut fiyatlarının yüksek tarafta olduğunu yazıyor.</t>
        </is>
      </c>
      <c r="G10" s="29" t="inlineStr">
        <is>
          <t>Strijp-S, Philips, Dutch Design Week, DDW, Strijp, tasarım, loft daire</t>
        </is>
      </c>
      <c r="H10" s="29" t="inlineStr">
        <is>
          <t>planning;new</t>
        </is>
      </c>
      <c r="I10" s="29" t="inlineStr">
        <is>
          <t>eindhoven:kaynak:233;eindhoven:kaynak:234;eindhoven:kaynak:235;eindhoven:kaynak:230;eindhoven:kaynak:228;eindhoven:kaynak:236</t>
        </is>
      </c>
      <c r="J10" s="49" t="n">
        <v>46317</v>
      </c>
      <c r="K10" s="51" t="n">
        <v>1303</v>
      </c>
      <c r="L10" s="29" t="inlineStr">
        <is>
          <t>Evet</t>
        </is>
      </c>
      <c r="M10" s="29" t="inlineStr">
        <is>
          <t>Taslak</t>
        </is>
      </c>
      <c r="N10" s="29" t="inlineStr">
        <is>
          <t>Eindhoven batısı, Strijp bölgesi (Strijp-S)</t>
        </is>
      </c>
      <c r="O10" s="29" t="inlineStr">
        <is>
          <t>Eski fabrika bölgesi
Tasarım ve yaratıcılık
Trenle bir durak
Etkinlikler</t>
        </is>
      </c>
      <c r="P10" s="29" t="inlineStr">
        <is>
          <t>{"Ulaşım": "Eindhoven Centraal'dan trenle Strijp-S istasyonuna yalnızca bir durak; 401, 402 veya 403 numaralı otobüslerle de bölgeye gidilebiliyor.", "Yaşam ritmi": "This is Eindhoven bölgeyi eskiden kapalı olan, bugün daha trend ve herkese açık bir yer olarak anlatıyor. Expat Arrivals festival ve pazarların büyük kalabalık çektiğini yazıyor.", "Konut tipi": "Expatica eski Philips binalarının daireye, iş yerine ve yaratıcı alana dönüştürüldüğünü yazıyor. Expat Arrivals dönüştürülmüş endüstri binalarında özgün daireler olduğunu belirtiyor.", "Yeşil alan": "Expatica Strijp bölgesinde Philips de Jongh Park ve Philips van Lenneppark gibi geniş yeşil alanlar sayıyor; This is Eindhoven yeni açılan Landgoed de Wielewaal ormanını bölgenin 'koca arka bahçesi' olarak tanıtıyor.", "Kimler için": "Expat Arrivals'a göre genç profesyonellerin ve yaratıcıların uğrak yeri; Expatica Strijp'in yabancı aileler arasında da popüler olduğunu yazıyor."}</t>
        </is>
      </c>
      <c r="Q10" s="29" t="inlineStr">
        <is>
          <t>Dutch Design Week sırasında Strijp-S'te 120'den fazla tasarım projesi sergileniyor; bir öğleden sonrayı rahatça dolduruyor.</t>
        </is>
      </c>
      <c r="R10" s="29" t="n"/>
    </row>
    <row r="11" ht="54" customHeight="1">
      <c r="A11" s="29" t="inlineStr">
        <is>
          <t>eindhoven:philipsdorp-mahallesi</t>
        </is>
      </c>
      <c r="B11" s="29" t="inlineStr">
        <is>
          <t>eindhoven</t>
        </is>
      </c>
      <c r="C11" s="29" t="inlineStr">
        <is>
          <t>philipsdorp-mahallesi</t>
        </is>
      </c>
      <c r="D11" s="29" t="inlineStr">
        <is>
          <t>Philipsdorp mahallesi</t>
        </is>
      </c>
      <c r="E11" s="29" t="inlineStr">
        <is>
          <t>Philips'in 1910'da çalışanları için kurduğu, küçük meydanlarıyla bilinen mahalle</t>
        </is>
      </c>
      <c r="F11" s="29" t="inlineStr">
        <is>
          <t>Philipsdorp, Philips'in çalışanlarına beşikten mezara kadar bakmak istemesiyle 1910'da kurulan, Eindhoven'ın en ünlü mahallelerinden biri. Mahallede çok sayıda küçük, samimi meydan var. Evlerin çoğu sosyal konut ve Wooniezie üzerinden kiralanıyor; kiralık evlerin çoğu 2012-2018 arasında baştan yenilenmiş. Strijp-S ve şehir merkezi çok yakın.</t>
        </is>
      </c>
      <c r="G11" s="29" t="inlineStr">
        <is>
          <t>Philipsdorp, Philips mahallesi, Oud-Strijp, sosyal konut, Wooniezie, Strijp</t>
        </is>
      </c>
      <c r="H11" s="29" t="inlineStr">
        <is>
          <t>planning;new</t>
        </is>
      </c>
      <c r="I11" s="29" t="inlineStr">
        <is>
          <t>eindhoven:kaynak:233;eindhoven:kaynak:232;eindhoven:kaynak:228</t>
        </is>
      </c>
      <c r="J11" s="49" t="n">
        <v>46317</v>
      </c>
      <c r="K11" s="51" t="n">
        <v>1304</v>
      </c>
      <c r="L11" s="29" t="inlineStr">
        <is>
          <t>Hayır</t>
        </is>
      </c>
      <c r="M11" s="29" t="inlineStr">
        <is>
          <t>Taslak</t>
        </is>
      </c>
      <c r="N11" s="29" t="inlineStr">
        <is>
          <t>Eindhoven batısı, Strijp bölgesi (Oud-Strijp)</t>
        </is>
      </c>
      <c r="O11" s="29" t="inlineStr">
        <is>
          <t>Sosyal kiralık konut
Küçük meydanlar
Strijp-S'e yakın
Yenilenmiş evler</t>
        </is>
      </c>
      <c r="P11" s="29" t="inlineStr">
        <is>
          <t>{"Ulaşım": "Hem trend Strijp-S hem şehir merkezi 'taş atımı' mesafede; kaynak konumu ideal olarak tanımlıyor.", "Yaşam ritmi": "Mahalle aidiyet duygusu yaratmak için tasarlanmış; bu yüzden çok sayıda samimi küçük meydan var.", "Konut tipi": "Tipik evlerin ön bahçesi yok ama kendi sebzenizi yetiştirebileceğiniz büyüklükte arka bahçesi var. Ağırlıkla sosyal konut; 2012-2018 arasında çoğu kiralık ev baştan yenilenmiş.", "Yeşil alan": "Evlerin arka bahçeleri kendi sebzenizi yetiştirmeye yetecek kadar büyük. Expatica, Strijp bölgesinde Philips de Jongh Park ve Philips van Lenneppark gibi geniş yeşil alanlar olduğunu yazıyor.", "Kimler için": "Sosyal konut arayanlar için: evlerin çoğu Wooniezie üzerinden kiralanıyor. Mahalleyi Philips kendi çalışanları için kurmuş."}</t>
        </is>
      </c>
      <c r="Q11" s="29" t="inlineStr">
        <is>
          <t>Mahalledeki sosyal konutlar Wooniezie.nl üzerinden kiralanıyor; Wooniezie kayıt sayfası bu kartın işlem bağlantılarında.</t>
        </is>
      </c>
      <c r="R11" s="29" t="n"/>
    </row>
    <row r="12" ht="54" customHeight="1">
      <c r="A12" s="29" t="inlineStr">
        <is>
          <t>eindhoven:meerhoven-mahallesi</t>
        </is>
      </c>
      <c r="B12" s="29" t="inlineStr">
        <is>
          <t>eindhoven</t>
        </is>
      </c>
      <c r="C12" s="29" t="inlineStr">
        <is>
          <t>meerhoven-mahallesi</t>
        </is>
      </c>
      <c r="D12" s="29" t="inlineStr">
        <is>
          <t>Meerhoven mahallesi</t>
        </is>
      </c>
      <c r="E12" s="29" t="inlineStr">
        <is>
          <t>ASML yolu üzerinde, parkları ve suyuyla yeni yerleşim bölgesi</t>
        </is>
      </c>
      <c r="F12" s="29" t="inlineStr">
        <is>
          <t>Meerhoven, belediyenin 1997'de inşaatına başladığı dev bir yeni konut bölgesi ve Strijp bölgesinin içinde yer alıyor. Bosrijk, Grasrijk, Meerrijk, Waterrijk ve Zandrijk mahallelerinden oluşuyor; This is Eindhoven hepsinin birbirine benzediğini ve çok popüler olduğunu yazıyor. ASML'ye giden otoyolun hemen yanında, yabancılar arasında çok tutuluyor. Park Meerland yaklaşık 100 futbol sahası büyüklüğünde.</t>
        </is>
      </c>
      <c r="G12" s="29" t="inlineStr">
        <is>
          <t>Meerhoven, Waterrijk, Bosrijk, Park Meerland, ASML, expat, P+R Meerhoven</t>
        </is>
      </c>
      <c r="H12" s="29" t="inlineStr">
        <is>
          <t>planning;new</t>
        </is>
      </c>
      <c r="I12" s="29" t="inlineStr">
        <is>
          <t>eindhoven:kaynak:233;eindhoven:kaynak:232;eindhoven:kaynak:189;eindhoven:kaynak:157;eindhoven:kaynak:230;eindhoven:kaynak:228;eindhoven:kaynak:237</t>
        </is>
      </c>
      <c r="J12" s="49" t="n">
        <v>46317</v>
      </c>
      <c r="K12" s="51" t="n">
        <v>1305</v>
      </c>
      <c r="L12" s="29" t="inlineStr">
        <is>
          <t>Evet</t>
        </is>
      </c>
      <c r="M12" s="29" t="inlineStr">
        <is>
          <t>Taslak</t>
        </is>
      </c>
      <c r="N12" s="29" t="inlineStr">
        <is>
          <t>Eindhoven batısı, Strijp bölgesi (Meerhoven: Bosrijk, Grasrijk, Meerrijk, Waterrijk, Zandrijk)</t>
        </is>
      </c>
      <c r="O12" s="29" t="inlineStr">
        <is>
          <t>ASML'ye yakın
Park Meerland
Aileler
Yabancı topluluğu</t>
        </is>
      </c>
      <c r="P12" s="29" t="inlineStr">
        <is>
          <t>{"Ulaşım": "ASML'ye giden otoyolun hemen yanında. Meerhoven P+R otoparkından 401, 402 veya 403 numaralı otobüsler merkeze gidiyor ve Philips Stadion, Piazza ile Centraal Station'da duruyor.", "Yaşam ritmi": "Expat Arrivals Meerhoven'i düşünceli, aile odaklı olanaklarıyla öne çıkan yer olarak tanımlıyor; Expatica ise Strijp içindeki daha sakin ve yeşil yerler arasında sayıyor.", "Konut tipi": "Waterrijk'te sıra evler ve lüks villalar var. Bosrijk'te yaklaşık 200 konut yapılmış; evler mevcut peyzaja yerleştiriliyor.", "Yeşil alan": "Park Meerland yaklaşık 100 futbol sahası büyüklüğünde. Bosrijk, Meerbos, Park Meerland ve Beatrixkanaal'ın ortasında.", "Kimler için": "This is Eindhoven Meerhoven mahallelerinin yabancılar arasında çok popüler olduğunu yazıyor; Expat Arrivals aile odaklı olanaklara dikkat çekiyor."}</t>
        </is>
      </c>
      <c r="Q12" s="29" t="inlineStr">
        <is>
          <t>Bosrijk hâlâ gelişen bir alan: belediye, boş ve yapım aşamasındaki kümelerde yaklaşık 90 konut için daha yer olduğunu yazıyor. P+R Meerhoven'de otobüsle merkeze gidiş-dönüş bilet kişi başı 0,50 euro.</t>
        </is>
      </c>
      <c r="R12" s="29" t="n"/>
    </row>
    <row r="13" ht="54" customHeight="1">
      <c r="A13" s="29" t="inlineStr">
        <is>
          <t>eindhoven:woensel-west-mahallesi</t>
        </is>
      </c>
      <c r="B13" s="29" t="inlineStr">
        <is>
          <t>eindhoven</t>
        </is>
      </c>
      <c r="C13" s="29" t="inlineStr">
        <is>
          <t>woensel-west-mahallesi</t>
        </is>
      </c>
      <c r="D13" s="29" t="inlineStr">
        <is>
          <t>Woensel-West mahallesi</t>
        </is>
      </c>
      <c r="E13" s="29" t="inlineStr">
        <is>
          <t>Edisonstraat çevresinde kültürlerin ve yaratıcı işlerin buluştuğu eski işçi mahallesi</t>
        </is>
      </c>
      <c r="F13" s="29" t="inlineStr">
        <is>
          <t>Woensel-West, eskiden işçi mahallesi olan, bugün kültürlerin, yaratıcılığın ve karışık mimarinin buluştuğu 'hip' bir mahalle. Edisonstraat mahallenin kalbi: çok sayıda iyi restoran ve mağaza var. Belediye mahalleyi Woensel-Zuid bölgesi altında listeliyor; mahalle Groenewoud adıyla da biliniyor.</t>
        </is>
      </c>
      <c r="G13" s="29" t="inlineStr">
        <is>
          <t>Woensel-West, Groenewoud, Edisonstraat, Woensel-Zuid, çok kültürlü mahalle</t>
        </is>
      </c>
      <c r="H13" s="29" t="inlineStr">
        <is>
          <t>planning;new</t>
        </is>
      </c>
      <c r="I13" s="29" t="inlineStr">
        <is>
          <t>eindhoven:kaynak:238;eindhoven:kaynak:239;eindhoven:kaynak:232;eindhoven:kaynak:228</t>
        </is>
      </c>
      <c r="J13" s="49" t="n">
        <v>46317</v>
      </c>
      <c r="K13" s="51" t="n">
        <v>1306</v>
      </c>
      <c r="L13" s="29" t="inlineStr">
        <is>
          <t>Hayır</t>
        </is>
      </c>
      <c r="M13" s="29" t="inlineStr">
        <is>
          <t>Taslak</t>
        </is>
      </c>
      <c r="N13" s="29" t="inlineStr">
        <is>
          <t>Eindhoven kuzeyi, Woensel-Zuid bölgesi (Woensel-West / Groenewoud)</t>
        </is>
      </c>
      <c r="O13" s="29" t="inlineStr">
        <is>
          <t>Çok kültürlü
Yaratıcı topluluk
Edisonstraat
Eski işçi mahallesi</t>
        </is>
      </c>
      <c r="P13" s="29" t="inlineStr">
        <is>
          <t>{"Ulaşım": "Expatica, Woensel-Zuid'de uluslararası öğrencilerin yaşadığını ve bölgenin şehir merkezine ve üniversitelere yakın olduğunu yazıyor.", "Yaşam ritmi": "Kültürler yan yana yaşıyor; yaratıcılık ve karışık mimari bir arada. Edisonstraat mahallenin kalbi: restoranlar ve mağazalarla dolu.", "Konut tipi": "Karışık (eclectic) mimari. Eski bir okul binasının sınıfları atölyeye, spor salonu sergi alanına çevrilmiş.", "Yeşil alan": "Expatica Woensel'de çok sayıda park, spor merkezi ve okul olduğunu yazıyor.", "Kimler için": "Başlangıç aşamasındaki sanatçılar, genç aileler ve yaratıcı kişiler; sokakta oynayan çocuklar."}</t>
        </is>
      </c>
      <c r="Q13" s="29" t="inlineStr">
        <is>
          <t>Edisonstraat'taki Woensel WestSide Stores'ta farklı girişimcilerin dükkânları bir arada; This is Eindhoven mahalleyi canlı ve çeşitli dükkânlarla tanımlıyor.</t>
        </is>
      </c>
      <c r="R13" s="29" t="n"/>
    </row>
    <row r="14" ht="54" customHeight="1">
      <c r="A14" s="29" t="inlineStr">
        <is>
          <t>eindhoven:woensel-zuid-bolgesi</t>
        </is>
      </c>
      <c r="B14" s="29" t="inlineStr">
        <is>
          <t>eindhoven</t>
        </is>
      </c>
      <c r="C14" s="29" t="inlineStr">
        <is>
          <t>woensel-zuid-bolgesi</t>
        </is>
      </c>
      <c r="D14" s="29" t="inlineStr">
        <is>
          <t>Woensel-Zuid bölgesi</t>
        </is>
      </c>
      <c r="E14" s="29" t="inlineStr">
        <is>
          <t>Şehir merkezinin kuzeyinde, Kruisstraat çevresi canlı, öğrenci ve aile dostu bölge</t>
        </is>
      </c>
      <c r="F14" s="29" t="inlineStr">
        <is>
          <t>Woensel-Zuid, şehir merkezinin kuzeyindeki büyük Woensel bölgesinin güney yarısı; belediye bölgeyi Barrier, Kronehoef, Woensel-West, Limbeek ve Eckartdal gibi mahallelere ayırıyor. Expat Arrivals burayı Eindhoven'ın en uygun fiyatlı mahallelerinden biri olarak tanımlıyor; Kruisstraat çevresinde dünya mutfaklarından dükkân ve restoranlar var. Yakındaki eğitim kurumları yüzünden uluslararası öğrenciler arasında da tercih ediliyor.</t>
        </is>
      </c>
      <c r="G14" s="29" t="inlineStr">
        <is>
          <t>Woensel-Zuid, Kruisstraat, Woensel, uygun fiyatlı, öğrenci, Eindhoven kuzeyi</t>
        </is>
      </c>
      <c r="H14" s="29" t="inlineStr">
        <is>
          <t>planning;new</t>
        </is>
      </c>
      <c r="I14" s="29" t="inlineStr">
        <is>
          <t>eindhoven:kaynak:238;eindhoven:kaynak:228;eindhoven:kaynak:230</t>
        </is>
      </c>
      <c r="J14" s="49" t="n">
        <v>46317</v>
      </c>
      <c r="K14" s="51" t="n">
        <v>1307</v>
      </c>
      <c r="L14" s="29" t="inlineStr">
        <is>
          <t>Hayır</t>
        </is>
      </c>
      <c r="M14" s="29" t="inlineStr">
        <is>
          <t>Taslak</t>
        </is>
      </c>
      <c r="N14" s="29" t="inlineStr">
        <is>
          <t>Eindhoven kuzeyi, şehir merkezinin hemen kuzeyi (Woensel-Zuid bölgesi)</t>
        </is>
      </c>
      <c r="O14" s="29" t="inlineStr">
        <is>
          <t>Uygun fiyatlı konut
Kruisstraat
Öğrenciler ve aileler
Bisikletle merkeze</t>
        </is>
      </c>
      <c r="P14" s="29" t="inlineStr">
        <is>
          <t>{"Ulaşım": "Expat Arrivals bölgenin hem olanaklara hem ulaşım bağlantılarına kolay erişim sunduğunu yazıyor; birçok sakin bisikletle şehre iniyor.", "Yaşam ritmi": "Kruisstraat çevresi canlı: dünyanın dört bir yanından lezzetler sunan dükkân ve restoranlar var.", "Konut tipi": "Expatica Woensel'de konutların genellikle apartman daireleri ve müstakil evlerden oluştuğunu, şehrin geri kalanına göre çoğunlukla daha uygun fiyatlı olduğunu yazıyor.", "Yeşil alan": "Expat Arrivals bölgede parkların serpiştirilmiş olduğunu, dinlenmek ve hafta sonu yürüyüşü için uygun olduğunu yazıyor.", "Kimler için": "Expat Arrivals'a göre aileler ve öğrenciler arasında giderek daha popüler; Expatica Woensel'i öğrenciler, aileler ve genç profesyoneller için ideal buluyor."}</t>
        </is>
      </c>
      <c r="Q14" s="29" t="inlineStr">
        <is>
          <t>Aynı bölgedeki Woensel-West mahallesi için ayrı kart var.</t>
        </is>
      </c>
      <c r="R14" s="29" t="n"/>
    </row>
    <row r="15" ht="54" customHeight="1">
      <c r="A15" s="29" t="inlineStr">
        <is>
          <t>eindhoven:woensel-noord-bolgesi</t>
        </is>
      </c>
      <c r="B15" s="29" t="inlineStr">
        <is>
          <t>eindhoven</t>
        </is>
      </c>
      <c r="C15" s="29" t="inlineStr">
        <is>
          <t>woensel-noord-bolgesi</t>
        </is>
      </c>
      <c r="D15" s="29" t="inlineStr">
        <is>
          <t>Woensel-Noord bölgesi</t>
        </is>
      </c>
      <c r="E15" s="29" t="inlineStr">
        <is>
          <t>Geniş evleri ve yeşil alanlarıyla ailelere uygun kuzey bölgesi</t>
        </is>
      </c>
      <c r="F15" s="29" t="inlineStr">
        <is>
          <t>Woensel-Noord, Woensel bölgesinin kuzey yarısı; belediye bölgeyi Achtse Barrier, Eckart, Blixembosch ve Woenselse Heide gibi mahallelere ayırıyor. Expatica burayı geniş, yeşil alanlı ev arayan aileler için daha uygun buluyor; Blixembosch'ta daha uygun fiyatlı ve çok sayıda müstakil ev seçeneği var. Eckart Wandelpark gibi orman alanları Karpendonkse Plas gölüne komşu.</t>
        </is>
      </c>
      <c r="G15" s="29" t="inlineStr">
        <is>
          <t>Woensel-Noord, Blixembosch, Eckart, Achtse Barrier, aileler, müstakil ev</t>
        </is>
      </c>
      <c r="H15" s="29" t="inlineStr">
        <is>
          <t>planning;new</t>
        </is>
      </c>
      <c r="I15" s="29" t="inlineStr">
        <is>
          <t>eindhoven:kaynak:240;eindhoven:kaynak:228;eindhoven:kaynak:230;eindhoven:kaynak:189;eindhoven:kaynak:236</t>
        </is>
      </c>
      <c r="J15" s="49" t="n">
        <v>46317</v>
      </c>
      <c r="K15" s="51" t="n">
        <v>1308</v>
      </c>
      <c r="L15" s="29" t="inlineStr">
        <is>
          <t>Hayır</t>
        </is>
      </c>
      <c r="M15" s="29" t="inlineStr">
        <is>
          <t>Taslak</t>
        </is>
      </c>
      <c r="N15" s="29" t="inlineStr">
        <is>
          <t>Eindhoven kuzeyi (Woensel-Noord bölgesi: Achtse Barrier, Eckart, Blixembosch, Woenselse Heide)</t>
        </is>
      </c>
      <c r="O15" s="29" t="inlineStr">
        <is>
          <t>Aileler için geniş evler
Blixembosch
Eckart Wandelpark
Otobüs ve bisiklet</t>
        </is>
      </c>
      <c r="P15" s="29" t="inlineStr">
        <is>
          <t>{"Ulaşım": "Expat Arrivals'a göre geniş otobüs ağı ve bisiklet yolları sayesinde Woensel şehir merkeziyle iyi bağlantılı.", "Yaşam ritmi": "Expat Arrivals Woensel'i çok kültürlü bir atmosfer olarak tanımlıyor: dünyanın dört bir yanından sakinler var.", "Konut tipi": "Expatica Woensel-Noord'u geniş evler arayan aileler için daha uygun buluyor; Blixembosch'ta daha uygun fiyatlı ve çok sayıda müstakil ev seçeneği var.", "Yeşil alan": "Eckart Wandelpark, Karpendonkse Plas'a komşu güzel bir orman alanı; Karpendonkse Plas'ın kuzeydoğusunda yaprak döken bir orman yürüyüş parkı yer alıyor.", "Kimler için": "Geniş, yeşil alanlı ev arayan aileler; Expatica Woensel'i öğrenciler, aileler ve genç profesyoneller için ideal buluyor."}</t>
        </is>
      </c>
      <c r="Q15" s="29" t="inlineStr">
        <is>
          <t>Expat Arrivals ve Expatica Woensel'i tek başlık altında anlattığı için ulaşım ve çok kültürlülük bilgisi Woensel-Zuid kartıyla ortaktır; bu kart yalnızca Woensel-Noord'a özgü konut ve yeşil alan bilgisini ayırıyor.</t>
        </is>
      </c>
      <c r="R15" s="29" t="n"/>
    </row>
    <row r="16" ht="54" customHeight="1">
      <c r="A16" s="29" t="inlineStr">
        <is>
          <t>eindhoven:stratum-bolgesi</t>
        </is>
      </c>
      <c r="B16" s="29" t="inlineStr">
        <is>
          <t>eindhoven</t>
        </is>
      </c>
      <c r="C16" s="29" t="inlineStr">
        <is>
          <t>stratum-bolgesi</t>
        </is>
      </c>
      <c r="D16" s="29" t="inlineStr">
        <is>
          <t>Stratum bölgesi</t>
        </is>
      </c>
      <c r="E16" s="29" t="inlineStr">
        <is>
          <t>Güneyde villalı, bahçeli ve Stratumse Heide'ye komşu yerleşim bölgesi</t>
        </is>
      </c>
      <c r="F16" s="29" t="inlineStr">
        <is>
          <t>Stratum, Eindhoven'ın güneyindeki cazip ve yerleşim ağırlıklı bir bölge. Expatica eski villalardan daha modern binalara kadar çeşitli konut olduğunu, Den Elzent, Tuindorp, Roosten ve Riel'de bahçeli, park yeri bol müstakil evler bulunduğunu yazıyor. Stratum'da oturanların büyük olasılıkla düzenli yürüyüş noktası Stratumse Heide.</t>
        </is>
      </c>
      <c r="G16" s="29" t="inlineStr">
        <is>
          <t>Stratum, Den Elzent, Witte Dorp, Riel, Stratumse Heide, aile, güney Eindhoven</t>
        </is>
      </c>
      <c r="H16" s="29" t="inlineStr">
        <is>
          <t>planning;new</t>
        </is>
      </c>
      <c r="I16" s="29" t="inlineStr">
        <is>
          <t>eindhoven:kaynak:241;eindhoven:kaynak:228;eindhoven:kaynak:236;eindhoven:kaynak:232</t>
        </is>
      </c>
      <c r="J16" s="49" t="n">
        <v>46317</v>
      </c>
      <c r="K16" s="51" t="n">
        <v>1309</v>
      </c>
      <c r="L16" s="29" t="inlineStr">
        <is>
          <t>Hayır</t>
        </is>
      </c>
      <c r="M16" s="29" t="inlineStr">
        <is>
          <t>Taslak</t>
        </is>
      </c>
      <c r="N16" s="29" t="inlineStr">
        <is>
          <t>Eindhoven güneyi (Stratum bölgesi: Den Elzent, Tuindorp, Riel, Tivoli, Eikenburg)</t>
        </is>
      </c>
      <c r="O16" s="29" t="inlineStr">
        <is>
          <t>Müstakil evler
Aileler için
Stratumse Heide
Villa mahalleleri</t>
        </is>
      </c>
      <c r="P16" s="29" t="inlineStr">
        <is>
          <t>{"Ulaşım": "Expatica'ya göre tüm Eindhoven otobüsle iyi bağlandığı için merkezden uzakta oturmak ve daha az kira ödemek çoğu zaman daha uygun. Den Elzent merkeze 10 dakikalık yürüyüş, Riel ise bisikletle 15 dakika.", "Yaşam ritmi": "Expatica Stratum'u şirin ve popüler bir yerleşim bölgesi olarak tanımlıyor; bölgede çeşitli mahalle etkinlikleri düzenleniyor.", "Konut tipi": "Eski villalardan daha modern binalara kadar çeşitli konut var; Den Elzent, Tuindorp, Roosten ve Riel'de bahçeli, park yeri bol müstakil evler bulunuyor.", "Yeşil alan": "Stratumse Heide, Stratum'da oturanların büyük olasılıkla düzenli yürüyüş (köpek gezdirme) noktası; Stadswandelpark'ta öğleden sonra gezilebilir.", "Kimler için": "Expatica Stratum'u, şehir merkezinin kalbine çok uzak olmayan yerleşim bölgesi arayan aileler için mükemmel buluyor."}</t>
        </is>
      </c>
      <c r="Q16" s="29" t="inlineStr">
        <is>
          <t>Expatica'ya göre merkeze yaklaştıkça fiyatlar yükseliyor. Alt mahalleler için Den Elzent, Witte Dorp ve Riel kartlarına bakın.</t>
        </is>
      </c>
      <c r="R16" s="29" t="n"/>
    </row>
    <row r="17" ht="54" customHeight="1">
      <c r="A17" s="29" t="inlineStr">
        <is>
          <t>eindhoven:den-elzent-mahallesi</t>
        </is>
      </c>
      <c r="B17" s="29" t="inlineStr">
        <is>
          <t>eindhoven</t>
        </is>
      </c>
      <c r="C17" s="29" t="inlineStr">
        <is>
          <t>den-elzent-mahallesi</t>
        </is>
      </c>
      <c r="D17" s="29" t="inlineStr">
        <is>
          <t>Den Elzent mahallesi</t>
        </is>
      </c>
      <c r="E17" s="29" t="inlineStr">
        <is>
          <t>Merkezin hemen güneyinde, parklarla çevrili villa mahallesi</t>
        </is>
      </c>
      <c r="F17" s="29" t="inlineStr">
        <is>
          <t>Den Elzent (De Elzent), Elzent-Noord ve Elzent-Zuid'den oluşan bir villa mahallesi; adını bölgede eskiden çok yetişen kızılağaç (elzen) ağaçlarından alıyor. Ağırlıklı olarak görkemli müstakil evler ve geniş ikiz evler var; mahallenin kenarında bazı apartman blokları da bulunuyor. Şehir merkezine 10 dakikalık yürüme mesafesinde ve parklarla çevrili.</t>
        </is>
      </c>
      <c r="G17" s="29" t="inlineStr">
        <is>
          <t>Den Elzent, Elzent, villa mahallesi, Stratum, Dommelplantsoen, Stadswandelpark</t>
        </is>
      </c>
      <c r="H17" s="29" t="inlineStr">
        <is>
          <t>planning;new</t>
        </is>
      </c>
      <c r="I17" s="29" t="inlineStr">
        <is>
          <t>eindhoven:kaynak:241;eindhoven:kaynak:232;eindhoven:kaynak:228;eindhoven:kaynak:189</t>
        </is>
      </c>
      <c r="J17" s="49" t="n">
        <v>46317</v>
      </c>
      <c r="K17" s="51" t="n">
        <v>1310</v>
      </c>
      <c r="L17" s="29" t="inlineStr">
        <is>
          <t>Hayır</t>
        </is>
      </c>
      <c r="M17" s="29" t="inlineStr">
        <is>
          <t>Taslak</t>
        </is>
      </c>
      <c r="N17" s="29" t="inlineStr">
        <is>
          <t>Eindhoven şehir merkezinin hemen güneyi, Stratum bölgesi (Elzent-Noord ve Elzent-Zuid)</t>
        </is>
      </c>
      <c r="O17" s="29" t="inlineStr">
        <is>
          <t>Villa mahallesi
Merkeze yürüme mesafesi
Parklar
Aileler için</t>
        </is>
      </c>
      <c r="P17" s="29" t="inlineStr">
        <is>
          <t>{"Ulaşım": "Şehir merkezine 10 dakikalık yürüme mesafesinde; Parktheater'e neredeyse yuvarlanarak gidilebiliyor.", "Yaşam ritmi": "Expatica çocuklu aileler için Elzent gibi daha sakin bir mahalleyi öneriyor. This is Eindhoven yakındaki Dommelplantsoen'i 'Eindhoven'ın yeşil kalbinde' olma hissi veren bir yer olarak anlatıyor.", "Konut tipi": "Ağırlıkla görkemli müstakil evler ve geniş ikiz evler; mahallenin kenarında Bomanshof gibi apartman blokları var. Expatica'ya göre Elzent'te müstakil ev kirası daha uygun fiyatlı Eikenburg'dan yüksek.", "Yeşil alan": "Dommelplantsoen ve Stadswandelpark gibi parklar sayesinde çok yeşil bir mahalle.", "Kimler için": "Çocuklu aileler (Expatica); dev bir villa bütçesi olmayanlar için mahallenin kenarında apartman blokları var."}</t>
        </is>
      </c>
      <c r="Q17" s="29" t="inlineStr">
        <is>
          <t>Expatica'ya göre Elzent'te müstakil bir ev kiralamak, daha uygun fiyatlı Eikenburg'a göre daha pahalı.</t>
        </is>
      </c>
      <c r="R17" s="29" t="n"/>
    </row>
    <row r="18" ht="54" customHeight="1">
      <c r="A18" s="29" t="inlineStr">
        <is>
          <t>eindhoven:witte-dorp-mahallesi</t>
        </is>
      </c>
      <c r="B18" s="29" t="inlineStr">
        <is>
          <t>eindhoven</t>
        </is>
      </c>
      <c r="C18" s="29" t="inlineStr">
        <is>
          <t>witte-dorp-mahallesi</t>
        </is>
      </c>
      <c r="D18" s="29" t="inlineStr">
        <is>
          <t>Witte Dorp mahallesi</t>
        </is>
      </c>
      <c r="E18" s="29" t="inlineStr">
        <is>
          <t>Tuindorp: Dudok'un beyaz evleriyle 'şehrin içinde köy', ulusal anıt</t>
        </is>
      </c>
      <c r="F18" s="29" t="inlineStr">
        <is>
          <t>Resmî adı Tuindorp olan Witte Dorp (Beyaz Köy), Eindhoven'ın ilk bahçe köyü (tuindorp) ve şehrin en simgesel mahallelerinden biri. Mimar Willem Dudok'un tasarladığı beyaz evlerle dolu; belediye 1937'de yaklaşık sekiz akrelik araziye ultra modern konut yapacağını açıklamış, mahallenin tamamı 2001'de ulusal anıt ilan edilmiş. This is Eindhoven mahalleyi şehrin içinde gerçekten köy gibi hissettiren bir yer olarak anlatıyor.</t>
        </is>
      </c>
      <c r="G18" s="29" t="inlineStr">
        <is>
          <t>Witte Dorp, Tuindorp, Dudok, bahçe köyü, ulusal anıt, Stratum</t>
        </is>
      </c>
      <c r="H18" s="29" t="inlineStr">
        <is>
          <t>planning;new</t>
        </is>
      </c>
      <c r="I18" s="29" t="inlineStr">
        <is>
          <t>eindhoven:kaynak:241;eindhoven:kaynak:232;eindhoven:kaynak:228</t>
        </is>
      </c>
      <c r="J18" s="49" t="n">
        <v>46317</v>
      </c>
      <c r="K18" s="51" t="n">
        <v>1311</v>
      </c>
      <c r="L18" s="29" t="inlineStr">
        <is>
          <t>Hayır</t>
        </is>
      </c>
      <c r="M18" s="29" t="inlineStr">
        <is>
          <t>Taslak</t>
        </is>
      </c>
      <c r="N18" s="29" t="inlineStr">
        <is>
          <t>Eindhoven güneyi, Stratum bölgesi (resmî adı Tuindorp)</t>
        </is>
      </c>
      <c r="O18" s="29" t="inlineStr">
        <is>
          <t>Beyaz evler
Bahçe köyü
Ulusal anıt
Aktif mahalle derneği</t>
        </is>
      </c>
      <c r="P18" s="29" t="inlineStr">
        <is>
          <t>{"Ulaşım": "Stratum bölgesinde yer alıyor; Expatica tüm Eindhoven'ın otobüsle iyi bağlı olduğunu yazıyor. Tuindorp'ta müstakil evlerin park yeri bol.", "Yaşam ritmi": "Şehrin içinde gerçekten köy gibi hissettiriyor; çok canlı bir mahalle derneği var.", "Konut tipi": "Beyaz evlerle dolu; mimar Willem Dudok tasarımı. Expatica Tuindorp'ta bahçeli müstakil evler olduğunu yazıyor.", "Yeşil alan": "Tuindorp bir bahçe köyü; Expatica Tuindorp'ta bol yeşil alan ve park yeri olduğunu yazıyor.", "Kimler için": "Expatica Stratum'un bu özelliklerini aileler için mükemmel buluyor; This is Eindhoven mahalleyi köy havası sunduğu için çok popüler olarak tanımlıyor."}</t>
        </is>
      </c>
      <c r="Q18" s="29" t="inlineStr">
        <is>
          <t>Belediyenin resmî sayfasında mahalle 'Tuindorp' adıyla Stratum bölgesi altında listeleniyor.</t>
        </is>
      </c>
      <c r="R18" s="29" t="n"/>
    </row>
    <row r="19" ht="54" customHeight="1">
      <c r="A19" s="29" t="inlineStr">
        <is>
          <t>eindhoven:riel-mahallesi</t>
        </is>
      </c>
      <c r="B19" s="29" t="inlineStr">
        <is>
          <t>eindhoven</t>
        </is>
      </c>
      <c r="C19" s="29" t="inlineStr">
        <is>
          <t>riel-mahallesi</t>
        </is>
      </c>
      <c r="D19" s="29" t="inlineStr">
        <is>
          <t>Riel mahallesi</t>
        </is>
      </c>
      <c r="E19" s="29" t="inlineStr">
        <is>
          <t>Şehrin içinde kalan eski köy: çiftlik evleri ve Stratumse Heide kenarında sessizlik</t>
        </is>
      </c>
      <c r="F19" s="29" t="inlineStr">
        <is>
          <t>Riel, birçok kişinin Eindhoven'ın güneyinde bir köy sandığı yer; gerçekten de köydü, ama 1972'den beri şehrin bir parçası. Merkeze bisikletle yalnızca on beş dakika olmasına rağmen kırsal bir his veriyor; Stratumse Heide'ye doğrudan yürüyerek girebilirsiniz. Şirin çiftlik evleri ve sıra evler ağırlıkta, ancak toplam ev sayısı az: boşalan bir ev bulmak şansa bağlı.</t>
        </is>
      </c>
      <c r="G19" s="29" t="inlineStr">
        <is>
          <t>Riel, Stratumse Heide, çiftlik evi, sakin mahalle, Stratum, Putten, Tivoli</t>
        </is>
      </c>
      <c r="H19" s="29" t="inlineStr">
        <is>
          <t>planning;new</t>
        </is>
      </c>
      <c r="I19" s="29" t="inlineStr">
        <is>
          <t>eindhoven:kaynak:241;eindhoven:kaynak:232</t>
        </is>
      </c>
      <c r="J19" s="49" t="n">
        <v>46317</v>
      </c>
      <c r="K19" s="51" t="n">
        <v>1312</v>
      </c>
      <c r="L19" s="29" t="inlineStr">
        <is>
          <t>Hayır</t>
        </is>
      </c>
      <c r="M19" s="29" t="inlineStr">
        <is>
          <t>Taslak</t>
        </is>
      </c>
      <c r="N19" s="29" t="inlineStr">
        <is>
          <t>Eindhoven güneyi, Stratum bölgesi (Riel)</t>
        </is>
      </c>
      <c r="O19" s="29" t="inlineStr">
        <is>
          <t>Kırsal his
Sıra evler ve çiftlik evleri
Stratumse Heide
Merkeze 15 dk bisiklet</t>
        </is>
      </c>
      <c r="P19" s="29" t="inlineStr">
        <is>
          <t>{"Ulaşım": "Merkeze bisikletle on beş dakika.", "Yaşam ritmi": "Şehrin hengâmesinden hoşlanmayanlar için ideal; kırsalda yaşıyormuş hissi veriyor.", "Konut tipi": "Şirin çiftlik evleri ve sıra evler ağırlıkta; toplam ev sayısı az, boşalan bir ev bulmak şansa bağlı.", "Yeşil alan": "Doğrudan Stratumse Heide'ye (süpürgeotu tarlaları) yürünebiliyor.", "Kimler için": "Şehrin hengâmesinden hoşlanmayanlar için. Ev bulunamazsa kaynak yakındaki Putten veya Tivoli'yi öneriyor."}</t>
        </is>
      </c>
      <c r="Q19" s="29" t="inlineStr">
        <is>
          <t>Belediye Riel, Puttense Dreef, Sintenbuurt ve Tivoli'yi aynı Stratum bölgesi koordinasyon alanında listeliyor.</t>
        </is>
      </c>
      <c r="R19" s="29" t="n"/>
    </row>
    <row r="20" ht="54" customHeight="1">
      <c r="A20" s="29" t="inlineStr">
        <is>
          <t>eindhoven:gestel-bolgesi</t>
        </is>
      </c>
      <c r="B20" s="29" t="inlineStr">
        <is>
          <t>eindhoven</t>
        </is>
      </c>
      <c r="C20" s="29" t="inlineStr">
        <is>
          <t>gestel-bolgesi</t>
        </is>
      </c>
      <c r="D20" s="29" t="inlineStr">
        <is>
          <t>Gestel bölgesi</t>
        </is>
      </c>
      <c r="E20" s="29" t="inlineStr">
        <is>
          <t>Güneyde sakin yerleşim, High Tech Campus'a yakın</t>
        </is>
      </c>
      <c r="F20" s="29" t="inlineStr">
        <is>
          <t>Gestel, Eindhoven'ın güneyinde sakin bir yerleşim bölgesi. Expatica bölgenin şehir merkezine otobüsle 15 dakikadan kısa sürede ulaşıldığını, doktor, okul ve eczane gibi olanakların bulunduğunu ve merkeze göre kiralamanın ya da satın almanın daha uygun olduğunu yazıyor. High Tech Campus Eindhoven'da çalışan birçok kişi burada oturuyor.</t>
        </is>
      </c>
      <c r="G20" s="29" t="inlineStr">
        <is>
          <t>Gestel, Hanevoet, Bennekel, Schrijversbuurt, High Tech Campus, sakin bölge</t>
        </is>
      </c>
      <c r="H20" s="29" t="inlineStr">
        <is>
          <t>planning;new</t>
        </is>
      </c>
      <c r="I20" s="29" t="inlineStr">
        <is>
          <t>eindhoven:kaynak:242;eindhoven:kaynak:228;eindhoven:kaynak:232</t>
        </is>
      </c>
      <c r="J20" s="49" t="n">
        <v>46317</v>
      </c>
      <c r="K20" s="51" t="n">
        <v>1313</v>
      </c>
      <c r="L20" s="29" t="inlineStr">
        <is>
          <t>Hayır</t>
        </is>
      </c>
      <c r="M20" s="29" t="inlineStr">
        <is>
          <t>Taslak</t>
        </is>
      </c>
      <c r="N20" s="29" t="inlineStr">
        <is>
          <t>Eindhoven güneyi (Gestel bölgesi: Hanevoet, Bennekel, Genderdal, Blaarthem, Schrijversbuurt)</t>
        </is>
      </c>
      <c r="O20" s="29" t="inlineStr">
        <is>
          <t>Sakin yerleşim
High Tech Campus'a yakın
Merkeze 15 dakikadan az
Yeşil alanlar</t>
        </is>
      </c>
      <c r="P20" s="29" t="inlineStr">
        <is>
          <t>{"Ulaşım": "Şehir merkezine otobüsle 15 dakikadan az sürüyor (Expatica).", "Yaşam ritmi": "Expatica sakin bir yerleşim mahallesi arayanlara Gestel'i öneriyor.", "Konut tipi": "Bölgedeki Schrijversbuurt'ta ikiye bölünmüş çok sayıda üç katlı ev var; Expatica konut kiralamanın ya da satın almanın merkezdekinden daha uygun olduğunu yazıyor.", "Yeşil alan": "Aileler ve doğa severler Recreatieplas Hanevoet gibi yeşil alanları seviyor; Schrijversbuurt de yeşil.", "Kimler için": "Expatica'ya göre High Tech Campus Eindhoven'da çalışan birçok kişi işe yakın olmak için burada oturuyor."}</t>
        </is>
      </c>
      <c r="Q20" s="29" t="inlineStr">
        <is>
          <t>Expatica bölge içindeki popüler alt mahalleler olarak Hanevoet ve Bennekel'i sayıyor.</t>
        </is>
      </c>
      <c r="R20" s="29" t="n"/>
    </row>
    <row r="21" ht="54" customHeight="1">
      <c r="A21" s="29" t="inlineStr">
        <is>
          <t>eindhoven:tongelre-bolgesi</t>
        </is>
      </c>
      <c r="B21" s="29" t="inlineStr">
        <is>
          <t>eindhoven</t>
        </is>
      </c>
      <c r="C21" s="29" t="inlineStr">
        <is>
          <t>tongelre-bolgesi</t>
        </is>
      </c>
      <c r="D21" s="29" t="inlineStr">
        <is>
          <t>Tongelre bölgesi</t>
        </is>
      </c>
      <c r="E21" s="29" t="inlineStr">
        <is>
          <t>Doğuda Karpendonkse Plas gölü, TU/e'ye yakınlık ve çok sayıda yabancı</t>
        </is>
      </c>
      <c r="F21" s="29" t="inlineStr">
        <is>
          <t>Tongelre, şehir merkezinin doğusundaki büyük bir bölge. Expatica yabancılar ve değişim öğrencileri arasında popüler olduğunu, TU Eindhoven'a kısa bisiklet mesafesinde olduğunu ve merkeze otobüsle iyi bağlandığını yazıyor. Bölgenin ortasında Karpendonkse Plas adlı büyük bir göl var; gölün kıyısında güzel bir orman alanı uzanıyor.</t>
        </is>
      </c>
      <c r="G21" s="29" t="inlineStr">
        <is>
          <t>Tongelre, Karpen, Villapark, Lakerlopen, Karpendonkse Plas, TU Eindhoven, öğrenci</t>
        </is>
      </c>
      <c r="H21" s="29" t="inlineStr">
        <is>
          <t>planning;new</t>
        </is>
      </c>
      <c r="I21" s="29" t="inlineStr">
        <is>
          <t>eindhoven:kaynak:243;eindhoven:kaynak:228;eindhoven:kaynak:236;eindhoven:kaynak:232;eindhoven:kaynak:189</t>
        </is>
      </c>
      <c r="J21" s="49" t="n">
        <v>46317</v>
      </c>
      <c r="K21" s="51" t="n">
        <v>1314</v>
      </c>
      <c r="L21" s="29" t="inlineStr">
        <is>
          <t>Hayır</t>
        </is>
      </c>
      <c r="M21" s="29" t="inlineStr">
        <is>
          <t>Taslak</t>
        </is>
      </c>
      <c r="N21" s="29" t="inlineStr">
        <is>
          <t>Eindhoven doğusu, şehir merkezinin doğusu (Tongelre bölgesi: Karpen, Lakerlopen, Villapark, Doornakkers, Urkhoven)</t>
        </is>
      </c>
      <c r="O21" s="29" t="inlineStr">
        <is>
          <t>TU/e'ye yakın
Karpendonkse Plas
Yabancı ve öğrenci topluluğu
Merkeze otobüs ve bisiklet</t>
        </is>
      </c>
      <c r="P21" s="29" t="inlineStr">
        <is>
          <t>{"Ulaşım": "Expatica'ya göre merkeze otobüsle iyi bağlı ve ana istasyona yalnızca kısa bir bisiklet mesafesinde; TU Eindhoven'a da kısa bisiklet mesafesi.", "Yaşam ritmi": "Expatica çok sayıda butik, uluslararası restoran ve müzeyle eğlenceli ve canlı bir bölge olarak tanımlıyor.", "Konut tipi": "Lakerlopen'de yeni binalar ve yenilenmiş evler karışık; Karpen'de villalar var. Expatica Villapark ve Karpen'de fiyatların yüksek olabileceğini yazıyor.", "Yeşil alan": "Karpendonkse Plas, Tongelre bölgesinin ortasındaki büyük bir göl; kıyısında güzel bir orman alanı olan Wandelpark Eckart var. Dikkatli bir kuş gözlemcisi burada her türden su kuşu görebiliyor.", "Kimler için": "Expatica'ya göre yabancılar ve değişim öğrencileri arasında popüler; Villapark ve Karpen öğrenciler, genç profesyoneller ve yabancılar arasında tutuluyor."}</t>
        </is>
      </c>
      <c r="Q21" s="29" t="inlineStr">
        <is>
          <t>Alt mahalleler için Lakerlopen ve Karpen kartlarına bakın; Expatica Villapark ve Karpen'de mülk fiyatlarının yüksek olabileceğini yazıyor.</t>
        </is>
      </c>
      <c r="R21" s="29" t="n"/>
    </row>
    <row r="22" ht="54" customHeight="1">
      <c r="A22" s="29" t="inlineStr">
        <is>
          <t>eindhoven:lakerlopen-mahallesi</t>
        </is>
      </c>
      <c r="B22" s="29" t="inlineStr">
        <is>
          <t>eindhoven</t>
        </is>
      </c>
      <c r="C22" s="29" t="inlineStr">
        <is>
          <t>lakerlopen-mahallesi</t>
        </is>
      </c>
      <c r="D22" s="29" t="inlineStr">
        <is>
          <t>Lakerlopen mahallesi</t>
        </is>
      </c>
      <c r="E22" s="29" t="inlineStr">
        <is>
          <t>1920'lerin bahçe köyü: yeni binalarla yenilenmiş evlerin karışımı</t>
        </is>
      </c>
      <c r="F22" s="29" t="inlineStr">
        <is>
          <t>Lakerlopen, 1920'lerde inşa edilen ve bu yüzyılın başında köklü bir yenilemeden geçen bir 'tuindorp' (bahçe köyü). Adını Riel köyünden Dommel nehrine akan küçük Lakerloop nehrinden alıyor. Eindhoven'ın doğusunda, çevre yolunun hemen içinde; This is Eindhoven mahallenin çeşitli olduğunu ve çok sayıda yabancı yaşadığını yazıyor.</t>
        </is>
      </c>
      <c r="G22" s="29" t="inlineStr">
        <is>
          <t>Lakerlopen, Tongelre, De Laak, bahçe köyü, tuindorp, yabancılar</t>
        </is>
      </c>
      <c r="H22" s="29" t="inlineStr">
        <is>
          <t>planning;new</t>
        </is>
      </c>
      <c r="I22" s="29" t="inlineStr">
        <is>
          <t>eindhoven:kaynak:243;eindhoven:kaynak:232;eindhoven:kaynak:228;eindhoven:kaynak:236</t>
        </is>
      </c>
      <c r="J22" s="49" t="n">
        <v>46317</v>
      </c>
      <c r="K22" s="51" t="n">
        <v>1315</v>
      </c>
      <c r="L22" s="29" t="inlineStr">
        <is>
          <t>Hayır</t>
        </is>
      </c>
      <c r="M22" s="29" t="inlineStr">
        <is>
          <t>Taslak</t>
        </is>
      </c>
      <c r="N22" s="29" t="inlineStr">
        <is>
          <t>Eindhoven doğusu, Tongelre bölgesi (De Laak), çevre yolunun hemen içinde</t>
        </is>
      </c>
      <c r="O22" s="29" t="inlineStr">
        <is>
          <t>Bahçe köyü
Çeşitli ve uluslararası
Yenilenmiş evler
Tongelre</t>
        </is>
      </c>
      <c r="P22" s="29" t="inlineStr">
        <is>
          <t>{"Ulaşım": "Eindhoven'ın doğusunda, çevre yolunun (beltway) hemen içinde. Expatica'ya göre Tongelre merkeze otobüsle iyi bağlı ve ana istasyona kısa bisiklet mesafesinde.", "Yaşam ritmi": "Şehir içinde köy havası: çok yeşil, canlı ve sosyal bir karakter; bugün de aynı atmosfer sürüyor.", "Konut tipi": "1920'lerde yapılmış, bu yüzyılın başında köklü yenilenmiş; yeni binalar ve yenilenmiş evlerin karışımı.", "Yeşil alan": "Bahçe köyü kavramı çok yeşil bir yaşam anlamına geliyor.", "Kimler için": "This is Eindhoven'a göre mahalle çeşitli ve çok sayıda yabancı yaşıyor."}</t>
        </is>
      </c>
      <c r="Q22" s="29" t="inlineStr">
        <is>
          <t>Bölgede Karpendonkse Plas gölü ve çevresindeki orman Tongelre'nin yeşil alanı; ayrıntılar Tongelre bölgesi kartında.</t>
        </is>
      </c>
      <c r="R22" s="29" t="n"/>
    </row>
    <row r="23" ht="54" customHeight="1">
      <c r="A23" s="29" t="inlineStr">
        <is>
          <t>eindhoven:karpen-mahallesi</t>
        </is>
      </c>
      <c r="B23" s="29" t="inlineStr">
        <is>
          <t>eindhoven</t>
        </is>
      </c>
      <c r="C23" s="29" t="inlineStr">
        <is>
          <t>karpen-mahallesi</t>
        </is>
      </c>
      <c r="D23" s="29" t="inlineStr">
        <is>
          <t>Karpen mahallesi</t>
        </is>
      </c>
      <c r="E23" s="29" t="inlineStr">
        <is>
          <t>TU/e'nin yanında, Karpendonkse Plas gölü çevresinde yeşil villa mahallesi</t>
        </is>
      </c>
      <c r="F23" s="29" t="inlineStr">
        <is>
          <t>Karpen, Eindhoven Teknik Üniversitesi'nin (TU/e) hemen yanında, yeşilliklerle çevrili bir villa mahallesi. Mahallenin kalbinde Karpendonkse Plas adlı büyük bir gölet ve çevresinde geniş bir park var. Expatica Karpen'in öğrenciler, genç profesyoneller ve yabancılar arasında popüler olduğunu, ancak mülk fiyatlarının yüksek olabileceğini yazıyor.</t>
        </is>
      </c>
      <c r="G23" s="29" t="inlineStr">
        <is>
          <t>Karpen, Karpendonkse Plas, TU Eindhoven, villa mahallesi, Tongelre, öğrenci</t>
        </is>
      </c>
      <c r="H23" s="29" t="inlineStr">
        <is>
          <t>planning;new</t>
        </is>
      </c>
      <c r="I23" s="29" t="inlineStr">
        <is>
          <t>eindhoven:kaynak:243;eindhoven:kaynak:232;eindhoven:kaynak:228;eindhoven:kaynak:189;eindhoven:kaynak:236</t>
        </is>
      </c>
      <c r="J23" s="49" t="n">
        <v>46317</v>
      </c>
      <c r="K23" s="51" t="n">
        <v>1316</v>
      </c>
      <c r="L23" s="29" t="inlineStr">
        <is>
          <t>Hayır</t>
        </is>
      </c>
      <c r="M23" s="29" t="inlineStr">
        <is>
          <t>Taslak</t>
        </is>
      </c>
      <c r="N23" s="29" t="inlineStr">
        <is>
          <t>Eindhoven doğusu, Tongelre bölgesi, TU/e kampüsünün yanı</t>
        </is>
      </c>
      <c r="O23" s="29" t="inlineStr">
        <is>
          <t>TU/e'nin yanı
Villa mahallesi
Karpendonkse Plas
Yeşil</t>
        </is>
      </c>
      <c r="P23" s="29" t="inlineStr">
        <is>
          <t>{"Ulaşım": "Eindhoven Teknik Üniversitesi'nin hemen yanında; Expatica Tongelre'nin TU Eindhoven'a kısa bisiklet mesafesinde olduğunu yazıyor.", "Yaşam ritmi": "Karpendonkse Plas, sakin bir dinlenme alanı ya da büyük bir festival için fon oluşturuyor; gölde su kuşları gözlenebiliyor.", "Konut tipi": "Villa mahallesi.", "Yeşil alan": "Mahallenin kalbinde Karpendonkse Plas gölü ve çevresinde geniş bir park; gölün kıyısında güzel bir orman alanı olan Wandelpark Eckart uzanıyor.", "Kimler için": "Expatica Karpen'in öğrenciler, genç profesyoneller ve yabancılar arasında popüler olduğunu yazıyor; mülk fiyatları yüksek olabilir."}</t>
        </is>
      </c>
      <c r="Q23" s="29" t="inlineStr">
        <is>
          <t>Karpendonkse Plas çevresinde meşe, kavak, kızılağaç, tüylü huş ve iğne yapraklı ağaçlar görülebiliyor.</t>
        </is>
      </c>
      <c r="R23" s="29" t="n"/>
    </row>
    <row r="24" ht="54" customHeight="1">
      <c r="A24" s="29" t="n"/>
      <c r="B24" s="29" t="n"/>
      <c r="C24" s="29" t="n"/>
      <c r="D24" s="29" t="n"/>
      <c r="E24" s="29" t="n"/>
      <c r="F24" s="29" t="n"/>
      <c r="G24" s="29" t="n"/>
      <c r="H24" s="29" t="n"/>
      <c r="I24" s="29" t="n"/>
      <c r="J24" s="49" t="n"/>
      <c r="K24" s="51" t="n"/>
      <c r="L24" s="29" t="n"/>
      <c r="M24" s="29" t="n"/>
      <c r="N24" s="29" t="n"/>
      <c r="O24" s="29" t="n"/>
      <c r="P24" s="29" t="n"/>
      <c r="Q24" s="29" t="n"/>
      <c r="R24" s="29" t="n"/>
    </row>
    <row r="25" ht="54" customHeight="1">
      <c r="A25" s="29" t="n"/>
      <c r="B25" s="29" t="n"/>
      <c r="C25" s="29" t="n"/>
      <c r="D25" s="29" t="n"/>
      <c r="E25" s="29" t="n"/>
      <c r="F25" s="29" t="n"/>
      <c r="G25" s="29" t="n"/>
      <c r="H25" s="29" t="n"/>
      <c r="I25" s="29" t="n"/>
      <c r="J25" s="49" t="n"/>
      <c r="K25" s="51" t="n"/>
      <c r="L25" s="29" t="n"/>
      <c r="M25" s="29" t="n"/>
      <c r="N25" s="29" t="n"/>
      <c r="O25" s="29" t="n"/>
      <c r="P25" s="29" t="n"/>
      <c r="Q25" s="29" t="n"/>
      <c r="R25" s="29" t="n"/>
    </row>
    <row r="26" ht="54" customHeight="1">
      <c r="A26" s="29" t="n"/>
      <c r="B26" s="29" t="n"/>
      <c r="C26" s="29" t="n"/>
      <c r="D26" s="29" t="n"/>
      <c r="E26" s="29" t="n"/>
      <c r="F26" s="29" t="n"/>
      <c r="G26" s="29" t="n"/>
      <c r="H26" s="29" t="n"/>
      <c r="I26" s="29" t="n"/>
      <c r="J26" s="49" t="n"/>
      <c r="K26" s="51" t="n"/>
      <c r="L26" s="29" t="n"/>
      <c r="M26" s="29" t="n"/>
      <c r="N26" s="29" t="n"/>
      <c r="O26" s="29" t="n"/>
      <c r="P26" s="29" t="n"/>
      <c r="Q26" s="29" t="n"/>
      <c r="R26" s="29" t="n"/>
    </row>
    <row r="27" ht="54" customHeight="1">
      <c r="A27" s="29" t="n"/>
      <c r="B27" s="29" t="n"/>
      <c r="C27" s="29" t="n"/>
      <c r="D27" s="29" t="n"/>
      <c r="E27" s="29" t="n"/>
      <c r="F27" s="29" t="n"/>
      <c r="G27" s="29" t="n"/>
      <c r="H27" s="29" t="n"/>
      <c r="I27" s="29" t="n"/>
      <c r="J27" s="49" t="n"/>
      <c r="K27" s="51" t="n"/>
      <c r="L27" s="29" t="n"/>
      <c r="M27" s="29" t="n"/>
      <c r="N27" s="29" t="n"/>
      <c r="O27" s="29" t="n"/>
      <c r="P27" s="29" t="n"/>
      <c r="Q27" s="29" t="n"/>
      <c r="R27" s="29" t="n"/>
    </row>
    <row r="28" ht="54" customHeight="1">
      <c r="A28" s="29" t="n"/>
      <c r="B28" s="29" t="n"/>
      <c r="C28" s="29" t="n"/>
      <c r="D28" s="29" t="n"/>
      <c r="E28" s="29" t="n"/>
      <c r="F28" s="29" t="n"/>
      <c r="G28" s="29" t="n"/>
      <c r="H28" s="29" t="n"/>
      <c r="I28" s="29" t="n"/>
      <c r="J28" s="49" t="n"/>
      <c r="K28" s="51" t="n"/>
      <c r="L28" s="29" t="n"/>
      <c r="M28" s="29" t="n"/>
      <c r="N28" s="29" t="n"/>
      <c r="O28" s="29" t="n"/>
      <c r="P28" s="29" t="n"/>
      <c r="Q28" s="29" t="n"/>
      <c r="R28" s="29" t="n"/>
    </row>
    <row r="29" ht="54" customHeight="1">
      <c r="A29" s="29" t="n"/>
      <c r="B29" s="29" t="n"/>
      <c r="C29" s="29" t="n"/>
      <c r="D29" s="29" t="n"/>
      <c r="E29" s="29" t="n"/>
      <c r="F29" s="29" t="n"/>
      <c r="G29" s="29" t="n"/>
      <c r="H29" s="29" t="n"/>
      <c r="I29" s="29" t="n"/>
      <c r="J29" s="49" t="n"/>
      <c r="K29" s="51" t="n"/>
      <c r="L29" s="29" t="n"/>
      <c r="M29" s="29" t="n"/>
      <c r="N29" s="29" t="n"/>
      <c r="O29" s="29" t="n"/>
      <c r="P29" s="29" t="n"/>
      <c r="Q29" s="29" t="n"/>
      <c r="R29" s="29" t="n"/>
    </row>
    <row r="30" ht="54" customHeight="1">
      <c r="A30" s="29" t="n"/>
      <c r="B30" s="29" t="n"/>
      <c r="C30" s="29" t="n"/>
      <c r="D30" s="29" t="n"/>
      <c r="E30" s="29" t="n"/>
      <c r="F30" s="29" t="n"/>
      <c r="G30" s="29" t="n"/>
      <c r="H30" s="29" t="n"/>
      <c r="I30" s="29" t="n"/>
      <c r="J30" s="49" t="n"/>
      <c r="K30" s="51" t="n"/>
      <c r="L30" s="29" t="n"/>
      <c r="M30" s="29" t="n"/>
      <c r="N30" s="29" t="n"/>
      <c r="O30" s="29" t="n"/>
      <c r="P30" s="29" t="n"/>
      <c r="Q30" s="29" t="n"/>
      <c r="R30" s="29" t="n"/>
    </row>
    <row r="31" ht="54" customHeight="1">
      <c r="A31" s="29" t="n"/>
      <c r="B31" s="29" t="n"/>
      <c r="C31" s="29" t="n"/>
      <c r="D31" s="29" t="n"/>
      <c r="E31" s="29" t="n"/>
      <c r="F31" s="29" t="n"/>
      <c r="G31" s="29" t="n"/>
      <c r="H31" s="29" t="n"/>
      <c r="I31" s="29" t="n"/>
      <c r="J31" s="49" t="n"/>
      <c r="K31" s="51" t="n"/>
      <c r="L31" s="29" t="n"/>
      <c r="M31" s="29" t="n"/>
      <c r="N31" s="29" t="n"/>
      <c r="O31" s="29" t="n"/>
      <c r="P31" s="29" t="n"/>
      <c r="Q31" s="29" t="n"/>
      <c r="R31" s="29" t="n"/>
    </row>
    <row r="32" ht="54" customHeight="1">
      <c r="A32" s="29" t="n"/>
      <c r="B32" s="29" t="n"/>
      <c r="C32" s="29" t="n"/>
      <c r="D32" s="29" t="n"/>
      <c r="E32" s="29" t="n"/>
      <c r="F32" s="29" t="n"/>
      <c r="G32" s="29" t="n"/>
      <c r="H32" s="29" t="n"/>
      <c r="I32" s="29" t="n"/>
      <c r="J32" s="49" t="n"/>
      <c r="K32" s="51" t="n"/>
      <c r="L32" s="29" t="n"/>
      <c r="M32" s="29" t="n"/>
      <c r="N32" s="29" t="n"/>
      <c r="O32" s="29" t="n"/>
      <c r="P32" s="29" t="n"/>
      <c r="Q32" s="29" t="n"/>
      <c r="R32" s="29" t="n"/>
    </row>
    <row r="33" ht="54" customHeight="1">
      <c r="A33" s="29" t="n"/>
      <c r="B33" s="29" t="n"/>
      <c r="C33" s="29" t="n"/>
      <c r="D33" s="29" t="n"/>
      <c r="E33" s="29" t="n"/>
      <c r="F33" s="29" t="n"/>
      <c r="G33" s="29" t="n"/>
      <c r="H33" s="29" t="n"/>
      <c r="I33" s="29" t="n"/>
      <c r="J33" s="49" t="n"/>
      <c r="K33" s="51" t="n"/>
      <c r="L33" s="29" t="n"/>
      <c r="M33" s="29" t="n"/>
      <c r="N33" s="29" t="n"/>
      <c r="O33" s="29" t="n"/>
      <c r="P33" s="29" t="n"/>
      <c r="Q33" s="29" t="n"/>
      <c r="R33" s="29" t="n"/>
    </row>
    <row r="34" ht="54" customHeight="1">
      <c r="A34" s="29" t="n"/>
      <c r="B34" s="29" t="n"/>
      <c r="C34" s="29" t="n"/>
      <c r="D34" s="29" t="n"/>
      <c r="E34" s="29" t="n"/>
      <c r="F34" s="29" t="n"/>
      <c r="G34" s="29" t="n"/>
      <c r="H34" s="29" t="n"/>
      <c r="I34" s="29" t="n"/>
      <c r="J34" s="49" t="n"/>
      <c r="K34" s="51" t="n"/>
      <c r="L34" s="29" t="n"/>
      <c r="M34" s="29" t="n"/>
      <c r="N34" s="29" t="n"/>
      <c r="O34" s="29" t="n"/>
      <c r="P34" s="29" t="n"/>
      <c r="Q34" s="29" t="n"/>
      <c r="R34" s="29" t="n"/>
    </row>
    <row r="35" ht="54" customHeight="1">
      <c r="A35" s="29" t="n"/>
      <c r="B35" s="29" t="n"/>
      <c r="C35" s="29" t="n"/>
      <c r="D35" s="29" t="n"/>
      <c r="E35" s="29" t="n"/>
      <c r="F35" s="29" t="n"/>
      <c r="G35" s="29" t="n"/>
      <c r="H35" s="29" t="n"/>
      <c r="I35" s="29" t="n"/>
      <c r="J35" s="49" t="n"/>
      <c r="K35" s="51" t="n"/>
      <c r="L35" s="29" t="n"/>
      <c r="M35" s="29" t="n"/>
      <c r="N35" s="29" t="n"/>
      <c r="O35" s="29" t="n"/>
      <c r="P35" s="29" t="n"/>
      <c r="Q35" s="29" t="n"/>
      <c r="R35" s="29" t="n"/>
    </row>
    <row r="36" ht="54" customHeight="1">
      <c r="A36" s="29" t="n"/>
      <c r="B36" s="29" t="n"/>
      <c r="C36" s="29" t="n"/>
      <c r="D36" s="29" t="n"/>
      <c r="E36" s="29" t="n"/>
      <c r="F36" s="29" t="n"/>
      <c r="G36" s="29" t="n"/>
      <c r="H36" s="29" t="n"/>
      <c r="I36" s="29" t="n"/>
      <c r="J36" s="49" t="n"/>
      <c r="K36" s="51" t="n"/>
      <c r="L36" s="29" t="n"/>
      <c r="M36" s="29" t="n"/>
      <c r="N36" s="29" t="n"/>
      <c r="O36" s="29" t="n"/>
      <c r="P36" s="29" t="n"/>
      <c r="Q36" s="29" t="n"/>
      <c r="R36" s="29" t="n"/>
    </row>
    <row r="37" ht="54" customHeight="1">
      <c r="A37" s="29" t="n"/>
      <c r="B37" s="29" t="n"/>
      <c r="C37" s="29" t="n"/>
      <c r="D37" s="29" t="n"/>
      <c r="E37" s="29" t="n"/>
      <c r="F37" s="29" t="n"/>
      <c r="G37" s="29" t="n"/>
      <c r="H37" s="29" t="n"/>
      <c r="I37" s="29" t="n"/>
      <c r="J37" s="49" t="n"/>
      <c r="K37" s="51" t="n"/>
      <c r="L37" s="29" t="n"/>
      <c r="M37" s="29" t="n"/>
      <c r="N37" s="29" t="n"/>
      <c r="O37" s="29" t="n"/>
      <c r="P37" s="29" t="n"/>
      <c r="Q37" s="29" t="n"/>
      <c r="R37" s="29" t="n"/>
    </row>
    <row r="38" ht="54" customHeight="1">
      <c r="A38" s="29" t="n"/>
      <c r="B38" s="29" t="n"/>
      <c r="C38" s="29" t="n"/>
      <c r="D38" s="29" t="n"/>
      <c r="E38" s="29" t="n"/>
      <c r="F38" s="29" t="n"/>
      <c r="G38" s="29" t="n"/>
      <c r="H38" s="29" t="n"/>
      <c r="I38" s="29" t="n"/>
      <c r="J38" s="49" t="n"/>
      <c r="K38" s="51" t="n"/>
      <c r="L38" s="29" t="n"/>
      <c r="M38" s="29" t="n"/>
      <c r="N38" s="29" t="n"/>
      <c r="O38" s="29" t="n"/>
      <c r="P38" s="29" t="n"/>
      <c r="Q38" s="29" t="n"/>
      <c r="R38" s="29" t="n"/>
    </row>
    <row r="39" ht="54" customHeight="1">
      <c r="A39" s="29" t="n"/>
      <c r="B39" s="29" t="n"/>
      <c r="C39" s="29" t="n"/>
      <c r="D39" s="29" t="n"/>
      <c r="E39" s="29" t="n"/>
      <c r="F39" s="29" t="n"/>
      <c r="G39" s="29" t="n"/>
      <c r="H39" s="29" t="n"/>
      <c r="I39" s="29" t="n"/>
      <c r="J39" s="49" t="n"/>
      <c r="K39" s="51" t="n"/>
      <c r="L39" s="29" t="n"/>
      <c r="M39" s="29" t="n"/>
      <c r="N39" s="29" t="n"/>
      <c r="O39" s="29" t="n"/>
      <c r="P39" s="29" t="n"/>
      <c r="Q39" s="29" t="n"/>
      <c r="R39" s="29" t="n"/>
    </row>
    <row r="40" ht="54" customHeight="1">
      <c r="A40" s="29" t="n"/>
      <c r="B40" s="29" t="n"/>
      <c r="C40" s="29" t="n"/>
      <c r="D40" s="29" t="n"/>
      <c r="E40" s="29" t="n"/>
      <c r="F40" s="29" t="n"/>
      <c r="G40" s="29" t="n"/>
      <c r="H40" s="29" t="n"/>
      <c r="I40" s="29" t="n"/>
      <c r="J40" s="49" t="n"/>
      <c r="K40" s="51" t="n"/>
      <c r="L40" s="29" t="n"/>
      <c r="M40" s="29" t="n"/>
      <c r="N40" s="29" t="n"/>
      <c r="O40" s="29" t="n"/>
      <c r="P40" s="29" t="n"/>
      <c r="Q40" s="29" t="n"/>
      <c r="R40" s="29" t="n"/>
    </row>
    <row r="41" ht="54" customHeight="1">
      <c r="A41" s="29" t="n"/>
      <c r="B41" s="29" t="n"/>
      <c r="C41" s="29" t="n"/>
      <c r="D41" s="29" t="n"/>
      <c r="E41" s="29" t="n"/>
      <c r="F41" s="29" t="n"/>
      <c r="G41" s="29" t="n"/>
      <c r="H41" s="29" t="n"/>
      <c r="I41" s="29" t="n"/>
      <c r="J41" s="49" t="n"/>
      <c r="K41" s="51" t="n"/>
      <c r="L41" s="29" t="n"/>
      <c r="M41" s="29" t="n"/>
      <c r="N41" s="29" t="n"/>
      <c r="O41" s="29" t="n"/>
      <c r="P41" s="29" t="n"/>
      <c r="Q41" s="29" t="n"/>
      <c r="R41" s="29" t="n"/>
    </row>
    <row r="42" ht="54" customHeight="1">
      <c r="A42" s="29" t="n"/>
      <c r="B42" s="29" t="n"/>
      <c r="C42" s="29" t="n"/>
      <c r="D42" s="29" t="n"/>
      <c r="E42" s="29" t="n"/>
      <c r="F42" s="29" t="n"/>
      <c r="G42" s="29" t="n"/>
      <c r="H42" s="29" t="n"/>
      <c r="I42" s="29" t="n"/>
      <c r="J42" s="49" t="n"/>
      <c r="K42" s="51" t="n"/>
      <c r="L42" s="29" t="n"/>
      <c r="M42" s="29" t="n"/>
      <c r="N42" s="29" t="n"/>
      <c r="O42" s="29" t="n"/>
      <c r="P42" s="29" t="n"/>
      <c r="Q42" s="29" t="n"/>
      <c r="R42" s="29" t="n"/>
    </row>
    <row r="43" ht="54" customHeight="1">
      <c r="A43" s="29" t="n"/>
      <c r="B43" s="29" t="n"/>
      <c r="C43" s="29" t="n"/>
      <c r="D43" s="29" t="n"/>
      <c r="E43" s="29" t="n"/>
      <c r="F43" s="29" t="n"/>
      <c r="G43" s="29" t="n"/>
      <c r="H43" s="29" t="n"/>
      <c r="I43" s="29" t="n"/>
      <c r="J43" s="49" t="n"/>
      <c r="K43" s="51" t="n"/>
      <c r="L43" s="29" t="n"/>
      <c r="M43" s="29" t="n"/>
      <c r="N43" s="29" t="n"/>
      <c r="O43" s="29" t="n"/>
      <c r="P43" s="29" t="n"/>
      <c r="Q43" s="29" t="n"/>
      <c r="R43" s="29" t="n"/>
    </row>
    <row r="44" ht="54" customHeight="1">
      <c r="A44" s="29" t="n"/>
      <c r="B44" s="29" t="n"/>
      <c r="C44" s="29" t="n"/>
      <c r="D44" s="29" t="n"/>
      <c r="E44" s="29" t="n"/>
      <c r="F44" s="29" t="n"/>
      <c r="G44" s="29" t="n"/>
      <c r="H44" s="29" t="n"/>
      <c r="I44" s="29" t="n"/>
      <c r="J44" s="49" t="n"/>
      <c r="K44" s="51" t="n"/>
      <c r="L44" s="29" t="n"/>
      <c r="M44" s="29" t="n"/>
      <c r="N44" s="29" t="n"/>
      <c r="O44" s="29" t="n"/>
      <c r="P44" s="29" t="n"/>
      <c r="Q44" s="29" t="n"/>
      <c r="R44" s="29" t="n"/>
    </row>
    <row r="45" ht="54" customHeight="1">
      <c r="A45" s="29" t="n"/>
      <c r="B45" s="29" t="n"/>
      <c r="C45" s="29" t="n"/>
      <c r="D45" s="29" t="n"/>
      <c r="E45" s="29" t="n"/>
      <c r="F45" s="29" t="n"/>
      <c r="G45" s="29" t="n"/>
      <c r="H45" s="29" t="n"/>
      <c r="I45" s="29" t="n"/>
      <c r="J45" s="49" t="n"/>
      <c r="K45" s="51" t="n"/>
      <c r="L45" s="29" t="n"/>
      <c r="M45" s="29" t="n"/>
      <c r="N45" s="29" t="n"/>
      <c r="O45" s="29" t="n"/>
      <c r="P45" s="29" t="n"/>
      <c r="Q45" s="29" t="n"/>
      <c r="R45" s="29" t="n"/>
    </row>
    <row r="46" ht="54" customHeight="1">
      <c r="A46" s="29" t="n"/>
      <c r="B46" s="29" t="n"/>
      <c r="C46" s="29" t="n"/>
      <c r="D46" s="29" t="n"/>
      <c r="E46" s="29" t="n"/>
      <c r="F46" s="29" t="n"/>
      <c r="G46" s="29" t="n"/>
      <c r="H46" s="29" t="n"/>
      <c r="I46" s="29" t="n"/>
      <c r="J46" s="49" t="n"/>
      <c r="K46" s="51" t="n"/>
      <c r="L46" s="29" t="n"/>
      <c r="M46" s="29" t="n"/>
      <c r="N46" s="29" t="n"/>
      <c r="O46" s="29" t="n"/>
      <c r="P46" s="29" t="n"/>
      <c r="Q46" s="29" t="n"/>
      <c r="R46" s="29" t="n"/>
    </row>
    <row r="47" ht="54" customHeight="1">
      <c r="A47" s="29" t="n"/>
      <c r="B47" s="29" t="n"/>
      <c r="C47" s="29" t="n"/>
      <c r="D47" s="29" t="n"/>
      <c r="E47" s="29" t="n"/>
      <c r="F47" s="29" t="n"/>
      <c r="G47" s="29" t="n"/>
      <c r="H47" s="29" t="n"/>
      <c r="I47" s="29" t="n"/>
      <c r="J47" s="49" t="n"/>
      <c r="K47" s="51" t="n"/>
      <c r="L47" s="29" t="n"/>
      <c r="M47" s="29" t="n"/>
      <c r="N47" s="29" t="n"/>
      <c r="O47" s="29" t="n"/>
      <c r="P47" s="29" t="n"/>
      <c r="Q47" s="29" t="n"/>
      <c r="R47" s="29" t="n"/>
    </row>
  </sheetData>
  <mergeCells count="1">
    <mergeCell ref="A3:H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F8:F47">
    <cfRule type="expression" priority="5" dxfId="1">
      <formula>AND($A8&lt;&gt;"",ISBLANK(F8))</formula>
    </cfRule>
  </conditionalFormatting>
  <conditionalFormatting sqref="I8:I47">
    <cfRule type="expression" priority="6" dxfId="1">
      <formula>AND($A8&lt;&gt;"",ISBLANK(I8))</formula>
    </cfRule>
  </conditionalFormatting>
  <conditionalFormatting sqref="J8:J47">
    <cfRule type="expression" priority="7" dxfId="1">
      <formula>AND($A8&lt;&gt;"",ISBLANK(J8))</formula>
    </cfRule>
  </conditionalFormatting>
  <conditionalFormatting sqref="K8:K47">
    <cfRule type="expression" priority="8" dxfId="1">
      <formula>AND($A8&lt;&gt;"",ISBLANK(K8))</formula>
    </cfRule>
  </conditionalFormatting>
  <conditionalFormatting sqref="L8:L47">
    <cfRule type="expression" priority="9" dxfId="1">
      <formula>AND($A8&lt;&gt;"",ISBLANK(L8))</formula>
    </cfRule>
  </conditionalFormatting>
  <conditionalFormatting sqref="M8:M47">
    <cfRule type="expression" priority="10" dxfId="1">
      <formula>AND($A8&lt;&gt;"",ISBLANK(M8))</formula>
    </cfRule>
  </conditionalFormatting>
  <conditionalFormatting sqref="N8:N47">
    <cfRule type="expression" priority="11" dxfId="1">
      <formula>AND($A8&lt;&gt;"",ISBLANK(N8))</formula>
    </cfRule>
  </conditionalFormatting>
  <dataValidations count="2">
    <dataValidation sqref="L8:L47" showDropDown="0" showInputMessage="0" showErrorMessage="0" allowBlank="0" type="list">
      <formula1>"Evet,Hayır"</formula1>
    </dataValidation>
    <dataValidation sqref="M8:M4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8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48" customWidth="1" min="5" max="5"/>
    <col width="20" customWidth="1" min="6" max="6"/>
    <col width="28" customWidth="1" min="7" max="7"/>
  </cols>
  <sheetData>
    <row r="1" ht="30" customHeight="1">
      <c r="A1" s="2" t="n"/>
      <c r="B1" s="2" t="n"/>
      <c r="C1" s="2" t="n"/>
      <c r="D1" s="2" t="n"/>
      <c r="E1" s="2" t="n"/>
      <c r="F1" s="2" t="n"/>
      <c r="G1" s="2" t="n"/>
    </row>
    <row r="2" ht="30" customHeight="1">
      <c r="A2" s="19" t="inlineStr">
        <is>
          <t>Corteqs · Doğrudan kurum ve işlem bağlantıları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Zorunlu</t>
        </is>
      </c>
    </row>
    <row r="6" ht="44" customHeight="1">
      <c r="A6" s="25" t="inlineStr">
        <is>
          <t>Bağlantı kimliği</t>
        </is>
      </c>
      <c r="B6" s="25" t="inlineStr">
        <is>
          <t>Şehir kimliği</t>
        </is>
      </c>
      <c r="C6" s="25" t="inlineStr">
        <is>
          <t>İçerik kimliği</t>
        </is>
      </c>
      <c r="D6" s="25" t="inlineStr">
        <is>
          <t>Bağlantı metni</t>
        </is>
      </c>
      <c r="E6" s="25" t="inlineStr">
        <is>
          <t>Doğrudan bağlantı</t>
        </is>
      </c>
      <c r="F6" s="25" t="inlineStr">
        <is>
          <t>Bağlantı kontrol tarihi</t>
        </is>
      </c>
      <c r="G6" s="25" t="inlineStr">
        <is>
          <t>Sıra</t>
        </is>
      </c>
    </row>
    <row r="7" ht="32" customHeight="1">
      <c r="A7" s="28" t="inlineStr">
        <is>
          <t>action_id</t>
        </is>
      </c>
      <c r="B7" s="28" t="inlineStr">
        <is>
          <t>city_id</t>
        </is>
      </c>
      <c r="C7" s="28" t="inlineStr">
        <is>
          <t>entry_id</t>
        </is>
      </c>
      <c r="D7" s="28" t="inlineStr">
        <is>
          <t>label</t>
        </is>
      </c>
      <c r="E7" s="28" t="inlineStr">
        <is>
          <t>url</t>
        </is>
      </c>
      <c r="F7" s="28" t="inlineStr">
        <is>
          <t>checked_on</t>
        </is>
      </c>
      <c r="G7" s="28" t="inlineStr">
        <is>
          <t>order</t>
        </is>
      </c>
    </row>
    <row r="8" ht="54" customHeight="1">
      <c r="A8" s="29" t="inlineStr">
        <is>
          <t>eindhoven:action:kinderopvangtoeslag-sartlari-1</t>
        </is>
      </c>
      <c r="B8" s="29" t="inlineStr">
        <is>
          <t>eindhoven</t>
        </is>
      </c>
      <c r="C8" s="29" t="inlineStr">
        <is>
          <t>eindhoven:kinderopvangtoeslag-sartlari</t>
        </is>
      </c>
      <c r="D8" s="29" t="inlineStr">
        <is>
          <t>Bilgi al</t>
        </is>
      </c>
      <c r="E8" s="29" t="inlineStr">
        <is>
          <t>https://www.belastingdienst.nl/wps/wcm/connect/bldcontenten/belastingdienst/individuals/benefits/moving_to_the_netherlands/my_child_goes_to_a_childcare_centre/my_child_goes_to_a_childcare_centre</t>
        </is>
      </c>
      <c r="F8" s="49" t="n">
        <v>46317</v>
      </c>
      <c r="G8" s="51" t="n">
        <v>1</v>
      </c>
    </row>
    <row r="9" ht="54" customHeight="1">
      <c r="A9" s="29" t="inlineStr">
        <is>
          <t>eindhoven:action:kinderopvangtoeslag-sartlari-2</t>
        </is>
      </c>
      <c r="B9" s="29" t="inlineStr">
        <is>
          <t>eindhoven</t>
        </is>
      </c>
      <c r="C9" s="29" t="inlineStr">
        <is>
          <t>eindhoven:kinderopvangtoeslag-sartlari</t>
        </is>
      </c>
      <c r="D9" s="29" t="inlineStr">
        <is>
          <t>Başvur</t>
        </is>
      </c>
      <c r="E9" s="29" t="inlineStr">
        <is>
          <t>https://www.belastingdienst.nl/wps/wcm/connect/nl/kinderopvangtoeslag/content/hoe-moet-ik-kinderopvangtoeslag-aanvragen</t>
        </is>
      </c>
      <c r="F9" s="49" t="n">
        <v>46317</v>
      </c>
      <c r="G9" s="51" t="n">
        <v>2</v>
      </c>
    </row>
    <row r="10" ht="54" customHeight="1">
      <c r="A10" s="29" t="inlineStr">
        <is>
          <t>eindhoven:action:kinderopvangtoeslag-basvurusu-1</t>
        </is>
      </c>
      <c r="B10" s="29" t="inlineStr">
        <is>
          <t>eindhoven</t>
        </is>
      </c>
      <c r="C10" s="29" t="inlineStr">
        <is>
          <t>eindhoven:kinderopvangtoeslag-basvurusu</t>
        </is>
      </c>
      <c r="D10" s="29" t="inlineStr">
        <is>
          <t>Başvur</t>
        </is>
      </c>
      <c r="E10" s="29" t="inlineStr">
        <is>
          <t>https://www.belastingdienst.nl/wps/wcm/connect/nl/kinderopvangtoeslag/content/hoe-moet-ik-kinderopvangtoeslag-aanvragen</t>
        </is>
      </c>
      <c r="F10" s="49" t="n">
        <v>46317</v>
      </c>
      <c r="G10" s="51" t="n">
        <v>1</v>
      </c>
    </row>
    <row r="11" ht="54" customHeight="1">
      <c r="A11" s="29" t="inlineStr">
        <is>
          <t>eindhoven:action:kinderopvangtoeslag-basvurusu-2</t>
        </is>
      </c>
      <c r="B11" s="29" t="inlineStr">
        <is>
          <t>eindhoven</t>
        </is>
      </c>
      <c r="C11" s="29" t="inlineStr">
        <is>
          <t>eindhoven:kinderopvangtoeslag-basvurusu</t>
        </is>
      </c>
      <c r="D11" s="29" t="inlineStr">
        <is>
          <t>Bilgi al</t>
        </is>
      </c>
      <c r="E11" s="29" t="inlineStr">
        <is>
          <t>https://www.government.nl/themes/family-health-and-care/childcare/childcare-benefit</t>
        </is>
      </c>
      <c r="F11" s="49" t="n">
        <v>46317</v>
      </c>
      <c r="G11" s="51" t="n">
        <v>2</v>
      </c>
    </row>
    <row r="12" ht="54" customHeight="1">
      <c r="A12" s="29" t="inlineStr">
        <is>
          <t>eindhoven:action:kinderopvangtoeslag-oturum-izni-uyruk-1</t>
        </is>
      </c>
      <c r="B12" s="29" t="inlineStr">
        <is>
          <t>eindhoven</t>
        </is>
      </c>
      <c r="C12" s="29" t="inlineStr">
        <is>
          <t>eindhoven:kinderopvangtoeslag-oturum-izni-uyruk</t>
        </is>
      </c>
      <c r="D12" s="29" t="inlineStr">
        <is>
          <t>Bilgi al</t>
        </is>
      </c>
      <c r="E12" s="29" t="inlineStr">
        <is>
          <t>https://www.belastingdienst.nl/wps/wcm/connect/bldcontenten/belastingdienst/individuals/benefits/moving_to_the_netherlands/my_child_goes_to_a_childcare_centre/my_child_goes_to_a_childcare_centre</t>
        </is>
      </c>
      <c r="F12" s="49" t="n">
        <v>46317</v>
      </c>
      <c r="G12" s="51" t="n">
        <v>1</v>
      </c>
    </row>
    <row r="13" ht="54" customHeight="1">
      <c r="A13" s="29" t="inlineStr">
        <is>
          <t>eindhoven:action:kinderopvangtoeslag-saat-siniri-ve-degisiklik-1</t>
        </is>
      </c>
      <c r="B13" s="29" t="inlineStr">
        <is>
          <t>eindhoven</t>
        </is>
      </c>
      <c r="C13" s="29" t="inlineStr">
        <is>
          <t>eindhoven:kinderopvangtoeslag-saat-siniri-ve-degisiklik</t>
        </is>
      </c>
      <c r="D13" s="29" t="inlineStr">
        <is>
          <t>Bilgi al</t>
        </is>
      </c>
      <c r="E13" s="29" t="inlineStr">
        <is>
          <t>https://www.belastingdienst.nl/wps/wcm/connect/bldcontenten/belastingdienst/individuals/benefits/moving_to_the_netherlands/my_child_goes_to_a_childcare_centre/my_child_goes_to_a_childcare_centre</t>
        </is>
      </c>
      <c r="F13" s="49" t="n">
        <v>46317</v>
      </c>
      <c r="G13" s="51" t="n">
        <v>1</v>
      </c>
    </row>
    <row r="14" ht="54" customHeight="1">
      <c r="A14" s="29" t="inlineStr">
        <is>
          <t>eindhoven:action:kinderopvangtoeslag-saat-siniri-ve-degisiklik-2</t>
        </is>
      </c>
      <c r="B14" s="29" t="inlineStr">
        <is>
          <t>eindhoven</t>
        </is>
      </c>
      <c r="C14" s="29" t="inlineStr">
        <is>
          <t>eindhoven:kinderopvangtoeslag-saat-siniri-ve-degisiklik</t>
        </is>
      </c>
      <c r="D14" s="29" t="inlineStr">
        <is>
          <t>Bilgi al</t>
        </is>
      </c>
      <c r="E14" s="29" t="inlineStr">
        <is>
          <t>https://www.belastingdienst.nl/wps/wcm/connect/nl/kinderopvangtoeslag/content/hoe-moet-ik-kinderopvangtoeslag-aanvragen</t>
        </is>
      </c>
      <c r="F14" s="49" t="n">
        <v>46317</v>
      </c>
      <c r="G14" s="51" t="n">
        <v>2</v>
      </c>
    </row>
    <row r="15" ht="54" customHeight="1">
      <c r="A15" s="29" t="inlineStr">
        <is>
          <t>eindhoven:action:kinderopvang-lrk-kayit-kontrolu-1</t>
        </is>
      </c>
      <c r="B15" s="29" t="inlineStr">
        <is>
          <t>eindhoven</t>
        </is>
      </c>
      <c r="C15" s="29" t="inlineStr">
        <is>
          <t>eindhoven:kinderopvang-lrk-kayit-kontrolu</t>
        </is>
      </c>
      <c r="D15" s="29" t="inlineStr">
        <is>
          <t>Bilgi al</t>
        </is>
      </c>
      <c r="E15" s="29" t="inlineStr">
        <is>
          <t>https://www.government.nl/themes/family-health-and-care/childcare/accessing-the-national-childcare-register-landelijk-register-kinderopvang-lrk</t>
        </is>
      </c>
      <c r="F15" s="49" t="n">
        <v>46317</v>
      </c>
      <c r="G15" s="51" t="n">
        <v>1</v>
      </c>
    </row>
    <row r="16" ht="54" customHeight="1">
      <c r="A16" s="29" t="inlineStr">
        <is>
          <t>eindhoven:action:kindgebonden-budget-hak-ve-basvuru-1</t>
        </is>
      </c>
      <c r="B16" s="29" t="inlineStr">
        <is>
          <t>eindhoven</t>
        </is>
      </c>
      <c r="C16" s="29" t="inlineStr">
        <is>
          <t>eindhoven:kindgebonden-budget-hak-ve-basvuru</t>
        </is>
      </c>
      <c r="D16" s="29" t="inlineStr">
        <is>
          <t>Başvur</t>
        </is>
      </c>
      <c r="E16" s="29" t="inlineStr">
        <is>
          <t>https://www.government.nl/themes/taxes-benefits-and-allowances/child-budget/applying-for-a-child-budget</t>
        </is>
      </c>
      <c r="F16" s="49" t="n">
        <v>46317</v>
      </c>
      <c r="G16" s="51" t="n">
        <v>1</v>
      </c>
    </row>
    <row r="17" ht="54" customHeight="1">
      <c r="A17" s="29" t="inlineStr">
        <is>
          <t>eindhoven:action:kindgebonden-budget-hak-ve-basvuru-2</t>
        </is>
      </c>
      <c r="B17" s="29" t="inlineStr">
        <is>
          <t>eindhoven</t>
        </is>
      </c>
      <c r="C17" s="29" t="inlineStr">
        <is>
          <t>eindhoven:kindgebonden-budget-hak-ve-basvuru</t>
        </is>
      </c>
      <c r="D17" s="29" t="inlineStr">
        <is>
          <t>Bilgi al</t>
        </is>
      </c>
      <c r="E17" s="29" t="inlineStr">
        <is>
          <t>https://www.belastingdienst.nl/wps/wcm/connect/nl/kindgebonden-budget/content/kan-ik-kindgebonden-budget-krijgen</t>
        </is>
      </c>
      <c r="F17" s="49" t="n">
        <v>46317</v>
      </c>
      <c r="G17" s="51" t="n">
        <v>2</v>
      </c>
    </row>
    <row r="18" ht="54" customHeight="1">
      <c r="A18" s="29" t="inlineStr">
        <is>
          <t>eindhoven:action:dogumdan-sonra-kinderbijslag-ve-toeslaglar-1</t>
        </is>
      </c>
      <c r="B18" s="29" t="inlineStr">
        <is>
          <t>eindhoven</t>
        </is>
      </c>
      <c r="C18" s="29" t="inlineStr">
        <is>
          <t>eindhoven:dogumdan-sonra-kinderbijslag-ve-toeslaglar</t>
        </is>
      </c>
      <c r="D18" s="29" t="inlineStr">
        <is>
          <t>Bilgi al</t>
        </is>
      </c>
      <c r="E18" s="29" t="inlineStr">
        <is>
          <t>https://www.rijksoverheid.nl/documenten/vraag-en-antwoord/zwangerschap-en-geboorte/checklist-kind-krijgen</t>
        </is>
      </c>
      <c r="F18" s="49" t="n">
        <v>46317</v>
      </c>
      <c r="G18" s="51" t="n">
        <v>1</v>
      </c>
    </row>
    <row r="19" ht="54" customHeight="1">
      <c r="A19" s="29" t="inlineStr">
        <is>
          <t>eindhoven:action:dogumdan-sonra-kinderbijslag-ve-toeslaglar-2</t>
        </is>
      </c>
      <c r="B19" s="29" t="inlineStr">
        <is>
          <t>eindhoven</t>
        </is>
      </c>
      <c r="C19" s="29" t="inlineStr">
        <is>
          <t>eindhoven:dogumdan-sonra-kinderbijslag-ve-toeslaglar</t>
        </is>
      </c>
      <c r="D19" s="29" t="inlineStr">
        <is>
          <t>Bilgi al</t>
        </is>
      </c>
      <c r="E19" s="29" t="inlineStr">
        <is>
          <t>https://www.belastingdienst.nl/wps/wcm/connect/nl/kindgebonden-budget/content/kan-ik-kindgebonden-budget-krijgen</t>
        </is>
      </c>
      <c r="F19" s="49" t="n">
        <v>46317</v>
      </c>
      <c r="G19" s="51" t="n">
        <v>2</v>
      </c>
    </row>
    <row r="20" ht="54" customHeight="1">
      <c r="A20" s="29" t="inlineStr">
        <is>
          <t>eindhoven:action:basisschool-yas-ve-wendagen-1</t>
        </is>
      </c>
      <c r="B20" s="29" t="inlineStr">
        <is>
          <t>eindhoven</t>
        </is>
      </c>
      <c r="C20" s="29" t="inlineStr">
        <is>
          <t>eindhoven:basisschool-yas-ve-wendagen</t>
        </is>
      </c>
      <c r="D20" s="29" t="inlineStr">
        <is>
          <t>Bilgi al</t>
        </is>
      </c>
      <c r="E20" s="29" t="inlineStr">
        <is>
          <t>https://www.rijksoverheid.nl/documenten/vraag-en-antwoord/basisonderwijs/wanneer-mag-mijn-kind-naar-de-basisschool</t>
        </is>
      </c>
      <c r="F20" s="49" t="n">
        <v>46317</v>
      </c>
      <c r="G20" s="51" t="n">
        <v>1</v>
      </c>
    </row>
    <row r="21" ht="54" customHeight="1">
      <c r="A21" s="29" t="inlineStr">
        <is>
          <t>eindhoven:action:basisschool-kayit-ve-okul-secimi-1</t>
        </is>
      </c>
      <c r="B21" s="29" t="inlineStr">
        <is>
          <t>eindhoven</t>
        </is>
      </c>
      <c r="C21" s="29" t="inlineStr">
        <is>
          <t>eindhoven:basisschool-kayit-ve-okul-secimi</t>
        </is>
      </c>
      <c r="D21" s="29" t="inlineStr">
        <is>
          <t>Bilgi al</t>
        </is>
      </c>
      <c r="E21" s="29" t="inlineStr">
        <is>
          <t>https://www.rijksoverheid.nl/documenten/vraag-en-antwoord/basisonderwijs/wanneer-mag-mijn-kind-naar-de-basisschool</t>
        </is>
      </c>
      <c r="F21" s="49" t="n">
        <v>46317</v>
      </c>
      <c r="G21" s="51" t="n">
        <v>1</v>
      </c>
    </row>
    <row r="22" ht="54" customHeight="1">
      <c r="A22" s="29" t="inlineStr">
        <is>
          <t>eindhoven:action:basisschool-kayit-ve-okul-secimi-2</t>
        </is>
      </c>
      <c r="B22" s="29" t="inlineStr">
        <is>
          <t>eindhoven</t>
        </is>
      </c>
      <c r="C22" s="29" t="inlineStr">
        <is>
          <t>eindhoven:basisschool-kayit-ve-okul-secimi</t>
        </is>
      </c>
      <c r="D22" s="29" t="inlineStr">
        <is>
          <t>Bilgi al</t>
        </is>
      </c>
      <c r="E22" s="29" t="inlineStr">
        <is>
          <t>https://www.eindhoven.nl/inkomen-zorg-en-onderwijs/onderwijs/leerplicht-en-rmc/leerplicht-en-kwalificatieplicht</t>
        </is>
      </c>
      <c r="F22" s="49" t="n">
        <v>46317</v>
      </c>
      <c r="G22" s="51" t="n">
        <v>2</v>
      </c>
    </row>
    <row r="23" ht="54" customHeight="1">
      <c r="A23" s="29" t="inlineStr">
        <is>
          <t>eindhoven:action:leerplicht-eindhoven-1</t>
        </is>
      </c>
      <c r="B23" s="29" t="inlineStr">
        <is>
          <t>eindhoven</t>
        </is>
      </c>
      <c r="C23" s="29" t="inlineStr">
        <is>
          <t>eindhoven:leerplicht-eindhoven</t>
        </is>
      </c>
      <c r="D23" s="29" t="inlineStr">
        <is>
          <t>Bilgi al</t>
        </is>
      </c>
      <c r="E23" s="29" t="inlineStr">
        <is>
          <t>https://www.eindhoven.nl/inkomen-zorg-en-onderwijs/onderwijs/leerplicht-en-rmc/leerplicht-en-kwalificatieplicht</t>
        </is>
      </c>
      <c r="F23" s="49" t="n">
        <v>46317</v>
      </c>
      <c r="G23" s="51" t="n">
        <v>1</v>
      </c>
    </row>
    <row r="24" ht="54" customHeight="1">
      <c r="A24" s="29" t="inlineStr">
        <is>
          <t>eindhoven:action:kwalificatieplicht-16-17-yas-1</t>
        </is>
      </c>
      <c r="B24" s="29" t="inlineStr">
        <is>
          <t>eindhoven</t>
        </is>
      </c>
      <c r="C24" s="29" t="inlineStr">
        <is>
          <t>eindhoven:kwalificatieplicht-16-17-yas</t>
        </is>
      </c>
      <c r="D24" s="29" t="inlineStr">
        <is>
          <t>Bilgi al</t>
        </is>
      </c>
      <c r="E24" s="29" t="inlineStr">
        <is>
          <t>https://www.eindhoven.nl/inkomen-zorg-en-onderwijs/onderwijs/leerplicht-en-rmc/leerplicht-en-kwalificatieplicht</t>
        </is>
      </c>
      <c r="F24" s="49" t="n">
        <v>46317</v>
      </c>
      <c r="G24" s="51" t="n">
        <v>1</v>
      </c>
    </row>
    <row r="25" ht="54" customHeight="1">
      <c r="A25" s="29" t="inlineStr">
        <is>
          <t>eindhoven:action:okula-gitmeme-ve-hastalik-devamsizligi-1</t>
        </is>
      </c>
      <c r="B25" s="29" t="inlineStr">
        <is>
          <t>eindhoven</t>
        </is>
      </c>
      <c r="C25" s="29" t="inlineStr">
        <is>
          <t>eindhoven:okula-gitmeme-ve-hastalik-devamsizligi</t>
        </is>
      </c>
      <c r="D25" s="29" t="inlineStr">
        <is>
          <t>Bilgi al</t>
        </is>
      </c>
      <c r="E25" s="29" t="inlineStr">
        <is>
          <t>https://www.eindhoven.nl/inkomen-zorg-en-onderwijs/onderwijs/leerplicht-en-rmc/leerplicht-en-kwalificatieplicht</t>
        </is>
      </c>
      <c r="F25" s="49" t="n">
        <v>46317</v>
      </c>
      <c r="G25" s="51" t="n">
        <v>1</v>
      </c>
    </row>
    <row r="26" ht="54" customHeight="1">
      <c r="A26" s="29" t="inlineStr">
        <is>
          <t>eindhoven:action:okul-zamani-tatil-ve-ozel-izin-1</t>
        </is>
      </c>
      <c r="B26" s="29" t="inlineStr">
        <is>
          <t>eindhoven</t>
        </is>
      </c>
      <c r="C26" s="29" t="inlineStr">
        <is>
          <t>eindhoven:okul-zamani-tatil-ve-ozel-izin</t>
        </is>
      </c>
      <c r="D26" s="29" t="inlineStr">
        <is>
          <t>Bilgi al</t>
        </is>
      </c>
      <c r="E26" s="29" t="inlineStr">
        <is>
          <t>https://www.eindhoven.nl/inkomen-zorg-en-onderwijs/onderwijs/leerplicht-en-rmc/leerplicht-en-kwalificatieplicht</t>
        </is>
      </c>
      <c r="F26" s="49" t="n">
        <v>46317</v>
      </c>
      <c r="G26" s="51" t="n">
        <v>1</v>
      </c>
    </row>
    <row r="27" ht="54" customHeight="1">
      <c r="A27" s="29" t="inlineStr">
        <is>
          <t>eindhoven:action:leerplicht-vrijstelling-basvurusu-1</t>
        </is>
      </c>
      <c r="B27" s="29" t="inlineStr">
        <is>
          <t>eindhoven</t>
        </is>
      </c>
      <c r="C27" s="29" t="inlineStr">
        <is>
          <t>eindhoven:leerplicht-vrijstelling-basvurusu</t>
        </is>
      </c>
      <c r="D27" s="29" t="inlineStr">
        <is>
          <t>Formu doldur</t>
        </is>
      </c>
      <c r="E27" s="29" t="inlineStr">
        <is>
          <t>https://www.eindhoven.nl/inkomen-zorg-en-onderwijs/onderwijs/leerplicht-en-rmc/leerplicht-en-kwalificatieplicht</t>
        </is>
      </c>
      <c r="F27" s="49" t="n">
        <v>46317</v>
      </c>
      <c r="G27" s="51" t="n">
        <v>1</v>
      </c>
    </row>
    <row r="28" ht="54" customHeight="1">
      <c r="A28" s="29" t="inlineStr">
        <is>
          <t>eindhoven:action:vervangende-leerplicht-ve-maatwerk-programi-1</t>
        </is>
      </c>
      <c r="B28" s="29" t="inlineStr">
        <is>
          <t>eindhoven</t>
        </is>
      </c>
      <c r="C28" s="29" t="inlineStr">
        <is>
          <t>eindhoven:vervangende-leerplicht-ve-maatwerk-programi</t>
        </is>
      </c>
      <c r="D28" s="29" t="inlineStr">
        <is>
          <t>Formu doldur</t>
        </is>
      </c>
      <c r="E28" s="29" t="inlineStr">
        <is>
          <t>https://www.eindhoven.nl/inkomen-zorg-en-onderwijs/onderwijs/leerplicht-en-rmc/leerplicht-en-kwalificatieplicht</t>
        </is>
      </c>
      <c r="F28" s="49" t="n">
        <v>46317</v>
      </c>
      <c r="G28" s="51" t="n">
        <v>1</v>
      </c>
    </row>
    <row r="29" ht="54" customHeight="1">
      <c r="A29" s="29" t="inlineStr">
        <is>
          <t>eindhoven:action:newcomer-ilkokul-secenekleri-1</t>
        </is>
      </c>
      <c r="B29" s="29" t="inlineStr">
        <is>
          <t>eindhoven</t>
        </is>
      </c>
      <c r="C29" s="29" t="inlineStr">
        <is>
          <t>eindhoven:newcomer-ilkokul-secenekleri</t>
        </is>
      </c>
      <c r="D29" s="29" t="inlineStr">
        <is>
          <t>Bilgi al</t>
        </is>
      </c>
      <c r="E29" s="29" t="inlineStr">
        <is>
          <t>https://www.hollandexpatcenter.com/internationals-guide/education/newcomer-schools-and-classes</t>
        </is>
      </c>
      <c r="F29" s="49" t="n">
        <v>46317</v>
      </c>
      <c r="G29" s="51" t="n">
        <v>1</v>
      </c>
    </row>
    <row r="30" ht="54" customHeight="1">
      <c r="A30" s="29" t="inlineStr">
        <is>
          <t>eindhoven:action:newcomer-ortaokul-eoa-isk-1</t>
        </is>
      </c>
      <c r="B30" s="29" t="inlineStr">
        <is>
          <t>eindhoven</t>
        </is>
      </c>
      <c r="C30" s="29" t="inlineStr">
        <is>
          <t>eindhoven:newcomer-ortaokul-eoa-isk</t>
        </is>
      </c>
      <c r="D30" s="29" t="inlineStr">
        <is>
          <t>Bilgi al</t>
        </is>
      </c>
      <c r="E30" s="29" t="inlineStr">
        <is>
          <t>https://www.hollandexpatcenter.com/internationals-guide/education/newcomer-schools-and-classes</t>
        </is>
      </c>
      <c r="F30" s="49" t="n">
        <v>46317</v>
      </c>
      <c r="G30" s="51" t="n">
        <v>1</v>
      </c>
    </row>
    <row r="31" ht="54" customHeight="1">
      <c r="A31" s="29" t="inlineStr">
        <is>
          <t>eindhoven:action:schooladvies-ortaokula-gecis-1</t>
        </is>
      </c>
      <c r="B31" s="29" t="inlineStr">
        <is>
          <t>eindhoven</t>
        </is>
      </c>
      <c r="C31" s="29" t="inlineStr">
        <is>
          <t>eindhoven:schooladvies-ortaokula-gecis</t>
        </is>
      </c>
      <c r="D31" s="29" t="inlineStr">
        <is>
          <t>Bilgi al</t>
        </is>
      </c>
      <c r="E31" s="29" t="inlineStr">
        <is>
          <t>https://www.rijksoverheid.nl/themas/onderwijs/schooladvies-en-doorstroomtoets-basisschool/toelating-voortgezet-onderwijs-gebaseerd-op-definitief-schooladvies</t>
        </is>
      </c>
      <c r="F31" s="49" t="n">
        <v>46317</v>
      </c>
      <c r="G31" s="51" t="n">
        <v>1</v>
      </c>
    </row>
    <row r="32" ht="54" customHeight="1">
      <c r="A32" s="29" t="inlineStr">
        <is>
          <t>eindhoven:action:international-school-eindhoven-ise-1</t>
        </is>
      </c>
      <c r="B32" s="29" t="inlineStr">
        <is>
          <t>eindhoven</t>
        </is>
      </c>
      <c r="C32" s="29" t="inlineStr">
        <is>
          <t>eindhoven:international-school-eindhoven-ise</t>
        </is>
      </c>
      <c r="D32" s="29" t="inlineStr">
        <is>
          <t>Bilgi al</t>
        </is>
      </c>
      <c r="E32" s="29" t="inlineStr">
        <is>
          <t>https://www.hollandexpatcenter.com/partners/international-school-eindhoven-ise</t>
        </is>
      </c>
      <c r="F32" s="49" t="n">
        <v>46317</v>
      </c>
      <c r="G32" s="51" t="n">
        <v>1</v>
      </c>
    </row>
    <row r="33" ht="54" customHeight="1">
      <c r="A33" s="29" t="inlineStr">
        <is>
          <t>eindhoven:action:international-school-eindhoven-ise-2</t>
        </is>
      </c>
      <c r="B33" s="29" t="inlineStr">
        <is>
          <t>eindhoven</t>
        </is>
      </c>
      <c r="C33" s="29" t="inlineStr">
        <is>
          <t>eindhoven:international-school-eindhoven-ise</t>
        </is>
      </c>
      <c r="D33" s="29" t="inlineStr">
        <is>
          <t>Kayıt ol</t>
        </is>
      </c>
      <c r="E33" s="29" t="inlineStr">
        <is>
          <t>https://www.isecampus.nl/admissions/</t>
        </is>
      </c>
      <c r="F33" s="49" t="n">
        <v>46317</v>
      </c>
      <c r="G33" s="51" t="n">
        <v>2</v>
      </c>
    </row>
    <row r="34" ht="54" customHeight="1">
      <c r="A34" s="29" t="inlineStr">
        <is>
          <t>eindhoven:action:ise-kayit-ve-bilgi-oturumlari-1</t>
        </is>
      </c>
      <c r="B34" s="29" t="inlineStr">
        <is>
          <t>eindhoven</t>
        </is>
      </c>
      <c r="C34" s="29" t="inlineStr">
        <is>
          <t>eindhoven:ise-kayit-ve-bilgi-oturumlari</t>
        </is>
      </c>
      <c r="D34" s="29" t="inlineStr">
        <is>
          <t>Kayıt ol</t>
        </is>
      </c>
      <c r="E34" s="29" t="inlineStr">
        <is>
          <t>https://www.isecampus.nl/admissions/</t>
        </is>
      </c>
      <c r="F34" s="49" t="n">
        <v>46317</v>
      </c>
      <c r="G34" s="51" t="n">
        <v>1</v>
      </c>
    </row>
    <row r="35" ht="54" customHeight="1">
      <c r="A35" s="29" t="inlineStr">
        <is>
          <t>eindhoven:action:cocugu-tanima-erkenning-1</t>
        </is>
      </c>
      <c r="B35" s="29" t="inlineStr">
        <is>
          <t>eindhoven</t>
        </is>
      </c>
      <c r="C35" s="29" t="inlineStr">
        <is>
          <t>eindhoven:cocugu-tanima-erkenning</t>
        </is>
      </c>
      <c r="D35" s="29" t="inlineStr">
        <is>
          <t>Randevu al</t>
        </is>
      </c>
      <c r="E35" s="29" t="inlineStr">
        <is>
          <t>https://www.eindhoven.nl/stad-en-wonen/levensgebeurtenissen/erkenning-kind-en-adoptie</t>
        </is>
      </c>
      <c r="F35" s="49" t="n">
        <v>46317</v>
      </c>
      <c r="G35" s="51" t="n">
        <v>1</v>
      </c>
    </row>
    <row r="36" ht="54" customHeight="1">
      <c r="A36" s="29" t="inlineStr">
        <is>
          <t>eindhoven:action:ouderschapsverlof-basvurusu-1</t>
        </is>
      </c>
      <c r="B36" s="29" t="inlineStr">
        <is>
          <t>eindhoven</t>
        </is>
      </c>
      <c r="C36" s="29" t="inlineStr">
        <is>
          <t>eindhoven:ouderschapsverlof-basvurusu</t>
        </is>
      </c>
      <c r="D36" s="29" t="inlineStr">
        <is>
          <t>Bilgi al</t>
        </is>
      </c>
      <c r="E36" s="29" t="inlineStr">
        <is>
          <t>https://www.rijksoverheid.nl/documenten/vraag-en-antwoord/zwangerschap-en-geboorte/hoe-kan-ik-ouderschapsverlof-aanvragen</t>
        </is>
      </c>
      <c r="F36" s="49" t="n">
        <v>46317</v>
      </c>
      <c r="G36" s="51" t="n">
        <v>1</v>
      </c>
    </row>
    <row r="37" ht="54" customHeight="1">
      <c r="A37" s="29" t="inlineStr">
        <is>
          <t>eindhoven:action:bebek-dogunca-izin-saglik-sigortasi-consultatiebureau-1</t>
        </is>
      </c>
      <c r="B37" s="29" t="inlineStr">
        <is>
          <t>eindhoven</t>
        </is>
      </c>
      <c r="C37" s="29" t="inlineStr">
        <is>
          <t>eindhoven:bebek-dogunca-izin-saglik-sigortasi-consultatiebureau</t>
        </is>
      </c>
      <c r="D37" s="29" t="inlineStr">
        <is>
          <t>Bilgi al</t>
        </is>
      </c>
      <c r="E37" s="29" t="inlineStr">
        <is>
          <t>https://www.rijksoverheid.nl/documenten/vraag-en-antwoord/zwangerschap-en-geboorte/checklist-kind-krijgen</t>
        </is>
      </c>
      <c r="F37" s="49" t="n">
        <v>46317</v>
      </c>
      <c r="G37" s="51" t="n">
        <v>1</v>
      </c>
    </row>
    <row r="38" ht="54" customHeight="1">
      <c r="A38" s="29" t="inlineStr">
        <is>
          <t>eindhoven:action:sosyal-kiralik-konut-arama-yollari-1</t>
        </is>
      </c>
      <c r="B38" s="29" t="inlineStr">
        <is>
          <t>eindhoven</t>
        </is>
      </c>
      <c r="C38" s="29" t="inlineStr">
        <is>
          <t>eindhoven:sosyal-kiralik-konut-arama-yollari</t>
        </is>
      </c>
      <c r="D38" s="29" t="inlineStr">
        <is>
          <t>Bilgi al</t>
        </is>
      </c>
      <c r="E38" s="29" t="inlineStr">
        <is>
          <t>https://www.eindhoven.nl/stad-en-wonen/wonen/huren-en-verhuren-in-eindhoven/woning-huren-in-eindhoven</t>
        </is>
      </c>
      <c r="F38" s="49" t="n">
        <v>46317</v>
      </c>
      <c r="G38" s="51" t="n">
        <v>1</v>
      </c>
    </row>
    <row r="39" ht="54" customHeight="1">
      <c r="A39" s="29" t="inlineStr">
        <is>
          <t>eindhoven:action:sosyal-kiralik-konut-arama-yollari-2</t>
        </is>
      </c>
      <c r="B39" s="29" t="inlineStr">
        <is>
          <t>eindhoven</t>
        </is>
      </c>
      <c r="C39" s="29" t="inlineStr">
        <is>
          <t>eindhoven:sosyal-kiralik-konut-arama-yollari</t>
        </is>
      </c>
      <c r="D39" s="29" t="inlineStr">
        <is>
          <t>Kayıt ol</t>
        </is>
      </c>
      <c r="E39" s="29" t="inlineStr">
        <is>
          <t>https://www.wooniezie.nl/inschrijven-2/inschrijven</t>
        </is>
      </c>
      <c r="F39" s="49" t="n">
        <v>46317</v>
      </c>
      <c r="G39" s="51" t="n">
        <v>2</v>
      </c>
    </row>
    <row r="40" ht="54" customHeight="1">
      <c r="A40" s="29" t="inlineStr">
        <is>
          <t>eindhoven:action:wooniezie-kaydi-sartlari-1</t>
        </is>
      </c>
      <c r="B40" s="29" t="inlineStr">
        <is>
          <t>eindhoven</t>
        </is>
      </c>
      <c r="C40" s="29" t="inlineStr">
        <is>
          <t>eindhoven:wooniezie-kaydi-sartlari</t>
        </is>
      </c>
      <c r="D40" s="29" t="inlineStr">
        <is>
          <t>Kayıt ol</t>
        </is>
      </c>
      <c r="E40" s="29" t="inlineStr">
        <is>
          <t>https://www.wooniezie.nl/inschrijven-2/inschrijven</t>
        </is>
      </c>
      <c r="F40" s="49" t="n">
        <v>46317</v>
      </c>
      <c r="G40" s="51" t="n">
        <v>1</v>
      </c>
    </row>
    <row r="41" ht="54" customHeight="1">
      <c r="A41" s="29" t="inlineStr">
        <is>
          <t>eindhoven:action:wooniezie-kaydi-sartlari-2</t>
        </is>
      </c>
      <c r="B41" s="29" t="inlineStr">
        <is>
          <t>eindhoven</t>
        </is>
      </c>
      <c r="C41" s="29" t="inlineStr">
        <is>
          <t>eindhoven:wooniezie-kaydi-sartlari</t>
        </is>
      </c>
      <c r="D41" s="29" t="inlineStr">
        <is>
          <t>Bilgi al</t>
        </is>
      </c>
      <c r="E41" s="29" t="inlineStr">
        <is>
          <t>https://www.wooniezie.nl/over-ons/om-te-bekijken/nieuws/nieuwsbericht/zorg-voor-een-actuele-inschrijving-bij-wooniezie</t>
        </is>
      </c>
      <c r="F41" s="49" t="n">
        <v>46317</v>
      </c>
      <c r="G41" s="51" t="n">
        <v>2</v>
      </c>
    </row>
    <row r="42" ht="54" customHeight="1">
      <c r="A42" s="29" t="inlineStr">
        <is>
          <t>eindhoven:action:sosyal-konut-kira-ve-gelir-sinirlari-2026-1</t>
        </is>
      </c>
      <c r="B42" s="29" t="inlineStr">
        <is>
          <t>eindhoven</t>
        </is>
      </c>
      <c r="C42" s="29" t="inlineStr">
        <is>
          <t>eindhoven:sosyal-konut-kira-ve-gelir-sinirlari-2026</t>
        </is>
      </c>
      <c r="D42" s="29" t="inlineStr">
        <is>
          <t>Bilgi al</t>
        </is>
      </c>
      <c r="E42" s="29" t="inlineStr">
        <is>
          <t>https://www.government.nl/themes/building-and-housing/housing/rented-housing</t>
        </is>
      </c>
      <c r="F42" s="49" t="n">
        <v>46317</v>
      </c>
      <c r="G42" s="51" t="n">
        <v>1</v>
      </c>
    </row>
    <row r="43" ht="54" customHeight="1">
      <c r="A43" s="29" t="inlineStr">
        <is>
          <t>eindhoven:action:sosyal-konut-kira-ve-gelir-sinirlari-2026-2</t>
        </is>
      </c>
      <c r="B43" s="29" t="inlineStr">
        <is>
          <t>eindhoven</t>
        </is>
      </c>
      <c r="C43" s="29" t="inlineStr">
        <is>
          <t>eindhoven:sosyal-konut-kira-ve-gelir-sinirlari-2026</t>
        </is>
      </c>
      <c r="D43" s="29" t="inlineStr">
        <is>
          <t>Kayıt ol</t>
        </is>
      </c>
      <c r="E43" s="29" t="inlineStr">
        <is>
          <t>https://www.wooniezie.nl/inschrijven-2/inschrijven</t>
        </is>
      </c>
      <c r="F43" s="49" t="n">
        <v>46317</v>
      </c>
      <c r="G43" s="51" t="n">
        <v>2</v>
      </c>
    </row>
    <row r="44" ht="54" customHeight="1">
      <c r="A44" s="29" t="inlineStr">
        <is>
          <t>eindhoven:action:acil-konut-urgentie-onceligi-1</t>
        </is>
      </c>
      <c r="B44" s="29" t="inlineStr">
        <is>
          <t>eindhoven</t>
        </is>
      </c>
      <c r="C44" s="29" t="inlineStr">
        <is>
          <t>eindhoven:acil-konut-urgentie-onceligi</t>
        </is>
      </c>
      <c r="D44" s="29" t="inlineStr">
        <is>
          <t>Bilgi al</t>
        </is>
      </c>
      <c r="E44" s="29" t="inlineStr">
        <is>
          <t>https://www.eindhoven.nl/stad-en-wonen/wonen/huren-en-verhuren-in-eindhoven/woning-huren-in-eindhoven</t>
        </is>
      </c>
      <c r="F44" s="49" t="n">
        <v>46317</v>
      </c>
      <c r="G44" s="51" t="n">
        <v>1</v>
      </c>
    </row>
    <row r="45" ht="54" customHeight="1">
      <c r="A45" s="29" t="inlineStr">
        <is>
          <t>eindhoven:action:acil-konut-urgentie-onceligi-2</t>
        </is>
      </c>
      <c r="B45" s="29" t="inlineStr">
        <is>
          <t>eindhoven</t>
        </is>
      </c>
      <c r="C45" s="29" t="inlineStr">
        <is>
          <t>eindhoven:acil-konut-urgentie-onceligi</t>
        </is>
      </c>
      <c r="D45" s="29" t="inlineStr">
        <is>
          <t>Bilgi al</t>
        </is>
      </c>
      <c r="E45" s="29" t="inlineStr">
        <is>
          <t>https://www.trudo.nl/ik-zoek/huurwoning</t>
        </is>
      </c>
      <c r="F45" s="49" t="n">
        <v>46317</v>
      </c>
      <c r="G45" s="51" t="n">
        <v>2</v>
      </c>
    </row>
    <row r="46" ht="54" customHeight="1">
      <c r="A46" s="29" t="inlineStr">
        <is>
          <t>eindhoven:action:trudo-atama-kurallari-ve-inplaatsing-1</t>
        </is>
      </c>
      <c r="B46" s="29" t="inlineStr">
        <is>
          <t>eindhoven</t>
        </is>
      </c>
      <c r="C46" s="29" t="inlineStr">
        <is>
          <t>eindhoven:trudo-atama-kurallari-ve-inplaatsing</t>
        </is>
      </c>
      <c r="D46" s="29" t="inlineStr">
        <is>
          <t>Bilgi al</t>
        </is>
      </c>
      <c r="E46" s="29" t="inlineStr">
        <is>
          <t>https://www.trudo.nl/ik-zoek/huurwoning</t>
        </is>
      </c>
      <c r="F46" s="49" t="n">
        <v>46317</v>
      </c>
      <c r="G46" s="51" t="n">
        <v>1</v>
      </c>
    </row>
    <row r="47" ht="54" customHeight="1">
      <c r="A47" s="29" t="inlineStr">
        <is>
          <t>eindhoven:action:trudo-atama-kurallari-ve-inplaatsing-2</t>
        </is>
      </c>
      <c r="B47" s="29" t="inlineStr">
        <is>
          <t>eindhoven</t>
        </is>
      </c>
      <c r="C47" s="29" t="inlineStr">
        <is>
          <t>eindhoven:trudo-atama-kurallari-ve-inplaatsing</t>
        </is>
      </c>
      <c r="D47" s="29" t="inlineStr">
        <is>
          <t>Kayıt ol</t>
        </is>
      </c>
      <c r="E47" s="29" t="inlineStr">
        <is>
          <t>https://www.wooniezie.nl/inschrijven-2/inschrijven</t>
        </is>
      </c>
      <c r="F47" s="49" t="n">
        <v>46317</v>
      </c>
      <c r="G47" s="51" t="n">
        <v>2</v>
      </c>
    </row>
    <row r="48" ht="54" customHeight="1">
      <c r="A48" s="29" t="inlineStr">
        <is>
          <t>eindhoven:action:ozel-sektorde-kiralik-konut-bulma-1</t>
        </is>
      </c>
      <c r="B48" s="29" t="inlineStr">
        <is>
          <t>eindhoven</t>
        </is>
      </c>
      <c r="C48" s="29" t="inlineStr">
        <is>
          <t>eindhoven:ozel-sektorde-kiralik-konut-bulma</t>
        </is>
      </c>
      <c r="D48" s="29" t="inlineStr">
        <is>
          <t>Bilgi al</t>
        </is>
      </c>
      <c r="E48" s="29" t="inlineStr">
        <is>
          <t>https://www.eindhoven.nl/stad-en-wonen/wonen/huren-en-verhuren-in-eindhoven/woning-huren-in-eindhoven</t>
        </is>
      </c>
      <c r="F48" s="49" t="n">
        <v>46317</v>
      </c>
      <c r="G48" s="51" t="n">
        <v>1</v>
      </c>
    </row>
    <row r="49" ht="54" customHeight="1">
      <c r="A49" s="29" t="inlineStr">
        <is>
          <t>eindhoven:action:kiralik-ev-dolandiriciligindan-korunma-1</t>
        </is>
      </c>
      <c r="B49" s="29" t="inlineStr">
        <is>
          <t>eindhoven</t>
        </is>
      </c>
      <c r="C49" s="29" t="inlineStr">
        <is>
          <t>eindhoven:kiralik-ev-dolandiriciligindan-korunma</t>
        </is>
      </c>
      <c r="D49" s="29" t="inlineStr">
        <is>
          <t>Bilgi al</t>
        </is>
      </c>
      <c r="E49" s="29" t="inlineStr">
        <is>
          <t>https://www.eindhoven.nl/stad-en-wonen/wonen/huren-en-verhuren-in-eindhoven/woning-huren-in-eindhoven</t>
        </is>
      </c>
      <c r="F49" s="49" t="n">
        <v>46317</v>
      </c>
      <c r="G49" s="51" t="n">
        <v>1</v>
      </c>
    </row>
    <row r="50" ht="54" customHeight="1">
      <c r="A50" s="29" t="inlineStr">
        <is>
          <t>eindhoven:action:kira-sozlesmesi-turleri-sureli-ve-suresiz-1</t>
        </is>
      </c>
      <c r="B50" s="29" t="inlineStr">
        <is>
          <t>eindhoven</t>
        </is>
      </c>
      <c r="C50" s="29" t="inlineStr">
        <is>
          <t>eindhoven:kira-sozlesmesi-turleri-sureli-ve-suresiz</t>
        </is>
      </c>
      <c r="D50" s="29" t="inlineStr">
        <is>
          <t>Bilgi al</t>
        </is>
      </c>
      <c r="E50" s="29" t="inlineStr">
        <is>
          <t>https://www.government.nl/themes/building-and-housing/housing/rented-housing</t>
        </is>
      </c>
      <c r="F50" s="49" t="n">
        <v>46317</v>
      </c>
      <c r="G50" s="51" t="n">
        <v>1</v>
      </c>
    </row>
    <row r="51" ht="54" customHeight="1">
      <c r="A51" s="29" t="inlineStr">
        <is>
          <t>eindhoven:action:ev-sahibinin-yasal-yukumlulukleri-1</t>
        </is>
      </c>
      <c r="B51" s="29" t="inlineStr">
        <is>
          <t>eindhoven</t>
        </is>
      </c>
      <c r="C51" s="29" t="inlineStr">
        <is>
          <t>eindhoven:ev-sahibinin-yasal-yukumlulukleri</t>
        </is>
      </c>
      <c r="D51" s="29" t="inlineStr">
        <is>
          <t>Bilgi al</t>
        </is>
      </c>
      <c r="E51" s="29" t="inlineStr">
        <is>
          <t>https://www.eindhoven.nl/stad-en-wonen/wonen/huren-en-verhuren-in-eindhoven/meldpunt-goed-verhuurderschap</t>
        </is>
      </c>
      <c r="F51" s="49" t="n">
        <v>46317</v>
      </c>
      <c r="G51" s="51" t="n">
        <v>1</v>
      </c>
    </row>
    <row r="52" ht="54" customHeight="1">
      <c r="A52" s="29" t="inlineStr">
        <is>
          <t>eindhoven:action:depozito-waarborgsom-ust-siniri-1</t>
        </is>
      </c>
      <c r="B52" s="29" t="inlineStr">
        <is>
          <t>eindhoven</t>
        </is>
      </c>
      <c r="C52" s="29" t="inlineStr">
        <is>
          <t>eindhoven:depozito-waarborgsom-ust-siniri</t>
        </is>
      </c>
      <c r="D52" s="29" t="inlineStr">
        <is>
          <t>Bilgi al</t>
        </is>
      </c>
      <c r="E52" s="29" t="inlineStr">
        <is>
          <t>https://www.rijksoverheid.nl/vraag-en-antwoord/woning-huren/woning-huren-waarborgsom</t>
        </is>
      </c>
      <c r="F52" s="49" t="n">
        <v>46317</v>
      </c>
      <c r="G52" s="51" t="n">
        <v>1</v>
      </c>
    </row>
    <row r="53" ht="54" customHeight="1">
      <c r="A53" s="29" t="inlineStr">
        <is>
          <t>eindhoven:action:depozito-waarborgsom-ust-siniri-2</t>
        </is>
      </c>
      <c r="B53" s="29" t="inlineStr">
        <is>
          <t>eindhoven</t>
        </is>
      </c>
      <c r="C53" s="29" t="inlineStr">
        <is>
          <t>eindhoven:depozito-waarborgsom-ust-siniri</t>
        </is>
      </c>
      <c r="D53" s="29" t="inlineStr">
        <is>
          <t>Bilgi al</t>
        </is>
      </c>
      <c r="E53" s="29" t="inlineStr">
        <is>
          <t>https://www.eindhoven.nl/stad-en-wonen/wonen/huren-en-verhuren-in-eindhoven/meldpunt-goed-verhuurderschap</t>
        </is>
      </c>
      <c r="F53" s="49" t="n">
        <v>46317</v>
      </c>
      <c r="G53" s="51" t="n">
        <v>2</v>
      </c>
    </row>
    <row r="54" ht="54" customHeight="1">
      <c r="A54" s="29" t="inlineStr">
        <is>
          <t>eindhoven:action:betaalbare-huur-yasasi-kira-ve-zam-siniri-1</t>
        </is>
      </c>
      <c r="B54" s="29" t="inlineStr">
        <is>
          <t>eindhoven</t>
        </is>
      </c>
      <c r="C54" s="29" t="inlineStr">
        <is>
          <t>eindhoven:betaalbare-huur-yasasi-kira-ve-zam-siniri</t>
        </is>
      </c>
      <c r="D54" s="29" t="inlineStr">
        <is>
          <t>Hesapla</t>
        </is>
      </c>
      <c r="E54" s="29" t="inlineStr">
        <is>
          <t>https://checkjeprijs.huurcommissie.nl/en/onderwerpen/huurprijs-en-punten/huurprijscheck-en-puntentelling</t>
        </is>
      </c>
      <c r="F54" s="49" t="n">
        <v>46317</v>
      </c>
      <c r="G54" s="51" t="n">
        <v>1</v>
      </c>
    </row>
    <row r="55" ht="54" customHeight="1">
      <c r="A55" s="29" t="inlineStr">
        <is>
          <t>eindhoven:action:betaalbare-huur-yasasi-kira-ve-zam-siniri-2</t>
        </is>
      </c>
      <c r="B55" s="29" t="inlineStr">
        <is>
          <t>eindhoven</t>
        </is>
      </c>
      <c r="C55" s="29" t="inlineStr">
        <is>
          <t>eindhoven:betaalbare-huur-yasasi-kira-ve-zam-siniri</t>
        </is>
      </c>
      <c r="D55" s="29" t="inlineStr">
        <is>
          <t>Bilgi al</t>
        </is>
      </c>
      <c r="E55" s="29" t="inlineStr">
        <is>
          <t>https://www.eindhoven.nl/stad-en-wonen/wonen/huren-en-verhuren-in-eindhoven/meldpunt-goed-verhuurderschap</t>
        </is>
      </c>
      <c r="F55" s="49" t="n">
        <v>46317</v>
      </c>
      <c r="G55" s="51" t="n">
        <v>2</v>
      </c>
    </row>
    <row r="56" ht="54" customHeight="1">
      <c r="A56" s="29" t="inlineStr">
        <is>
          <t>eindhoven:action:betaalbare-huur-yasasi-kira-ve-zam-siniri-3</t>
        </is>
      </c>
      <c r="B56" s="29" t="inlineStr">
        <is>
          <t>eindhoven</t>
        </is>
      </c>
      <c r="C56" s="29" t="inlineStr">
        <is>
          <t>eindhoven:betaalbare-huur-yasasi-kira-ve-zam-siniri</t>
        </is>
      </c>
      <c r="D56" s="29" t="inlineStr">
        <is>
          <t>Bilgi al</t>
        </is>
      </c>
      <c r="E56" s="29" t="inlineStr">
        <is>
          <t>https://www.government.nl/themes/building-and-housing/housing/rented-housing</t>
        </is>
      </c>
      <c r="F56" s="49" t="n">
        <v>46317</v>
      </c>
      <c r="G56" s="51" t="n">
        <v>3</v>
      </c>
    </row>
    <row r="57" ht="54" customHeight="1">
      <c r="A57" s="29" t="inlineStr">
        <is>
          <t>eindhoven:action:sosyal-kira-bedeli-huurcommissie-itirazi-1</t>
        </is>
      </c>
      <c r="B57" s="29" t="inlineStr">
        <is>
          <t>eindhoven</t>
        </is>
      </c>
      <c r="C57" s="29" t="inlineStr">
        <is>
          <t>eindhoven:sosyal-kira-bedeli-huurcommissie-itirazi</t>
        </is>
      </c>
      <c r="D57" s="29" t="inlineStr">
        <is>
          <t>Hesapla</t>
        </is>
      </c>
      <c r="E57" s="29" t="inlineStr">
        <is>
          <t>https://checkjeprijs.huurcommissie.nl/en/onderwerpen/huurprijs-en-punten/huurprijscheck-en-puntentelling</t>
        </is>
      </c>
      <c r="F57" s="49" t="n">
        <v>46317</v>
      </c>
      <c r="G57" s="51" t="n">
        <v>1</v>
      </c>
    </row>
    <row r="58" ht="54" customHeight="1">
      <c r="A58" s="29" t="inlineStr">
        <is>
          <t>eindhoven:action:sosyal-kira-bedeli-huurcommissie-itirazi-2</t>
        </is>
      </c>
      <c r="B58" s="29" t="inlineStr">
        <is>
          <t>eindhoven</t>
        </is>
      </c>
      <c r="C58" s="29" t="inlineStr">
        <is>
          <t>eindhoven:sosyal-kira-bedeli-huurcommissie-itirazi</t>
        </is>
      </c>
      <c r="D58" s="29" t="inlineStr">
        <is>
          <t>Bilgi al</t>
        </is>
      </c>
      <c r="E58" s="29" t="inlineStr">
        <is>
          <t>https://www.huurcommissie.nl/onderwerpen/huurder-sociale--en-middensector/huurprijs-punten-sociale-middensector-huurder</t>
        </is>
      </c>
      <c r="F58" s="49" t="n">
        <v>46317</v>
      </c>
      <c r="G58" s="51" t="n">
        <v>2</v>
      </c>
    </row>
    <row r="59" ht="54" customHeight="1">
      <c r="A59" s="29" t="inlineStr">
        <is>
          <t>eindhoven:action:sosyal-kira-bedeli-huurcommissie-itirazi-3</t>
        </is>
      </c>
      <c r="B59" s="29" t="inlineStr">
        <is>
          <t>eindhoven</t>
        </is>
      </c>
      <c r="C59" s="29" t="inlineStr">
        <is>
          <t>eindhoven:sosyal-kira-bedeli-huurcommissie-itirazi</t>
        </is>
      </c>
      <c r="D59" s="29" t="inlineStr">
        <is>
          <t>Bilgi al</t>
        </is>
      </c>
      <c r="E59" s="29" t="inlineStr">
        <is>
          <t>https://www.government.nl/themes/building-and-housing/housing/rented-housing</t>
        </is>
      </c>
      <c r="F59" s="49" t="n">
        <v>46317</v>
      </c>
      <c r="G59" s="51" t="n">
        <v>3</v>
      </c>
    </row>
    <row r="60" ht="54" customHeight="1">
      <c r="A60" s="29" t="inlineStr">
        <is>
          <t>eindhoven:action:serbest-sektor-kira-huurcommissie-1</t>
        </is>
      </c>
      <c r="B60" s="29" t="inlineStr">
        <is>
          <t>eindhoven</t>
        </is>
      </c>
      <c r="C60" s="29" t="inlineStr">
        <is>
          <t>eindhoven:serbest-sektor-kira-huurcommissie</t>
        </is>
      </c>
      <c r="D60" s="29" t="inlineStr">
        <is>
          <t>Bilgi al</t>
        </is>
      </c>
      <c r="E60" s="29" t="inlineStr">
        <is>
          <t>https://www.huurcommissie.nl/onderwerpen/huurprijs-punten-vrije-sector-huurder</t>
        </is>
      </c>
      <c r="F60" s="49" t="n">
        <v>46317</v>
      </c>
      <c r="G60" s="51" t="n">
        <v>1</v>
      </c>
    </row>
    <row r="61" ht="54" customHeight="1">
      <c r="A61" s="29" t="inlineStr">
        <is>
          <t>eindhoven:action:serbest-sektor-kira-huurcommissie-2</t>
        </is>
      </c>
      <c r="B61" s="29" t="inlineStr">
        <is>
          <t>eindhoven</t>
        </is>
      </c>
      <c r="C61" s="29" t="inlineStr">
        <is>
          <t>eindhoven:serbest-sektor-kira-huurcommissie</t>
        </is>
      </c>
      <c r="D61" s="29" t="inlineStr">
        <is>
          <t>Bilgi al</t>
        </is>
      </c>
      <c r="E61" s="29" t="inlineStr">
        <is>
          <t>https://www.government.nl/themes/building-and-housing/housing/rented-housing</t>
        </is>
      </c>
      <c r="F61" s="49" t="n">
        <v>46317</v>
      </c>
      <c r="G61" s="51" t="n">
        <v>2</v>
      </c>
    </row>
    <row r="62" ht="54" customHeight="1">
      <c r="A62" s="29" t="inlineStr">
        <is>
          <t>eindhoven:action:huurtoeslag-basvurusu-1</t>
        </is>
      </c>
      <c r="B62" s="29" t="inlineStr">
        <is>
          <t>eindhoven</t>
        </is>
      </c>
      <c r="C62" s="29" t="inlineStr">
        <is>
          <t>eindhoven:huurtoeslag-basvurusu</t>
        </is>
      </c>
      <c r="D62" s="29" t="inlineStr">
        <is>
          <t>Başvur</t>
        </is>
      </c>
      <c r="E62" s="29" t="inlineStr">
        <is>
          <t>https://www.belastingdienst.nl/wps/wcm/connect/nl/huurtoeslag/huurtoeslag</t>
        </is>
      </c>
      <c r="F62" s="49" t="n">
        <v>46317</v>
      </c>
      <c r="G62" s="51" t="n">
        <v>1</v>
      </c>
    </row>
    <row r="63" ht="54" customHeight="1">
      <c r="A63" s="29" t="inlineStr">
        <is>
          <t>eindhoven:action:huurtoeslag-basvurusu-2</t>
        </is>
      </c>
      <c r="B63" s="29" t="inlineStr">
        <is>
          <t>eindhoven</t>
        </is>
      </c>
      <c r="C63" s="29" t="inlineStr">
        <is>
          <t>eindhoven:huurtoeslag-basvurusu</t>
        </is>
      </c>
      <c r="D63" s="29" t="inlineStr">
        <is>
          <t>Bilgi al</t>
        </is>
      </c>
      <c r="E63" s="29" t="inlineStr">
        <is>
          <t>https://www.eindhoven.nl/stad-en-wonen/wonen/huren-en-verhuren-in-eindhoven/woning-huren-in-eindhoven</t>
        </is>
      </c>
      <c r="F63" s="49" t="n">
        <v>46317</v>
      </c>
      <c r="G63" s="51" t="n">
        <v>2</v>
      </c>
    </row>
    <row r="64" ht="54" customHeight="1">
      <c r="A64" s="29" t="inlineStr">
        <is>
          <t>eindhoven:action:huurtoeslag-basvurusu-3</t>
        </is>
      </c>
      <c r="B64" s="29" t="inlineStr">
        <is>
          <t>eindhoven</t>
        </is>
      </c>
      <c r="C64" s="29" t="inlineStr">
        <is>
          <t>eindhoven:huurtoeslag-basvurusu</t>
        </is>
      </c>
      <c r="D64" s="29" t="inlineStr">
        <is>
          <t>Bilgi al</t>
        </is>
      </c>
      <c r="E64" s="29" t="inlineStr">
        <is>
          <t>https://www.belastingdienst.nl/wps/wcm/connect/bldcontenten/belastingdienst/individuals/benefits/moving_to_the_netherlands/i_live_in_a_rented_house/i_live_in_a_rented_house</t>
        </is>
      </c>
      <c r="F64" s="49" t="n">
        <v>46317</v>
      </c>
      <c r="G64" s="51" t="n">
        <v>3</v>
      </c>
    </row>
    <row r="65" ht="54" customHeight="1">
      <c r="A65" s="29" t="inlineStr">
        <is>
          <t>eindhoven:action:huurtoeslag-sartlari-ve-varlik-siniri-1</t>
        </is>
      </c>
      <c r="B65" s="29" t="inlineStr">
        <is>
          <t>eindhoven</t>
        </is>
      </c>
      <c r="C65" s="29" t="inlineStr">
        <is>
          <t>eindhoven:huurtoeslag-sartlari-ve-varlik-siniri</t>
        </is>
      </c>
      <c r="D65" s="29" t="inlineStr">
        <is>
          <t>Bilgi al</t>
        </is>
      </c>
      <c r="E65" s="29" t="inlineStr">
        <is>
          <t>https://www.belastingdienst.nl/wps/wcm/connect/bldcontenten/belastingdienst/individuals/benefits/moving_to_the_netherlands/i_live_in_a_rented_house/i_live_in_a_rented_house</t>
        </is>
      </c>
      <c r="F65" s="49" t="n">
        <v>46317</v>
      </c>
      <c r="G65" s="51" t="n">
        <v>1</v>
      </c>
    </row>
    <row r="66" ht="54" customHeight="1">
      <c r="A66" s="29" t="inlineStr">
        <is>
          <t>eindhoven:action:huurtoeslag-sartlari-ve-varlik-siniri-2</t>
        </is>
      </c>
      <c r="B66" s="29" t="inlineStr">
        <is>
          <t>eindhoven</t>
        </is>
      </c>
      <c r="C66" s="29" t="inlineStr">
        <is>
          <t>eindhoven:huurtoeslag-sartlari-ve-varlik-siniri</t>
        </is>
      </c>
      <c r="D66" s="29" t="inlineStr">
        <is>
          <t>Bilgi al</t>
        </is>
      </c>
      <c r="E66" s="29" t="inlineStr">
        <is>
          <t>https://www.belastingdienst.nl/wps/wcm/connect/bldcontenten/belastingdienst/individuals/benefits/moving_to_the_netherlands/i_live_in_a_rented_house/assets-rent-benefit</t>
        </is>
      </c>
      <c r="F66" s="49" t="n">
        <v>46317</v>
      </c>
      <c r="G66" s="51" t="n">
        <v>2</v>
      </c>
    </row>
    <row r="67" ht="54" customHeight="1">
      <c r="A67" s="29" t="inlineStr">
        <is>
          <t>eindhoven:action:kiraci-kira-sozlesmesini-feshetme-1</t>
        </is>
      </c>
      <c r="B67" s="29" t="inlineStr">
        <is>
          <t>eindhoven</t>
        </is>
      </c>
      <c r="C67" s="29" t="inlineStr">
        <is>
          <t>eindhoven:kiraci-kira-sozlesmesini-feshetme</t>
        </is>
      </c>
      <c r="D67" s="29" t="inlineStr">
        <is>
          <t>Bilgi al</t>
        </is>
      </c>
      <c r="E67" s="29" t="inlineStr">
        <is>
          <t>https://rijksoverheid.nl/vraag-en-antwoord/woning-huren/huur-opzeggen-woning</t>
        </is>
      </c>
      <c r="F67" s="49" t="n">
        <v>46317</v>
      </c>
      <c r="G67" s="51" t="n">
        <v>1</v>
      </c>
    </row>
    <row r="68" ht="54" customHeight="1">
      <c r="A68" s="29" t="inlineStr">
        <is>
          <t>eindhoven:action:ev-sahibinin-kira-sozlesmesini-feshi-1</t>
        </is>
      </c>
      <c r="B68" s="29" t="inlineStr">
        <is>
          <t>eindhoven</t>
        </is>
      </c>
      <c r="C68" s="29" t="inlineStr">
        <is>
          <t>eindhoven:ev-sahibinin-kira-sozlesmesini-feshi</t>
        </is>
      </c>
      <c r="D68" s="29" t="inlineStr">
        <is>
          <t>Bilgi al</t>
        </is>
      </c>
      <c r="E68" s="29" t="inlineStr">
        <is>
          <t>https://www.rijksoverheid.nl/vraag-en-antwoord/woning-huren/verhuurder-zegt-huur-op-woning</t>
        </is>
      </c>
      <c r="F68" s="49" t="n">
        <v>46317</v>
      </c>
      <c r="G68" s="51" t="n">
        <v>1</v>
      </c>
    </row>
    <row r="69" ht="54" customHeight="1">
      <c r="A69" s="29" t="inlineStr">
        <is>
          <t>eindhoven:action:depozito-iadesi-ve-kesintiler-1</t>
        </is>
      </c>
      <c r="B69" s="29" t="inlineStr">
        <is>
          <t>eindhoven</t>
        </is>
      </c>
      <c r="C69" s="29" t="inlineStr">
        <is>
          <t>eindhoven:depozito-iadesi-ve-kesintiler</t>
        </is>
      </c>
      <c r="D69" s="29" t="inlineStr">
        <is>
          <t>Bilgi al</t>
        </is>
      </c>
      <c r="E69" s="29" t="inlineStr">
        <is>
          <t>https://www.rijksoverheid.nl/vraag-en-antwoord/woning-huren/woning-huren-waarborgsom</t>
        </is>
      </c>
      <c r="F69" s="49" t="n">
        <v>46317</v>
      </c>
      <c r="G69" s="51" t="n">
        <v>1</v>
      </c>
    </row>
    <row r="70" ht="54" customHeight="1">
      <c r="A70" s="29" t="inlineStr">
        <is>
          <t>eindhoven:action:kotu-ev-sahibini-meldpunta-bildirme-1</t>
        </is>
      </c>
      <c r="B70" s="29" t="inlineStr">
        <is>
          <t>eindhoven</t>
        </is>
      </c>
      <c r="C70" s="29" t="inlineStr">
        <is>
          <t>eindhoven:kotu-ev-sahibini-meldpunta-bildirme</t>
        </is>
      </c>
      <c r="D70" s="29" t="inlineStr">
        <is>
          <t>Bilgi al</t>
        </is>
      </c>
      <c r="E70" s="29" t="inlineStr">
        <is>
          <t>https://www.eindhoven.nl/stad-en-wonen/wonen/huren-en-verhuren-in-eindhoven/meldpunt-goed-verhuurderschap</t>
        </is>
      </c>
      <c r="F70" s="49" t="n">
        <v>46317</v>
      </c>
      <c r="G70" s="51" t="n">
        <v>1</v>
      </c>
    </row>
    <row r="71" ht="54" customHeight="1">
      <c r="A71" s="29" t="inlineStr">
        <is>
          <t>eindhoven:action:ev-alimi-devir-vergisi-oranlari-1</t>
        </is>
      </c>
      <c r="B71" s="29" t="inlineStr">
        <is>
          <t>eindhoven</t>
        </is>
      </c>
      <c r="C71" s="29" t="inlineStr">
        <is>
          <t>eindhoven:ev-alimi-devir-vergisi-oranlari</t>
        </is>
      </c>
      <c r="D71" s="29" t="inlineStr">
        <is>
          <t>Bilgi al</t>
        </is>
      </c>
      <c r="E71" s="29" t="inlineStr">
        <is>
          <t>https://www.belastingdienst.nl/wps/wcm/connect/bldcontentnl/belastingdienst/prive/woning/overdrachtsbelasting/tarieven_overdrachtsbelasting/het_tarief_van_de_overdrachtbelasting</t>
        </is>
      </c>
      <c r="F71" s="49" t="n">
        <v>46317</v>
      </c>
      <c r="G71" s="51" t="n">
        <v>1</v>
      </c>
    </row>
    <row r="72" ht="54" customHeight="1">
      <c r="A72" s="29" t="inlineStr">
        <is>
          <t>eindhoven:action:ev-alimi-devir-vergisi-oranlari-2</t>
        </is>
      </c>
      <c r="B72" s="29" t="inlineStr">
        <is>
          <t>eindhoven</t>
        </is>
      </c>
      <c r="C72" s="29" t="inlineStr">
        <is>
          <t>eindhoven:ev-alimi-devir-vergisi-oranlari</t>
        </is>
      </c>
      <c r="D72" s="29" t="inlineStr">
        <is>
          <t>Bilgi al</t>
        </is>
      </c>
      <c r="E72" s="29" t="inlineStr">
        <is>
          <t>https://www.belastingdienst.nl/wps/wcm/connect/bldcontentnl/belastingdienst/prive/woning/overdrachtsbelasting/startersvrijstelling/</t>
        </is>
      </c>
      <c r="F72" s="49" t="n">
        <v>46317</v>
      </c>
      <c r="G72" s="51" t="n">
        <v>2</v>
      </c>
    </row>
    <row r="73" ht="54" customHeight="1">
      <c r="A73" s="29" t="inlineStr">
        <is>
          <t>eindhoven:action:startersvrijstelling-sartlari-1</t>
        </is>
      </c>
      <c r="B73" s="29" t="inlineStr">
        <is>
          <t>eindhoven</t>
        </is>
      </c>
      <c r="C73" s="29" t="inlineStr">
        <is>
          <t>eindhoven:startersvrijstelling-sartlari</t>
        </is>
      </c>
      <c r="D73" s="29" t="inlineStr">
        <is>
          <t>Bilgi al</t>
        </is>
      </c>
      <c r="E73" s="29" t="inlineStr">
        <is>
          <t>https://www.belastingdienst.nl/wps/wcm/connect/bldcontentnl/belastingdienst/prive/woning/overdrachtsbelasting/startersvrijstelling/</t>
        </is>
      </c>
      <c r="F73" s="49" t="n">
        <v>46317</v>
      </c>
      <c r="G73" s="51" t="n">
        <v>1</v>
      </c>
    </row>
    <row r="74" ht="54" customHeight="1">
      <c r="A74" s="29" t="inlineStr">
        <is>
          <t>eindhoven:action:startersvrijstelling-sartlari-2</t>
        </is>
      </c>
      <c r="B74" s="29" t="inlineStr">
        <is>
          <t>eindhoven</t>
        </is>
      </c>
      <c r="C74" s="29" t="inlineStr">
        <is>
          <t>eindhoven:startersvrijstelling-sartlari</t>
        </is>
      </c>
      <c r="D74" s="29" t="inlineStr">
        <is>
          <t>Bilgi al</t>
        </is>
      </c>
      <c r="E74" s="29" t="inlineStr">
        <is>
          <t>https://www.belastingdienst.nl/wps/wcm/connect/bldcontentnl/belastingdienst/prive/woning/overdrachtsbelasting/tarieven_overdrachtsbelasting/het_tarief_van_de_overdrachtbelasting</t>
        </is>
      </c>
      <c r="F74" s="49" t="n">
        <v>46317</v>
      </c>
      <c r="G74" s="51" t="n">
        <v>2</v>
      </c>
    </row>
    <row r="75" ht="54" customHeight="1">
      <c r="A75" s="29" t="inlineStr">
        <is>
          <t>eindhoven:action:startersvrijstelling-ozel-durumlar-1</t>
        </is>
      </c>
      <c r="B75" s="29" t="inlineStr">
        <is>
          <t>eindhoven</t>
        </is>
      </c>
      <c r="C75" s="29" t="inlineStr">
        <is>
          <t>eindhoven:startersvrijstelling-ozel-durumlar</t>
        </is>
      </c>
      <c r="D75" s="29" t="inlineStr">
        <is>
          <t>Bilgi al</t>
        </is>
      </c>
      <c r="E75" s="29" t="inlineStr">
        <is>
          <t>https://www.belastingdienst.nl/wps/wcm/connect/bldcontentnl/belastingdienst/prive/woning/overdrachtsbelasting/startersvrijstelling/</t>
        </is>
      </c>
      <c r="F75" s="49" t="n">
        <v>46317</v>
      </c>
      <c r="G75" s="51" t="n">
        <v>1</v>
      </c>
    </row>
    <row r="76" ht="54" customHeight="1">
      <c r="A76" s="29" t="inlineStr">
        <is>
          <t>eindhoven:action:kamer-kiralama-izni-omgevingsvergunning-1</t>
        </is>
      </c>
      <c r="B76" s="29" t="inlineStr">
        <is>
          <t>eindhoven</t>
        </is>
      </c>
      <c r="C76" s="29" t="inlineStr">
        <is>
          <t>eindhoven:kamer-kiralama-izni-omgevingsvergunning</t>
        </is>
      </c>
      <c r="D76" s="29" t="inlineStr">
        <is>
          <t>Başvur</t>
        </is>
      </c>
      <c r="E76" s="29" t="inlineStr">
        <is>
          <t>https://www.eindhoven.nl/stad-en-wonen/wonen/huren-en-verhuren-in-eindhoven/kamerverhuur</t>
        </is>
      </c>
      <c r="F76" s="49" t="n">
        <v>46317</v>
      </c>
      <c r="G76" s="51" t="n">
        <v>1</v>
      </c>
    </row>
    <row r="77" ht="54" customHeight="1">
      <c r="A77" s="29" t="inlineStr">
        <is>
          <t>eindhoven:action:konut-bolme-izni-woningsplitsing-1</t>
        </is>
      </c>
      <c r="B77" s="29" t="inlineStr">
        <is>
          <t>eindhoven</t>
        </is>
      </c>
      <c r="C77" s="29" t="inlineStr">
        <is>
          <t>eindhoven:konut-bolme-izni-woningsplitsing</t>
        </is>
      </c>
      <c r="D77" s="29" t="inlineStr">
        <is>
          <t>Başvur</t>
        </is>
      </c>
      <c r="E77" s="29" t="inlineStr">
        <is>
          <t>https://www.eindhoven.nl/stad-en-wonen/wonen/woningsplitsing</t>
        </is>
      </c>
      <c r="F77" s="49" t="n">
        <v>46317</v>
      </c>
      <c r="G77" s="51" t="n">
        <v>1</v>
      </c>
    </row>
    <row r="78" ht="54" customHeight="1">
      <c r="A78" s="29" t="inlineStr">
        <is>
          <t>eindhoven:action:kamer-ve-bolme-izni-yasakli-mahalleler-1</t>
        </is>
      </c>
      <c r="B78" s="29" t="inlineStr">
        <is>
          <t>eindhoven</t>
        </is>
      </c>
      <c r="C78" s="29" t="inlineStr">
        <is>
          <t>eindhoven:kamer-ve-bolme-izni-yasakli-mahalleler</t>
        </is>
      </c>
      <c r="D78" s="29" t="inlineStr">
        <is>
          <t>Bilgi al</t>
        </is>
      </c>
      <c r="E78" s="29" t="inlineStr">
        <is>
          <t>https://www.eindhoven.nl/stad-en-wonen/wonen/huren-en-verhuren-in-eindhoven/kamerverhuur</t>
        </is>
      </c>
      <c r="F78" s="49" t="n">
        <v>46317</v>
      </c>
      <c r="G78" s="51" t="n">
        <v>1</v>
      </c>
    </row>
    <row r="79" ht="54" customHeight="1">
      <c r="A79" s="29" t="inlineStr">
        <is>
          <t>eindhoven:action:kamer-ve-bolme-izni-yasakli-mahalleler-2</t>
        </is>
      </c>
      <c r="B79" s="29" t="inlineStr">
        <is>
          <t>eindhoven</t>
        </is>
      </c>
      <c r="C79" s="29" t="inlineStr">
        <is>
          <t>eindhoven:kamer-ve-bolme-izni-yasakli-mahalleler</t>
        </is>
      </c>
      <c r="D79" s="29" t="inlineStr">
        <is>
          <t>Bilgi al</t>
        </is>
      </c>
      <c r="E79" s="29" t="inlineStr">
        <is>
          <t>https://www.eindhoven.nl/stad-en-wonen/wonen/woningsplitsing</t>
        </is>
      </c>
      <c r="F79" s="49" t="n">
        <v>46317</v>
      </c>
      <c r="G79" s="51" t="n">
        <v>2</v>
      </c>
    </row>
    <row r="80" ht="54" customHeight="1">
      <c r="A80" s="29" t="inlineStr">
        <is>
          <t>eindhoven:action:enerji-saglayicisi-degistirme-1</t>
        </is>
      </c>
      <c r="B80" s="29" t="inlineStr">
        <is>
          <t>eindhoven</t>
        </is>
      </c>
      <c r="C80" s="29" t="inlineStr">
        <is>
          <t>eindhoven:enerji-saglayicisi-degistirme</t>
        </is>
      </c>
      <c r="D80" s="29" t="inlineStr">
        <is>
          <t>Bilgi al</t>
        </is>
      </c>
      <c r="E80" s="29" t="inlineStr">
        <is>
          <t>https://consument.acm.nl/elektriciteit-en-gas/overstappen-vergelijken-en-verhuizen/tips-bij-het-kiezen-van-een-energieleverancier</t>
        </is>
      </c>
      <c r="F80" s="49" t="n">
        <v>46317</v>
      </c>
      <c r="G80" s="51" t="n">
        <v>1</v>
      </c>
    </row>
    <row r="81" ht="54" customHeight="1">
      <c r="A81" s="29" t="inlineStr">
        <is>
          <t>eindhoven:action:enerji-tarife-turleri-farki-1</t>
        </is>
      </c>
      <c r="B81" s="29" t="inlineStr">
        <is>
          <t>eindhoven</t>
        </is>
      </c>
      <c r="C81" s="29" t="inlineStr">
        <is>
          <t>eindhoven:enerji-tarife-turleri-farki</t>
        </is>
      </c>
      <c r="D81" s="29" t="inlineStr">
        <is>
          <t>Bilgi al</t>
        </is>
      </c>
      <c r="E81" s="29" t="inlineStr">
        <is>
          <t>https://consument.acm.nl/elektriciteit-en-gas/overstappen-vergelijken-en-verhuizen/tips-bij-het-kiezen-van-een-energieleverancier</t>
        </is>
      </c>
      <c r="F81" s="49" t="n">
        <v>46317</v>
      </c>
      <c r="G81" s="51" t="n">
        <v>1</v>
      </c>
    </row>
    <row r="82" ht="54" customHeight="1">
      <c r="A82" s="29" t="inlineStr">
        <is>
          <t>eindhoven:action:enerji-tarife-turleri-farki-2</t>
        </is>
      </c>
      <c r="B82" s="29" t="inlineStr">
        <is>
          <t>eindhoven</t>
        </is>
      </c>
      <c r="C82" s="29" t="inlineStr">
        <is>
          <t>eindhoven:enerji-tarife-turleri-farki</t>
        </is>
      </c>
      <c r="D82" s="29" t="inlineStr">
        <is>
          <t>Bilgi al</t>
        </is>
      </c>
      <c r="E82" s="29" t="inlineStr">
        <is>
          <t>https://consument.acm.nl/elektriciteit-en-gas/overstappen-vergelijken-en-verhuizen/energiecontract-opzeggen-alles-over-opzegvergoeding-en-opzegtermijn</t>
        </is>
      </c>
      <c r="F82" s="49" t="n">
        <v>46317</v>
      </c>
      <c r="G82" s="51" t="n">
        <v>2</v>
      </c>
    </row>
    <row r="83" ht="54" customHeight="1">
      <c r="A83" s="29" t="inlineStr">
        <is>
          <t>eindhoven:action:enerji-telefon-satisi-ve-vekalet-1</t>
        </is>
      </c>
      <c r="B83" s="29" t="inlineStr">
        <is>
          <t>eindhoven</t>
        </is>
      </c>
      <c r="C83" s="29" t="inlineStr">
        <is>
          <t>eindhoven:enerji-telefon-satisi-ve-vekalet</t>
        </is>
      </c>
      <c r="D83" s="29" t="inlineStr">
        <is>
          <t>Bilgi al</t>
        </is>
      </c>
      <c r="E83" s="29" t="inlineStr">
        <is>
          <t>https://consument.acm.nl/elektriciteit-en-gas/overstappen-vergelijken-en-verhuizen/tips-bij-het-kiezen-van-een-energieleverancier</t>
        </is>
      </c>
      <c r="F83" s="49" t="n">
        <v>46317</v>
      </c>
      <c r="G83" s="51" t="n">
        <v>1</v>
      </c>
    </row>
    <row r="84" ht="54" customHeight="1">
      <c r="A84" s="29" t="inlineStr">
        <is>
          <t>eindhoven:action:enerji-sozlesmesi-iptali-fesih-bedeli-1</t>
        </is>
      </c>
      <c r="B84" s="29" t="inlineStr">
        <is>
          <t>eindhoven</t>
        </is>
      </c>
      <c r="C84" s="29" t="inlineStr">
        <is>
          <t>eindhoven:enerji-sozlesmesi-iptali-fesih-bedeli</t>
        </is>
      </c>
      <c r="D84" s="29" t="inlineStr">
        <is>
          <t>Bilgi al</t>
        </is>
      </c>
      <c r="E84" s="29" t="inlineStr">
        <is>
          <t>https://consument.acm.nl/elektriciteit-en-gas/overstappen-vergelijken-en-verhuizen/energiecontract-opzeggen-alles-over-opzegvergoeding-en-opzegtermijn</t>
        </is>
      </c>
      <c r="F84" s="49" t="n">
        <v>46317</v>
      </c>
      <c r="G84" s="51" t="n">
        <v>1</v>
      </c>
    </row>
    <row r="85" ht="54" customHeight="1">
      <c r="A85" s="29" t="inlineStr">
        <is>
          <t>eindhoven:action:fesih-bedeli-nasil-hesaplanir-1</t>
        </is>
      </c>
      <c r="B85" s="29" t="inlineStr">
        <is>
          <t>eindhoven</t>
        </is>
      </c>
      <c r="C85" s="29" t="inlineStr">
        <is>
          <t>eindhoven:fesih-bedeli-nasil-hesaplanir</t>
        </is>
      </c>
      <c r="D85" s="29" t="inlineStr">
        <is>
          <t>Bilgi al</t>
        </is>
      </c>
      <c r="E85" s="29" t="inlineStr">
        <is>
          <t>https://consument.acm.nl/elektriciteit-en-gas/overstappen-vergelijken-en-verhuizen/energiecontract-opzeggen-alles-over-opzegvergoeding-en-opzegtermijn</t>
        </is>
      </c>
      <c r="F85" s="49" t="n">
        <v>46317</v>
      </c>
      <c r="G85" s="51" t="n">
        <v>1</v>
      </c>
    </row>
    <row r="86" ht="54" customHeight="1">
      <c r="A86" s="29" t="inlineStr">
        <is>
          <t>eindhoven:action:enerji-faturasi-jaarafrekening-eindafrekening-1</t>
        </is>
      </c>
      <c r="B86" s="29" t="inlineStr">
        <is>
          <t>eindhoven</t>
        </is>
      </c>
      <c r="C86" s="29" t="inlineStr">
        <is>
          <t>eindhoven:enerji-faturasi-jaarafrekening-eindafrekening</t>
        </is>
      </c>
      <c r="D86" s="29" t="inlineStr">
        <is>
          <t>Bilgi al</t>
        </is>
      </c>
      <c r="E86" s="29" t="inlineStr">
        <is>
          <t>https://consument.acm.nl/elektriciteit-en-gas/wat-betaal-ik-voor-mijn-energie/de-energierekening</t>
        </is>
      </c>
      <c r="F86" s="49" t="n">
        <v>46317</v>
      </c>
      <c r="G86" s="51" t="n">
        <v>1</v>
      </c>
    </row>
    <row r="87" ht="54" customHeight="1">
      <c r="A87" s="29" t="inlineStr">
        <is>
          <t>eindhoven:action:enerji-faturasi-kalemleri-vergiler-1</t>
        </is>
      </c>
      <c r="B87" s="29" t="inlineStr">
        <is>
          <t>eindhoven</t>
        </is>
      </c>
      <c r="C87" s="29" t="inlineStr">
        <is>
          <t>eindhoven:enerji-faturasi-kalemleri-vergiler</t>
        </is>
      </c>
      <c r="D87" s="29" t="inlineStr">
        <is>
          <t>Bilgi al</t>
        </is>
      </c>
      <c r="E87" s="29" t="inlineStr">
        <is>
          <t>https://consument.acm.nl/elektriciteit-en-gas/wat-betaal-ik-voor-mijn-energie/de-energierekening</t>
        </is>
      </c>
      <c r="F87" s="49" t="n">
        <v>46317</v>
      </c>
      <c r="G87" s="51" t="n">
        <v>1</v>
      </c>
    </row>
    <row r="88" ht="54" customHeight="1">
      <c r="A88" s="29" t="inlineStr">
        <is>
          <t>eindhoven:action:enerji-faturasi-naheffing-ve-itiraz-1</t>
        </is>
      </c>
      <c r="B88" s="29" t="inlineStr">
        <is>
          <t>eindhoven</t>
        </is>
      </c>
      <c r="C88" s="29" t="inlineStr">
        <is>
          <t>eindhoven:enerji-faturasi-naheffing-ve-itiraz</t>
        </is>
      </c>
      <c r="D88" s="29" t="inlineStr">
        <is>
          <t>Bilgi al</t>
        </is>
      </c>
      <c r="E88" s="29" t="inlineStr">
        <is>
          <t>https://consument.acm.nl/elektriciteit-en-gas/wat-betaal-ik-voor-mijn-energie/de-energierekening</t>
        </is>
      </c>
      <c r="F88" s="49" t="n">
        <v>46317</v>
      </c>
      <c r="G88" s="51" t="n">
        <v>1</v>
      </c>
    </row>
    <row r="89" ht="54" customHeight="1">
      <c r="A89" s="29" t="inlineStr">
        <is>
          <t>eindhoven:action:enerji-saglayicisi-tarife-artisi-1</t>
        </is>
      </c>
      <c r="B89" s="29" t="inlineStr">
        <is>
          <t>eindhoven</t>
        </is>
      </c>
      <c r="C89" s="29" t="inlineStr">
        <is>
          <t>eindhoven:enerji-saglayicisi-tarife-artisi</t>
        </is>
      </c>
      <c r="D89" s="29" t="inlineStr">
        <is>
          <t>Bilgi al</t>
        </is>
      </c>
      <c r="E89" s="29" t="inlineStr">
        <is>
          <t>https://consument.acm.nl/elektriciteit-en-gas/energieleverancier-verhoogt-tarieven</t>
        </is>
      </c>
      <c r="F89" s="49" t="n">
        <v>46317</v>
      </c>
      <c r="G89" s="51" t="n">
        <v>1</v>
      </c>
    </row>
    <row r="90" ht="54" customHeight="1">
      <c r="A90" s="29" t="inlineStr">
        <is>
          <t>eindhoven:action:tasinirken-enerji-sozlesmesi-nasil-ayarlanir-1</t>
        </is>
      </c>
      <c r="B90" s="29" t="inlineStr">
        <is>
          <t>eindhoven</t>
        </is>
      </c>
      <c r="C90" s="29" t="inlineStr">
        <is>
          <t>eindhoven:tasinirken-enerji-sozlesmesi-nasil-ayarlanir</t>
        </is>
      </c>
      <c r="D90" s="29" t="inlineStr">
        <is>
          <t>Bilgi al</t>
        </is>
      </c>
      <c r="E90" s="29" t="inlineStr">
        <is>
          <t>https://consument.acm.nl/elektriciteit-en-gas/overstappen-vergelijken-en-verhuizen/energiecontract-bij-verhuizen</t>
        </is>
      </c>
      <c r="F90" s="49" t="n">
        <v>46317</v>
      </c>
      <c r="G90" s="51" t="n">
        <v>1</v>
      </c>
    </row>
    <row r="91" ht="54" customHeight="1">
      <c r="A91" s="29" t="inlineStr">
        <is>
          <t>eindhoven:action:tasinirken-enerji-sozlesmesi-nasil-ayarlanir-2</t>
        </is>
      </c>
      <c r="B91" s="29" t="inlineStr">
        <is>
          <t>eindhoven</t>
        </is>
      </c>
      <c r="C91" s="29" t="inlineStr">
        <is>
          <t>eindhoven:tasinirken-enerji-sozlesmesi-nasil-ayarlanir</t>
        </is>
      </c>
      <c r="D91" s="29" t="inlineStr">
        <is>
          <t>Bilgi al</t>
        </is>
      </c>
      <c r="E91" s="29" t="inlineStr">
        <is>
          <t>https://consuwijzer.nl/elektriciteit-en-gas/meters-meterstanden-verbruik/meterstanden-jaarafrekening-eindafrekening</t>
        </is>
      </c>
      <c r="F91" s="49" t="n">
        <v>46317</v>
      </c>
      <c r="G91" s="51" t="n">
        <v>2</v>
      </c>
    </row>
    <row r="92" ht="54" customHeight="1">
      <c r="A92" s="29" t="inlineStr">
        <is>
          <t>eindhoven:action:tasinirken-sayac-degerleri-bildirme-1</t>
        </is>
      </c>
      <c r="B92" s="29" t="inlineStr">
        <is>
          <t>eindhoven</t>
        </is>
      </c>
      <c r="C92" s="29" t="inlineStr">
        <is>
          <t>eindhoven:tasinirken-sayac-degerleri-bildirme</t>
        </is>
      </c>
      <c r="D92" s="29" t="inlineStr">
        <is>
          <t>Bilgi al</t>
        </is>
      </c>
      <c r="E92" s="29" t="inlineStr">
        <is>
          <t>https://www.enexis.nl/meter-en-meterkast/meter/meterstanden/meterstanden-doorgeven-aan-energieleverancier</t>
        </is>
      </c>
      <c r="F92" s="49" t="n">
        <v>46317</v>
      </c>
      <c r="G92" s="51" t="n">
        <v>1</v>
      </c>
    </row>
    <row r="93" ht="54" customHeight="1">
      <c r="A93" s="29" t="inlineStr">
        <is>
          <t>eindhoven:action:tasinirken-sayac-degerleri-bildirme-2</t>
        </is>
      </c>
      <c r="B93" s="29" t="inlineStr">
        <is>
          <t>eindhoven</t>
        </is>
      </c>
      <c r="C93" s="29" t="inlineStr">
        <is>
          <t>eindhoven:tasinirken-sayac-degerleri-bildirme</t>
        </is>
      </c>
      <c r="D93" s="29" t="inlineStr">
        <is>
          <t>Bilgi al</t>
        </is>
      </c>
      <c r="E93" s="29" t="inlineStr">
        <is>
          <t>https://consuwijzer.nl/elektriciteit-en-gas/meters-meterstanden-verbruik/meterstanden-jaarafrekening-eindafrekening</t>
        </is>
      </c>
      <c r="F93" s="49" t="n">
        <v>46317</v>
      </c>
      <c r="G93" s="51" t="n">
        <v>2</v>
      </c>
    </row>
    <row r="94" ht="54" customHeight="1">
      <c r="A94" s="29" t="inlineStr">
        <is>
          <t>eindhoven:action:yeni-elektrik-gaz-baglantisi-1</t>
        </is>
      </c>
      <c r="B94" s="29" t="inlineStr">
        <is>
          <t>eindhoven</t>
        </is>
      </c>
      <c r="C94" s="29" t="inlineStr">
        <is>
          <t>eindhoven:yeni-elektrik-gaz-baglantisi</t>
        </is>
      </c>
      <c r="D94" s="29" t="inlineStr">
        <is>
          <t>Başvur</t>
        </is>
      </c>
      <c r="E94" s="29" t="inlineStr">
        <is>
          <t>https://www.enexis.nl/aansluitingen/nieuwe-aansluiting</t>
        </is>
      </c>
      <c r="F94" s="49" t="n">
        <v>46317</v>
      </c>
      <c r="G94" s="51" t="n">
        <v>1</v>
      </c>
    </row>
    <row r="95" ht="54" customHeight="1">
      <c r="A95" s="29" t="inlineStr">
        <is>
          <t>eindhoven:action:brabant-water-tasinma-durumlari-1</t>
        </is>
      </c>
      <c r="B95" s="29" t="inlineStr">
        <is>
          <t>eindhoven</t>
        </is>
      </c>
      <c r="C95" s="29" t="inlineStr">
        <is>
          <t>eindhoven:brabant-water-tasinma-durumlari</t>
        </is>
      </c>
      <c r="D95" s="29" t="inlineStr">
        <is>
          <t>Bilgi al</t>
        </is>
      </c>
      <c r="E95" s="29" t="inlineStr">
        <is>
          <t>https://www.brabantwater.nl/verhuizing-doorgeven/uitleg-per-verhuissituatie</t>
        </is>
      </c>
      <c r="F95" s="49" t="n">
        <v>46317</v>
      </c>
      <c r="G95" s="51" t="n">
        <v>1</v>
      </c>
    </row>
    <row r="96" ht="54" customHeight="1">
      <c r="A96" s="29" t="inlineStr">
        <is>
          <t>eindhoven:action:brabant-water-tasinma-durumlari-2</t>
        </is>
      </c>
      <c r="B96" s="29" t="inlineStr">
        <is>
          <t>eindhoven</t>
        </is>
      </c>
      <c r="C96" s="29" t="inlineStr">
        <is>
          <t>eindhoven:brabant-water-tasinma-durumlari</t>
        </is>
      </c>
      <c r="D96" s="29" t="inlineStr">
        <is>
          <t>Kayıt ol</t>
        </is>
      </c>
      <c r="E96" s="29" t="inlineStr">
        <is>
          <t>https://www.brabantwater.nl/klantenservice/verhuizing-doorgeven/aanmelden</t>
        </is>
      </c>
      <c r="F96" s="49" t="n">
        <v>46317</v>
      </c>
      <c r="G96" s="51" t="n">
        <v>2</v>
      </c>
    </row>
    <row r="97" ht="54" customHeight="1">
      <c r="A97" s="29" t="inlineStr">
        <is>
          <t>eindhoven:action:brabant-water-yeni-musteri-kaydi-1</t>
        </is>
      </c>
      <c r="B97" s="29" t="inlineStr">
        <is>
          <t>eindhoven</t>
        </is>
      </c>
      <c r="C97" s="29" t="inlineStr">
        <is>
          <t>eindhoven:brabant-water-yeni-musteri-kaydi</t>
        </is>
      </c>
      <c r="D97" s="29" t="inlineStr">
        <is>
          <t>Kayıt ol</t>
        </is>
      </c>
      <c r="E97" s="29" t="inlineStr">
        <is>
          <t>https://www.brabantwater.nl/klantenservice/verhuizing-doorgeven/aanmelden</t>
        </is>
      </c>
      <c r="F97" s="49" t="n">
        <v>46317</v>
      </c>
      <c r="G97" s="51" t="n">
        <v>1</v>
      </c>
    </row>
    <row r="98" ht="54" customHeight="1">
      <c r="A98" s="29" t="inlineStr">
        <is>
          <t>eindhoven:action:su-tarifesi-brabant-water-2026-1</t>
        </is>
      </c>
      <c r="B98" s="29" t="inlineStr">
        <is>
          <t>eindhoven</t>
        </is>
      </c>
      <c r="C98" s="29" t="inlineStr">
        <is>
          <t>eindhoven:su-tarifesi-brabant-water-2026</t>
        </is>
      </c>
      <c r="D98" s="29" t="inlineStr">
        <is>
          <t>Hesapla</t>
        </is>
      </c>
      <c r="E98" s="29" t="inlineStr">
        <is>
          <t>https://www.brabantwater.nl/rekening-en-betalen/tarieven</t>
        </is>
      </c>
      <c r="F98" s="49" t="n">
        <v>46317</v>
      </c>
      <c r="G98" s="51" t="n">
        <v>1</v>
      </c>
    </row>
    <row r="99" ht="54" customHeight="1">
      <c r="A99" s="29" t="inlineStr">
        <is>
          <t>eindhoven:action:internet-saglayicisi-secimi-ve-gecis-1</t>
        </is>
      </c>
      <c r="B99" s="29" t="inlineStr">
        <is>
          <t>eindhoven</t>
        </is>
      </c>
      <c r="C99" s="29" t="inlineStr">
        <is>
          <t>eindhoven:internet-saglayicisi-secimi-ve-gecis</t>
        </is>
      </c>
      <c r="D99" s="29" t="inlineStr">
        <is>
          <t>Bilgi al</t>
        </is>
      </c>
      <c r="E99" s="29" t="inlineStr">
        <is>
          <t>https://www.consuwijzer.nl/telecom-post/contracten-voorwaarden/overstappen-telecom</t>
        </is>
      </c>
      <c r="F99" s="49" t="n">
        <v>46317</v>
      </c>
      <c r="G99" s="51" t="n">
        <v>1</v>
      </c>
    </row>
    <row r="100" ht="54" customHeight="1">
      <c r="A100" s="29" t="inlineStr">
        <is>
          <t>eindhoven:action:internet-aboneligi-iptal-etme-1</t>
        </is>
      </c>
      <c r="B100" s="29" t="inlineStr">
        <is>
          <t>eindhoven</t>
        </is>
      </c>
      <c r="C100" s="29" t="inlineStr">
        <is>
          <t>eindhoven:internet-aboneligi-iptal-etme</t>
        </is>
      </c>
      <c r="D100" s="29" t="inlineStr">
        <is>
          <t>Bilgi al</t>
        </is>
      </c>
      <c r="E100" s="29" t="inlineStr">
        <is>
          <t>https://www.consuwijzer.nl/telefoon-internet-en-tv/abonnementen/wanneer-opzeggen</t>
        </is>
      </c>
      <c r="F100" s="49" t="n">
        <v>46317</v>
      </c>
      <c r="G100" s="51" t="n">
        <v>1</v>
      </c>
    </row>
    <row r="101" ht="54" customHeight="1">
      <c r="A101" s="29" t="inlineStr">
        <is>
          <t>eindhoven:action:internet-fiyat-degisikligi-ucretsiz-iptal-1</t>
        </is>
      </c>
      <c r="B101" s="29" t="inlineStr">
        <is>
          <t>eindhoven</t>
        </is>
      </c>
      <c r="C101" s="29" t="inlineStr">
        <is>
          <t>eindhoven:internet-fiyat-degisikligi-ucretsiz-iptal</t>
        </is>
      </c>
      <c r="D101" s="29" t="inlineStr">
        <is>
          <t>Bilgi al</t>
        </is>
      </c>
      <c r="E101" s="29" t="inlineStr">
        <is>
          <t>https://www.consuwijzer.nl/telecom-post/contracten-voorwaarden/aanbieder-telefonie-internet-televisie-verandert-prijzen-of-algemene-voorwaarden</t>
        </is>
      </c>
      <c r="F101" s="49" t="n">
        <v>46317</v>
      </c>
      <c r="G101" s="51" t="n">
        <v>1</v>
      </c>
    </row>
    <row r="102" ht="54" customHeight="1">
      <c r="A102" s="29" t="inlineStr">
        <is>
          <t>eindhoven:action:yuksek-enerji-faturasi-destek-1</t>
        </is>
      </c>
      <c r="B102" s="29" t="inlineStr">
        <is>
          <t>eindhoven</t>
        </is>
      </c>
      <c r="C102" s="29" t="inlineStr">
        <is>
          <t>eindhoven:yuksek-enerji-faturasi-destek</t>
        </is>
      </c>
      <c r="D102" s="29" t="inlineStr">
        <is>
          <t>Bilgi al</t>
        </is>
      </c>
      <c r="E102" s="29" t="inlineStr">
        <is>
          <t>https://www.rijksoverheid.nl/vraag-en-antwoord/koopkracht/hoe-krijg-ik-ondersteuning-bij-een-hoge-energierekening</t>
        </is>
      </c>
      <c r="F102" s="49" t="n">
        <v>46317</v>
      </c>
      <c r="G102" s="51" t="n">
        <v>1</v>
      </c>
    </row>
    <row r="103" ht="54" customHeight="1">
      <c r="A103" s="29" t="inlineStr">
        <is>
          <t>eindhoven:action:cop-vergisi-afvalstoffenheffing-1</t>
        </is>
      </c>
      <c r="B103" s="29" t="inlineStr">
        <is>
          <t>eindhoven</t>
        </is>
      </c>
      <c r="C103" s="29" t="inlineStr">
        <is>
          <t>eindhoven:cop-vergisi-afvalstoffenheffing</t>
        </is>
      </c>
      <c r="D103" s="29" t="inlineStr">
        <is>
          <t>Bilgi al</t>
        </is>
      </c>
      <c r="E103" s="29" t="inlineStr">
        <is>
          <t>https://www.eindhoven.nl/stad-en-wonen/wonen/belastingen-inwoners/afvalstoffenheffing</t>
        </is>
      </c>
      <c r="F103" s="49" t="n">
        <v>46317</v>
      </c>
      <c r="G103" s="51" t="n">
        <v>1</v>
      </c>
    </row>
    <row r="104" ht="54" customHeight="1">
      <c r="A104" s="29" t="inlineStr">
        <is>
          <t>eindhoven:action:cop-vergisi-afvalstoffenheffing-2</t>
        </is>
      </c>
      <c r="B104" s="29" t="inlineStr">
        <is>
          <t>eindhoven</t>
        </is>
      </c>
      <c r="C104" s="29" t="inlineStr">
        <is>
          <t>eindhoven:cop-vergisi-afvalstoffenheffing</t>
        </is>
      </c>
      <c r="D104" s="29" t="inlineStr">
        <is>
          <t>Başvur</t>
        </is>
      </c>
      <c r="E104" s="29" t="inlineStr">
        <is>
          <t>https://www.eindhoven.nl/stad-en-wonen/wonen/belastingen-inwoners/kwijtschelding-gemeentelijke-belastingen</t>
        </is>
      </c>
      <c r="F104" s="49" t="n">
        <v>46317</v>
      </c>
      <c r="G104" s="51" t="n">
        <v>2</v>
      </c>
    </row>
    <row r="105" ht="54" customHeight="1">
      <c r="A105" s="29" t="inlineStr">
        <is>
          <t>eindhoven:action:kanalizasyon-vergisi-rioolheffing-1</t>
        </is>
      </c>
      <c r="B105" s="29" t="inlineStr">
        <is>
          <t>eindhoven</t>
        </is>
      </c>
      <c r="C105" s="29" t="inlineStr">
        <is>
          <t>eindhoven:kanalizasyon-vergisi-rioolheffing</t>
        </is>
      </c>
      <c r="D105" s="29" t="inlineStr">
        <is>
          <t>Bilgi al</t>
        </is>
      </c>
      <c r="E105" s="29" t="inlineStr">
        <is>
          <t>https://www.eindhoven.nl/stad-en-wonen/wonen/belastingen-inwoners/rioolheffing</t>
        </is>
      </c>
      <c r="F105" s="49" t="n">
        <v>46317</v>
      </c>
      <c r="G105" s="51" t="n">
        <v>1</v>
      </c>
    </row>
    <row r="106" ht="54" customHeight="1">
      <c r="A106" s="29" t="inlineStr">
        <is>
          <t>eindhoven:action:kanalizasyon-vergisi-rioolheffing-2</t>
        </is>
      </c>
      <c r="B106" s="29" t="inlineStr">
        <is>
          <t>eindhoven</t>
        </is>
      </c>
      <c r="C106" s="29" t="inlineStr">
        <is>
          <t>eindhoven:kanalizasyon-vergisi-rioolheffing</t>
        </is>
      </c>
      <c r="D106" s="29" t="inlineStr">
        <is>
          <t>Başvur</t>
        </is>
      </c>
      <c r="E106" s="29" t="inlineStr">
        <is>
          <t>https://www.eindhoven.nl/stad-en-wonen/wonen/belastingen-inwoners/kwijtschelding-gemeentelijke-belastingen</t>
        </is>
      </c>
      <c r="F106" s="49" t="n">
        <v>46317</v>
      </c>
      <c r="G106" s="51" t="n">
        <v>2</v>
      </c>
    </row>
    <row r="107" ht="54" customHeight="1">
      <c r="A107" s="29" t="inlineStr">
        <is>
          <t>eindhoven:action:emlak-vergisi-ozb-1</t>
        </is>
      </c>
      <c r="B107" s="29" t="inlineStr">
        <is>
          <t>eindhoven</t>
        </is>
      </c>
      <c r="C107" s="29" t="inlineStr">
        <is>
          <t>eindhoven:emlak-vergisi-ozb</t>
        </is>
      </c>
      <c r="D107" s="29" t="inlineStr">
        <is>
          <t>Bilgi al</t>
        </is>
      </c>
      <c r="E107" s="29" t="inlineStr">
        <is>
          <t>https://www.eindhoven.nl/stad-en-wonen/wonen/belastingen-inwoners/onroerendezaakbelasting-ozb</t>
        </is>
      </c>
      <c r="F107" s="49" t="n">
        <v>46317</v>
      </c>
      <c r="G107" s="51" t="n">
        <v>1</v>
      </c>
    </row>
    <row r="108" ht="54" customHeight="1">
      <c r="A108" s="29" t="inlineStr">
        <is>
          <t>eindhoven:action:emlak-vergisi-ozb-2</t>
        </is>
      </c>
      <c r="B108" s="29" t="inlineStr">
        <is>
          <t>eindhoven</t>
        </is>
      </c>
      <c r="C108" s="29" t="inlineStr">
        <is>
          <t>eindhoven:emlak-vergisi-ozb</t>
        </is>
      </c>
      <c r="D108" s="29" t="inlineStr">
        <is>
          <t>Bilgi al</t>
        </is>
      </c>
      <c r="E108" s="29" t="inlineStr">
        <is>
          <t>https://english.eindhoven.nl/en/list-of-municipal-products/taxes</t>
        </is>
      </c>
      <c r="F108" s="49" t="n">
        <v>46317</v>
      </c>
      <c r="G108" s="51" t="n">
        <v>2</v>
      </c>
    </row>
    <row r="109" ht="54" customHeight="1">
      <c r="A109" s="29" t="inlineStr">
        <is>
          <t>eindhoven:action:belediye-vergisi-kwijtschelding-1</t>
        </is>
      </c>
      <c r="B109" s="29" t="inlineStr">
        <is>
          <t>eindhoven</t>
        </is>
      </c>
      <c r="C109" s="29" t="inlineStr">
        <is>
          <t>eindhoven:belediye-vergisi-kwijtschelding</t>
        </is>
      </c>
      <c r="D109" s="29" t="inlineStr">
        <is>
          <t>Başvur</t>
        </is>
      </c>
      <c r="E109" s="29" t="inlineStr">
        <is>
          <t>https://www.eindhoven.nl/stad-en-wonen/wonen/belastingen-inwoners/kwijtschelding-gemeentelijke-belastingen</t>
        </is>
      </c>
      <c r="F109" s="49" t="n">
        <v>46317</v>
      </c>
      <c r="G109" s="51" t="n">
        <v>1</v>
      </c>
    </row>
    <row r="110" ht="54" customHeight="1">
      <c r="A110" s="29" t="inlineStr">
        <is>
          <t>eindhoven:action:atik-takvimi-cure-uygulamasi-1</t>
        </is>
      </c>
      <c r="B110" s="29" t="inlineStr">
        <is>
          <t>eindhoven</t>
        </is>
      </c>
      <c r="C110" s="29" t="inlineStr">
        <is>
          <t>eindhoven:atik-takvimi-cure-uygulamasi</t>
        </is>
      </c>
      <c r="D110" s="29" t="inlineStr">
        <is>
          <t>Bilgi al</t>
        </is>
      </c>
      <c r="E110" s="29" t="inlineStr">
        <is>
          <t>https://www.cure-afvalbeheer.nl/afvalkalender/afvalkalender-eindhoven</t>
        </is>
      </c>
      <c r="F110" s="49" t="n">
        <v>46317</v>
      </c>
      <c r="G110" s="51" t="n">
        <v>1</v>
      </c>
    </row>
    <row r="111" ht="54" customHeight="1">
      <c r="A111" s="29" t="inlineStr">
        <is>
          <t>eindhoven:action:konteyner-disari-koyma-saatleri-yerlestirme-1</t>
        </is>
      </c>
      <c r="B111" s="29" t="inlineStr">
        <is>
          <t>eindhoven</t>
        </is>
      </c>
      <c r="C111" s="29" t="inlineStr">
        <is>
          <t>eindhoven:konteyner-disari-koyma-saatleri-yerlestirme</t>
        </is>
      </c>
      <c r="D111" s="29" t="inlineStr">
        <is>
          <t>Bilgi al</t>
        </is>
      </c>
      <c r="E111" s="29" t="inlineStr">
        <is>
          <t>https://www.cure-afvalbeheer.nl/afvalkalender/afvalkalender-eindhoven</t>
        </is>
      </c>
      <c r="F111" s="49" t="n">
        <v>46317</v>
      </c>
      <c r="G111" s="51" t="n">
        <v>1</v>
      </c>
    </row>
    <row r="112" ht="54" customHeight="1">
      <c r="A112" s="29" t="inlineStr">
        <is>
          <t>eindhoven:action:resmi-tatilde-cop-toplama-telafi-gunleri-2026-1</t>
        </is>
      </c>
      <c r="B112" s="29" t="inlineStr">
        <is>
          <t>eindhoven</t>
        </is>
      </c>
      <c r="C112" s="29" t="inlineStr">
        <is>
          <t>eindhoven:resmi-tatilde-cop-toplama-telafi-gunleri-2026</t>
        </is>
      </c>
      <c r="D112" s="29" t="inlineStr">
        <is>
          <t>Bilgi al</t>
        </is>
      </c>
      <c r="E112" s="29" t="inlineStr">
        <is>
          <t>https://www.cure-afvalbeheer.nl/afvalkalender/afvalkalender-eindhoven</t>
        </is>
      </c>
      <c r="F112" s="49" t="n">
        <v>46317</v>
      </c>
      <c r="G112" s="51" t="n">
        <v>1</v>
      </c>
    </row>
    <row r="113" ht="54" customHeight="1">
      <c r="A113" s="29" t="inlineStr">
        <is>
          <t>eindhoven:action:kalan-atik-restafval-gri-konteyner-1</t>
        </is>
      </c>
      <c r="B113" s="29" t="inlineStr">
        <is>
          <t>eindhoven</t>
        </is>
      </c>
      <c r="C113" s="29" t="inlineStr">
        <is>
          <t>eindhoven:kalan-atik-restafval-gri-konteyner</t>
        </is>
      </c>
      <c r="D113" s="29" t="inlineStr">
        <is>
          <t>Bilgi al</t>
        </is>
      </c>
      <c r="E113" s="29" t="inlineStr">
        <is>
          <t>https://www.cure-afvalbeheer.nl/alles-over-afval/restafval/</t>
        </is>
      </c>
      <c r="F113" s="49" t="n">
        <v>46317</v>
      </c>
      <c r="G113" s="51" t="n">
        <v>1</v>
      </c>
    </row>
    <row r="114" ht="54" customHeight="1">
      <c r="A114" s="29" t="inlineStr">
        <is>
          <t>eindhoven:action:gft-yesil-konteyner-yemek-bahce-atigi-1</t>
        </is>
      </c>
      <c r="B114" s="29" t="inlineStr">
        <is>
          <t>eindhoven</t>
        </is>
      </c>
      <c r="C114" s="29" t="inlineStr">
        <is>
          <t>eindhoven:gft-yesil-konteyner-yemek-bahce-atigi</t>
        </is>
      </c>
      <c r="D114" s="29" t="inlineStr">
        <is>
          <t>Bilgi al</t>
        </is>
      </c>
      <c r="E114" s="29" t="inlineStr">
        <is>
          <t>https://www.cure-afvalbeheer.nl/alles-over-afval/gfte/</t>
        </is>
      </c>
      <c r="F114" s="49" t="n">
        <v>46317</v>
      </c>
      <c r="G114" s="51" t="n">
        <v>1</v>
      </c>
    </row>
    <row r="115" ht="54" customHeight="1">
      <c r="A115" s="29" t="inlineStr">
        <is>
          <t>eindhoven:action:apartmanda-cop-yeralti-konteyneri-milieupas-1</t>
        </is>
      </c>
      <c r="B115" s="29" t="inlineStr">
        <is>
          <t>eindhoven</t>
        </is>
      </c>
      <c r="C115" s="29" t="inlineStr">
        <is>
          <t>eindhoven:apartmanda-cop-yeralti-konteyneri-milieupas</t>
        </is>
      </c>
      <c r="D115" s="29" t="inlineStr">
        <is>
          <t>Bilgi al</t>
        </is>
      </c>
      <c r="E115" s="29" t="inlineStr">
        <is>
          <t>https://www.cure-afvalbeheer.nl/alles-over-afval/restafval/</t>
        </is>
      </c>
      <c r="F115" s="49" t="n">
        <v>46317</v>
      </c>
      <c r="G115" s="51" t="n">
        <v>1</v>
      </c>
    </row>
    <row r="116" ht="54" customHeight="1">
      <c r="A116" s="29" t="inlineStr">
        <is>
          <t>eindhoven:action:cop-kutusu-bosaltilmadi-yarim-bosaldi-1</t>
        </is>
      </c>
      <c r="B116" s="29" t="inlineStr">
        <is>
          <t>eindhoven</t>
        </is>
      </c>
      <c r="C116" s="29" t="inlineStr">
        <is>
          <t>eindhoven:cop-kutusu-bosaltilmadi-yarim-bosaldi</t>
        </is>
      </c>
      <c r="D116" s="29" t="inlineStr">
        <is>
          <t>Formu doldur</t>
        </is>
      </c>
      <c r="E116" s="29" t="inlineStr">
        <is>
          <t>https://www.eindhoven.nl/stad-en-wonen/wonen/afval</t>
        </is>
      </c>
      <c r="F116" s="49" t="n">
        <v>46317</v>
      </c>
      <c r="G116" s="51" t="n">
        <v>1</v>
      </c>
    </row>
    <row r="117" ht="54" customHeight="1">
      <c r="A117" s="29" t="inlineStr">
        <is>
          <t>eindhoven:action:cop-kutusu-bosaltilmadi-yarim-bosaldi-2</t>
        </is>
      </c>
      <c r="B117" s="29" t="inlineStr">
        <is>
          <t>eindhoven</t>
        </is>
      </c>
      <c r="C117" s="29" t="inlineStr">
        <is>
          <t>eindhoven:cop-kutusu-bosaltilmadi-yarim-bosaldi</t>
        </is>
      </c>
      <c r="D117" s="29" t="inlineStr">
        <is>
          <t>Bilgi al</t>
        </is>
      </c>
      <c r="E117" s="29" t="inlineStr">
        <is>
          <t>https://www.cure-afvalbeheer.nl/alles-over-afval/restafval/</t>
        </is>
      </c>
      <c r="F117" s="49" t="n">
        <v>46317</v>
      </c>
      <c r="G117" s="51" t="n">
        <v>2</v>
      </c>
    </row>
    <row r="118" ht="54" customHeight="1">
      <c r="A118" s="29" t="inlineStr">
        <is>
          <t>eindhoven:action:milieustraat-hurda-kimyasal-atik-gulme-gazi-tupu-1</t>
        </is>
      </c>
      <c r="B118" s="29" t="inlineStr">
        <is>
          <t>eindhoven</t>
        </is>
      </c>
      <c r="C118" s="29" t="inlineStr">
        <is>
          <t>eindhoven:milieustraat-hurda-kimyasal-atik-gulme-gazi-tupu</t>
        </is>
      </c>
      <c r="D118" s="29" t="inlineStr">
        <is>
          <t>Bilgi al</t>
        </is>
      </c>
      <c r="E118" s="29" t="inlineStr">
        <is>
          <t>https://www.eindhoven.nl/stad-en-wonen/wonen/afval</t>
        </is>
      </c>
      <c r="F118" s="49" t="n">
        <v>46317</v>
      </c>
      <c r="G118" s="51" t="n">
        <v>1</v>
      </c>
    </row>
    <row r="119" ht="54" customHeight="1">
      <c r="A119" s="29" t="inlineStr">
        <is>
          <t>eindhoven:action:milieustraat-hurda-kimyasal-atik-gulme-gazi-tupu-2</t>
        </is>
      </c>
      <c r="B119" s="29" t="inlineStr">
        <is>
          <t>eindhoven</t>
        </is>
      </c>
      <c r="C119" s="29" t="inlineStr">
        <is>
          <t>eindhoven:milieustraat-hurda-kimyasal-atik-gulme-gazi-tupu</t>
        </is>
      </c>
      <c r="D119" s="29" t="inlineStr">
        <is>
          <t>Bilgi al</t>
        </is>
      </c>
      <c r="E119" s="29" t="inlineStr">
        <is>
          <t>https://www.cure-afvalbeheer.nl/milieustraat/milieustraat-eindhoven/</t>
        </is>
      </c>
      <c r="F119" s="49" t="n">
        <v>46317</v>
      </c>
      <c r="G119" s="51" t="n">
        <v>2</v>
      </c>
    </row>
    <row r="120" ht="54" customHeight="1">
      <c r="A120" s="29" t="inlineStr">
        <is>
          <t>eindhoven:action:milieustraat-eindhoven-adresler-saatler-milieupas-1</t>
        </is>
      </c>
      <c r="B120" s="29" t="inlineStr">
        <is>
          <t>eindhoven</t>
        </is>
      </c>
      <c r="C120" s="29" t="inlineStr">
        <is>
          <t>eindhoven:milieustraat-eindhoven-adresler-saatler-milieupas</t>
        </is>
      </c>
      <c r="D120" s="29" t="inlineStr">
        <is>
          <t>Bilgi al</t>
        </is>
      </c>
      <c r="E120" s="29" t="inlineStr">
        <is>
          <t>https://www.cure-afvalbeheer.nl/milieustraat/milieustraat-eindhoven/</t>
        </is>
      </c>
      <c r="F120" s="49" t="n">
        <v>46317</v>
      </c>
      <c r="G120" s="51" t="n">
        <v>1</v>
      </c>
    </row>
    <row r="121" ht="54" customHeight="1">
      <c r="A121" s="29" t="inlineStr">
        <is>
          <t>eindhoven:action:buyuk-esya-grofvuil-ophaalafspraak-bigbag-sticker-1</t>
        </is>
      </c>
      <c r="B121" s="29" t="inlineStr">
        <is>
          <t>eindhoven</t>
        </is>
      </c>
      <c r="C121" s="29" t="inlineStr">
        <is>
          <t>eindhoven:buyuk-esya-grofvuil-ophaalafspraak-bigbag-sticker</t>
        </is>
      </c>
      <c r="D121" s="29" t="inlineStr">
        <is>
          <t>Randevu al</t>
        </is>
      </c>
      <c r="E121" s="29" t="inlineStr">
        <is>
          <t>https://www.cure-afvalbeheer.nl/klantenservice/ophaalafspraak-grofvuil/</t>
        </is>
      </c>
      <c r="F121" s="49" t="n">
        <v>46317</v>
      </c>
      <c r="G121" s="51" t="n">
        <v>1</v>
      </c>
    </row>
    <row r="122" ht="54" customHeight="1">
      <c r="A122" s="29" t="inlineStr">
        <is>
          <t>eindhoven:action:kopek-kaydi-hondenbelasting-ucreti-1</t>
        </is>
      </c>
      <c r="B122" s="29" t="inlineStr">
        <is>
          <t>eindhoven</t>
        </is>
      </c>
      <c r="C122" s="29" t="inlineStr">
        <is>
          <t>eindhoven:kopek-kaydi-hondenbelasting-ucreti</t>
        </is>
      </c>
      <c r="D122" s="29" t="inlineStr">
        <is>
          <t>Kayıt ol</t>
        </is>
      </c>
      <c r="E122" s="29" t="inlineStr">
        <is>
          <t>https://www.eindhoven.nl/stad-en-wonen/wonen/belastingen-inwoners/hondenbelasting</t>
        </is>
      </c>
      <c r="F122" s="49" t="n">
        <v>46317</v>
      </c>
      <c r="G122" s="51" t="n">
        <v>1</v>
      </c>
    </row>
    <row r="123" ht="54" customHeight="1">
      <c r="A123" s="29" t="inlineStr">
        <is>
          <t>eindhoven:action:kopek-vergisi-odeme-itiraz-kayit-silme-1</t>
        </is>
      </c>
      <c r="B123" s="29" t="inlineStr">
        <is>
          <t>eindhoven</t>
        </is>
      </c>
      <c r="C123" s="29" t="inlineStr">
        <is>
          <t>eindhoven:kopek-vergisi-odeme-itiraz-kayit-silme</t>
        </is>
      </c>
      <c r="D123" s="29" t="inlineStr">
        <is>
          <t>Formu doldur</t>
        </is>
      </c>
      <c r="E123" s="29" t="inlineStr">
        <is>
          <t>https://www.eindhoven.nl/stad-en-wonen/wonen/belastingen-inwoners/hondenbelasting</t>
        </is>
      </c>
      <c r="F123" s="49" t="n">
        <v>46317</v>
      </c>
      <c r="G123" s="51" t="n">
        <v>1</v>
      </c>
    </row>
    <row r="124" ht="54" customHeight="1">
      <c r="A124" s="29" t="inlineStr">
        <is>
          <t>eindhoven:action:gurultu-sikayeti-nasil-yapilir-1</t>
        </is>
      </c>
      <c r="B124" s="29" t="inlineStr">
        <is>
          <t>eindhoven</t>
        </is>
      </c>
      <c r="C124" s="29" t="inlineStr">
        <is>
          <t>eindhoven:gurultu-sikayeti-nasil-yapilir</t>
        </is>
      </c>
      <c r="D124" s="29" t="inlineStr">
        <is>
          <t>Bilgi al</t>
        </is>
      </c>
      <c r="E124" s="29" t="inlineStr">
        <is>
          <t>https://www.eindhoven.nl/stad-en-wonen/wonen/klachten/geluidsoverlast-en-overlast-van-bedrijven</t>
        </is>
      </c>
      <c r="F124" s="49" t="n">
        <v>46317</v>
      </c>
      <c r="G124" s="51" t="n">
        <v>1</v>
      </c>
    </row>
    <row r="125" ht="54" customHeight="1">
      <c r="A125" s="29" t="inlineStr">
        <is>
          <t>eindhoven:action:etkinlik-bar-insaat-havalimani-fabrika-rahatsizlik-bildirimi-1</t>
        </is>
      </c>
      <c r="B125" s="29" t="inlineStr">
        <is>
          <t>eindhoven</t>
        </is>
      </c>
      <c r="C125" s="29" t="inlineStr">
        <is>
          <t>eindhoven:etkinlik-bar-insaat-havalimani-fabrika-rahatsizlik-bildirimi</t>
        </is>
      </c>
      <c r="D125" s="29" t="inlineStr">
        <is>
          <t>Bilgi al</t>
        </is>
      </c>
      <c r="E125" s="29" t="inlineStr">
        <is>
          <t>https://www.eindhoven.nl/stad-en-wonen/wonen/klachten/geluidsoverlast-en-overlast-van-bedrijven</t>
        </is>
      </c>
      <c r="F125" s="49" t="n">
        <v>46317</v>
      </c>
      <c r="G125" s="51" t="n">
        <v>1</v>
      </c>
    </row>
    <row r="126" ht="54" customHeight="1">
      <c r="A126" s="29" t="inlineStr">
        <is>
          <t>eindhoven:action:polis-0900-8844-ne-zaman-aranir-1</t>
        </is>
      </c>
      <c r="B126" s="29" t="inlineStr">
        <is>
          <t>eindhoven</t>
        </is>
      </c>
      <c r="C126" s="29" t="inlineStr">
        <is>
          <t>eindhoven:polis-0900-8844-ne-zaman-aranir</t>
        </is>
      </c>
      <c r="D126" s="29" t="inlineStr">
        <is>
          <t>Bilgi al</t>
        </is>
      </c>
      <c r="E126" s="29" t="inlineStr">
        <is>
          <t>https://www.eindhoven.nl/stad-en-wonen/wonen/klachten/geluidsoverlast-en-overlast-van-bedrijven</t>
        </is>
      </c>
      <c r="F126" s="49" t="n">
        <v>46317</v>
      </c>
      <c r="G126" s="51" t="n">
        <v>1</v>
      </c>
    </row>
    <row r="127" ht="54" customHeight="1">
      <c r="A127" s="29" t="inlineStr">
        <is>
          <t>eindhoven:action:polis-0900-8844-ne-zaman-aranir-2</t>
        </is>
      </c>
      <c r="B127" s="29" t="inlineStr">
        <is>
          <t>eindhoven</t>
        </is>
      </c>
      <c r="C127" s="29" t="inlineStr">
        <is>
          <t>eindhoven:polis-0900-8844-ne-zaman-aranir</t>
        </is>
      </c>
      <c r="D127" s="29" t="inlineStr">
        <is>
          <t>Bilgi al</t>
        </is>
      </c>
      <c r="E127" s="29" t="inlineStr">
        <is>
          <t>https://www.government.nl/faq/emergency-number-112/when-can-i-call-112</t>
        </is>
      </c>
      <c r="F127" s="49" t="n">
        <v>46317</v>
      </c>
      <c r="G127" s="51" t="n">
        <v>2</v>
      </c>
    </row>
    <row r="128" ht="54" customHeight="1">
      <c r="A128" s="29" t="inlineStr">
        <is>
          <t>eindhoven:action:catharina-pazari-cumartesi-eindhoven-1</t>
        </is>
      </c>
      <c r="B128" s="29" t="inlineStr">
        <is>
          <t>eindhoven</t>
        </is>
      </c>
      <c r="C128" s="29" t="inlineStr">
        <is>
          <t>eindhoven:catharina-pazari-cumartesi-eindhoven</t>
        </is>
      </c>
      <c r="D128" s="29" t="inlineStr">
        <is>
          <t>Bilgi al</t>
        </is>
      </c>
      <c r="E128" s="29" t="inlineStr">
        <is>
          <t>https://www.thisiseindhoven.com/en/events/catharina-market</t>
        </is>
      </c>
      <c r="F128" s="49" t="n">
        <v>46317</v>
      </c>
      <c r="G128" s="51" t="n">
        <v>1</v>
      </c>
    </row>
    <row r="129" ht="54" customHeight="1">
      <c r="A129" s="29" t="inlineStr">
        <is>
          <t>eindhoven:action:magaza-acilis-saatleri-pazar-resmi-tatil-1</t>
        </is>
      </c>
      <c r="B129" s="29" t="inlineStr">
        <is>
          <t>eindhoven</t>
        </is>
      </c>
      <c r="C129" s="29" t="inlineStr">
        <is>
          <t>eindhoven:magaza-acilis-saatleri-pazar-resmi-tatil</t>
        </is>
      </c>
      <c r="D129" s="29" t="inlineStr">
        <is>
          <t>Bilgi al</t>
        </is>
      </c>
      <c r="E129" s="29" t="inlineStr">
        <is>
          <t>https://www.government.nl/faq/when-are-shops-open-in-the-netherlands</t>
        </is>
      </c>
      <c r="F129" s="49" t="n">
        <v>46317</v>
      </c>
      <c r="G129" s="51" t="n">
        <v>1</v>
      </c>
    </row>
    <row r="130" ht="54" customHeight="1">
      <c r="A130" s="29" t="inlineStr">
        <is>
          <t>eindhoven:action:hollanda-resmi-tatil-gunleri-2026-2027-1</t>
        </is>
      </c>
      <c r="B130" s="29" t="inlineStr">
        <is>
          <t>eindhoven</t>
        </is>
      </c>
      <c r="C130" s="29" t="inlineStr">
        <is>
          <t>eindhoven:hollanda-resmi-tatil-gunleri-2026-2027</t>
        </is>
      </c>
      <c r="D130" s="29" t="inlineStr">
        <is>
          <t>Bilgi al</t>
        </is>
      </c>
      <c r="E130" s="29" t="inlineStr">
        <is>
          <t>https://www.government.nl/faq/work/public-holidays-in-the-netherlands</t>
        </is>
      </c>
      <c r="F130" s="49" t="n">
        <v>46317</v>
      </c>
      <c r="G130" s="51" t="n">
        <v>1</v>
      </c>
    </row>
    <row r="131" ht="54" customHeight="1">
      <c r="A131" s="29" t="inlineStr">
        <is>
          <t>eindhoven:action:inburgering-baslangic-hangi-yasa-mektup-iletisim-1</t>
        </is>
      </c>
      <c r="B131" s="29" t="inlineStr">
        <is>
          <t>eindhoven</t>
        </is>
      </c>
      <c r="C131" s="29" t="inlineStr">
        <is>
          <t>eindhoven:inburgering-baslangic-hangi-yasa-mektup-iletisim</t>
        </is>
      </c>
      <c r="D131" s="29" t="inlineStr">
        <is>
          <t>Bilgi al</t>
        </is>
      </c>
      <c r="E131" s="29" t="inlineStr">
        <is>
          <t>https://www.eindhoven.nl/stad-en-wonen/verhuizen-concept/inburgeren-in-eindhoven-informatie-voor-migranten-en-vluchtelingen</t>
        </is>
      </c>
      <c r="F131" s="49" t="n">
        <v>46317</v>
      </c>
      <c r="G131" s="51" t="n">
        <v>1</v>
      </c>
    </row>
    <row r="132" ht="54" customHeight="1">
      <c r="A132" s="29" t="inlineStr">
        <is>
          <t>eindhoven:action:inburgering-wi2021-brede-intake-pip-pvt-map-rotalar-1</t>
        </is>
      </c>
      <c r="B132" s="29" t="inlineStr">
        <is>
          <t>eindhoven</t>
        </is>
      </c>
      <c r="C132" s="29" t="inlineStr">
        <is>
          <t>eindhoven:inburgering-wi2021-brede-intake-pip-pvt-map-rotalar</t>
        </is>
      </c>
      <c r="D132" s="29" t="inlineStr">
        <is>
          <t>Bilgi al</t>
        </is>
      </c>
      <c r="E132" s="29" t="inlineStr">
        <is>
          <t>https://www.eindhoven.nl/stad-en-wonen/verhuizen-concept/inburgeren-in-eindhoven-informatie-voor-migranten-en-vluchtelingen</t>
        </is>
      </c>
      <c r="F132" s="49" t="n">
        <v>46317</v>
      </c>
      <c r="G132" s="51" t="n">
        <v>1</v>
      </c>
    </row>
    <row r="133" ht="54" customHeight="1">
      <c r="A133" s="29" t="inlineStr">
        <is>
          <t>eindhoven:action:inburgering-duo-lening-kurs-sinav-ucreti-1</t>
        </is>
      </c>
      <c r="B133" s="29" t="inlineStr">
        <is>
          <t>eindhoven</t>
        </is>
      </c>
      <c r="C133" s="29" t="inlineStr">
        <is>
          <t>eindhoven:inburgering-duo-lening-kurs-sinav-ucreti</t>
        </is>
      </c>
      <c r="D133" s="29" t="inlineStr">
        <is>
          <t>Başvur</t>
        </is>
      </c>
      <c r="E133" s="29" t="inlineStr">
        <is>
          <t>https://www.inburgeren.nl/en/paying-for-integration/borrowing-money.jsp</t>
        </is>
      </c>
      <c r="F133" s="49" t="n">
        <v>46317</v>
      </c>
      <c r="G133" s="51" t="n">
        <v>1</v>
      </c>
    </row>
    <row r="134" ht="54" customHeight="1">
      <c r="A134" s="29" t="inlineStr">
        <is>
          <t>eindhoven:action:gonulluluk-jijdoet-040-eindhoven-doet-1</t>
        </is>
      </c>
      <c r="B134" s="29" t="inlineStr">
        <is>
          <t>eindhoven</t>
        </is>
      </c>
      <c r="C134" s="29" t="inlineStr">
        <is>
          <t>eindhoven:gonulluluk-jijdoet-040-eindhoven-doet</t>
        </is>
      </c>
      <c r="D134" s="29" t="inlineStr">
        <is>
          <t>Bilgi al</t>
        </is>
      </c>
      <c r="E134" s="29" t="inlineStr">
        <is>
          <t>https://www.eindhoven.nl/stad-en-wonen/vrijwilligerswerk</t>
        </is>
      </c>
      <c r="F134" s="49" t="n">
        <v>46317</v>
      </c>
      <c r="G134" s="51" t="n">
        <v>1</v>
      </c>
    </row>
    <row r="135" ht="54" customHeight="1">
      <c r="A135" s="29" t="inlineStr">
        <is>
          <t>eindhoven:action:asgari-ucret-saatlik-tutar-1</t>
        </is>
      </c>
      <c r="B135" s="29" t="inlineStr">
        <is>
          <t>eindhoven</t>
        </is>
      </c>
      <c r="C135" s="29" t="inlineStr">
        <is>
          <t>eindhoven:asgari-ucret-saatlik-tutar</t>
        </is>
      </c>
      <c r="D135" s="29" t="inlineStr">
        <is>
          <t>Bilgi al</t>
        </is>
      </c>
      <c r="E135" s="29" t="inlineStr">
        <is>
          <t>https://www.government.nl/themes/work/minimum-wage/minimum-wage-amounts</t>
        </is>
      </c>
      <c r="F135" s="49" t="n">
        <v>46317</v>
      </c>
      <c r="G135" s="51" t="n">
        <v>1</v>
      </c>
    </row>
    <row r="136" ht="54" customHeight="1">
      <c r="A136" s="29" t="inlineStr">
        <is>
          <t>eindhoven:action:genc-calisanlar-asgari-ucret-1</t>
        </is>
      </c>
      <c r="B136" s="29" t="inlineStr">
        <is>
          <t>eindhoven</t>
        </is>
      </c>
      <c r="C136" s="29" t="inlineStr">
        <is>
          <t>eindhoven:genc-calisanlar-asgari-ucret</t>
        </is>
      </c>
      <c r="D136" s="29" t="inlineStr">
        <is>
          <t>Bilgi al</t>
        </is>
      </c>
      <c r="E136" s="29" t="inlineStr">
        <is>
          <t>https://www.government.nl/themes/work/minimum-wage/minimum-wage-amounts</t>
        </is>
      </c>
      <c r="F136" s="49" t="n">
        <v>46317</v>
      </c>
      <c r="G136" s="51" t="n">
        <v>1</v>
      </c>
    </row>
    <row r="137" ht="54" customHeight="1">
      <c r="A137" s="29" t="inlineStr">
        <is>
          <t>eindhoven:action:is-sozlesmesi-turleri-1</t>
        </is>
      </c>
      <c r="B137" s="29" t="inlineStr">
        <is>
          <t>eindhoven</t>
        </is>
      </c>
      <c r="C137" s="29" t="inlineStr">
        <is>
          <t>eindhoven:is-sozlesmesi-turleri</t>
        </is>
      </c>
      <c r="D137" s="29" t="inlineStr">
        <is>
          <t>Bilgi al</t>
        </is>
      </c>
      <c r="E137" s="29" t="inlineStr">
        <is>
          <t>https://business.gov.nl/regulations/contract-employment/</t>
        </is>
      </c>
      <c r="F137" s="49" t="n">
        <v>46317</v>
      </c>
      <c r="G137" s="51" t="n">
        <v>1</v>
      </c>
    </row>
    <row r="138" ht="54" customHeight="1">
      <c r="A138" s="29" t="inlineStr">
        <is>
          <t>eindhoven:action:yazili-is-kosullari-bildirimi-1</t>
        </is>
      </c>
      <c r="B138" s="29" t="inlineStr">
        <is>
          <t>eindhoven</t>
        </is>
      </c>
      <c r="C138" s="29" t="inlineStr">
        <is>
          <t>eindhoven:yazili-is-kosullari-bildirimi</t>
        </is>
      </c>
      <c r="D138" s="29" t="inlineStr">
        <is>
          <t>Bilgi al</t>
        </is>
      </c>
      <c r="E138" s="29" t="inlineStr">
        <is>
          <t>https://business.gov.nl/regulations/contract-employment/</t>
        </is>
      </c>
      <c r="F138" s="49" t="n">
        <v>46317</v>
      </c>
      <c r="G138" s="51" t="n">
        <v>1</v>
      </c>
    </row>
    <row r="139" ht="54" customHeight="1">
      <c r="A139" s="29" t="inlineStr">
        <is>
          <t>eindhoven:action:deneme-suresi-proefperiode-1</t>
        </is>
      </c>
      <c r="B139" s="29" t="inlineStr">
        <is>
          <t>eindhoven</t>
        </is>
      </c>
      <c r="C139" s="29" t="inlineStr">
        <is>
          <t>eindhoven:deneme-suresi-proefperiode</t>
        </is>
      </c>
      <c r="D139" s="29" t="inlineStr">
        <is>
          <t>Bilgi al</t>
        </is>
      </c>
      <c r="E139" s="29" t="inlineStr">
        <is>
          <t>https://business.gov.nl/regulations/trial-period/</t>
        </is>
      </c>
      <c r="F139" s="49" t="n">
        <v>46317</v>
      </c>
      <c r="G139" s="51" t="n">
        <v>1</v>
      </c>
    </row>
    <row r="140" ht="54" customHeight="1">
      <c r="A140" s="29" t="inlineStr">
        <is>
          <t>eindhoven:action:vakantiegeld-tatil-harcligi-1</t>
        </is>
      </c>
      <c r="B140" s="29" t="inlineStr">
        <is>
          <t>eindhoven</t>
        </is>
      </c>
      <c r="C140" s="29" t="inlineStr">
        <is>
          <t>eindhoven:vakantiegeld-tatil-harcligi</t>
        </is>
      </c>
      <c r="D140" s="29" t="inlineStr">
        <is>
          <t>Bilgi al</t>
        </is>
      </c>
      <c r="E140" s="29" t="inlineStr">
        <is>
          <t>https://business.gov.nl/staff/terms-of-employment/paying-holiday-allowance-to-your-staff/</t>
        </is>
      </c>
      <c r="F140" s="49" t="n">
        <v>46317</v>
      </c>
      <c r="G140" s="51" t="n">
        <v>1</v>
      </c>
    </row>
    <row r="141" ht="54" customHeight="1">
      <c r="A141" s="29" t="inlineStr">
        <is>
          <t>eindhoven:action:vakantiegeld-ozel-durumlar-1</t>
        </is>
      </c>
      <c r="B141" s="29" t="inlineStr">
        <is>
          <t>eindhoven</t>
        </is>
      </c>
      <c r="C141" s="29" t="inlineStr">
        <is>
          <t>eindhoven:vakantiegeld-ozel-durumlar</t>
        </is>
      </c>
      <c r="D141" s="29" t="inlineStr">
        <is>
          <t>Bilgi al</t>
        </is>
      </c>
      <c r="E141" s="29" t="inlineStr">
        <is>
          <t>https://business.gov.nl/staff/terms-of-employment/paying-holiday-allowance-to-your-staff/</t>
        </is>
      </c>
      <c r="F141" s="49" t="n">
        <v>46317</v>
      </c>
      <c r="G141" s="51" t="n">
        <v>1</v>
      </c>
    </row>
    <row r="142" ht="54" customHeight="1">
      <c r="A142" s="29" t="inlineStr">
        <is>
          <t>eindhoven:action:yasal-yillik-izin-hakki-1</t>
        </is>
      </c>
      <c r="B142" s="29" t="inlineStr">
        <is>
          <t>eindhoven</t>
        </is>
      </c>
      <c r="C142" s="29" t="inlineStr">
        <is>
          <t>eindhoven:yasal-yillik-izin-hakki</t>
        </is>
      </c>
      <c r="D142" s="29" t="inlineStr">
        <is>
          <t>Bilgi al</t>
        </is>
      </c>
      <c r="E142" s="29" t="inlineStr">
        <is>
          <t>https://business.gov.nl/staff/terms-of-employment/statutory-holidays-what-you-need-to-know</t>
        </is>
      </c>
      <c r="F142" s="49" t="n">
        <v>46317</v>
      </c>
      <c r="G142" s="51" t="n">
        <v>1</v>
      </c>
    </row>
    <row r="143" ht="54" customHeight="1">
      <c r="A143" s="29" t="inlineStr">
        <is>
          <t>eindhoven:action:hastalikta-maas-devami-2-yil-1</t>
        </is>
      </c>
      <c r="B143" s="29" t="inlineStr">
        <is>
          <t>eindhoven</t>
        </is>
      </c>
      <c r="C143" s="29" t="inlineStr">
        <is>
          <t>eindhoven:hastalikta-maas-devami-2-yil</t>
        </is>
      </c>
      <c r="D143" s="29" t="inlineStr">
        <is>
          <t>Bilgi al</t>
        </is>
      </c>
      <c r="E143" s="29" t="inlineStr">
        <is>
          <t>https://business.gov.nl/regulations/sick-pay/</t>
        </is>
      </c>
      <c r="F143" s="49" t="n">
        <v>46317</v>
      </c>
      <c r="G143" s="51" t="n">
        <v>1</v>
      </c>
    </row>
    <row r="144" ht="54" customHeight="1">
      <c r="A144" s="29" t="inlineStr">
        <is>
          <t>eindhoven:action:hamilelik-ve-dogum-izni-1</t>
        </is>
      </c>
      <c r="B144" s="29" t="inlineStr">
        <is>
          <t>eindhoven</t>
        </is>
      </c>
      <c r="C144" s="29" t="inlineStr">
        <is>
          <t>eindhoven:hamilelik-ve-dogum-izni</t>
        </is>
      </c>
      <c r="D144" s="29" t="inlineStr">
        <is>
          <t>Bilgi al</t>
        </is>
      </c>
      <c r="E144" s="29" t="inlineStr">
        <is>
          <t>https://business.gov.nl/regulations/leave-schemes/</t>
        </is>
      </c>
      <c r="F144" s="49" t="n">
        <v>46317</v>
      </c>
      <c r="G144" s="51" t="n">
        <v>1</v>
      </c>
    </row>
    <row r="145" ht="54" customHeight="1">
      <c r="A145" s="29" t="inlineStr">
        <is>
          <t>eindhoven:action:partner-izni-ve-ek-partner-izni-1</t>
        </is>
      </c>
      <c r="B145" s="29" t="inlineStr">
        <is>
          <t>eindhoven</t>
        </is>
      </c>
      <c r="C145" s="29" t="inlineStr">
        <is>
          <t>eindhoven:partner-izni-ve-ek-partner-izni</t>
        </is>
      </c>
      <c r="D145" s="29" t="inlineStr">
        <is>
          <t>Bilgi al</t>
        </is>
      </c>
      <c r="E145" s="29" t="inlineStr">
        <is>
          <t>https://business.gov.nl/regulations/leave-schemes/</t>
        </is>
      </c>
      <c r="F145" s="49" t="n">
        <v>46317</v>
      </c>
      <c r="G145" s="51" t="n">
        <v>1</v>
      </c>
    </row>
    <row r="146" ht="54" customHeight="1">
      <c r="A146" s="29" t="inlineStr">
        <is>
          <t>eindhoven:action:ebeveyn-izni-ve-evlat-edinme-izni-1</t>
        </is>
      </c>
      <c r="B146" s="29" t="inlineStr">
        <is>
          <t>eindhoven</t>
        </is>
      </c>
      <c r="C146" s="29" t="inlineStr">
        <is>
          <t>eindhoven:ebeveyn-izni-ve-evlat-edinme-izni</t>
        </is>
      </c>
      <c r="D146" s="29" t="inlineStr">
        <is>
          <t>Bilgi al</t>
        </is>
      </c>
      <c r="E146" s="29" t="inlineStr">
        <is>
          <t>https://business.gov.nl/regulations/leave-schemes/</t>
        </is>
      </c>
      <c r="F146" s="49" t="n">
        <v>46317</v>
      </c>
      <c r="G146" s="51" t="n">
        <v>1</v>
      </c>
    </row>
    <row r="147" ht="54" customHeight="1">
      <c r="A147" s="29" t="inlineStr">
        <is>
          <t>eindhoven:action:bakim-izni-acil-izin-ozel-izin-1</t>
        </is>
      </c>
      <c r="B147" s="29" t="inlineStr">
        <is>
          <t>eindhoven</t>
        </is>
      </c>
      <c r="C147" s="29" t="inlineStr">
        <is>
          <t>eindhoven:bakim-izni-acil-izin-ozel-izin</t>
        </is>
      </c>
      <c r="D147" s="29" t="inlineStr">
        <is>
          <t>Bilgi al</t>
        </is>
      </c>
      <c r="E147" s="29" t="inlineStr">
        <is>
          <t>https://business.gov.nl/regulations/leave-schemes/</t>
        </is>
      </c>
      <c r="F147" s="49" t="n">
        <v>46317</v>
      </c>
      <c r="G147" s="51" t="n">
        <v>1</v>
      </c>
    </row>
    <row r="148" ht="54" customHeight="1">
      <c r="A148" s="29" t="inlineStr">
        <is>
          <t>eindhoven:action:isten-cikarma-yasagi-opzegverbod-1</t>
        </is>
      </c>
      <c r="B148" s="29" t="inlineStr">
        <is>
          <t>eindhoven</t>
        </is>
      </c>
      <c r="C148" s="29" t="inlineStr">
        <is>
          <t>eindhoven:isten-cikarma-yasagi-opzegverbod</t>
        </is>
      </c>
      <c r="D148" s="29" t="inlineStr">
        <is>
          <t>Bilgi al</t>
        </is>
      </c>
      <c r="E148" s="29" t="inlineStr">
        <is>
          <t>https://www.uwv.nl/en/individuals/dismissal-and-redundancy/your-rights</t>
        </is>
      </c>
      <c r="F148" s="49" t="n">
        <v>46317</v>
      </c>
      <c r="G148" s="51" t="n">
        <v>1</v>
      </c>
    </row>
    <row r="149" ht="54" customHeight="1">
      <c r="A149" s="29" t="inlineStr">
        <is>
          <t>eindhoven:action:ihbar-suresi-ve-sozlesme-bitis-bildirimi-1</t>
        </is>
      </c>
      <c r="B149" s="29" t="inlineStr">
        <is>
          <t>eindhoven</t>
        </is>
      </c>
      <c r="C149" s="29" t="inlineStr">
        <is>
          <t>eindhoven:ihbar-suresi-ve-sozlesme-bitis-bildirimi</t>
        </is>
      </c>
      <c r="D149" s="29" t="inlineStr">
        <is>
          <t>Bilgi al</t>
        </is>
      </c>
      <c r="E149" s="29" t="inlineStr">
        <is>
          <t>https://www.uwv.nl/en/individuals/dismissal-and-redundancy/your-rights</t>
        </is>
      </c>
      <c r="F149" s="49" t="n">
        <v>46317</v>
      </c>
      <c r="G149" s="51" t="n">
        <v>1</v>
      </c>
    </row>
    <row r="150" ht="54" customHeight="1">
      <c r="A150" s="29" t="inlineStr">
        <is>
          <t>eindhoven:action:ihbar-suresi-ve-sozlesme-bitis-bildirimi-2</t>
        </is>
      </c>
      <c r="B150" s="29" t="inlineStr">
        <is>
          <t>eindhoven</t>
        </is>
      </c>
      <c r="C150" s="29" t="inlineStr">
        <is>
          <t>eindhoven:ihbar-suresi-ve-sozlesme-bitis-bildirimi</t>
        </is>
      </c>
      <c r="D150" s="29" t="inlineStr">
        <is>
          <t>Bilgi al</t>
        </is>
      </c>
      <c r="E150" s="29" t="inlineStr">
        <is>
          <t>https://rijksoverheid.nl/vraag-en-antwoord/ontslag/ontslagen-worden-opzegtermijn-werkgever</t>
        </is>
      </c>
      <c r="F150" s="49" t="n">
        <v>46317</v>
      </c>
      <c r="G150" s="51" t="n">
        <v>2</v>
      </c>
    </row>
    <row r="151" ht="54" customHeight="1">
      <c r="A151" s="29" t="inlineStr">
        <is>
          <t>eindhoven:action:gecis-tazminati-ve-son-maas-1</t>
        </is>
      </c>
      <c r="B151" s="29" t="inlineStr">
        <is>
          <t>eindhoven</t>
        </is>
      </c>
      <c r="C151" s="29" t="inlineStr">
        <is>
          <t>eindhoven:gecis-tazminati-ve-son-maas</t>
        </is>
      </c>
      <c r="D151" s="29" t="inlineStr">
        <is>
          <t>Bilgi al</t>
        </is>
      </c>
      <c r="E151" s="29" t="inlineStr">
        <is>
          <t>https://www.uwv.nl/en/individuals/dismissal-and-redundancy/your-rights</t>
        </is>
      </c>
      <c r="F151" s="49" t="n">
        <v>46317</v>
      </c>
      <c r="G151" s="51" t="n">
        <v>1</v>
      </c>
    </row>
    <row r="152" ht="54" customHeight="1">
      <c r="A152" s="29" t="inlineStr">
        <is>
          <t>eindhoven:action:ww-hak-kosullari-1</t>
        </is>
      </c>
      <c r="B152" s="29" t="inlineStr">
        <is>
          <t>eindhoven</t>
        </is>
      </c>
      <c r="C152" s="29" t="inlineStr">
        <is>
          <t>eindhoven:ww-hak-kosullari</t>
        </is>
      </c>
      <c r="D152" s="29" t="inlineStr">
        <is>
          <t>Bilgi al</t>
        </is>
      </c>
      <c r="E152" s="29" t="inlineStr">
        <is>
          <t>https://www.uwv.nl/en/individuals/unemployment-benefit/about</t>
        </is>
      </c>
      <c r="F152" s="49" t="n">
        <v>46317</v>
      </c>
      <c r="G152" s="51" t="n">
        <v>1</v>
      </c>
    </row>
    <row r="153" ht="54" customHeight="1">
      <c r="A153" s="29" t="inlineStr">
        <is>
          <t>eindhoven:action:ww-hak-kosullari-2</t>
        </is>
      </c>
      <c r="B153" s="29" t="inlineStr">
        <is>
          <t>eindhoven</t>
        </is>
      </c>
      <c r="C153" s="29" t="inlineStr">
        <is>
          <t>eindhoven:ww-hak-kosullari</t>
        </is>
      </c>
      <c r="D153" s="29" t="inlineStr">
        <is>
          <t>Bilgi al</t>
        </is>
      </c>
      <c r="E153" s="29" t="inlineStr">
        <is>
          <t>https://www.uwv.nl/nl/ww/wanneer-recht-op-ww</t>
        </is>
      </c>
      <c r="F153" s="49" t="n">
        <v>46317</v>
      </c>
      <c r="G153" s="51" t="n">
        <v>2</v>
      </c>
    </row>
    <row r="154" ht="54" customHeight="1">
      <c r="A154" s="29" t="inlineStr">
        <is>
          <t>eindhoven:action:ww-suresi-ve-tutari-1</t>
        </is>
      </c>
      <c r="B154" s="29" t="inlineStr">
        <is>
          <t>eindhoven</t>
        </is>
      </c>
      <c r="C154" s="29" t="inlineStr">
        <is>
          <t>eindhoven:ww-suresi-ve-tutari</t>
        </is>
      </c>
      <c r="D154" s="29" t="inlineStr">
        <is>
          <t>Bilgi al</t>
        </is>
      </c>
      <c r="E154" s="29" t="inlineStr">
        <is>
          <t>https://www.uwv.nl/en/individuals/unemployment-benefit/about</t>
        </is>
      </c>
      <c r="F154" s="49" t="n">
        <v>46317</v>
      </c>
      <c r="G154" s="51" t="n">
        <v>1</v>
      </c>
    </row>
    <row r="155" ht="54" customHeight="1">
      <c r="A155" s="29" t="inlineStr">
        <is>
          <t>eindhoven:action:ww-basvurusu-1</t>
        </is>
      </c>
      <c r="B155" s="29" t="inlineStr">
        <is>
          <t>eindhoven</t>
        </is>
      </c>
      <c r="C155" s="29" t="inlineStr">
        <is>
          <t>eindhoven:ww-basvurusu</t>
        </is>
      </c>
      <c r="D155" s="29" t="inlineStr">
        <is>
          <t>Başvur</t>
        </is>
      </c>
      <c r="E155" s="29" t="inlineStr">
        <is>
          <t>https://www.uwv.nl/nl/ww/ww-aanvragen</t>
        </is>
      </c>
      <c r="F155" s="49" t="n">
        <v>46317</v>
      </c>
      <c r="G155" s="51" t="n">
        <v>1</v>
      </c>
    </row>
    <row r="156" ht="54" customHeight="1">
      <c r="A156" s="29" t="inlineStr">
        <is>
          <t>eindhoven:action:ww-basvurusu-2</t>
        </is>
      </c>
      <c r="B156" s="29" t="inlineStr">
        <is>
          <t>eindhoven</t>
        </is>
      </c>
      <c r="C156" s="29" t="inlineStr">
        <is>
          <t>eindhoven:ww-basvurusu</t>
        </is>
      </c>
      <c r="D156" s="29" t="inlineStr">
        <is>
          <t>Bilgi al</t>
        </is>
      </c>
      <c r="E156" s="29" t="inlineStr">
        <is>
          <t>https://www.uwv.nl/en/individuals/unemployment-benefit/about</t>
        </is>
      </c>
      <c r="F156" s="49" t="n">
        <v>46317</v>
      </c>
      <c r="G156" s="51" t="n">
        <v>2</v>
      </c>
    </row>
    <row r="157" ht="54" customHeight="1">
      <c r="A157" s="29" t="inlineStr">
        <is>
          <t>eindhoven:action:kvk-kaydi-hazirlik-1</t>
        </is>
      </c>
      <c r="B157" s="29" t="inlineStr">
        <is>
          <t>eindhoven</t>
        </is>
      </c>
      <c r="C157" s="29" t="inlineStr">
        <is>
          <t>eindhoven:kvk-kaydi-hazirlik</t>
        </is>
      </c>
      <c r="D157" s="29" t="inlineStr">
        <is>
          <t>Bilgi al</t>
        </is>
      </c>
      <c r="E157" s="29" t="inlineStr">
        <is>
          <t>https://business.gov.nl/starting-your-business/registering-your-business/registration-at-the-netherlands-chamber-of-commerce-kvk/</t>
        </is>
      </c>
      <c r="F157" s="49" t="n">
        <v>46317</v>
      </c>
      <c r="G157" s="51" t="n">
        <v>1</v>
      </c>
    </row>
    <row r="158" ht="54" customHeight="1">
      <c r="A158" s="29" t="inlineStr">
        <is>
          <t>eindhoven:action:kvk-kaydi-hazirlik-2</t>
        </is>
      </c>
      <c r="B158" s="29" t="inlineStr">
        <is>
          <t>eindhoven</t>
        </is>
      </c>
      <c r="C158" s="29" t="inlineStr">
        <is>
          <t>eindhoven:kvk-kaydi-hazirlik</t>
        </is>
      </c>
      <c r="D158" s="29" t="inlineStr">
        <is>
          <t>Kayıt ol</t>
        </is>
      </c>
      <c r="E158" s="29" t="inlineStr">
        <is>
          <t>https://www.kvk.nl/en/registration/</t>
        </is>
      </c>
      <c r="F158" s="49" t="n">
        <v>46317</v>
      </c>
      <c r="G158" s="51" t="n">
        <v>2</v>
      </c>
    </row>
    <row r="159" ht="54" customHeight="1">
      <c r="A159" s="29" t="inlineStr">
        <is>
          <t>eindhoven:action:kvk-randevu-ucret-ve-vergi-kaydi-1</t>
        </is>
      </c>
      <c r="B159" s="29" t="inlineStr">
        <is>
          <t>eindhoven</t>
        </is>
      </c>
      <c r="C159" s="29" t="inlineStr">
        <is>
          <t>eindhoven:kvk-randevu-ucret-ve-vergi-kaydi</t>
        </is>
      </c>
      <c r="D159" s="29" t="inlineStr">
        <is>
          <t>Kayıt ol</t>
        </is>
      </c>
      <c r="E159" s="29" t="inlineStr">
        <is>
          <t>https://www.kvk.nl/en/registration/</t>
        </is>
      </c>
      <c r="F159" s="49" t="n">
        <v>46317</v>
      </c>
      <c r="G159" s="51" t="n">
        <v>1</v>
      </c>
    </row>
    <row r="160" ht="54" customHeight="1">
      <c r="A160" s="29" t="inlineStr">
        <is>
          <t>eindhoven:action:kvk-randevu-ucret-ve-vergi-kaydi-2</t>
        </is>
      </c>
      <c r="B160" s="29" t="inlineStr">
        <is>
          <t>eindhoven</t>
        </is>
      </c>
      <c r="C160" s="29" t="inlineStr">
        <is>
          <t>eindhoven:kvk-randevu-ucret-ve-vergi-kaydi</t>
        </is>
      </c>
      <c r="D160" s="29" t="inlineStr">
        <is>
          <t>Bilgi al</t>
        </is>
      </c>
      <c r="E160" s="29" t="inlineStr">
        <is>
          <t>https://business.gov.nl/starting-your-business/registering-your-business/registration-at-the-netherlands-chamber-of-commerce-kvk/</t>
        </is>
      </c>
      <c r="F160" s="49" t="n">
        <v>46317</v>
      </c>
      <c r="G160" s="51" t="n">
        <v>2</v>
      </c>
    </row>
    <row r="161" ht="54" customHeight="1">
      <c r="A161" s="29" t="inlineStr">
        <is>
          <t>eindhoven:action:kvk-randevu-ucret-ve-vergi-kaydi-3</t>
        </is>
      </c>
      <c r="B161" s="29" t="inlineStr">
        <is>
          <t>eindhoven</t>
        </is>
      </c>
      <c r="C161" s="29" t="inlineStr">
        <is>
          <t>eindhoven:kvk-randevu-ucret-ve-vergi-kaydi</t>
        </is>
      </c>
      <c r="D161" s="29" t="inlineStr">
        <is>
          <t>Bilgi al</t>
        </is>
      </c>
      <c r="E161" s="29" t="inlineStr">
        <is>
          <t>https://www.kvk.nl/inschrijven/inschrijfvergoeding/</t>
        </is>
      </c>
      <c r="F161" s="49" t="n">
        <v>46317</v>
      </c>
      <c r="G161" s="51" t="n">
        <v>3</v>
      </c>
    </row>
    <row r="162" ht="54" customHeight="1">
      <c r="A162" s="29" t="inlineStr">
        <is>
          <t>eindhoven:action:serbest-calisan-sirket-turu-1</t>
        </is>
      </c>
      <c r="B162" s="29" t="inlineStr">
        <is>
          <t>eindhoven</t>
        </is>
      </c>
      <c r="C162" s="29" t="inlineStr">
        <is>
          <t>eindhoven:serbest-calisan-sirket-turu</t>
        </is>
      </c>
      <c r="D162" s="29" t="inlineStr">
        <is>
          <t>Bilgi al</t>
        </is>
      </c>
      <c r="E162" s="29" t="inlineStr">
        <is>
          <t>https://business.gov.nl/starting-your-business/registering-your-business/registration-at-the-netherlands-chamber-of-commerce-kvk/</t>
        </is>
      </c>
      <c r="F162" s="49" t="n">
        <v>46317</v>
      </c>
      <c r="G162" s="51" t="n">
        <v>1</v>
      </c>
    </row>
    <row r="163" ht="54" customHeight="1">
      <c r="A163" s="29" t="inlineStr">
        <is>
          <t>eindhoven:action:yabanci-diploma-ile-calisma-1</t>
        </is>
      </c>
      <c r="B163" s="29" t="inlineStr">
        <is>
          <t>eindhoven</t>
        </is>
      </c>
      <c r="C163" s="29" t="inlineStr">
        <is>
          <t>eindhoven:yabanci-diploma-ile-calisma</t>
        </is>
      </c>
      <c r="D163" s="29" t="inlineStr">
        <is>
          <t>Bilgi al</t>
        </is>
      </c>
      <c r="E163" s="29" t="inlineStr">
        <is>
          <t>https://www.nuffic.nl/en/study-and-work-in-the-netherlands/working-in-the-netherlands-with-a-foreign-diploma</t>
        </is>
      </c>
      <c r="F163" s="49" t="n">
        <v>46317</v>
      </c>
      <c r="G163" s="51" t="n">
        <v>1</v>
      </c>
    </row>
    <row r="164" ht="54" customHeight="1">
      <c r="A164" s="29" t="inlineStr">
        <is>
          <t>eindhoven:action:is-bulma-yollari-eindhoven-1</t>
        </is>
      </c>
      <c r="B164" s="29" t="inlineStr">
        <is>
          <t>eindhoven</t>
        </is>
      </c>
      <c r="C164" s="29" t="inlineStr">
        <is>
          <t>eindhoven:is-bulma-yollari-eindhoven</t>
        </is>
      </c>
      <c r="D164" s="29" t="inlineStr">
        <is>
          <t>Bilgi al</t>
        </is>
      </c>
      <c r="E164" s="29" t="inlineStr">
        <is>
          <t>https://www.hollandexpatcenter.com/living-in/careers/how-to-find-a-job</t>
        </is>
      </c>
      <c r="F164" s="49" t="n">
        <v>46317</v>
      </c>
      <c r="G164" s="51" t="n">
        <v>1</v>
      </c>
    </row>
    <row r="165" ht="54" customHeight="1">
      <c r="A165" s="29" t="inlineStr">
        <is>
          <t>eindhoven:action:is-bulma-yollari-eindhoven-2</t>
        </is>
      </c>
      <c r="B165" s="29" t="inlineStr">
        <is>
          <t>eindhoven</t>
        </is>
      </c>
      <c r="C165" s="29" t="inlineStr">
        <is>
          <t>eindhoven:is-bulma-yollari-eindhoven</t>
        </is>
      </c>
      <c r="D165" s="29" t="inlineStr">
        <is>
          <t>Bilgi al</t>
        </is>
      </c>
      <c r="E165" s="29" t="inlineStr">
        <is>
          <t>https://brainporteindhoven.com/nl/strategie-en-organisatie/agenda-voor-de-regio/brainport-monitor/arbeidsmarkt</t>
        </is>
      </c>
      <c r="F165" s="49" t="n">
        <v>46317</v>
      </c>
      <c r="G165" s="51" t="n">
        <v>2</v>
      </c>
    </row>
    <row r="166" ht="54" customHeight="1">
      <c r="A166" s="29" t="inlineStr">
        <is>
          <t>eindhoven:action:win-bilgi-noktasi-eindhoven-1</t>
        </is>
      </c>
      <c r="B166" s="29" t="inlineStr">
        <is>
          <t>eindhoven</t>
        </is>
      </c>
      <c r="C166" s="29" t="inlineStr">
        <is>
          <t>eindhoven:win-bilgi-noktasi-eindhoven</t>
        </is>
      </c>
      <c r="D166" s="29" t="inlineStr">
        <is>
          <t>Bilgi al</t>
        </is>
      </c>
      <c r="E166" s="29" t="inlineStr">
        <is>
          <t>https://www.eindhoven.nl/inkomen-zorg-en-onderwijs/inkomen/win-informatiepunt-zuidoost-brabant</t>
        </is>
      </c>
      <c r="F166" s="49" t="n">
        <v>46317</v>
      </c>
      <c r="G166" s="51" t="n">
        <v>1</v>
      </c>
    </row>
    <row r="167" ht="54" customHeight="1">
      <c r="A167" s="29" t="inlineStr">
        <is>
          <t>eindhoven:action:brainport-is-piyasasi-sektorler-1</t>
        </is>
      </c>
      <c r="B167" s="29" t="inlineStr">
        <is>
          <t>eindhoven</t>
        </is>
      </c>
      <c r="C167" s="29" t="inlineStr">
        <is>
          <t>eindhoven:brainport-is-piyasasi-sektorler</t>
        </is>
      </c>
      <c r="D167" s="29" t="inlineStr">
        <is>
          <t>Bilgi al</t>
        </is>
      </c>
      <c r="E167" s="29" t="inlineStr">
        <is>
          <t>https://brainporteindhoven.com/nl/strategie-en-organisatie/agenda-voor-de-regio/brainport-monitor/arbeidsmarkt</t>
        </is>
      </c>
      <c r="F167" s="49" t="n">
        <v>46317</v>
      </c>
      <c r="G167" s="51" t="n">
        <v>1</v>
      </c>
    </row>
    <row r="168" ht="54" customHeight="1">
      <c r="A168" s="29" t="inlineStr">
        <is>
          <t>eindhoven:action:museumkaart-ucretsiz-giris-1</t>
        </is>
      </c>
      <c r="B168" s="29" t="inlineStr">
        <is>
          <t>eindhoven</t>
        </is>
      </c>
      <c r="C168" s="29" t="inlineStr">
        <is>
          <t>eindhoven:museumkaart-ucretsiz-giris</t>
        </is>
      </c>
      <c r="D168" s="29" t="inlineStr">
        <is>
          <t>Bilet al</t>
        </is>
      </c>
      <c r="E168" s="29" t="inlineStr">
        <is>
          <t>https://vanabbemuseum.nl/en/plan-your-visit/practical-information</t>
        </is>
      </c>
      <c r="F168" s="49" t="n">
        <v>46317</v>
      </c>
      <c r="G168" s="51" t="n">
        <v>1</v>
      </c>
    </row>
    <row r="169" ht="54" customHeight="1">
      <c r="A169" s="29" t="inlineStr">
        <is>
          <t>eindhoven:action:museumkaart-ucretsiz-giris-2</t>
        </is>
      </c>
      <c r="B169" s="29" t="inlineStr">
        <is>
          <t>eindhoven</t>
        </is>
      </c>
      <c r="C169" s="29" t="inlineStr">
        <is>
          <t>eindhoven:museumkaart-ucretsiz-giris</t>
        </is>
      </c>
      <c r="D169" s="29" t="inlineStr">
        <is>
          <t>Bilgi al</t>
        </is>
      </c>
      <c r="E169" s="29" t="inlineStr">
        <is>
          <t>https://www.philips.nl/en/a-w/philips-museum/visit/practical-information.html</t>
        </is>
      </c>
      <c r="F169" s="49" t="n">
        <v>46317</v>
      </c>
      <c r="G169" s="51" t="n">
        <v>2</v>
      </c>
    </row>
    <row r="170" ht="54" customHeight="1">
      <c r="A170" s="29" t="inlineStr">
        <is>
          <t>eindhoven:action:museumkaart-ucretsiz-giris-3</t>
        </is>
      </c>
      <c r="B170" s="29" t="inlineStr">
        <is>
          <t>eindhoven</t>
        </is>
      </c>
      <c r="C170" s="29" t="inlineStr">
        <is>
          <t>eindhoven:museumkaart-ucretsiz-giris</t>
        </is>
      </c>
      <c r="D170" s="29" t="inlineStr">
        <is>
          <t>Bilgi al</t>
        </is>
      </c>
      <c r="E170" s="29" t="inlineStr">
        <is>
          <t>https://www.dafmuseum.nl/en/info</t>
        </is>
      </c>
      <c r="F170" s="49" t="n">
        <v>46317</v>
      </c>
      <c r="G170" s="51" t="n">
        <v>3</v>
      </c>
    </row>
    <row r="171" ht="54" customHeight="1">
      <c r="A171" s="29" t="inlineStr">
        <is>
          <t>eindhoven:action:muze-ogrenci-cjp-indirimi-1</t>
        </is>
      </c>
      <c r="B171" s="29" t="inlineStr">
        <is>
          <t>eindhoven</t>
        </is>
      </c>
      <c r="C171" s="29" t="inlineStr">
        <is>
          <t>eindhoven:muze-ogrenci-cjp-indirimi</t>
        </is>
      </c>
      <c r="D171" s="29" t="inlineStr">
        <is>
          <t>Bilet al</t>
        </is>
      </c>
      <c r="E171" s="29" t="inlineStr">
        <is>
          <t>https://vanabbemuseum.nl/en/plan-your-visit/practical-information</t>
        </is>
      </c>
      <c r="F171" s="49" t="n">
        <v>46317</v>
      </c>
      <c r="G171" s="51" t="n">
        <v>1</v>
      </c>
    </row>
    <row r="172" ht="54" customHeight="1">
      <c r="A172" s="29" t="inlineStr">
        <is>
          <t>eindhoven:action:muze-ogrenci-cjp-indirimi-2</t>
        </is>
      </c>
      <c r="B172" s="29" t="inlineStr">
        <is>
          <t>eindhoven</t>
        </is>
      </c>
      <c r="C172" s="29" t="inlineStr">
        <is>
          <t>eindhoven:muze-ogrenci-cjp-indirimi</t>
        </is>
      </c>
      <c r="D172" s="29" t="inlineStr">
        <is>
          <t>Bilet al</t>
        </is>
      </c>
      <c r="E172" s="29" t="inlineStr">
        <is>
          <t>https://www.philips.nl/en/a-w/philips-museum/visit/practical-information.html</t>
        </is>
      </c>
      <c r="F172" s="49" t="n">
        <v>46317</v>
      </c>
      <c r="G172" s="51" t="n">
        <v>2</v>
      </c>
    </row>
    <row r="173" ht="54" customHeight="1">
      <c r="A173" s="29" t="inlineStr">
        <is>
          <t>eindhoven:action:muze-ogrenci-cjp-indirimi-3</t>
        </is>
      </c>
      <c r="B173" s="29" t="inlineStr">
        <is>
          <t>eindhoven</t>
        </is>
      </c>
      <c r="C173" s="29" t="inlineStr">
        <is>
          <t>eindhoven:muze-ogrenci-cjp-indirimi</t>
        </is>
      </c>
      <c r="D173" s="29" t="inlineStr">
        <is>
          <t>Bilgi al</t>
        </is>
      </c>
      <c r="E173" s="29" t="inlineStr">
        <is>
          <t>https://www.dafmuseum.nl/en/info</t>
        </is>
      </c>
      <c r="F173" s="49" t="n">
        <v>46317</v>
      </c>
      <c r="G173" s="51" t="n">
        <v>3</v>
      </c>
    </row>
    <row r="174" ht="54" customHeight="1">
      <c r="A174" s="29" t="inlineStr">
        <is>
          <t>eindhoven:action:ucretsiz-muze-giris-gunleri-1</t>
        </is>
      </c>
      <c r="B174" s="29" t="inlineStr">
        <is>
          <t>eindhoven</t>
        </is>
      </c>
      <c r="C174" s="29" t="inlineStr">
        <is>
          <t>eindhoven:ucretsiz-muze-giris-gunleri</t>
        </is>
      </c>
      <c r="D174" s="29" t="inlineStr">
        <is>
          <t>Bilgi al</t>
        </is>
      </c>
      <c r="E174" s="29" t="inlineStr">
        <is>
          <t>https://vanabbemuseum.nl/en/plan-your-visit/practical-information</t>
        </is>
      </c>
      <c r="F174" s="49" t="n">
        <v>46317</v>
      </c>
      <c r="G174" s="51" t="n">
        <v>1</v>
      </c>
    </row>
    <row r="175" ht="54" customHeight="1">
      <c r="A175" s="29" t="inlineStr">
        <is>
          <t>eindhoven:action:ucretsiz-muze-giris-gunleri-2</t>
        </is>
      </c>
      <c r="B175" s="29" t="inlineStr">
        <is>
          <t>eindhoven</t>
        </is>
      </c>
      <c r="C175" s="29" t="inlineStr">
        <is>
          <t>eindhoven:ucretsiz-muze-giris-gunleri</t>
        </is>
      </c>
      <c r="D175" s="29" t="inlineStr">
        <is>
          <t>Bilgi al</t>
        </is>
      </c>
      <c r="E175" s="29" t="inlineStr">
        <is>
          <t>https://www.philips.nl/en/a-w/philips-museum/visit/practical-information.html</t>
        </is>
      </c>
      <c r="F175" s="49" t="n">
        <v>46317</v>
      </c>
      <c r="G175" s="51" t="n">
        <v>2</v>
      </c>
    </row>
    <row r="176" ht="54" customHeight="1">
      <c r="A176" s="29" t="inlineStr">
        <is>
          <t>eindhoven:action:ucretsiz-muze-giris-gunleri-3</t>
        </is>
      </c>
      <c r="B176" s="29" t="inlineStr">
        <is>
          <t>eindhoven</t>
        </is>
      </c>
      <c r="C176" s="29" t="inlineStr">
        <is>
          <t>eindhoven:ucretsiz-muze-giris-gunleri</t>
        </is>
      </c>
      <c r="D176" s="29" t="inlineStr">
        <is>
          <t>Bilgi al</t>
        </is>
      </c>
      <c r="E176" s="29" t="inlineStr">
        <is>
          <t>https://www.thisiseindhoven.com/en/see-and-do/fun-things-to-do/the-best-things-in-life-are-free-11x-eindhoven-on-a-budget</t>
        </is>
      </c>
      <c r="F176" s="49" t="n">
        <v>46317</v>
      </c>
      <c r="G176" s="51" t="n">
        <v>3</v>
      </c>
    </row>
    <row r="177" ht="54" customHeight="1">
      <c r="A177" s="29" t="inlineStr">
        <is>
          <t>eindhoven:action:cocuk-ve-aile-muze-biletleri-1</t>
        </is>
      </c>
      <c r="B177" s="29" t="inlineStr">
        <is>
          <t>eindhoven</t>
        </is>
      </c>
      <c r="C177" s="29" t="inlineStr">
        <is>
          <t>eindhoven:cocuk-ve-aile-muze-biletleri</t>
        </is>
      </c>
      <c r="D177" s="29" t="inlineStr">
        <is>
          <t>Bilgi al</t>
        </is>
      </c>
      <c r="E177" s="29" t="inlineStr">
        <is>
          <t>https://vanabbemuseum.nl/en/plan-your-visit/practical-information</t>
        </is>
      </c>
      <c r="F177" s="49" t="n">
        <v>46317</v>
      </c>
      <c r="G177" s="51" t="n">
        <v>1</v>
      </c>
    </row>
    <row r="178" ht="54" customHeight="1">
      <c r="A178" s="29" t="inlineStr">
        <is>
          <t>eindhoven:action:cocuk-ve-aile-muze-biletleri-2</t>
        </is>
      </c>
      <c r="B178" s="29" t="inlineStr">
        <is>
          <t>eindhoven</t>
        </is>
      </c>
      <c r="C178" s="29" t="inlineStr">
        <is>
          <t>eindhoven:cocuk-ve-aile-muze-biletleri</t>
        </is>
      </c>
      <c r="D178" s="29" t="inlineStr">
        <is>
          <t>Bilgi al</t>
        </is>
      </c>
      <c r="E178" s="29" t="inlineStr">
        <is>
          <t>https://www.philips.nl/en/a-w/philips-museum/visit/practical-information.html</t>
        </is>
      </c>
      <c r="F178" s="49" t="n">
        <v>46317</v>
      </c>
      <c r="G178" s="51" t="n">
        <v>2</v>
      </c>
    </row>
    <row r="179" ht="54" customHeight="1">
      <c r="A179" s="29" t="inlineStr">
        <is>
          <t>eindhoven:action:cocuk-ve-aile-muze-biletleri-3</t>
        </is>
      </c>
      <c r="B179" s="29" t="inlineStr">
        <is>
          <t>eindhoven</t>
        </is>
      </c>
      <c r="C179" s="29" t="inlineStr">
        <is>
          <t>eindhoven:cocuk-ve-aile-muze-biletleri</t>
        </is>
      </c>
      <c r="D179" s="29" t="inlineStr">
        <is>
          <t>Bilgi al</t>
        </is>
      </c>
      <c r="E179" s="29" t="inlineStr">
        <is>
          <t>https://www.dafmuseum.nl/en/info</t>
        </is>
      </c>
      <c r="F179" s="49" t="n">
        <v>46317</v>
      </c>
      <c r="G179" s="51" t="n">
        <v>3</v>
      </c>
    </row>
    <row r="180" ht="54" customHeight="1">
      <c r="A180" s="29" t="inlineStr">
        <is>
          <t>eindhoven:action:muze-acilis-saatleri-tatil-gunleri-1</t>
        </is>
      </c>
      <c r="B180" s="29" t="inlineStr">
        <is>
          <t>eindhoven</t>
        </is>
      </c>
      <c r="C180" s="29" t="inlineStr">
        <is>
          <t>eindhoven:muze-acilis-saatleri-tatil-gunleri</t>
        </is>
      </c>
      <c r="D180" s="29" t="inlineStr">
        <is>
          <t>Bilgi al</t>
        </is>
      </c>
      <c r="E180" s="29" t="inlineStr">
        <is>
          <t>https://vanabbemuseum.nl/en/plan-your-visit/practical-information</t>
        </is>
      </c>
      <c r="F180" s="49" t="n">
        <v>46317</v>
      </c>
      <c r="G180" s="51" t="n">
        <v>1</v>
      </c>
    </row>
    <row r="181" ht="54" customHeight="1">
      <c r="A181" s="29" t="inlineStr">
        <is>
          <t>eindhoven:action:muze-acilis-saatleri-tatil-gunleri-2</t>
        </is>
      </c>
      <c r="B181" s="29" t="inlineStr">
        <is>
          <t>eindhoven</t>
        </is>
      </c>
      <c r="C181" s="29" t="inlineStr">
        <is>
          <t>eindhoven:muze-acilis-saatleri-tatil-gunleri</t>
        </is>
      </c>
      <c r="D181" s="29" t="inlineStr">
        <is>
          <t>Bilgi al</t>
        </is>
      </c>
      <c r="E181" s="29" t="inlineStr">
        <is>
          <t>https://www.dafmuseum.nl/en/info</t>
        </is>
      </c>
      <c r="F181" s="49" t="n">
        <v>46317</v>
      </c>
      <c r="G181" s="51" t="n">
        <v>2</v>
      </c>
    </row>
    <row r="182" ht="54" customHeight="1">
      <c r="A182" s="29" t="inlineStr">
        <is>
          <t>eindhoven:action:dutch-design-week-2026-tarih-fiyat-1</t>
        </is>
      </c>
      <c r="B182" s="29" t="inlineStr">
        <is>
          <t>eindhoven</t>
        </is>
      </c>
      <c r="C182" s="29" t="inlineStr">
        <is>
          <t>eindhoven:dutch-design-week-2026-tarih-fiyat</t>
        </is>
      </c>
      <c r="D182" s="29" t="inlineStr">
        <is>
          <t>Bilet al</t>
        </is>
      </c>
      <c r="E182" s="29" t="inlineStr">
        <is>
          <t>https://ddw.nl/en/tickets</t>
        </is>
      </c>
      <c r="F182" s="49" t="n">
        <v>46317</v>
      </c>
      <c r="G182" s="51" t="n">
        <v>1</v>
      </c>
    </row>
    <row r="183" ht="54" customHeight="1">
      <c r="A183" s="29" t="inlineStr">
        <is>
          <t>eindhoven:action:dutch-design-week-2026-tarih-fiyat-2</t>
        </is>
      </c>
      <c r="B183" s="29" t="inlineStr">
        <is>
          <t>eindhoven</t>
        </is>
      </c>
      <c r="C183" s="29" t="inlineStr">
        <is>
          <t>eindhoven:dutch-design-week-2026-tarih-fiyat</t>
        </is>
      </c>
      <c r="D183" s="29" t="inlineStr">
        <is>
          <t>Bilgi al</t>
        </is>
      </c>
      <c r="E183" s="29" t="inlineStr">
        <is>
          <t>https://ddw.nl/en/faq</t>
        </is>
      </c>
      <c r="F183" s="49" t="n">
        <v>46317</v>
      </c>
      <c r="G183" s="51" t="n">
        <v>2</v>
      </c>
    </row>
    <row r="184" ht="54" customHeight="1">
      <c r="A184" s="29" t="inlineStr">
        <is>
          <t>eindhoven:action:ddw-biletini-bileklikle-degistirme-1</t>
        </is>
      </c>
      <c r="B184" s="29" t="inlineStr">
        <is>
          <t>eindhoven</t>
        </is>
      </c>
      <c r="C184" s="29" t="inlineStr">
        <is>
          <t>eindhoven:ddw-biletini-bileklikle-degistirme</t>
        </is>
      </c>
      <c r="D184" s="29" t="inlineStr">
        <is>
          <t>Bilet al</t>
        </is>
      </c>
      <c r="E184" s="29" t="inlineStr">
        <is>
          <t>https://ddw.nl/en/tickets</t>
        </is>
      </c>
      <c r="F184" s="49" t="n">
        <v>46317</v>
      </c>
      <c r="G184" s="51" t="n">
        <v>1</v>
      </c>
    </row>
    <row r="185" ht="54" customHeight="1">
      <c r="A185" s="29" t="inlineStr">
        <is>
          <t>eindhoven:action:ddw-biletini-bileklikle-degistirme-2</t>
        </is>
      </c>
      <c r="B185" s="29" t="inlineStr">
        <is>
          <t>eindhoven</t>
        </is>
      </c>
      <c r="C185" s="29" t="inlineStr">
        <is>
          <t>eindhoven:ddw-biletini-bileklikle-degistirme</t>
        </is>
      </c>
      <c r="D185" s="29" t="inlineStr">
        <is>
          <t>Bilgi al</t>
        </is>
      </c>
      <c r="E185" s="29" t="inlineStr">
        <is>
          <t>https://ddw.nl/en/faq</t>
        </is>
      </c>
      <c r="F185" s="49" t="n">
        <v>46317</v>
      </c>
      <c r="G185" s="51" t="n">
        <v>2</v>
      </c>
    </row>
    <row r="186" ht="54" customHeight="1">
      <c r="A186" s="29" t="inlineStr">
        <is>
          <t>eindhoven:action:ddw-genc-ogrenci-aile-bileti-1</t>
        </is>
      </c>
      <c r="B186" s="29" t="inlineStr">
        <is>
          <t>eindhoven</t>
        </is>
      </c>
      <c r="C186" s="29" t="inlineStr">
        <is>
          <t>eindhoven:ddw-genc-ogrenci-aile-bileti</t>
        </is>
      </c>
      <c r="D186" s="29" t="inlineStr">
        <is>
          <t>Bilet al</t>
        </is>
      </c>
      <c r="E186" s="29" t="inlineStr">
        <is>
          <t>https://ddw.nl/en/tickets</t>
        </is>
      </c>
      <c r="F186" s="49" t="n">
        <v>46317</v>
      </c>
      <c r="G186" s="51" t="n">
        <v>1</v>
      </c>
    </row>
    <row r="187" ht="54" customHeight="1">
      <c r="A187" s="29" t="inlineStr">
        <is>
          <t>eindhoven:action:ddw-genc-ogrenci-aile-bileti-2</t>
        </is>
      </c>
      <c r="B187" s="29" t="inlineStr">
        <is>
          <t>eindhoven</t>
        </is>
      </c>
      <c r="C187" s="29" t="inlineStr">
        <is>
          <t>eindhoven:ddw-genc-ogrenci-aile-bileti</t>
        </is>
      </c>
      <c r="D187" s="29" t="inlineStr">
        <is>
          <t>Bilgi al</t>
        </is>
      </c>
      <c r="E187" s="29" t="inlineStr">
        <is>
          <t>https://ddw.nl/en/faq</t>
        </is>
      </c>
      <c r="F187" s="49" t="n">
        <v>46317</v>
      </c>
      <c r="G187" s="51" t="n">
        <v>2</v>
      </c>
    </row>
    <row r="188" ht="54" customHeight="1">
      <c r="A188" s="29" t="inlineStr">
        <is>
          <t>eindhoven:action:ddw-tek-mekan-bileti-1</t>
        </is>
      </c>
      <c r="B188" s="29" t="inlineStr">
        <is>
          <t>eindhoven</t>
        </is>
      </c>
      <c r="C188" s="29" t="inlineStr">
        <is>
          <t>eindhoven:ddw-tek-mekan-bileti</t>
        </is>
      </c>
      <c r="D188" s="29" t="inlineStr">
        <is>
          <t>Bilgi al</t>
        </is>
      </c>
      <c r="E188" s="29" t="inlineStr">
        <is>
          <t>https://ddw.nl/en/faq</t>
        </is>
      </c>
      <c r="F188" s="49" t="n">
        <v>46317</v>
      </c>
      <c r="G188" s="51" t="n">
        <v>1</v>
      </c>
    </row>
    <row r="189" ht="54" customHeight="1">
      <c r="A189" s="29" t="inlineStr">
        <is>
          <t>eindhoven:action:ddw-tek-mekan-bileti-2</t>
        </is>
      </c>
      <c r="B189" s="29" t="inlineStr">
        <is>
          <t>eindhoven</t>
        </is>
      </c>
      <c r="C189" s="29" t="inlineStr">
        <is>
          <t>eindhoven:ddw-tek-mekan-bileti</t>
        </is>
      </c>
      <c r="D189" s="29" t="inlineStr">
        <is>
          <t>Bilet al</t>
        </is>
      </c>
      <c r="E189" s="29" t="inlineStr">
        <is>
          <t>https://ddw.nl/en/tickets</t>
        </is>
      </c>
      <c r="F189" s="49" t="n">
        <v>46317</v>
      </c>
      <c r="G189" s="51" t="n">
        <v>2</v>
      </c>
    </row>
    <row r="190" ht="54" customHeight="1">
      <c r="A190" s="29" t="inlineStr">
        <is>
          <t>eindhoven:action:ddw-tek-mekan-bileti-3</t>
        </is>
      </c>
      <c r="B190" s="29" t="inlineStr">
        <is>
          <t>eindhoven</t>
        </is>
      </c>
      <c r="C190" s="29" t="inlineStr">
        <is>
          <t>eindhoven:ddw-tek-mekan-bileti</t>
        </is>
      </c>
      <c r="D190" s="29" t="inlineStr">
        <is>
          <t>Bilgi al</t>
        </is>
      </c>
      <c r="E190" s="29" t="inlineStr">
        <is>
          <t>https://www.kazerne.org/en/visit</t>
        </is>
      </c>
      <c r="F190" s="49" t="n">
        <v>46317</v>
      </c>
      <c r="G190" s="51" t="n">
        <v>3</v>
      </c>
    </row>
    <row r="191" ht="54" customHeight="1">
      <c r="A191" s="29" t="inlineStr">
        <is>
          <t>eindhoven:action:ddw-butce-destegi-cultuur-inclusief-1</t>
        </is>
      </c>
      <c r="B191" s="29" t="inlineStr">
        <is>
          <t>eindhoven</t>
        </is>
      </c>
      <c r="C191" s="29" t="inlineStr">
        <is>
          <t>eindhoven:ddw-butce-destegi-cultuur-inclusief</t>
        </is>
      </c>
      <c r="D191" s="29" t="inlineStr">
        <is>
          <t>Bilgi al</t>
        </is>
      </c>
      <c r="E191" s="29" t="inlineStr">
        <is>
          <t>https://ddw.nl/en/faq</t>
        </is>
      </c>
      <c r="F191" s="49" t="n">
        <v>46317</v>
      </c>
      <c r="G191" s="51" t="n">
        <v>1</v>
      </c>
    </row>
    <row r="192" ht="54" customHeight="1">
      <c r="A192" s="29" t="inlineStr">
        <is>
          <t>eindhoven:action:ddw-ulasim-tren-park-ride-1</t>
        </is>
      </c>
      <c r="B192" s="29" t="inlineStr">
        <is>
          <t>eindhoven</t>
        </is>
      </c>
      <c r="C192" s="29" t="inlineStr">
        <is>
          <t>eindhoven:ddw-ulasim-tren-park-ride</t>
        </is>
      </c>
      <c r="D192" s="29" t="inlineStr">
        <is>
          <t>Bilgi al</t>
        </is>
      </c>
      <c r="E192" s="29" t="inlineStr">
        <is>
          <t>https://ddw.nl/en/faq</t>
        </is>
      </c>
      <c r="F192" s="49" t="n">
        <v>46317</v>
      </c>
      <c r="G192" s="51" t="n">
        <v>1</v>
      </c>
    </row>
    <row r="193" ht="54" customHeight="1">
      <c r="A193" s="29" t="inlineStr">
        <is>
          <t>eindhoven:action:ddw-ulasim-tren-park-ride-2</t>
        </is>
      </c>
      <c r="B193" s="29" t="inlineStr">
        <is>
          <t>eindhoven</t>
        </is>
      </c>
      <c r="C193" s="29" t="inlineStr">
        <is>
          <t>eindhoven:ddw-ulasim-tren-park-ride</t>
        </is>
      </c>
      <c r="D193" s="29" t="inlineStr">
        <is>
          <t>Bilet al</t>
        </is>
      </c>
      <c r="E193" s="29" t="inlineStr">
        <is>
          <t>https://ddw.nl/en/tickets</t>
        </is>
      </c>
      <c r="F193" s="49" t="n">
        <v>46317</v>
      </c>
      <c r="G193" s="51" t="n">
        <v>2</v>
      </c>
    </row>
    <row r="194" ht="54" customHeight="1">
      <c r="A194" s="29" t="inlineStr">
        <is>
          <t>eindhoven:action:ddw-ziyaret-saatleri-kayip-esya-ilk-yardim-1</t>
        </is>
      </c>
      <c r="B194" s="29" t="inlineStr">
        <is>
          <t>eindhoven</t>
        </is>
      </c>
      <c r="C194" s="29" t="inlineStr">
        <is>
          <t>eindhoven:ddw-ziyaret-saatleri-kayip-esya-ilk-yardim</t>
        </is>
      </c>
      <c r="D194" s="29" t="inlineStr">
        <is>
          <t>Bilgi al</t>
        </is>
      </c>
      <c r="E194" s="29" t="inlineStr">
        <is>
          <t>https://ddw.nl/en/faq</t>
        </is>
      </c>
      <c r="F194" s="49" t="n">
        <v>46317</v>
      </c>
      <c r="G194" s="51" t="n">
        <v>1</v>
      </c>
    </row>
    <row r="195" ht="54" customHeight="1">
      <c r="A195" s="29" t="inlineStr">
        <is>
          <t>eindhoven:action:glow-isik-festivali-tarih-saat-1</t>
        </is>
      </c>
      <c r="B195" s="29" t="inlineStr">
        <is>
          <t>eindhoven</t>
        </is>
      </c>
      <c r="C195" s="29" t="inlineStr">
        <is>
          <t>eindhoven:glow-isik-festivali-tarih-saat</t>
        </is>
      </c>
      <c r="D195" s="29" t="inlineStr">
        <is>
          <t>Bilgi al</t>
        </is>
      </c>
      <c r="E195" s="29" t="inlineStr">
        <is>
          <t>https://gloweindhoven.nl/en/practical/</t>
        </is>
      </c>
      <c r="F195" s="49" t="n">
        <v>46317</v>
      </c>
      <c r="G195" s="51" t="n">
        <v>1</v>
      </c>
    </row>
    <row r="196" ht="54" customHeight="1">
      <c r="A196" s="29" t="inlineStr">
        <is>
          <t>eindhoven:action:glow-isik-festivali-tarih-saat-2</t>
        </is>
      </c>
      <c r="B196" s="29" t="inlineStr">
        <is>
          <t>eindhoven</t>
        </is>
      </c>
      <c r="C196" s="29" t="inlineStr">
        <is>
          <t>eindhoven:glow-isik-festivali-tarih-saat</t>
        </is>
      </c>
      <c r="D196" s="29" t="inlineStr">
        <is>
          <t>Bilgi al</t>
        </is>
      </c>
      <c r="E196" s="29" t="inlineStr">
        <is>
          <t>https://gloweindhoven.nl/en/route-info/</t>
        </is>
      </c>
      <c r="F196" s="49" t="n">
        <v>46317</v>
      </c>
      <c r="G196" s="51" t="n">
        <v>2</v>
      </c>
    </row>
    <row r="197" ht="54" customHeight="1">
      <c r="A197" s="29" t="inlineStr">
        <is>
          <t>eindhoven:action:glow-ulasim-yol-kapama-otopark-1</t>
        </is>
      </c>
      <c r="B197" s="29" t="inlineStr">
        <is>
          <t>eindhoven</t>
        </is>
      </c>
      <c r="C197" s="29" t="inlineStr">
        <is>
          <t>eindhoven:glow-ulasim-yol-kapama-otopark</t>
        </is>
      </c>
      <c r="D197" s="29" t="inlineStr">
        <is>
          <t>Bilgi al</t>
        </is>
      </c>
      <c r="E197" s="29" t="inlineStr">
        <is>
          <t>https://gloweindhoven.nl/en/practical/</t>
        </is>
      </c>
      <c r="F197" s="49" t="n">
        <v>46317</v>
      </c>
      <c r="G197" s="51" t="n">
        <v>1</v>
      </c>
    </row>
    <row r="198" ht="54" customHeight="1">
      <c r="A198" s="29" t="inlineStr">
        <is>
          <t>eindhoven:action:glow-harita-tuvalet-erisilebilirlik-1</t>
        </is>
      </c>
      <c r="B198" s="29" t="inlineStr">
        <is>
          <t>eindhoven</t>
        </is>
      </c>
      <c r="C198" s="29" t="inlineStr">
        <is>
          <t>eindhoven:glow-harita-tuvalet-erisilebilirlik</t>
        </is>
      </c>
      <c r="D198" s="29" t="inlineStr">
        <is>
          <t>Bilgi al</t>
        </is>
      </c>
      <c r="E198" s="29" t="inlineStr">
        <is>
          <t>https://gloweindhoven.nl/en/route-info/</t>
        </is>
      </c>
      <c r="F198" s="49" t="n">
        <v>46317</v>
      </c>
      <c r="G198" s="51" t="n">
        <v>1</v>
      </c>
    </row>
    <row r="199" ht="54" customHeight="1">
      <c r="A199" s="29" t="inlineStr">
        <is>
          <t>eindhoven:action:glow-harita-tuvalet-erisilebilirlik-2</t>
        </is>
      </c>
      <c r="B199" s="29" t="inlineStr">
        <is>
          <t>eindhoven</t>
        </is>
      </c>
      <c r="C199" s="29" t="inlineStr">
        <is>
          <t>eindhoven:glow-harita-tuvalet-erisilebilirlik</t>
        </is>
      </c>
      <c r="D199" s="29" t="inlineStr">
        <is>
          <t>Bilgi al</t>
        </is>
      </c>
      <c r="E199" s="29" t="inlineStr">
        <is>
          <t>https://gloweindhoven.nl/en/practical/</t>
        </is>
      </c>
      <c r="F199" s="49" t="n">
        <v>46317</v>
      </c>
      <c r="G199" s="51" t="n">
        <v>2</v>
      </c>
    </row>
    <row r="200" ht="54" customHeight="1">
      <c r="A200" s="29" t="inlineStr">
        <is>
          <t>eindhoven:action:ucretsiz-ve-butce-dostu-etkinlikler-1</t>
        </is>
      </c>
      <c r="B200" s="29" t="inlineStr">
        <is>
          <t>eindhoven</t>
        </is>
      </c>
      <c r="C200" s="29" t="inlineStr">
        <is>
          <t>eindhoven:ucretsiz-ve-butce-dostu-etkinlikler</t>
        </is>
      </c>
      <c r="D200" s="29" t="inlineStr">
        <is>
          <t>Bilgi al</t>
        </is>
      </c>
      <c r="E200" s="29" t="inlineStr">
        <is>
          <t>https://www.thisiseindhoven.com/en/see-and-do/fun-things-to-do/the-best-things-in-life-are-free-11x-eindhoven-on-a-budget</t>
        </is>
      </c>
      <c r="F200" s="49" t="n">
        <v>46317</v>
      </c>
      <c r="G200" s="51" t="n">
        <v>1</v>
      </c>
    </row>
    <row r="201" ht="54" customHeight="1">
      <c r="A201" s="29" t="inlineStr">
        <is>
          <t>eindhoven:action:ucretsiz-ve-butce-dostu-etkinlikler-2</t>
        </is>
      </c>
      <c r="B201" s="29" t="inlineStr">
        <is>
          <t>eindhoven</t>
        </is>
      </c>
      <c r="C201" s="29" t="inlineStr">
        <is>
          <t>eindhoven:ucretsiz-ve-butce-dostu-etkinlikler</t>
        </is>
      </c>
      <c r="D201" s="29" t="inlineStr">
        <is>
          <t>Bilgi al</t>
        </is>
      </c>
      <c r="E201" s="29" t="inlineStr">
        <is>
          <t>https://www.kazerne.org/en/visit</t>
        </is>
      </c>
      <c r="F201" s="49" t="n">
        <v>46317</v>
      </c>
      <c r="G201" s="51" t="n">
        <v>2</v>
      </c>
    </row>
    <row r="202" ht="54" customHeight="1">
      <c r="A202" s="29" t="inlineStr">
        <is>
          <t>eindhoven:action:etkinlik-takvimi-nasil-bulunur-1</t>
        </is>
      </c>
      <c r="B202" s="29" t="inlineStr">
        <is>
          <t>eindhoven</t>
        </is>
      </c>
      <c r="C202" s="29" t="inlineStr">
        <is>
          <t>eindhoven:etkinlik-takvimi-nasil-bulunur</t>
        </is>
      </c>
      <c r="D202" s="29" t="inlineStr">
        <is>
          <t>Bilgi al</t>
        </is>
      </c>
      <c r="E202" s="29" t="inlineStr">
        <is>
          <t>https://www.thisiseindhoven.com/en/see-and-do/fun-things-to-do/the-best-things-in-life-are-free-11x-eindhoven-on-a-budget</t>
        </is>
      </c>
      <c r="F202" s="49" t="n">
        <v>46317</v>
      </c>
      <c r="G202" s="51" t="n">
        <v>1</v>
      </c>
    </row>
    <row r="203" ht="54" customHeight="1">
      <c r="A203" s="29" t="inlineStr">
        <is>
          <t>eindhoven:action:etkinlik-takvimi-nasil-bulunur-2</t>
        </is>
      </c>
      <c r="B203" s="29" t="inlineStr">
        <is>
          <t>eindhoven</t>
        </is>
      </c>
      <c r="C203" s="29" t="inlineStr">
        <is>
          <t>eindhoven:etkinlik-takvimi-nasil-bulunur</t>
        </is>
      </c>
      <c r="D203" s="29" t="inlineStr">
        <is>
          <t>Bilgi al</t>
        </is>
      </c>
      <c r="E203" s="29" t="inlineStr">
        <is>
          <t>https://ddw.nl/en/faq</t>
        </is>
      </c>
      <c r="F203" s="49" t="n">
        <v>46317</v>
      </c>
      <c r="G203" s="51" t="n">
        <v>2</v>
      </c>
    </row>
    <row r="204" ht="54" customHeight="1">
      <c r="A204" s="29" t="inlineStr">
        <is>
          <t>eindhoven:action:etkinlik-takvimi-nasil-bulunur-3</t>
        </is>
      </c>
      <c r="B204" s="29" t="inlineStr">
        <is>
          <t>eindhoven</t>
        </is>
      </c>
      <c r="C204" s="29" t="inlineStr">
        <is>
          <t>eindhoven:etkinlik-takvimi-nasil-bulunur</t>
        </is>
      </c>
      <c r="D204" s="29" t="inlineStr">
        <is>
          <t>Bilgi al</t>
        </is>
      </c>
      <c r="E204" s="29" t="inlineStr">
        <is>
          <t>https://www.kazerne.org/en/visit</t>
        </is>
      </c>
      <c r="F204" s="49" t="n">
        <v>46317</v>
      </c>
      <c r="G204" s="51" t="n">
        <v>3</v>
      </c>
    </row>
    <row r="205" ht="54" customHeight="1">
      <c r="A205" s="29" t="inlineStr">
        <is>
          <t>eindhoven:action:hazir-yuruyus-rotalari-1</t>
        </is>
      </c>
      <c r="B205" s="29" t="inlineStr">
        <is>
          <t>eindhoven</t>
        </is>
      </c>
      <c r="C205" s="29" t="inlineStr">
        <is>
          <t>eindhoven:hazir-yuruyus-rotalari</t>
        </is>
      </c>
      <c r="D205" s="29" t="inlineStr">
        <is>
          <t>Bilgi al</t>
        </is>
      </c>
      <c r="E205" s="29" t="inlineStr">
        <is>
          <t>https://www.thisiseindhoven.com/en/see-and-do/fun-things-to-do/walking-routes-nature</t>
        </is>
      </c>
      <c r="F205" s="49" t="n">
        <v>46317</v>
      </c>
      <c r="G205" s="51" t="n">
        <v>1</v>
      </c>
    </row>
    <row r="206" ht="54" customHeight="1">
      <c r="A206" s="29" t="inlineStr">
        <is>
          <t>eindhoven:action:hazir-yuruyus-rotalari-2</t>
        </is>
      </c>
      <c r="B206" s="29" t="inlineStr">
        <is>
          <t>eindhoven</t>
        </is>
      </c>
      <c r="C206" s="29" t="inlineStr">
        <is>
          <t>eindhoven:hazir-yuruyus-rotalari</t>
        </is>
      </c>
      <c r="D206" s="29" t="inlineStr">
        <is>
          <t>Bilgi al</t>
        </is>
      </c>
      <c r="E206" s="29" t="inlineStr">
        <is>
          <t>https://www.thisiseindhoven.com/en/city-life/eindhoven-from-a-to-z/stadswandelpark</t>
        </is>
      </c>
      <c r="F206" s="49" t="n">
        <v>46317</v>
      </c>
      <c r="G206" s="51" t="n">
        <v>2</v>
      </c>
    </row>
    <row r="207" ht="54" customHeight="1">
      <c r="A207" s="29" t="inlineStr">
        <is>
          <t>eindhoven:action:spor-denemek-yetiskin-ve-55-plus-1</t>
        </is>
      </c>
      <c r="B207" s="29" t="inlineStr">
        <is>
          <t>eindhoven</t>
        </is>
      </c>
      <c r="C207" s="29" t="inlineStr">
        <is>
          <t>eindhoven:spor-denemek-yetiskin-ve-55-plus</t>
        </is>
      </c>
      <c r="D207" s="29" t="inlineStr">
        <is>
          <t>Kayıt ol</t>
        </is>
      </c>
      <c r="E207" s="29" t="inlineStr">
        <is>
          <t>https://www.eindhovensport.nl/sporten/sporten-voor-doelgroepen/kies-je-sport-voor-alle-leeftijden</t>
        </is>
      </c>
      <c r="F207" s="49" t="n">
        <v>46317</v>
      </c>
      <c r="G207" s="51" t="n">
        <v>1</v>
      </c>
    </row>
    <row r="208" ht="54" customHeight="1">
      <c r="A208" s="29" t="inlineStr">
        <is>
          <t>eindhoven:action:spor-saglayici-bulma-ucretsiz-tavsiye-1</t>
        </is>
      </c>
      <c r="B208" s="29" t="inlineStr">
        <is>
          <t>eindhoven</t>
        </is>
      </c>
      <c r="C208" s="29" t="inlineStr">
        <is>
          <t>eindhoven:spor-saglayici-bulma-ucretsiz-tavsiye</t>
        </is>
      </c>
      <c r="D208" s="29" t="inlineStr">
        <is>
          <t>Bilgi al</t>
        </is>
      </c>
      <c r="E208" s="29" t="inlineStr">
        <is>
          <t>https://www.eindhovensport.nl/sporten/sporten-in-eindhoven/sportaanbieders</t>
        </is>
      </c>
      <c r="F208" s="49" t="n">
        <v>46317</v>
      </c>
      <c r="G208" s="51" t="n">
        <v>1</v>
      </c>
    </row>
    <row r="209" ht="54" customHeight="1">
      <c r="A209" s="29" t="inlineStr">
        <is>
          <t>eindhoven:action:spor-saglayici-bulma-ucretsiz-tavsiye-2</t>
        </is>
      </c>
      <c r="B209" s="29" t="inlineStr">
        <is>
          <t>eindhoven</t>
        </is>
      </c>
      <c r="C209" s="29" t="inlineStr">
        <is>
          <t>eindhoven:spor-saglayici-bulma-ucretsiz-tavsiye</t>
        </is>
      </c>
      <c r="D209" s="29" t="inlineStr">
        <is>
          <t>Bilgi al</t>
        </is>
      </c>
      <c r="E209" s="29" t="inlineStr">
        <is>
          <t>https://www.eindhovensport.nl/sporten/sporten-voor-doelgroepen/kies-je-sport-voor-alle-leeftijden</t>
        </is>
      </c>
      <c r="F209" s="49" t="n">
        <v>46317</v>
      </c>
      <c r="G209" s="51" t="n">
        <v>2</v>
      </c>
    </row>
    <row r="210" ht="54" customHeight="1">
      <c r="A210" s="29" t="inlineStr">
        <is>
          <t>eindhoven:action:cocuk-genc-spor-sanat-denemeleri-1</t>
        </is>
      </c>
      <c r="B210" s="29" t="inlineStr">
        <is>
          <t>eindhoven</t>
        </is>
      </c>
      <c r="C210" s="29" t="inlineStr">
        <is>
          <t>eindhoven:cocuk-genc-spor-sanat-denemeleri</t>
        </is>
      </c>
      <c r="D210" s="29" t="inlineStr">
        <is>
          <t>Kayıt ol</t>
        </is>
      </c>
      <c r="E210" s="29" t="inlineStr">
        <is>
          <t>https://www.eindhovensport.nl/sporten/sporten-voor-doelgroepen/kies-je-sport-voor-alle-leeftijden</t>
        </is>
      </c>
      <c r="F210" s="49" t="n">
        <v>46317</v>
      </c>
      <c r="G210" s="51" t="n">
        <v>1</v>
      </c>
    </row>
    <row r="211" ht="54" customHeight="1">
      <c r="A211" s="29" t="inlineStr">
        <is>
          <t>eindhoven:action:engelli-ziyaretci-erisilebilirlik-1</t>
        </is>
      </c>
      <c r="B211" s="29" t="inlineStr">
        <is>
          <t>eindhoven</t>
        </is>
      </c>
      <c r="C211" s="29" t="inlineStr">
        <is>
          <t>eindhoven:engelli-ziyaretci-erisilebilirlik</t>
        </is>
      </c>
      <c r="D211" s="29" t="inlineStr">
        <is>
          <t>Bilgi al</t>
        </is>
      </c>
      <c r="E211" s="29" t="inlineStr">
        <is>
          <t>https://vanabbemuseum.nl/en/plan-your-visit/practical-information</t>
        </is>
      </c>
      <c r="F211" s="49" t="n">
        <v>46317</v>
      </c>
      <c r="G211" s="51" t="n">
        <v>1</v>
      </c>
    </row>
    <row r="212" ht="54" customHeight="1">
      <c r="A212" s="29" t="inlineStr">
        <is>
          <t>eindhoven:action:engelli-ziyaretci-erisilebilirlik-2</t>
        </is>
      </c>
      <c r="B212" s="29" t="inlineStr">
        <is>
          <t>eindhoven</t>
        </is>
      </c>
      <c r="C212" s="29" t="inlineStr">
        <is>
          <t>eindhoven:engelli-ziyaretci-erisilebilirlik</t>
        </is>
      </c>
      <c r="D212" s="29" t="inlineStr">
        <is>
          <t>Bilgi al</t>
        </is>
      </c>
      <c r="E212" s="29" t="inlineStr">
        <is>
          <t>https://www.philips.nl/en/a-w/philips-museum/visit/practical-information.html</t>
        </is>
      </c>
      <c r="F212" s="49" t="n">
        <v>46317</v>
      </c>
      <c r="G212" s="51" t="n">
        <v>2</v>
      </c>
    </row>
    <row r="213" ht="54" customHeight="1">
      <c r="A213" s="29" t="inlineStr">
        <is>
          <t>eindhoven:action:engelli-ziyaretci-erisilebilirlik-3</t>
        </is>
      </c>
      <c r="B213" s="29" t="inlineStr">
        <is>
          <t>eindhoven</t>
        </is>
      </c>
      <c r="C213" s="29" t="inlineStr">
        <is>
          <t>eindhoven:engelli-ziyaretci-erisilebilirlik</t>
        </is>
      </c>
      <c r="D213" s="29" t="inlineStr">
        <is>
          <t>Bilgi al</t>
        </is>
      </c>
      <c r="E213" s="29" t="inlineStr">
        <is>
          <t>https://ddw.nl/en/tickets</t>
        </is>
      </c>
      <c r="F213" s="49" t="n">
        <v>46317</v>
      </c>
      <c r="G213" s="51" t="n">
        <v>3</v>
      </c>
    </row>
    <row r="214" ht="54" customHeight="1">
      <c r="A214" s="29" t="inlineStr">
        <is>
          <t>eindhoven:action:van-abbemuseum-1</t>
        </is>
      </c>
      <c r="B214" s="29" t="inlineStr">
        <is>
          <t>eindhoven</t>
        </is>
      </c>
      <c r="C214" s="29" t="inlineStr">
        <is>
          <t>eindhoven:van-abbemuseum</t>
        </is>
      </c>
      <c r="D214" s="29" t="inlineStr">
        <is>
          <t>Bilet al</t>
        </is>
      </c>
      <c r="E214" s="29" t="inlineStr">
        <is>
          <t>https://vanabbemuseum.nl/en/plan-your-visit/practical-information</t>
        </is>
      </c>
      <c r="F214" s="49" t="n">
        <v>46317</v>
      </c>
      <c r="G214" s="51" t="n">
        <v>1</v>
      </c>
    </row>
    <row r="215" ht="54" customHeight="1">
      <c r="A215" s="29" t="inlineStr">
        <is>
          <t>eindhoven:action:van-abbemuseum-2</t>
        </is>
      </c>
      <c r="B215" s="29" t="inlineStr">
        <is>
          <t>eindhoven</t>
        </is>
      </c>
      <c r="C215" s="29" t="inlineStr">
        <is>
          <t>eindhoven:van-abbemuseum</t>
        </is>
      </c>
      <c r="D215" s="29" t="inlineStr">
        <is>
          <t>İletişim bilgisi al</t>
        </is>
      </c>
      <c r="E215" s="29" t="inlineStr">
        <is>
          <t>https://vanabbemuseum.nl/en/museum/contact</t>
        </is>
      </c>
      <c r="F215" s="49" t="n">
        <v>46317</v>
      </c>
      <c r="G215" s="51" t="n">
        <v>2</v>
      </c>
    </row>
    <row r="216" ht="54" customHeight="1">
      <c r="A216" s="29" t="inlineStr">
        <is>
          <t>eindhoven:action:philips-museum-1</t>
        </is>
      </c>
      <c r="B216" s="29" t="inlineStr">
        <is>
          <t>eindhoven</t>
        </is>
      </c>
      <c r="C216" s="29" t="inlineStr">
        <is>
          <t>eindhoven:philips-museum</t>
        </is>
      </c>
      <c r="D216" s="29" t="inlineStr">
        <is>
          <t>Bilet al</t>
        </is>
      </c>
      <c r="E216" s="29" t="inlineStr">
        <is>
          <t>https://www.philips.nl/a-w/philips-museum/bezoekersinformatie/praktische-informatie.html</t>
        </is>
      </c>
      <c r="F216" s="49" t="n">
        <v>46317</v>
      </c>
      <c r="G216" s="51" t="n">
        <v>1</v>
      </c>
    </row>
    <row r="217" ht="54" customHeight="1">
      <c r="A217" s="29" t="inlineStr">
        <is>
          <t>eindhoven:action:daf-museum-1</t>
        </is>
      </c>
      <c r="B217" s="29" t="inlineStr">
        <is>
          <t>eindhoven</t>
        </is>
      </c>
      <c r="C217" s="29" t="inlineStr">
        <is>
          <t>eindhoven:daf-museum</t>
        </is>
      </c>
      <c r="D217" s="29" t="inlineStr">
        <is>
          <t>Ziyaret bilgisi al</t>
        </is>
      </c>
      <c r="E217" s="29" t="inlineStr">
        <is>
          <t>https://www.dafmuseum.nl/nl-nl/info</t>
        </is>
      </c>
      <c r="F217" s="49" t="n">
        <v>46317</v>
      </c>
      <c r="G217" s="51" t="n">
        <v>1</v>
      </c>
    </row>
    <row r="218" ht="54" customHeight="1">
      <c r="A218" s="29" t="inlineStr">
        <is>
          <t>eindhoven:action:next-nature-museum-1</t>
        </is>
      </c>
      <c r="B218" s="29" t="inlineStr">
        <is>
          <t>eindhoven</t>
        </is>
      </c>
      <c r="C218" s="29" t="inlineStr">
        <is>
          <t>eindhoven:next-nature-museum</t>
        </is>
      </c>
      <c r="D218" s="29" t="inlineStr">
        <is>
          <t>Bilet al</t>
        </is>
      </c>
      <c r="E218" s="29" t="inlineStr">
        <is>
          <t>https://nextnature.org/en/museum/plan-your-visit</t>
        </is>
      </c>
      <c r="F218" s="49" t="n">
        <v>46317</v>
      </c>
      <c r="G218" s="51" t="n">
        <v>1</v>
      </c>
    </row>
    <row r="219" ht="54" customHeight="1">
      <c r="A219" s="29" t="inlineStr">
        <is>
          <t>eindhoven:action:psv-museum-1</t>
        </is>
      </c>
      <c r="B219" s="29" t="inlineStr">
        <is>
          <t>eindhoven</t>
        </is>
      </c>
      <c r="C219" s="29" t="inlineStr">
        <is>
          <t>eindhoven:psv-museum</t>
        </is>
      </c>
      <c r="D219" s="29" t="inlineStr">
        <is>
          <t>Bilet al</t>
        </is>
      </c>
      <c r="E219" s="29" t="inlineStr">
        <is>
          <t>https://www.thisiseindhoven.com/en/locations/psv-museum</t>
        </is>
      </c>
      <c r="F219" s="49" t="n">
        <v>46317</v>
      </c>
      <c r="G219" s="51" t="n">
        <v>1</v>
      </c>
    </row>
    <row r="220" ht="54" customHeight="1">
      <c r="A220" s="29" t="inlineStr">
        <is>
          <t>eindhoven:action:philips-historische-producten-1</t>
        </is>
      </c>
      <c r="B220" s="29" t="inlineStr">
        <is>
          <t>eindhoven</t>
        </is>
      </c>
      <c r="C220" s="29" t="inlineStr">
        <is>
          <t>eindhoven:philips-historische-producten</t>
        </is>
      </c>
      <c r="D220" s="29" t="inlineStr">
        <is>
          <t>Bilgi al</t>
        </is>
      </c>
      <c r="E220" s="29" t="inlineStr">
        <is>
          <t>https://www.thisiseindhoven.com/en/locations/philips-historische-producten</t>
        </is>
      </c>
      <c r="F220" s="49" t="n">
        <v>46317</v>
      </c>
      <c r="G220" s="51" t="n">
        <v>1</v>
      </c>
    </row>
    <row r="221" ht="54" customHeight="1">
      <c r="A221" s="29" t="inlineStr">
        <is>
          <t>eindhoven:action:erfgoedhuis-eindhoven-1</t>
        </is>
      </c>
      <c r="B221" s="29" t="inlineStr">
        <is>
          <t>eindhoven</t>
        </is>
      </c>
      <c r="C221" s="29" t="inlineStr">
        <is>
          <t>eindhoven:erfgoedhuis-eindhoven</t>
        </is>
      </c>
      <c r="D221" s="29" t="inlineStr">
        <is>
          <t>Bilgi al</t>
        </is>
      </c>
      <c r="E221" s="29" t="inlineStr">
        <is>
          <t>https://www.eindhoven.nl/stad-en-wonen/stad/erfgoed/het-erfgoedhuis</t>
        </is>
      </c>
      <c r="F221" s="49" t="n">
        <v>46317</v>
      </c>
      <c r="G221" s="51" t="n">
        <v>1</v>
      </c>
    </row>
    <row r="222" ht="54" customHeight="1">
      <c r="A222" s="29" t="inlineStr">
        <is>
          <t>eindhoven:action:neoseum-1</t>
        </is>
      </c>
      <c r="B222" s="29" t="inlineStr">
        <is>
          <t>eindhoven</t>
        </is>
      </c>
      <c r="C222" s="29" t="inlineStr">
        <is>
          <t>eindhoven:neoseum</t>
        </is>
      </c>
      <c r="D222" s="29" t="inlineStr">
        <is>
          <t>Bilet al</t>
        </is>
      </c>
      <c r="E222" s="29" t="inlineStr">
        <is>
          <t>https://www.neoseum.com/contact</t>
        </is>
      </c>
      <c r="F222" s="49" t="n">
        <v>46317</v>
      </c>
      <c r="G222" s="51" t="n">
        <v>1</v>
      </c>
    </row>
    <row r="223" ht="54" customHeight="1">
      <c r="A223" s="29" t="inlineStr">
        <is>
          <t>eindhoven:action:mu-hybrid-art-house-1</t>
        </is>
      </c>
      <c r="B223" s="29" t="inlineStr">
        <is>
          <t>eindhoven</t>
        </is>
      </c>
      <c r="C223" s="29" t="inlineStr">
        <is>
          <t>eindhoven:mu-hybrid-art-house</t>
        </is>
      </c>
      <c r="D223" s="29" t="inlineStr">
        <is>
          <t>Bilet al</t>
        </is>
      </c>
      <c r="E223" s="29" t="inlineStr">
        <is>
          <t>https://www.thisiseindhoven.com/en/locations/mu-hybrid-art-house</t>
        </is>
      </c>
      <c r="F223" s="49" t="n">
        <v>46317</v>
      </c>
      <c r="G223" s="51" t="n">
        <v>1</v>
      </c>
    </row>
    <row r="224" ht="54" customHeight="1">
      <c r="A224" s="29" t="inlineStr">
        <is>
          <t>eindhoven:action:dr-a-f-philips-sterrenwacht-1</t>
        </is>
      </c>
      <c r="B224" s="29" t="inlineStr">
        <is>
          <t>eindhoven</t>
        </is>
      </c>
      <c r="C224" s="29" t="inlineStr">
        <is>
          <t>eindhoven:dr-a-f-philips-sterrenwacht</t>
        </is>
      </c>
      <c r="D224" s="29" t="inlineStr">
        <is>
          <t>İletişim bilgisi al</t>
        </is>
      </c>
      <c r="E224" s="29" t="inlineStr">
        <is>
          <t>https://www.sterrenwachteindhoven.nl/adres-contact/</t>
        </is>
      </c>
      <c r="F224" s="49" t="n">
        <v>46317</v>
      </c>
      <c r="G224" s="51" t="n">
        <v>1</v>
      </c>
    </row>
    <row r="225" ht="54" customHeight="1">
      <c r="A225" s="29" t="inlineStr">
        <is>
          <t>eindhoven:action:dr-a-f-philips-sterrenwacht-2</t>
        </is>
      </c>
      <c r="B225" s="29" t="inlineStr">
        <is>
          <t>eindhoven</t>
        </is>
      </c>
      <c r="C225" s="29" t="inlineStr">
        <is>
          <t>eindhoven:dr-a-f-philips-sterrenwacht</t>
        </is>
      </c>
      <c r="D225" s="29" t="inlineStr">
        <is>
          <t>Bilgi al</t>
        </is>
      </c>
      <c r="E225" s="29" t="inlineStr">
        <is>
          <t>https://www.sterrenwachteindhoven.nl/bezoek/openstellingen/</t>
        </is>
      </c>
      <c r="F225" s="49" t="n">
        <v>46317</v>
      </c>
      <c r="G225" s="51" t="n">
        <v>2</v>
      </c>
    </row>
    <row r="226" ht="54" customHeight="1">
      <c r="A226" s="29" t="inlineStr">
        <is>
          <t>eindhoven:action:kazerne-expo-1</t>
        </is>
      </c>
      <c r="B226" s="29" t="inlineStr">
        <is>
          <t>eindhoven</t>
        </is>
      </c>
      <c r="C226" s="29" t="inlineStr">
        <is>
          <t>eindhoven:kazerne-expo</t>
        </is>
      </c>
      <c r="D226" s="29" t="inlineStr">
        <is>
          <t>Ziyaret bilgisi al</t>
        </is>
      </c>
      <c r="E226" s="29" t="inlineStr">
        <is>
          <t>https://www.kazerne.org/en/visit</t>
        </is>
      </c>
      <c r="F226" s="49" t="n">
        <v>46317</v>
      </c>
      <c r="G226" s="51" t="n">
        <v>1</v>
      </c>
    </row>
    <row r="227" ht="54" customHeight="1">
      <c r="A227" s="29" t="inlineStr">
        <is>
          <t>eindhoven:action:kazerne-expo-2</t>
        </is>
      </c>
      <c r="B227" s="29" t="inlineStr">
        <is>
          <t>eindhoven</t>
        </is>
      </c>
      <c r="C227" s="29" t="inlineStr">
        <is>
          <t>eindhoven:kazerne-expo</t>
        </is>
      </c>
      <c r="D227" s="29" t="inlineStr">
        <is>
          <t>İletişim bilgisi al</t>
        </is>
      </c>
      <c r="E227" s="29" t="inlineStr">
        <is>
          <t>https://kazerne.com/visit</t>
        </is>
      </c>
      <c r="F227" s="49" t="n">
        <v>46317</v>
      </c>
      <c r="G227" s="51" t="n">
        <v>2</v>
      </c>
    </row>
    <row r="228" ht="54" customHeight="1">
      <c r="A228" s="29" t="inlineStr">
        <is>
          <t>eindhoven:action:museumpark-vonk-prehistorisch-dorp-1</t>
        </is>
      </c>
      <c r="B228" s="29" t="inlineStr">
        <is>
          <t>eindhoven</t>
        </is>
      </c>
      <c r="C228" s="29" t="inlineStr">
        <is>
          <t>eindhoven:museumpark-vonk-prehistorisch-dorp</t>
        </is>
      </c>
      <c r="D228" s="29" t="inlineStr">
        <is>
          <t>İletişim bilgisi al</t>
        </is>
      </c>
      <c r="E228" s="29" t="inlineStr">
        <is>
          <t>https://vonk.nl/nl/over-ons/contact</t>
        </is>
      </c>
      <c r="F228" s="49" t="n">
        <v>46317</v>
      </c>
      <c r="G228" s="51" t="n">
        <v>1</v>
      </c>
    </row>
    <row r="229" ht="54" customHeight="1">
      <c r="A229" s="29" t="inlineStr">
        <is>
          <t>eindhoven:action:de-fabriek-1</t>
        </is>
      </c>
      <c r="B229" s="29" t="inlineStr">
        <is>
          <t>eindhoven</t>
        </is>
      </c>
      <c r="C229" s="29" t="inlineStr">
        <is>
          <t>eindhoven:de-fabriek</t>
        </is>
      </c>
      <c r="D229" s="29" t="inlineStr">
        <is>
          <t>Ajandayı gör</t>
        </is>
      </c>
      <c r="E229" s="29" t="inlineStr">
        <is>
          <t>https://www.defabriekeindhoven.com/en/contact</t>
        </is>
      </c>
      <c r="F229" s="49" t="n">
        <v>46317</v>
      </c>
      <c r="G229" s="51" t="n">
        <v>1</v>
      </c>
    </row>
    <row r="230" ht="54" customHeight="1">
      <c r="A230" s="29" t="inlineStr">
        <is>
          <t>eindhoven:action:onomatopee-1</t>
        </is>
      </c>
      <c r="B230" s="29" t="inlineStr">
        <is>
          <t>eindhoven</t>
        </is>
      </c>
      <c r="C230" s="29" t="inlineStr">
        <is>
          <t>eindhoven:onomatopee</t>
        </is>
      </c>
      <c r="D230" s="29" t="inlineStr">
        <is>
          <t>Bilgi al</t>
        </is>
      </c>
      <c r="E230" s="29" t="inlineStr">
        <is>
          <t>https://www.onomatopee.net/about-us/</t>
        </is>
      </c>
      <c r="F230" s="49" t="n">
        <v>46317</v>
      </c>
      <c r="G230" s="51" t="n">
        <v>1</v>
      </c>
    </row>
    <row r="231" ht="54" customHeight="1">
      <c r="A231" s="29" t="inlineStr">
        <is>
          <t>eindhoven:action:temporary-art-centre-tac-1</t>
        </is>
      </c>
      <c r="B231" s="29" t="inlineStr">
        <is>
          <t>eindhoven</t>
        </is>
      </c>
      <c r="C231" s="29" t="inlineStr">
        <is>
          <t>eindhoven:temporary-art-centre-tac</t>
        </is>
      </c>
      <c r="D231" s="29" t="inlineStr">
        <is>
          <t>Bilgi al</t>
        </is>
      </c>
      <c r="E231" s="29" t="inlineStr">
        <is>
          <t>https://www.tac.nu/programmas/</t>
        </is>
      </c>
      <c r="F231" s="49" t="n">
        <v>46318</v>
      </c>
      <c r="G231" s="51" t="n">
        <v>1</v>
      </c>
    </row>
    <row r="232" ht="54" customHeight="1">
      <c r="A232" s="29" t="inlineStr">
        <is>
          <t>eindhoven:action:gallery-nasty-alice-1</t>
        </is>
      </c>
      <c r="B232" s="29" t="inlineStr">
        <is>
          <t>eindhoven</t>
        </is>
      </c>
      <c r="C232" s="29" t="inlineStr">
        <is>
          <t>eindhoven:gallery-nasty-alice</t>
        </is>
      </c>
      <c r="D232" s="29" t="inlineStr">
        <is>
          <t>İletişim bilgisi al</t>
        </is>
      </c>
      <c r="E232" s="29" t="inlineStr">
        <is>
          <t>https://www.galerienastyalice.nl/contact/</t>
        </is>
      </c>
      <c r="F232" s="49" t="n">
        <v>46317</v>
      </c>
      <c r="G232" s="51" t="n">
        <v>1</v>
      </c>
    </row>
    <row r="233" ht="54" customHeight="1">
      <c r="A233" s="29" t="inlineStr">
        <is>
          <t>eindhoven:action:cova-art-gallery-1</t>
        </is>
      </c>
      <c r="B233" s="29" t="inlineStr">
        <is>
          <t>eindhoven</t>
        </is>
      </c>
      <c r="C233" s="29" t="inlineStr">
        <is>
          <t>eindhoven:cova-art-gallery</t>
        </is>
      </c>
      <c r="D233" s="29" t="inlineStr">
        <is>
          <t>Bilgi al</t>
        </is>
      </c>
      <c r="E233" s="29" t="inlineStr">
        <is>
          <t>https://www.thisiseindhoven.com/en/locations/cova-art-gallery</t>
        </is>
      </c>
      <c r="F233" s="49" t="n">
        <v>46317</v>
      </c>
      <c r="G233" s="51" t="n">
        <v>1</v>
      </c>
    </row>
    <row r="234" ht="54" customHeight="1">
      <c r="A234" s="29" t="inlineStr">
        <is>
          <t>eindhoven:action:gallery-rembrandt-1</t>
        </is>
      </c>
      <c r="B234" s="29" t="inlineStr">
        <is>
          <t>eindhoven</t>
        </is>
      </c>
      <c r="C234" s="29" t="inlineStr">
        <is>
          <t>eindhoven:gallery-rembrandt</t>
        </is>
      </c>
      <c r="D234" s="29" t="inlineStr">
        <is>
          <t>Bilgi al</t>
        </is>
      </c>
      <c r="E234" s="29" t="inlineStr">
        <is>
          <t>https://www.thisiseindhoven.com/en/locations/gallery-rembrandt</t>
        </is>
      </c>
      <c r="F234" s="49" t="n">
        <v>46317</v>
      </c>
      <c r="G234" s="51" t="n">
        <v>1</v>
      </c>
    </row>
    <row r="235" ht="54" customHeight="1">
      <c r="A235" s="29" t="inlineStr">
        <is>
          <t>eindhoven:action:de-kruisruimte-1</t>
        </is>
      </c>
      <c r="B235" s="29" t="inlineStr">
        <is>
          <t>eindhoven</t>
        </is>
      </c>
      <c r="C235" s="29" t="inlineStr">
        <is>
          <t>eindhoven:de-kruisruimte</t>
        </is>
      </c>
      <c r="D235" s="29" t="inlineStr">
        <is>
          <t>Bilgi al</t>
        </is>
      </c>
      <c r="E235" s="29" t="inlineStr">
        <is>
          <t>https://www.thisiseindhoven.com/en/locations/de-kruisruimte</t>
        </is>
      </c>
      <c r="F235" s="49" t="n">
        <v>46317</v>
      </c>
      <c r="G235" s="51" t="n">
        <v>1</v>
      </c>
    </row>
    <row r="236" ht="54" customHeight="1">
      <c r="A236" s="29" t="inlineStr">
        <is>
          <t>eindhoven:action:kevn-kelderman-en-van-noort-1</t>
        </is>
      </c>
      <c r="B236" s="29" t="inlineStr">
        <is>
          <t>eindhoven</t>
        </is>
      </c>
      <c r="C236" s="29" t="inlineStr">
        <is>
          <t>eindhoven:kevn-kelderman-en-van-noort</t>
        </is>
      </c>
      <c r="D236" s="29" t="inlineStr">
        <is>
          <t>Bilgi al</t>
        </is>
      </c>
      <c r="E236" s="29" t="inlineStr">
        <is>
          <t>https://www.thisiseindhoven.com/en/locations/kevn</t>
        </is>
      </c>
      <c r="F236" s="49" t="n">
        <v>46317</v>
      </c>
      <c r="G236" s="51" t="n">
        <v>1</v>
      </c>
    </row>
    <row r="237" ht="54" customHeight="1">
      <c r="A237" s="29" t="inlineStr">
        <is>
          <t>eindhoven:action:van-abbehuis-1</t>
        </is>
      </c>
      <c r="B237" s="29" t="inlineStr">
        <is>
          <t>eindhoven</t>
        </is>
      </c>
      <c r="C237" s="29" t="inlineStr">
        <is>
          <t>eindhoven:van-abbehuis</t>
        </is>
      </c>
      <c r="D237" s="29" t="inlineStr">
        <is>
          <t>Bilgi al</t>
        </is>
      </c>
      <c r="E237" s="29" t="inlineStr">
        <is>
          <t>https://vanabbehuis.com/the-house/</t>
        </is>
      </c>
      <c r="F237" s="49" t="n">
        <v>46317</v>
      </c>
      <c r="G237" s="51" t="n">
        <v>1</v>
      </c>
    </row>
    <row r="238" ht="54" customHeight="1">
      <c r="A238" s="29" t="inlineStr">
        <is>
          <t>eindhoven:action:baltan-laboratories-1</t>
        </is>
      </c>
      <c r="B238" s="29" t="inlineStr">
        <is>
          <t>eindhoven</t>
        </is>
      </c>
      <c r="C238" s="29" t="inlineStr">
        <is>
          <t>eindhoven:baltan-laboratories</t>
        </is>
      </c>
      <c r="D238" s="29" t="inlineStr">
        <is>
          <t>Bilgi al</t>
        </is>
      </c>
      <c r="E238" s="29" t="inlineStr">
        <is>
          <t>https://www.baltanlaboratories.org/about</t>
        </is>
      </c>
      <c r="F238" s="49" t="n">
        <v>46317</v>
      </c>
      <c r="G238" s="51" t="n">
        <v>1</v>
      </c>
    </row>
    <row r="239" ht="54" customHeight="1">
      <c r="A239" s="29" t="inlineStr">
        <is>
          <t>eindhoven:action:the-pool-1</t>
        </is>
      </c>
      <c r="B239" s="29" t="inlineStr">
        <is>
          <t>eindhoven</t>
        </is>
      </c>
      <c r="C239" s="29" t="inlineStr">
        <is>
          <t>eindhoven:the-pool</t>
        </is>
      </c>
      <c r="D239" s="29" t="inlineStr">
        <is>
          <t>Bilgi al</t>
        </is>
      </c>
      <c r="E239" s="29" t="inlineStr">
        <is>
          <t>https://www.thisiseindhoven.com/en/locations/the-pool</t>
        </is>
      </c>
      <c r="F239" s="49" t="n">
        <v>46317</v>
      </c>
      <c r="G239" s="51" t="n">
        <v>1</v>
      </c>
    </row>
    <row r="240" ht="54" customHeight="1">
      <c r="A240" s="29" t="inlineStr">
        <is>
          <t>eindhoven:action:bioart-laboratories-1</t>
        </is>
      </c>
      <c r="B240" s="29" t="inlineStr">
        <is>
          <t>eindhoven</t>
        </is>
      </c>
      <c r="C240" s="29" t="inlineStr">
        <is>
          <t>eindhoven:bioart-laboratories</t>
        </is>
      </c>
      <c r="D240" s="29" t="inlineStr">
        <is>
          <t>Randevu al</t>
        </is>
      </c>
      <c r="E240" s="29" t="inlineStr">
        <is>
          <t>https://bioartlab.com/contact/</t>
        </is>
      </c>
      <c r="F240" s="49" t="n">
        <v>46317</v>
      </c>
      <c r="G240" s="51" t="n">
        <v>1</v>
      </c>
    </row>
    <row r="241" ht="54" customHeight="1">
      <c r="A241" s="29" t="inlineStr">
        <is>
          <t>eindhoven:action:het-koelhuis-1</t>
        </is>
      </c>
      <c r="B241" s="29" t="inlineStr">
        <is>
          <t>eindhoven</t>
        </is>
      </c>
      <c r="C241" s="29" t="inlineStr">
        <is>
          <t>eindhoven:het-koelhuis</t>
        </is>
      </c>
      <c r="D241" s="29" t="inlineStr">
        <is>
          <t>Yol tarifi al</t>
        </is>
      </c>
      <c r="E241" s="29" t="inlineStr">
        <is>
          <t>https://www.koelhuiseindhoven.nl/contacts</t>
        </is>
      </c>
      <c r="F241" s="49" t="n">
        <v>46317</v>
      </c>
      <c r="G241" s="51" t="n">
        <v>1</v>
      </c>
    </row>
    <row r="242" ht="54" customHeight="1">
      <c r="A242" s="29" t="inlineStr">
        <is>
          <t>eindhoven:action:het-koelhuis-2</t>
        </is>
      </c>
      <c r="B242" s="29" t="inlineStr">
        <is>
          <t>eindhoven</t>
        </is>
      </c>
      <c r="C242" s="29" t="inlineStr">
        <is>
          <t>eindhoven:het-koelhuis</t>
        </is>
      </c>
      <c r="D242" s="29" t="inlineStr">
        <is>
          <t>Bilgi al</t>
        </is>
      </c>
      <c r="E242" s="29" t="inlineStr">
        <is>
          <t>https://www.koelhuiseindhoven.nl/events-at-koelhuis</t>
        </is>
      </c>
      <c r="F242" s="49" t="n">
        <v>46317</v>
      </c>
      <c r="G242" s="51" t="n">
        <v>2</v>
      </c>
    </row>
    <row r="243" ht="54" customHeight="1">
      <c r="A243" s="29" t="inlineStr">
        <is>
          <t>eindhoven:action:piet-hein-eek-1</t>
        </is>
      </c>
      <c r="B243" s="29" t="inlineStr">
        <is>
          <t>eindhoven</t>
        </is>
      </c>
      <c r="C243" s="29" t="inlineStr">
        <is>
          <t>eindhoven:piet-hein-eek</t>
        </is>
      </c>
      <c r="D243" s="29" t="inlineStr">
        <is>
          <t>Bilgi al</t>
        </is>
      </c>
      <c r="E243" s="29" t="inlineStr">
        <is>
          <t>https://www.thisiseindhoven.com/en/locations/shop-showroom-piet-hein-eek</t>
        </is>
      </c>
      <c r="F243" s="49" t="n">
        <v>46317</v>
      </c>
      <c r="G243" s="51" t="n">
        <v>1</v>
      </c>
    </row>
    <row r="244" ht="54" customHeight="1">
      <c r="A244" s="29" t="inlineStr">
        <is>
          <t>eindhoven:action:effenaar-1</t>
        </is>
      </c>
      <c r="B244" s="29" t="inlineStr">
        <is>
          <t>eindhoven</t>
        </is>
      </c>
      <c r="C244" s="29" t="inlineStr">
        <is>
          <t>eindhoven:effenaar</t>
        </is>
      </c>
      <c r="D244" s="29" t="inlineStr">
        <is>
          <t>Ziyaret bilgisi</t>
        </is>
      </c>
      <c r="E244" s="29" t="inlineStr">
        <is>
          <t>https://www.effenaar.nl/plan-je-bezoek-aan-effenaar</t>
        </is>
      </c>
      <c r="F244" s="49" t="n">
        <v>46317</v>
      </c>
      <c r="G244" s="51" t="n">
        <v>1</v>
      </c>
    </row>
    <row r="245" ht="54" customHeight="1">
      <c r="A245" s="29" t="inlineStr">
        <is>
          <t>eindhoven:action:muziekgebouw-eindhoven-1</t>
        </is>
      </c>
      <c r="B245" s="29" t="inlineStr">
        <is>
          <t>eindhoven</t>
        </is>
      </c>
      <c r="C245" s="29" t="inlineStr">
        <is>
          <t>eindhoven:muziekgebouw-eindhoven</t>
        </is>
      </c>
      <c r="D245" s="29" t="inlineStr">
        <is>
          <t>Bilgi al</t>
        </is>
      </c>
      <c r="E245" s="29" t="inlineStr">
        <is>
          <t>https://mge.nl/en/visit-us/contact/</t>
        </is>
      </c>
      <c r="F245" s="49" t="n">
        <v>46317</v>
      </c>
      <c r="G245" s="51" t="n">
        <v>1</v>
      </c>
    </row>
    <row r="246" ht="54" customHeight="1">
      <c r="A246" s="29" t="inlineStr">
        <is>
          <t>eindhoven:action:parktheater-eindhoven-1</t>
        </is>
      </c>
      <c r="B246" s="29" t="inlineStr">
        <is>
          <t>eindhoven</t>
        </is>
      </c>
      <c r="C246" s="29" t="inlineStr">
        <is>
          <t>eindhoven:parktheater-eindhoven</t>
        </is>
      </c>
      <c r="D246" s="29" t="inlineStr">
        <is>
          <t>Ziyaret bilgisi</t>
        </is>
      </c>
      <c r="E246" s="29" t="inlineStr">
        <is>
          <t>https://www.thisiseindhoven.com/en/locations/parktheater-eindhoven</t>
        </is>
      </c>
      <c r="F246" s="49" t="n">
        <v>46317</v>
      </c>
      <c r="G246" s="51" t="n">
        <v>1</v>
      </c>
    </row>
    <row r="247" ht="54" customHeight="1">
      <c r="A247" s="29" t="inlineStr">
        <is>
          <t>eindhoven:action:natlab-1</t>
        </is>
      </c>
      <c r="B247" s="29" t="inlineStr">
        <is>
          <t>eindhoven</t>
        </is>
      </c>
      <c r="C247" s="29" t="inlineStr">
        <is>
          <t>eindhoven:natlab</t>
        </is>
      </c>
      <c r="D247" s="29" t="inlineStr">
        <is>
          <t>Ziyaret bilgisi</t>
        </is>
      </c>
      <c r="E247" s="29" t="inlineStr">
        <is>
          <t>https://www.thisiseindhoven.com/en/locations/natlab</t>
        </is>
      </c>
      <c r="F247" s="49" t="n">
        <v>46317</v>
      </c>
      <c r="G247" s="51" t="n">
        <v>1</v>
      </c>
    </row>
    <row r="248" ht="54" customHeight="1">
      <c r="A248" s="29" t="inlineStr">
        <is>
          <t>eindhoven:action:stage-music-cafe-1</t>
        </is>
      </c>
      <c r="B248" s="29" t="inlineStr">
        <is>
          <t>eindhoven</t>
        </is>
      </c>
      <c r="C248" s="29" t="inlineStr">
        <is>
          <t>eindhoven:stage-music-cafe</t>
        </is>
      </c>
      <c r="D248" s="29" t="inlineStr">
        <is>
          <t>Ziyaret bilgisi</t>
        </is>
      </c>
      <c r="E248" s="29" t="inlineStr">
        <is>
          <t>https://www.thisiseindhoven.com/en/locations/stage-music-cafe</t>
        </is>
      </c>
      <c r="F248" s="49" t="n">
        <v>46317</v>
      </c>
      <c r="G248" s="51" t="n">
        <v>1</v>
      </c>
    </row>
    <row r="249" ht="54" customHeight="1">
      <c r="A249" s="29" t="inlineStr">
        <is>
          <t>eindhoven:action:pathe-eindhoven-1</t>
        </is>
      </c>
      <c r="B249" s="29" t="inlineStr">
        <is>
          <t>eindhoven</t>
        </is>
      </c>
      <c r="C249" s="29" t="inlineStr">
        <is>
          <t>eindhoven:pathe-eindhoven</t>
        </is>
      </c>
      <c r="D249" s="29" t="inlineStr">
        <is>
          <t>Ziyaret bilgisi</t>
        </is>
      </c>
      <c r="E249" s="29" t="inlineStr">
        <is>
          <t>https://www.thisiseindhoven.com/en/locations/pathe-eindhoven</t>
        </is>
      </c>
      <c r="F249" s="49" t="n">
        <v>46317</v>
      </c>
      <c r="G249" s="51" t="n">
        <v>1</v>
      </c>
    </row>
    <row r="250" ht="54" customHeight="1">
      <c r="A250" s="29" t="inlineStr">
        <is>
          <t>eindhoven:action:vue-eindhoven-1</t>
        </is>
      </c>
      <c r="B250" s="29" t="inlineStr">
        <is>
          <t>eindhoven</t>
        </is>
      </c>
      <c r="C250" s="29" t="inlineStr">
        <is>
          <t>eindhoven:vue-eindhoven</t>
        </is>
      </c>
      <c r="D250" s="29" t="inlineStr">
        <is>
          <t>Ziyaret bilgisi</t>
        </is>
      </c>
      <c r="E250" s="29" t="inlineStr">
        <is>
          <t>https://www.thisiseindhoven.com/en/locations/vue-eindhoven</t>
        </is>
      </c>
      <c r="F250" s="49" t="n">
        <v>46317</v>
      </c>
      <c r="G250" s="51" t="n">
        <v>1</v>
      </c>
    </row>
    <row r="251" ht="54" customHeight="1">
      <c r="A251" s="29" t="inlineStr">
        <is>
          <t>eindhoven:action:dynamo-1</t>
        </is>
      </c>
      <c r="B251" s="29" t="inlineStr">
        <is>
          <t>eindhoven</t>
        </is>
      </c>
      <c r="C251" s="29" t="inlineStr">
        <is>
          <t>eindhoven:dynamo</t>
        </is>
      </c>
      <c r="D251" s="29" t="inlineStr">
        <is>
          <t>Ziyaret bilgisi</t>
        </is>
      </c>
      <c r="E251" s="29" t="inlineStr">
        <is>
          <t>https://www.thisiseindhoven.com/en/locations/dynamo</t>
        </is>
      </c>
      <c r="F251" s="49" t="n">
        <v>46317</v>
      </c>
      <c r="G251" s="51" t="n">
        <v>1</v>
      </c>
    </row>
    <row r="252" ht="54" customHeight="1">
      <c r="A252" s="29" t="inlineStr">
        <is>
          <t>eindhoven:action:jazzclub-osje-1</t>
        </is>
      </c>
      <c r="B252" s="29" t="inlineStr">
        <is>
          <t>eindhoven</t>
        </is>
      </c>
      <c r="C252" s="29" t="inlineStr">
        <is>
          <t>eindhoven:jazzclub-osje</t>
        </is>
      </c>
      <c r="D252" s="29" t="inlineStr">
        <is>
          <t>Ziyaret bilgisi</t>
        </is>
      </c>
      <c r="E252" s="29" t="inlineStr">
        <is>
          <t>https://www.thisiseindhoven.com/en/locations/jazzclub-osje</t>
        </is>
      </c>
      <c r="F252" s="49" t="n">
        <v>46317</v>
      </c>
      <c r="G252" s="51" t="n">
        <v>1</v>
      </c>
    </row>
    <row r="253" ht="54" customHeight="1">
      <c r="A253" s="29" t="inlineStr">
        <is>
          <t>eindhoven:action:filmhuis-de-zwarte-doos-1</t>
        </is>
      </c>
      <c r="B253" s="29" t="inlineStr">
        <is>
          <t>eindhoven</t>
        </is>
      </c>
      <c r="C253" s="29" t="inlineStr">
        <is>
          <t>eindhoven:filmhuis-de-zwarte-doos</t>
        </is>
      </c>
      <c r="D253" s="29" t="inlineStr">
        <is>
          <t>Ziyaret bilgisi</t>
        </is>
      </c>
      <c r="E253" s="29" t="inlineStr">
        <is>
          <t>https://www.thisiseindhoven.com/en/locations/filmhuis-de-zwarte-doos</t>
        </is>
      </c>
      <c r="F253" s="49" t="n">
        <v>46317</v>
      </c>
      <c r="G253" s="51" t="n">
        <v>1</v>
      </c>
    </row>
    <row r="254" ht="54" customHeight="1">
      <c r="A254" s="29" t="inlineStr">
        <is>
          <t>eindhoven:action:paviljoen-ongehoorde-muziek-1</t>
        </is>
      </c>
      <c r="B254" s="29" t="inlineStr">
        <is>
          <t>eindhoven</t>
        </is>
      </c>
      <c r="C254" s="29" t="inlineStr">
        <is>
          <t>eindhoven:paviljoen-ongehoorde-muziek</t>
        </is>
      </c>
      <c r="D254" s="29" t="inlineStr">
        <is>
          <t>Ziyaret bilgisi</t>
        </is>
      </c>
      <c r="E254" s="29" t="inlineStr">
        <is>
          <t>https://www.pomeindhoven.nl/project-02</t>
        </is>
      </c>
      <c r="F254" s="49" t="n">
        <v>46318</v>
      </c>
      <c r="G254" s="51" t="n">
        <v>1</v>
      </c>
    </row>
    <row r="255" ht="54" customHeight="1">
      <c r="A255" s="29" t="inlineStr">
        <is>
          <t>eindhoven:action:wim-van-doorne-muziekkiosk-1</t>
        </is>
      </c>
      <c r="B255" s="29" t="inlineStr">
        <is>
          <t>eindhoven</t>
        </is>
      </c>
      <c r="C255" s="29" t="inlineStr">
        <is>
          <t>eindhoven:wim-van-doorne-muziekkiosk</t>
        </is>
      </c>
      <c r="D255" s="29" t="inlineStr">
        <is>
          <t>Bilgi al</t>
        </is>
      </c>
      <c r="E255" s="29" t="inlineStr">
        <is>
          <t>https://www.wimvandoornemuziekkiosk.nl/contact/</t>
        </is>
      </c>
      <c r="F255" s="49" t="n">
        <v>46317</v>
      </c>
      <c r="G255" s="51" t="n">
        <v>1</v>
      </c>
    </row>
    <row r="256" ht="54" customHeight="1">
      <c r="A256" s="29" t="inlineStr">
        <is>
          <t>eindhoven:action:arno-s-theater-1</t>
        </is>
      </c>
      <c r="B256" s="29" t="inlineStr">
        <is>
          <t>eindhoven</t>
        </is>
      </c>
      <c r="C256" s="29" t="inlineStr">
        <is>
          <t>eindhoven:arno-s-theater</t>
        </is>
      </c>
      <c r="D256" s="29" t="inlineStr">
        <is>
          <t>Bilet al</t>
        </is>
      </c>
      <c r="E256" s="29" t="inlineStr">
        <is>
          <t>https://www.arnohuibers.nl/arno-s-theater</t>
        </is>
      </c>
      <c r="F256" s="49" t="n">
        <v>46317</v>
      </c>
      <c r="G256" s="51" t="n">
        <v>1</v>
      </c>
    </row>
    <row r="257" ht="54" customHeight="1">
      <c r="A257" s="29" t="inlineStr">
        <is>
          <t>eindhoven:action:theater-carte-blanche-1</t>
        </is>
      </c>
      <c r="B257" s="29" t="inlineStr">
        <is>
          <t>eindhoven</t>
        </is>
      </c>
      <c r="C257" s="29" t="inlineStr">
        <is>
          <t>eindhoven:theater-carte-blanche</t>
        </is>
      </c>
      <c r="D257" s="29" t="inlineStr">
        <is>
          <t>Bilgi al</t>
        </is>
      </c>
      <c r="E257" s="29" t="inlineStr">
        <is>
          <t>https://carteblanche.nu/contact/</t>
        </is>
      </c>
      <c r="F257" s="49" t="n">
        <v>46317</v>
      </c>
      <c r="G257" s="51" t="n">
        <v>1</v>
      </c>
    </row>
    <row r="258" ht="54" customHeight="1">
      <c r="A258" s="29" t="inlineStr">
        <is>
          <t>eindhoven:action:philips-stadion-psv-1</t>
        </is>
      </c>
      <c r="B258" s="29" t="inlineStr">
        <is>
          <t>eindhoven</t>
        </is>
      </c>
      <c r="C258" s="29" t="inlineStr">
        <is>
          <t>eindhoven:philips-stadion-psv</t>
        </is>
      </c>
      <c r="D258" s="29" t="inlineStr">
        <is>
          <t>Ziyaret bilgisi</t>
        </is>
      </c>
      <c r="E258" s="29" t="inlineStr">
        <is>
          <t>https://www.thisiseindhoven.com/en/locations/psv-stadium-tour</t>
        </is>
      </c>
      <c r="F258" s="49" t="n">
        <v>46317</v>
      </c>
      <c r="G258" s="51" t="n">
        <v>1</v>
      </c>
    </row>
    <row r="259" ht="54" customHeight="1">
      <c r="A259" s="29" t="inlineStr">
        <is>
          <t>eindhoven:action:nationaal-zwemcentrum-de-tongelreep-1</t>
        </is>
      </c>
      <c r="B259" s="29" t="inlineStr">
        <is>
          <t>eindhoven</t>
        </is>
      </c>
      <c r="C259" s="29" t="inlineStr">
        <is>
          <t>eindhoven:nationaal-zwemcentrum-de-tongelreep</t>
        </is>
      </c>
      <c r="D259" s="29" t="inlineStr">
        <is>
          <t>Bilgi al</t>
        </is>
      </c>
      <c r="E259" s="29" t="inlineStr">
        <is>
          <t>https://www.eindhovensport.nl/zwemmen/tongelreep/contact-met-de-tongelreep</t>
        </is>
      </c>
      <c r="F259" s="49" t="n">
        <v>46317</v>
      </c>
      <c r="G259" s="51" t="n">
        <v>1</v>
      </c>
    </row>
    <row r="260" ht="54" customHeight="1">
      <c r="A260" s="29" t="inlineStr">
        <is>
          <t>eindhoven:action:ijssportcentrum-eindhoven-1</t>
        </is>
      </c>
      <c r="B260" s="29" t="inlineStr">
        <is>
          <t>eindhoven</t>
        </is>
      </c>
      <c r="C260" s="29" t="inlineStr">
        <is>
          <t>eindhoven:ijssportcentrum-eindhoven</t>
        </is>
      </c>
      <c r="D260" s="29" t="inlineStr">
        <is>
          <t>Bilgi al</t>
        </is>
      </c>
      <c r="E260" s="29" t="inlineStr">
        <is>
          <t>https://www.ijssportcentrum.nl/contact/</t>
        </is>
      </c>
      <c r="F260" s="49" t="n">
        <v>46317</v>
      </c>
      <c r="G260" s="51" t="n">
        <v>1</v>
      </c>
    </row>
    <row r="261" ht="54" customHeight="1">
      <c r="A261" s="29" t="inlineStr">
        <is>
          <t>eindhoven:action:indoor-sportcentrum-eindhoven-1</t>
        </is>
      </c>
      <c r="B261" s="29" t="inlineStr">
        <is>
          <t>eindhoven</t>
        </is>
      </c>
      <c r="C261" s="29" t="inlineStr">
        <is>
          <t>eindhoven:indoor-sportcentrum-eindhoven</t>
        </is>
      </c>
      <c r="D261" s="29" t="inlineStr">
        <is>
          <t>Bilgi al</t>
        </is>
      </c>
      <c r="E261" s="29" t="inlineStr">
        <is>
          <t>https://www.eindhovensport.nl/sportaccommodatie-huren/indoor-sportcentrum-eindhoven</t>
        </is>
      </c>
      <c r="F261" s="49" t="n">
        <v>46317</v>
      </c>
      <c r="G261" s="51" t="n">
        <v>1</v>
      </c>
    </row>
    <row r="262" ht="54" customHeight="1">
      <c r="A262" s="29" t="inlineStr">
        <is>
          <t>eindhoven:action:ir-ottenbad-1</t>
        </is>
      </c>
      <c r="B262" s="29" t="inlineStr">
        <is>
          <t>eindhoven</t>
        </is>
      </c>
      <c r="C262" s="29" t="inlineStr">
        <is>
          <t>eindhoven:ir-ottenbad</t>
        </is>
      </c>
      <c r="D262" s="29" t="inlineStr">
        <is>
          <t>Bilgi al</t>
        </is>
      </c>
      <c r="E262" s="29" t="inlineStr">
        <is>
          <t>https://eindhovensport.nl/zwemmen/ir-ottenbad/contact-met-ir-ottenbad</t>
        </is>
      </c>
      <c r="F262" s="49" t="n">
        <v>46317</v>
      </c>
      <c r="G262" s="51" t="n">
        <v>1</v>
      </c>
    </row>
    <row r="263" ht="54" customHeight="1">
      <c r="A263" s="29" t="inlineStr">
        <is>
          <t>eindhoven:action:area-51-skatepark-1</t>
        </is>
      </c>
      <c r="B263" s="29" t="inlineStr">
        <is>
          <t>eindhoven</t>
        </is>
      </c>
      <c r="C263" s="29" t="inlineStr">
        <is>
          <t>eindhoven:area-51-skatepark</t>
        </is>
      </c>
      <c r="D263" s="29" t="inlineStr">
        <is>
          <t>Ziyaret bilgisi</t>
        </is>
      </c>
      <c r="E263" s="29" t="inlineStr">
        <is>
          <t>https://www.area51eindhoven.nl/plan-your-visit/</t>
        </is>
      </c>
      <c r="F263" s="49" t="n">
        <v>46317</v>
      </c>
      <c r="G263" s="51" t="n">
        <v>1</v>
      </c>
    </row>
    <row r="264" ht="54" customHeight="1">
      <c r="A264" s="29" t="inlineStr">
        <is>
          <t>eindhoven:action:urban-sportpark-t-schoot-1</t>
        </is>
      </c>
      <c r="B264" s="29" t="inlineStr">
        <is>
          <t>eindhoven</t>
        </is>
      </c>
      <c r="C264" s="29" t="inlineStr">
        <is>
          <t>eindhoven:urban-sportpark-t-schoot</t>
        </is>
      </c>
      <c r="D264" s="29" t="inlineStr">
        <is>
          <t>Ziyaret bilgisi</t>
        </is>
      </c>
      <c r="E264" s="29" t="inlineStr">
        <is>
          <t>https://www.thisiseindhoven.com/en/locations/urban-sportpark-t-schoot</t>
        </is>
      </c>
      <c r="F264" s="49" t="n">
        <v>46317</v>
      </c>
      <c r="G264" s="51" t="n">
        <v>1</v>
      </c>
    </row>
    <row r="265" ht="54" customHeight="1">
      <c r="A265" s="29" t="inlineStr">
        <is>
          <t>eindhoven:action:sportpark-strijp-1</t>
        </is>
      </c>
      <c r="B265" s="29" t="inlineStr">
        <is>
          <t>eindhoven</t>
        </is>
      </c>
      <c r="C265" s="29" t="inlineStr">
        <is>
          <t>eindhoven:sportpark-strijp</t>
        </is>
      </c>
      <c r="D265" s="29" t="inlineStr">
        <is>
          <t>Bilgi al</t>
        </is>
      </c>
      <c r="E265" s="29" t="inlineStr">
        <is>
          <t>https://www.eindhovensport.nl/sportaccommodatie-huren/sportpark-strijp</t>
        </is>
      </c>
      <c r="F265" s="49" t="n">
        <v>46317</v>
      </c>
      <c r="G265" s="51" t="n">
        <v>1</v>
      </c>
    </row>
    <row r="266" ht="54" customHeight="1">
      <c r="A266" s="29" t="inlineStr">
        <is>
          <t>eindhoven:action:jan-louwers-stadion-1</t>
        </is>
      </c>
      <c r="B266" s="29" t="inlineStr">
        <is>
          <t>eindhoven</t>
        </is>
      </c>
      <c r="C266" s="29" t="inlineStr">
        <is>
          <t>eindhoven:jan-louwers-stadion</t>
        </is>
      </c>
      <c r="D266" s="29" t="inlineStr">
        <is>
          <t>Bilgi al</t>
        </is>
      </c>
      <c r="E266" s="29" t="inlineStr">
        <is>
          <t>https://www.fc-eindhoven.nl/jan-louwers-stadion/</t>
        </is>
      </c>
      <c r="F266" s="49" t="n">
        <v>46317</v>
      </c>
      <c r="G266" s="51" t="n">
        <v>1</v>
      </c>
    </row>
    <row r="267" ht="54" customHeight="1">
      <c r="A267" s="29" t="inlineStr">
        <is>
          <t>eindhoven:action:klimcentrum-neoliet-eindhoven-zuid-1</t>
        </is>
      </c>
      <c r="B267" s="29" t="inlineStr">
        <is>
          <t>eindhoven</t>
        </is>
      </c>
      <c r="C267" s="29" t="inlineStr">
        <is>
          <t>eindhoven:klimcentrum-neoliet-eindhoven-zuid</t>
        </is>
      </c>
      <c r="D267" s="29" t="inlineStr">
        <is>
          <t>Ziyaret bilgisi</t>
        </is>
      </c>
      <c r="E267" s="29" t="inlineStr">
        <is>
          <t>https://www.thisiseindhoven.com/en/locations/klimcentrum-neoliet-eindhoven-zuid</t>
        </is>
      </c>
      <c r="F267" s="49" t="n">
        <v>46317</v>
      </c>
      <c r="G267" s="51" t="n">
        <v>1</v>
      </c>
    </row>
    <row r="268" ht="54" customHeight="1">
      <c r="A268" s="29" t="inlineStr">
        <is>
          <t>eindhoven:action:monk-bouldergym-1</t>
        </is>
      </c>
      <c r="B268" s="29" t="inlineStr">
        <is>
          <t>eindhoven</t>
        </is>
      </c>
      <c r="C268" s="29" t="inlineStr">
        <is>
          <t>eindhoven:monk-bouldergym</t>
        </is>
      </c>
      <c r="D268" s="29" t="inlineStr">
        <is>
          <t>Ziyaret bilgisi</t>
        </is>
      </c>
      <c r="E268" s="29" t="inlineStr">
        <is>
          <t>https://monk.nl/eindhoven/contact/</t>
        </is>
      </c>
      <c r="F268" s="49" t="n">
        <v>46317</v>
      </c>
      <c r="G268" s="51" t="n">
        <v>1</v>
      </c>
    </row>
    <row r="269" ht="54" customHeight="1">
      <c r="A269" s="29" t="inlineStr">
        <is>
          <t>eindhoven:action:happy-canoe-1</t>
        </is>
      </c>
      <c r="B269" s="29" t="inlineStr">
        <is>
          <t>eindhoven</t>
        </is>
      </c>
      <c r="C269" s="29" t="inlineStr">
        <is>
          <t>eindhoven:happy-canoe</t>
        </is>
      </c>
      <c r="D269" s="29" t="inlineStr">
        <is>
          <t>Ziyaret bilgisi</t>
        </is>
      </c>
      <c r="E269" s="29" t="inlineStr">
        <is>
          <t>https://www.thisiseindhoven.com/en/locations/happy-canoe</t>
        </is>
      </c>
      <c r="F269" s="49" t="n">
        <v>46317</v>
      </c>
      <c r="G269" s="51" t="n">
        <v>1</v>
      </c>
    </row>
    <row r="270" ht="54" customHeight="1">
      <c r="A270" s="29" t="inlineStr">
        <is>
          <t>eindhoven:action:eindhoven-atletiek-1</t>
        </is>
      </c>
      <c r="B270" s="29" t="inlineStr">
        <is>
          <t>eindhoven</t>
        </is>
      </c>
      <c r="C270" s="29" t="inlineStr">
        <is>
          <t>eindhoven:eindhoven-atletiek</t>
        </is>
      </c>
      <c r="D270" s="29" t="inlineStr">
        <is>
          <t>Bilgi al</t>
        </is>
      </c>
      <c r="E270" s="29" t="inlineStr">
        <is>
          <t>https://eindhovenatletiek.nl/clubinfo/</t>
        </is>
      </c>
      <c r="F270" s="49" t="n">
        <v>46317</v>
      </c>
      <c r="G270" s="51" t="n">
        <v>1</v>
      </c>
    </row>
    <row r="271" ht="54" customHeight="1">
      <c r="A271" s="29" t="inlineStr">
        <is>
          <t>eindhoven:action:genneper-parken-1</t>
        </is>
      </c>
      <c r="B271" s="29" t="inlineStr">
        <is>
          <t>eindhoven</t>
        </is>
      </c>
      <c r="C271" s="29" t="inlineStr">
        <is>
          <t>eindhoven:genneper-parken</t>
        </is>
      </c>
      <c r="D271" s="29" t="inlineStr">
        <is>
          <t>Bilgi al</t>
        </is>
      </c>
      <c r="E271" s="29" t="inlineStr">
        <is>
          <t>https://www.thisiseindhoven.com/en/locations/genneper-parken</t>
        </is>
      </c>
      <c r="F271" s="49" t="n">
        <v>46317</v>
      </c>
      <c r="G271" s="51" t="n">
        <v>1</v>
      </c>
    </row>
    <row r="272" ht="54" customHeight="1">
      <c r="A272" s="29" t="inlineStr">
        <is>
          <t>eindhoven:action:genneper-parken-2</t>
        </is>
      </c>
      <c r="B272" s="29" t="inlineStr">
        <is>
          <t>eindhoven</t>
        </is>
      </c>
      <c r="C272" s="29" t="inlineStr">
        <is>
          <t>eindhoven:genneper-parken</t>
        </is>
      </c>
      <c r="D272" s="29" t="inlineStr">
        <is>
          <t>İletişime geç</t>
        </is>
      </c>
      <c r="E272" s="29" t="inlineStr">
        <is>
          <t>https://paviljoengenneperparken.nl/contact/</t>
        </is>
      </c>
      <c r="F272" s="49" t="n">
        <v>46317</v>
      </c>
      <c r="G272" s="51" t="n">
        <v>2</v>
      </c>
    </row>
    <row r="273" ht="54" customHeight="1">
      <c r="A273" s="29" t="inlineStr">
        <is>
          <t>eindhoven:action:stadswandelpark-1</t>
        </is>
      </c>
      <c r="B273" s="29" t="inlineStr">
        <is>
          <t>eindhoven</t>
        </is>
      </c>
      <c r="C273" s="29" t="inlineStr">
        <is>
          <t>eindhoven:stadswandelpark</t>
        </is>
      </c>
      <c r="D273" s="29" t="inlineStr">
        <is>
          <t>Bilgi al</t>
        </is>
      </c>
      <c r="E273" s="29" t="inlineStr">
        <is>
          <t>https://www.thisiseindhoven.com/en/locations/stadswandelpark</t>
        </is>
      </c>
      <c r="F273" s="49" t="n">
        <v>46317</v>
      </c>
      <c r="G273" s="51" t="n">
        <v>1</v>
      </c>
    </row>
    <row r="274" ht="54" customHeight="1">
      <c r="A274" s="29" t="inlineStr">
        <is>
          <t>eindhoven:action:philips-de-jongh-wandelpark-1</t>
        </is>
      </c>
      <c r="B274" s="29" t="inlineStr">
        <is>
          <t>eindhoven</t>
        </is>
      </c>
      <c r="C274" s="29" t="inlineStr">
        <is>
          <t>eindhoven:philips-de-jongh-wandelpark</t>
        </is>
      </c>
      <c r="D274" s="29" t="inlineStr">
        <is>
          <t>Bilgi al</t>
        </is>
      </c>
      <c r="E274" s="29" t="inlineStr">
        <is>
          <t>https://www.thisiseindhoven.com/en/locations/philips-de-jongh-wandelpark</t>
        </is>
      </c>
      <c r="F274" s="49" t="n">
        <v>46317</v>
      </c>
      <c r="G274" s="51" t="n">
        <v>1</v>
      </c>
    </row>
    <row r="275" ht="54" customHeight="1">
      <c r="A275" s="29" t="inlineStr">
        <is>
          <t>eindhoven:action:philips-van-lenneppark-1</t>
        </is>
      </c>
      <c r="B275" s="29" t="inlineStr">
        <is>
          <t>eindhoven</t>
        </is>
      </c>
      <c r="C275" s="29" t="inlineStr">
        <is>
          <t>eindhoven:philips-van-lenneppark</t>
        </is>
      </c>
      <c r="D275" s="29" t="inlineStr">
        <is>
          <t>Bilgi al</t>
        </is>
      </c>
      <c r="E275" s="29" t="inlineStr">
        <is>
          <t>https://www.thisiseindhoven.com/en/locations/philips-van-lenneppark</t>
        </is>
      </c>
      <c r="F275" s="49" t="n">
        <v>46317</v>
      </c>
      <c r="G275" s="51" t="n">
        <v>1</v>
      </c>
    </row>
    <row r="276" ht="54" customHeight="1">
      <c r="A276" s="29" t="inlineStr">
        <is>
          <t>eindhoven:action:henri-dunantpark-1</t>
        </is>
      </c>
      <c r="B276" s="29" t="inlineStr">
        <is>
          <t>eindhoven</t>
        </is>
      </c>
      <c r="C276" s="29" t="inlineStr">
        <is>
          <t>eindhoven:henri-dunantpark</t>
        </is>
      </c>
      <c r="D276" s="29" t="inlineStr">
        <is>
          <t>Bilgi al</t>
        </is>
      </c>
      <c r="E276" s="29" t="inlineStr">
        <is>
          <t>https://www.thisiseindhoven.com/en/locations/henri-dunantpark</t>
        </is>
      </c>
      <c r="F276" s="49" t="n">
        <v>46317</v>
      </c>
      <c r="G276" s="51" t="n">
        <v>1</v>
      </c>
    </row>
    <row r="277" ht="54" customHeight="1">
      <c r="A277" s="29" t="inlineStr">
        <is>
          <t>eindhoven:action:landgoed-de-wielewaal-1</t>
        </is>
      </c>
      <c r="B277" s="29" t="inlineStr">
        <is>
          <t>eindhoven</t>
        </is>
      </c>
      <c r="C277" s="29" t="inlineStr">
        <is>
          <t>eindhoven:landgoed-de-wielewaal</t>
        </is>
      </c>
      <c r="D277" s="29" t="inlineStr">
        <is>
          <t>Ziyaret bilgisi</t>
        </is>
      </c>
      <c r="E277" s="29" t="inlineStr">
        <is>
          <t>https://www.openeindhoven.nl/projecten/strijp/eindhoven-noordwest/landgoed-de-wielewaal</t>
        </is>
      </c>
      <c r="F277" s="49" t="n">
        <v>46317</v>
      </c>
      <c r="G277" s="51" t="n">
        <v>1</v>
      </c>
    </row>
    <row r="278" ht="54" customHeight="1">
      <c r="A278" s="29" t="inlineStr">
        <is>
          <t>eindhoven:action:wandelpark-eckart-eckartse-bos-1</t>
        </is>
      </c>
      <c r="B278" s="29" t="inlineStr">
        <is>
          <t>eindhoven</t>
        </is>
      </c>
      <c r="C278" s="29" t="inlineStr">
        <is>
          <t>eindhoven:wandelpark-eckart-eckartse-bos</t>
        </is>
      </c>
      <c r="D278" s="29" t="inlineStr">
        <is>
          <t>Bilgi al</t>
        </is>
      </c>
      <c r="E278" s="29" t="inlineStr">
        <is>
          <t>https://www.thisiseindhoven.com/en/see-and-do/fun-things-to-do/evergeen-eindhoven-parks</t>
        </is>
      </c>
      <c r="F278" s="49" t="n">
        <v>46317</v>
      </c>
      <c r="G278" s="51" t="n">
        <v>1</v>
      </c>
    </row>
    <row r="279" ht="54" customHeight="1">
      <c r="A279" s="29" t="inlineStr">
        <is>
          <t>eindhoven:action:heempark-frater-simon-deltour-1</t>
        </is>
      </c>
      <c r="B279" s="29" t="inlineStr">
        <is>
          <t>eindhoven</t>
        </is>
      </c>
      <c r="C279" s="29" t="inlineStr">
        <is>
          <t>eindhoven:heempark-frater-simon-deltour</t>
        </is>
      </c>
      <c r="D279" s="29" t="inlineStr">
        <is>
          <t>Bilgi al</t>
        </is>
      </c>
      <c r="E279" s="29" t="inlineStr">
        <is>
          <t>https://www.thisiseindhoven.com/en/see-and-do/fun-things-to-do/evergeen-eindhoven-parks</t>
        </is>
      </c>
      <c r="F279" s="49" t="n">
        <v>46317</v>
      </c>
      <c r="G279" s="51" t="n">
        <v>1</v>
      </c>
    </row>
    <row r="280" ht="54" customHeight="1">
      <c r="A280" s="29" t="inlineStr">
        <is>
          <t>eindhoven:action:wasven-1</t>
        </is>
      </c>
      <c r="B280" s="29" t="inlineStr">
        <is>
          <t>eindhoven</t>
        </is>
      </c>
      <c r="C280" s="29" t="inlineStr">
        <is>
          <t>eindhoven:wasven</t>
        </is>
      </c>
      <c r="D280" s="29" t="inlineStr">
        <is>
          <t>Ziyaret bilgisi</t>
        </is>
      </c>
      <c r="E280" s="29" t="inlineStr">
        <is>
          <t>https://wasven.nl/contact/</t>
        </is>
      </c>
      <c r="F280" s="49" t="n">
        <v>46317</v>
      </c>
      <c r="G280" s="51" t="n">
        <v>1</v>
      </c>
    </row>
    <row r="281" ht="54" customHeight="1">
      <c r="A281" s="29" t="inlineStr">
        <is>
          <t>eindhoven:action:de-ontdekfabriek-1</t>
        </is>
      </c>
      <c r="B281" s="29" t="inlineStr">
        <is>
          <t>eindhoven</t>
        </is>
      </c>
      <c r="C281" s="29" t="inlineStr">
        <is>
          <t>eindhoven:de-ontdekfabriek</t>
        </is>
      </c>
      <c r="D281" s="29" t="inlineStr">
        <is>
          <t>Bilet al</t>
        </is>
      </c>
      <c r="E281" s="29" t="inlineStr">
        <is>
          <t>https://deontdekfabriek.nl/praktische-info/</t>
        </is>
      </c>
      <c r="F281" s="49" t="n">
        <v>46317</v>
      </c>
      <c r="G281" s="51" t="n">
        <v>1</v>
      </c>
    </row>
    <row r="282" ht="54" customHeight="1">
      <c r="A282" s="29" t="inlineStr">
        <is>
          <t>eindhoven:action:speelpark-de-splinter-1</t>
        </is>
      </c>
      <c r="B282" s="29" t="inlineStr">
        <is>
          <t>eindhoven</t>
        </is>
      </c>
      <c r="C282" s="29" t="inlineStr">
        <is>
          <t>eindhoven:speelpark-de-splinter</t>
        </is>
      </c>
      <c r="D282" s="29" t="inlineStr">
        <is>
          <t>Bilgi al</t>
        </is>
      </c>
      <c r="E282" s="29" t="inlineStr">
        <is>
          <t>https://www.thisiseindhoven.com/en/locations/speelpark-de-splinter</t>
        </is>
      </c>
      <c r="F282" s="49" t="n">
        <v>46317</v>
      </c>
      <c r="G282" s="51" t="n">
        <v>1</v>
      </c>
    </row>
    <row r="283" ht="54" customHeight="1">
      <c r="A283" s="29" t="inlineStr">
        <is>
          <t>eindhoven:action:genneper-hoeve-1</t>
        </is>
      </c>
      <c r="B283" s="29" t="inlineStr">
        <is>
          <t>eindhoven</t>
        </is>
      </c>
      <c r="C283" s="29" t="inlineStr">
        <is>
          <t>eindhoven:genneper-hoeve</t>
        </is>
      </c>
      <c r="D283" s="29" t="inlineStr">
        <is>
          <t>Bilgi al</t>
        </is>
      </c>
      <c r="E283" s="29" t="inlineStr">
        <is>
          <t>https://www.thisiseindhoven.com/en/locations/genneper-hoeve</t>
        </is>
      </c>
      <c r="F283" s="49" t="n">
        <v>46317</v>
      </c>
      <c r="G283" s="51" t="n">
        <v>1</v>
      </c>
    </row>
    <row r="284" ht="54" customHeight="1">
      <c r="A284" s="29" t="inlineStr">
        <is>
          <t>eindhoven:action:eigen-wijs-boerderij-1</t>
        </is>
      </c>
      <c r="B284" s="29" t="inlineStr">
        <is>
          <t>eindhoven</t>
        </is>
      </c>
      <c r="C284" s="29" t="inlineStr">
        <is>
          <t>eindhoven:eigen-wijs-boerderij</t>
        </is>
      </c>
      <c r="D284" s="29" t="inlineStr">
        <is>
          <t>Bilgi al</t>
        </is>
      </c>
      <c r="E284" s="29" t="inlineStr">
        <is>
          <t>https://www.thisiseindhoven.com/en/locations/kinderboerderij-philips-van-lenneppark</t>
        </is>
      </c>
      <c r="F284" s="49" t="n">
        <v>46317</v>
      </c>
      <c r="G284" s="51" t="n">
        <v>1</v>
      </c>
    </row>
    <row r="285" ht="54" customHeight="1">
      <c r="A285" s="29" t="inlineStr">
        <is>
          <t>eindhoven:action:wasvenboerderij-speeltuin-1</t>
        </is>
      </c>
      <c r="B285" s="29" t="inlineStr">
        <is>
          <t>eindhoven</t>
        </is>
      </c>
      <c r="C285" s="29" t="inlineStr">
        <is>
          <t>eindhoven:wasvenboerderij-speeltuin</t>
        </is>
      </c>
      <c r="D285" s="29" t="inlineStr">
        <is>
          <t>Bilgi al</t>
        </is>
      </c>
      <c r="E285" s="29" t="inlineStr">
        <is>
          <t>https://www.thisiseindhoven.com/en/locations/speeltuin-wasvenboerderij</t>
        </is>
      </c>
      <c r="F285" s="49" t="n">
        <v>46317</v>
      </c>
      <c r="G285" s="51" t="n">
        <v>1</v>
      </c>
    </row>
    <row r="286" ht="54" customHeight="1">
      <c r="A286" s="29" t="inlineStr">
        <is>
          <t>eindhoven:action:speeltuin-philipsdorp-1</t>
        </is>
      </c>
      <c r="B286" s="29" t="inlineStr">
        <is>
          <t>eindhoven</t>
        </is>
      </c>
      <c r="C286" s="29" t="inlineStr">
        <is>
          <t>eindhoven:speeltuin-philipsdorp</t>
        </is>
      </c>
      <c r="D286" s="29" t="inlineStr">
        <is>
          <t>Formu doldur</t>
        </is>
      </c>
      <c r="E286" s="29" t="inlineStr">
        <is>
          <t>https://www.speeltuinphilipsdorp.nl/contact</t>
        </is>
      </c>
      <c r="F286" s="49" t="n">
        <v>46317</v>
      </c>
      <c r="G286" s="51" t="n">
        <v>1</v>
      </c>
    </row>
    <row r="287" ht="54" customHeight="1">
      <c r="A287" s="29" t="inlineStr">
        <is>
          <t>eindhoven:action:sint-joseph-speeltuin-1</t>
        </is>
      </c>
      <c r="B287" s="29" t="inlineStr">
        <is>
          <t>eindhoven</t>
        </is>
      </c>
      <c r="C287" s="29" t="inlineStr">
        <is>
          <t>eindhoven:sint-joseph-speeltuin</t>
        </is>
      </c>
      <c r="D287" s="29" t="inlineStr">
        <is>
          <t>Bilgi al</t>
        </is>
      </c>
      <c r="E287" s="29" t="inlineStr">
        <is>
          <t>https://www.thisiseindhoven.com/en/locations/sint-joseph-speeltuin</t>
        </is>
      </c>
      <c r="F287" s="49" t="n">
        <v>46317</v>
      </c>
      <c r="G287" s="51" t="n">
        <v>1</v>
      </c>
    </row>
    <row r="288" ht="54" customHeight="1">
      <c r="A288" s="29" t="inlineStr">
        <is>
          <t>eindhoven:action:speeltuin-voj-1</t>
        </is>
      </c>
      <c r="B288" s="29" t="inlineStr">
        <is>
          <t>eindhoven</t>
        </is>
      </c>
      <c r="C288" s="29" t="inlineStr">
        <is>
          <t>eindhoven:speeltuin-voj</t>
        </is>
      </c>
      <c r="D288" s="29" t="inlineStr">
        <is>
          <t>Bilgi al</t>
        </is>
      </c>
      <c r="E288" s="29" t="inlineStr">
        <is>
          <t>https://www.thisiseindhoven.com/en/locations/speeltuin-voj</t>
        </is>
      </c>
      <c r="F288" s="49" t="n">
        <v>46317</v>
      </c>
      <c r="G288" s="51" t="n">
        <v>1</v>
      </c>
    </row>
    <row r="289" ht="54" customHeight="1">
      <c r="A289" s="29" t="inlineStr">
        <is>
          <t>eindhoven:action:philips-fruittuin-1</t>
        </is>
      </c>
      <c r="B289" s="29" t="inlineStr">
        <is>
          <t>eindhoven</t>
        </is>
      </c>
      <c r="C289" s="29" t="inlineStr">
        <is>
          <t>eindhoven:philips-fruittuin</t>
        </is>
      </c>
      <c r="D289" s="29" t="inlineStr">
        <is>
          <t>Ziyaret bilgisi</t>
        </is>
      </c>
      <c r="E289" s="29" t="inlineStr">
        <is>
          <t>https://philipsfruittuin.nl/openingstijden-alg</t>
        </is>
      </c>
      <c r="F289" s="49" t="n">
        <v>46317</v>
      </c>
      <c r="G289" s="51" t="n">
        <v>1</v>
      </c>
    </row>
    <row r="290" ht="54" customHeight="1">
      <c r="A290" s="29" t="inlineStr">
        <is>
          <t>eindhoven:action:monkey-town-1</t>
        </is>
      </c>
      <c r="B290" s="29" t="inlineStr">
        <is>
          <t>eindhoven</t>
        </is>
      </c>
      <c r="C290" s="29" t="inlineStr">
        <is>
          <t>eindhoven:monkey-town</t>
        </is>
      </c>
      <c r="D290" s="29" t="inlineStr">
        <is>
          <t>Bilet al</t>
        </is>
      </c>
      <c r="E290" s="29" t="inlineStr">
        <is>
          <t>https://www.thisiseindhoven.com/en/locations/monkey-town</t>
        </is>
      </c>
      <c r="F290" s="49" t="n">
        <v>46317</v>
      </c>
      <c r="G290" s="51" t="n">
        <v>1</v>
      </c>
    </row>
    <row r="291" ht="54" customHeight="1">
      <c r="A291" s="29" t="inlineStr">
        <is>
          <t>eindhoven:action:bounce-valley-1</t>
        </is>
      </c>
      <c r="B291" s="29" t="inlineStr">
        <is>
          <t>eindhoven</t>
        </is>
      </c>
      <c r="C291" s="29" t="inlineStr">
        <is>
          <t>eindhoven:bounce-valley</t>
        </is>
      </c>
      <c r="D291" s="29" t="inlineStr">
        <is>
          <t>Bilgi al</t>
        </is>
      </c>
      <c r="E291" s="29" t="inlineStr">
        <is>
          <t>https://www.thisiseindhoven.com/en/locations/bounce-valley-eindhoven</t>
        </is>
      </c>
      <c r="F291" s="49" t="n">
        <v>46317</v>
      </c>
      <c r="G291" s="51" t="n">
        <v>1</v>
      </c>
    </row>
    <row r="292" ht="54" customHeight="1">
      <c r="A292" s="29" t="inlineStr">
        <is>
          <t>eindhoven:action:laser-quest-eindhoven-1</t>
        </is>
      </c>
      <c r="B292" s="29" t="inlineStr">
        <is>
          <t>eindhoven</t>
        </is>
      </c>
      <c r="C292" s="29" t="inlineStr">
        <is>
          <t>eindhoven:laser-quest-eindhoven</t>
        </is>
      </c>
      <c r="D292" s="29" t="inlineStr">
        <is>
          <t>Bilgi al</t>
        </is>
      </c>
      <c r="E292" s="29" t="inlineStr">
        <is>
          <t>https://www.thisiseindhoven.com/en/locations/laser-quest</t>
        </is>
      </c>
      <c r="F292" s="49" t="n">
        <v>46317</v>
      </c>
      <c r="G292" s="51" t="n">
        <v>1</v>
      </c>
    </row>
    <row r="293" ht="54" customHeight="1">
      <c r="A293" s="29" t="inlineStr">
        <is>
          <t>eindhoven:action:falconcrest-falconry-1</t>
        </is>
      </c>
      <c r="B293" s="29" t="inlineStr">
        <is>
          <t>eindhoven</t>
        </is>
      </c>
      <c r="C293" s="29" t="inlineStr">
        <is>
          <t>eindhoven:falconcrest-falconry</t>
        </is>
      </c>
      <c r="D293" s="29" t="inlineStr">
        <is>
          <t>İletişime geç</t>
        </is>
      </c>
      <c r="E293" s="29" t="inlineStr">
        <is>
          <t>https://www.falconcrest.eu/index.php/contact/</t>
        </is>
      </c>
      <c r="F293" s="49" t="n">
        <v>46317</v>
      </c>
      <c r="G293" s="51" t="n">
        <v>1</v>
      </c>
    </row>
    <row r="294" ht="54" customHeight="1">
      <c r="A294" s="29" t="inlineStr">
        <is>
          <t>eindhoven:action:next-level-escape-rooms-1</t>
        </is>
      </c>
      <c r="B294" s="29" t="inlineStr">
        <is>
          <t>eindhoven</t>
        </is>
      </c>
      <c r="C294" s="29" t="inlineStr">
        <is>
          <t>eindhoven:next-level-escape-rooms</t>
        </is>
      </c>
      <c r="D294" s="29" t="inlineStr">
        <is>
          <t>Bilgi al</t>
        </is>
      </c>
      <c r="E294" s="29" t="inlineStr">
        <is>
          <t>https://www.thisiseindhoven.com/en/locations/next-level-escape-room</t>
        </is>
      </c>
      <c r="F294" s="49" t="n">
        <v>46317</v>
      </c>
      <c r="G294" s="51" t="n">
        <v>1</v>
      </c>
    </row>
    <row r="295" ht="54" customHeight="1">
      <c r="A295" s="29" t="inlineStr">
        <is>
          <t>eindhoven:action:glow-golf-eindhoven-1</t>
        </is>
      </c>
      <c r="B295" s="29" t="inlineStr">
        <is>
          <t>eindhoven</t>
        </is>
      </c>
      <c r="C295" s="29" t="inlineStr">
        <is>
          <t>eindhoven:glow-golf-eindhoven</t>
        </is>
      </c>
      <c r="D295" s="29" t="inlineStr">
        <is>
          <t>Rezervasyon yap</t>
        </is>
      </c>
      <c r="E295" s="29" t="inlineStr">
        <is>
          <t>https://www.thisiseindhoven.com/en/locations/glow-golf-eindhoven</t>
        </is>
      </c>
      <c r="F295" s="49" t="n">
        <v>46317</v>
      </c>
      <c r="G295" s="51" t="n">
        <v>1</v>
      </c>
    </row>
    <row r="296" ht="54" customHeight="1">
      <c r="A296" s="29" t="inlineStr">
        <is>
          <t>eindhoven:action:str-eat-bars-kitchens-1</t>
        </is>
      </c>
      <c r="B296" s="29" t="inlineStr">
        <is>
          <t>eindhoven</t>
        </is>
      </c>
      <c r="C296" s="29" t="inlineStr">
        <is>
          <t>eindhoven:str-eat-bars-kitchens</t>
        </is>
      </c>
      <c r="D296" s="29" t="inlineStr">
        <is>
          <t>Bilgi al</t>
        </is>
      </c>
      <c r="E296" s="29" t="inlineStr">
        <is>
          <t>https://www.thisiseindhoven.com/en/locations/str-eat-bars-kitchens</t>
        </is>
      </c>
      <c r="F296" s="49" t="n">
        <v>46317</v>
      </c>
      <c r="G296" s="51" t="n">
        <v>1</v>
      </c>
    </row>
    <row r="297" ht="54" customHeight="1">
      <c r="A297" s="29" t="inlineStr">
        <is>
          <t>eindhoven:action:brouwerij-het-veem-1</t>
        </is>
      </c>
      <c r="B297" s="29" t="inlineStr">
        <is>
          <t>eindhoven</t>
        </is>
      </c>
      <c r="C297" s="29" t="inlineStr">
        <is>
          <t>eindhoven:brouwerij-het-veem</t>
        </is>
      </c>
      <c r="D297" s="29" t="inlineStr">
        <is>
          <t>Bilgi al</t>
        </is>
      </c>
      <c r="E297" s="29" t="inlineStr">
        <is>
          <t>https://www.thisiseindhoven.com/en/locations/brouwerij-het-veem</t>
        </is>
      </c>
      <c r="F297" s="49" t="n">
        <v>46317</v>
      </c>
      <c r="G297" s="51" t="n">
        <v>1</v>
      </c>
    </row>
    <row r="298" ht="54" customHeight="1">
      <c r="A298" s="29" t="inlineStr">
        <is>
          <t>eindhoven:action:stadsbrouwerij-eindhoven-1</t>
        </is>
      </c>
      <c r="B298" s="29" t="inlineStr">
        <is>
          <t>eindhoven</t>
        </is>
      </c>
      <c r="C298" s="29" t="inlineStr">
        <is>
          <t>eindhoven:stadsbrouwerij-eindhoven</t>
        </is>
      </c>
      <c r="D298" s="29" t="inlineStr">
        <is>
          <t>Rezervasyon yap</t>
        </is>
      </c>
      <c r="E298" s="29" t="inlineStr">
        <is>
          <t>https://stadsbrouwerijeindhoven.nl/contact-stadsbrouwerij-eindhoven/</t>
        </is>
      </c>
      <c r="F298" s="49" t="n">
        <v>46317</v>
      </c>
      <c r="G298" s="51" t="n">
        <v>1</v>
      </c>
    </row>
    <row r="299" ht="54" customHeight="1">
      <c r="A299" s="29" t="inlineStr">
        <is>
          <t>eindhoven:action:stratumseind-1</t>
        </is>
      </c>
      <c r="B299" s="29" t="inlineStr">
        <is>
          <t>eindhoven</t>
        </is>
      </c>
      <c r="C299" s="29" t="inlineStr">
        <is>
          <t>eindhoven:stratumseind</t>
        </is>
      </c>
      <c r="D299" s="29" t="inlineStr">
        <is>
          <t>Bilgi al</t>
        </is>
      </c>
      <c r="E299" s="29" t="inlineStr">
        <is>
          <t>https://www.thisiseindhoven.com/en/locations/stratumseind</t>
        </is>
      </c>
      <c r="F299" s="49" t="n">
        <v>46317</v>
      </c>
      <c r="G299" s="51" t="n">
        <v>1</v>
      </c>
    </row>
    <row r="300" ht="54" customHeight="1">
      <c r="A300" s="29" t="inlineStr">
        <is>
          <t>eindhoven:action:kazerne-1</t>
        </is>
      </c>
      <c r="B300" s="29" t="inlineStr">
        <is>
          <t>eindhoven</t>
        </is>
      </c>
      <c r="C300" s="29" t="inlineStr">
        <is>
          <t>eindhoven:kazerne</t>
        </is>
      </c>
      <c r="D300" s="29" t="inlineStr">
        <is>
          <t>Rezervasyon yap</t>
        </is>
      </c>
      <c r="E300" s="29" t="inlineStr">
        <is>
          <t>https://kazerne.com/eat-drink/fine-dining-restaurant/</t>
        </is>
      </c>
      <c r="F300" s="49" t="n">
        <v>46317</v>
      </c>
      <c r="G300" s="51" t="n">
        <v>1</v>
      </c>
    </row>
    <row r="301" ht="54" customHeight="1">
      <c r="A301" s="29" t="inlineStr">
        <is>
          <t>eindhoven:action:grand-cafe-de-lichttoren-1</t>
        </is>
      </c>
      <c r="B301" s="29" t="inlineStr">
        <is>
          <t>eindhoven</t>
        </is>
      </c>
      <c r="C301" s="29" t="inlineStr">
        <is>
          <t>eindhoven:grand-cafe-de-lichttoren</t>
        </is>
      </c>
      <c r="D301" s="29" t="inlineStr">
        <is>
          <t>Bilgi al</t>
        </is>
      </c>
      <c r="E301" s="29" t="inlineStr">
        <is>
          <t>https://delichttoren.nl/contact</t>
        </is>
      </c>
      <c r="F301" s="49" t="n">
        <v>46317</v>
      </c>
      <c r="G301" s="51" t="n">
        <v>1</v>
      </c>
    </row>
    <row r="302" ht="54" customHeight="1">
      <c r="A302" s="29" t="inlineStr">
        <is>
          <t>eindhoven:action:pannenkoekenhuis-de-proeftuin-1</t>
        </is>
      </c>
      <c r="B302" s="29" t="inlineStr">
        <is>
          <t>eindhoven</t>
        </is>
      </c>
      <c r="C302" s="29" t="inlineStr">
        <is>
          <t>eindhoven:pannenkoekenhuis-de-proeftuin</t>
        </is>
      </c>
      <c r="D302" s="29" t="inlineStr">
        <is>
          <t>Rezervasyon yap</t>
        </is>
      </c>
      <c r="E302" s="29" t="inlineStr">
        <is>
          <t>https://www.thisiseindhoven.com/en/locations/pannenkoekenhuis-de-proeftuin</t>
        </is>
      </c>
      <c r="F302" s="49" t="n">
        <v>46317</v>
      </c>
      <c r="G302" s="51" t="n">
        <v>1</v>
      </c>
    </row>
    <row r="303" ht="54" customHeight="1">
      <c r="A303" s="29" t="inlineStr">
        <is>
          <t>eindhoven:action:paviljoen-genneper-parken-1</t>
        </is>
      </c>
      <c r="B303" s="29" t="inlineStr">
        <is>
          <t>eindhoven</t>
        </is>
      </c>
      <c r="C303" s="29" t="inlineStr">
        <is>
          <t>eindhoven:paviljoen-genneper-parken</t>
        </is>
      </c>
      <c r="D303" s="29" t="inlineStr">
        <is>
          <t>Bilgi al</t>
        </is>
      </c>
      <c r="E303" s="29" t="inlineStr">
        <is>
          <t>https://paviljoengenneperparken.nl/contact/</t>
        </is>
      </c>
      <c r="F303" s="49" t="n">
        <v>46317</v>
      </c>
      <c r="G303" s="51" t="n">
        <v>1</v>
      </c>
    </row>
    <row r="304" ht="54" customHeight="1">
      <c r="A304" s="29" t="inlineStr">
        <is>
          <t>eindhoven:action:de-mispelhoef-1</t>
        </is>
      </c>
      <c r="B304" s="29" t="inlineStr">
        <is>
          <t>eindhoven</t>
        </is>
      </c>
      <c r="C304" s="29" t="inlineStr">
        <is>
          <t>eindhoven:de-mispelhoef</t>
        </is>
      </c>
      <c r="D304" s="29" t="inlineStr">
        <is>
          <t>Rezervasyon yap</t>
        </is>
      </c>
      <c r="E304" s="29" t="inlineStr">
        <is>
          <t>https://www.demispelhoef.nl/contact</t>
        </is>
      </c>
      <c r="F304" s="49" t="n">
        <v>46317</v>
      </c>
      <c r="G304" s="51" t="n">
        <v>1</v>
      </c>
    </row>
    <row r="305" ht="54" customHeight="1">
      <c r="A305" s="29" t="inlineStr">
        <is>
          <t>eindhoven:action:centrale-markt-18-septemberplein-1</t>
        </is>
      </c>
      <c r="B305" s="29" t="inlineStr">
        <is>
          <t>eindhoven</t>
        </is>
      </c>
      <c r="C305" s="29" t="inlineStr">
        <is>
          <t>eindhoven:centrale-markt-18-septemberplein</t>
        </is>
      </c>
      <c r="D305" s="29" t="inlineStr">
        <is>
          <t>Bilgi al</t>
        </is>
      </c>
      <c r="E305" s="29" t="inlineStr">
        <is>
          <t>https://www.thisiseindhoven.com/en/events/central-market</t>
        </is>
      </c>
      <c r="F305" s="49" t="n">
        <v>46317</v>
      </c>
      <c r="G305" s="51" t="n">
        <v>1</v>
      </c>
    </row>
    <row r="306" ht="54" customHeight="1">
      <c r="A306" s="29" t="inlineStr">
        <is>
          <t>eindhoven:action:sint-catharinakerk-1</t>
        </is>
      </c>
      <c r="B306" s="29" t="inlineStr">
        <is>
          <t>eindhoven</t>
        </is>
      </c>
      <c r="C306" s="29" t="inlineStr">
        <is>
          <t>eindhoven:sint-catharinakerk</t>
        </is>
      </c>
      <c r="D306" s="29" t="inlineStr">
        <is>
          <t>Ziyaret bilgisi</t>
        </is>
      </c>
      <c r="E306" s="29" t="inlineStr">
        <is>
          <t>https://www.thisiseindhoven.com/en/locations/catharinakerk</t>
        </is>
      </c>
      <c r="F306" s="49" t="n">
        <v>46317</v>
      </c>
      <c r="G306" s="51" t="n">
        <v>1</v>
      </c>
    </row>
    <row r="307" ht="54" customHeight="1">
      <c r="A307" s="29" t="inlineStr">
        <is>
          <t>eindhoven:action:strijp-s-1</t>
        </is>
      </c>
      <c r="B307" s="29" t="inlineStr">
        <is>
          <t>eindhoven</t>
        </is>
      </c>
      <c r="C307" s="29" t="inlineStr">
        <is>
          <t>eindhoven:strijp-s</t>
        </is>
      </c>
      <c r="D307" s="29" t="inlineStr">
        <is>
          <t>Bilgi al</t>
        </is>
      </c>
      <c r="E307" s="29" t="inlineStr">
        <is>
          <t>https://www.thisiseindhoven.com/en/locations/strijp-s</t>
        </is>
      </c>
      <c r="F307" s="49" t="n">
        <v>46317</v>
      </c>
      <c r="G307" s="51" t="n">
        <v>1</v>
      </c>
    </row>
    <row r="308" ht="54" customHeight="1">
      <c r="A308" s="29" t="inlineStr">
        <is>
          <t>eindhoven:action:klokgebouw-1</t>
        </is>
      </c>
      <c r="B308" s="29" t="inlineStr">
        <is>
          <t>eindhoven</t>
        </is>
      </c>
      <c r="C308" s="29" t="inlineStr">
        <is>
          <t>eindhoven:klokgebouw</t>
        </is>
      </c>
      <c r="D308" s="29" t="inlineStr">
        <is>
          <t>Ziyaret bilgisi</t>
        </is>
      </c>
      <c r="E308" s="29" t="inlineStr">
        <is>
          <t>https://www.klokgebouw.nl/praktische-informatie</t>
        </is>
      </c>
      <c r="F308" s="49" t="n">
        <v>46317</v>
      </c>
      <c r="G308" s="51" t="n">
        <v>1</v>
      </c>
    </row>
    <row r="309" ht="54" customHeight="1">
      <c r="A309" s="29" t="inlineStr">
        <is>
          <t>eindhoven:action:hovenring-1</t>
        </is>
      </c>
      <c r="B309" s="29" t="inlineStr">
        <is>
          <t>eindhoven</t>
        </is>
      </c>
      <c r="C309" s="29" t="inlineStr">
        <is>
          <t>eindhoven:hovenring</t>
        </is>
      </c>
      <c r="D309" s="29" t="inlineStr">
        <is>
          <t>Bilgi al</t>
        </is>
      </c>
      <c r="E309" s="29" t="inlineStr">
        <is>
          <t>https://www.thisiseindhoven.com/en/locations/hovenring</t>
        </is>
      </c>
      <c r="F309" s="49" t="n">
        <v>46317</v>
      </c>
      <c r="G309" s="51" t="n">
        <v>1</v>
      </c>
    </row>
    <row r="310" ht="54" customHeight="1">
      <c r="A310" s="29" t="inlineStr">
        <is>
          <t>eindhoven:action:genneper-watermolen-1</t>
        </is>
      </c>
      <c r="B310" s="29" t="inlineStr">
        <is>
          <t>eindhoven</t>
        </is>
      </c>
      <c r="C310" s="29" t="inlineStr">
        <is>
          <t>eindhoven:genneper-watermolen</t>
        </is>
      </c>
      <c r="D310" s="29" t="inlineStr">
        <is>
          <t>Bilgi al</t>
        </is>
      </c>
      <c r="E310" s="29" t="inlineStr">
        <is>
          <t>https://www.thisiseindhoven.com/en/locations/genneper-watermolen</t>
        </is>
      </c>
      <c r="F310" s="49" t="n">
        <v>46317</v>
      </c>
      <c r="G310" s="51" t="n">
        <v>1</v>
      </c>
    </row>
    <row r="311" ht="54" customHeight="1">
      <c r="A311" s="29" t="inlineStr">
        <is>
          <t>eindhoven:action:klooster-marienhage-1</t>
        </is>
      </c>
      <c r="B311" s="29" t="inlineStr">
        <is>
          <t>eindhoven</t>
        </is>
      </c>
      <c r="C311" s="29" t="inlineStr">
        <is>
          <t>eindhoven:klooster-marienhage</t>
        </is>
      </c>
      <c r="D311" s="29" t="inlineStr">
        <is>
          <t>Bilgi al</t>
        </is>
      </c>
      <c r="E311" s="29" t="inlineStr">
        <is>
          <t>https://www.marienhage.com/locatie/</t>
        </is>
      </c>
      <c r="F311" s="49" t="n">
        <v>46317</v>
      </c>
      <c r="G311" s="51" t="n">
        <v>1</v>
      </c>
    </row>
    <row r="312" ht="54" customHeight="1">
      <c r="A312" s="29" t="inlineStr">
        <is>
          <t>eindhoven:action:heilige-hartkerk-hart-van-eindhoven-1</t>
        </is>
      </c>
      <c r="B312" s="29" t="inlineStr">
        <is>
          <t>eindhoven</t>
        </is>
      </c>
      <c r="C312" s="29" t="inlineStr">
        <is>
          <t>eindhoven:heilige-hartkerk-hart-van-eindhoven</t>
        </is>
      </c>
      <c r="D312" s="29" t="inlineStr">
        <is>
          <t>Rezervasyon yap</t>
        </is>
      </c>
      <c r="E312" s="29" t="inlineStr">
        <is>
          <t>https://hartvaneindhoven.nl/contact</t>
        </is>
      </c>
      <c r="F312" s="49" t="n">
        <v>46317</v>
      </c>
      <c r="G312" s="51" t="n">
        <v>1</v>
      </c>
    </row>
    <row r="313" ht="54" customHeight="1">
      <c r="A313" s="29" t="inlineStr">
        <is>
          <t>eindhoven:action:catharinakerkhof-1</t>
        </is>
      </c>
      <c r="B313" s="29" t="inlineStr">
        <is>
          <t>eindhoven</t>
        </is>
      </c>
      <c r="C313" s="29" t="inlineStr">
        <is>
          <t>eindhoven:catharinakerkhof</t>
        </is>
      </c>
      <c r="D313" s="29" t="inlineStr">
        <is>
          <t>Ziyaret bilgisi</t>
        </is>
      </c>
      <c r="E313" s="29" t="inlineStr">
        <is>
          <t>https://www.catharinakerkhof.nl/contact/</t>
        </is>
      </c>
      <c r="F313" s="49" t="n">
        <v>46317</v>
      </c>
      <c r="G313" s="51" t="n">
        <v>1</v>
      </c>
    </row>
    <row r="314" ht="54" customHeight="1">
      <c r="A314" s="29" t="inlineStr">
        <is>
          <t>eindhoven:action:18-septemberplein-1</t>
        </is>
      </c>
      <c r="B314" s="29" t="inlineStr">
        <is>
          <t>eindhoven</t>
        </is>
      </c>
      <c r="C314" s="29" t="inlineStr">
        <is>
          <t>eindhoven:18-septemberplein</t>
        </is>
      </c>
      <c r="D314" s="29" t="inlineStr">
        <is>
          <t>Bilgi al</t>
        </is>
      </c>
      <c r="E314" s="29" t="inlineStr">
        <is>
          <t>https://www.thisiseindhoven.com/en/locations/18-septemberplein</t>
        </is>
      </c>
      <c r="F314" s="49" t="n">
        <v>46317</v>
      </c>
      <c r="G314" s="51" t="n">
        <v>1</v>
      </c>
    </row>
    <row r="315" ht="54" customHeight="1">
      <c r="A315" s="29" t="inlineStr">
        <is>
          <t>eindhoven:action:eindhoven-centraal-1</t>
        </is>
      </c>
      <c r="B315" s="29" t="inlineStr">
        <is>
          <t>eindhoven</t>
        </is>
      </c>
      <c r="C315" s="29" t="inlineStr">
        <is>
          <t>eindhoven:eindhoven-centraal</t>
        </is>
      </c>
      <c r="D315" s="29" t="inlineStr">
        <is>
          <t>Bilgi al</t>
        </is>
      </c>
      <c r="E315" s="29" t="inlineStr">
        <is>
          <t>https://www.thisiseindhoven.com/en/locations/centraal-station-eindhoven</t>
        </is>
      </c>
      <c r="F315" s="49" t="n">
        <v>46317</v>
      </c>
      <c r="G315" s="51" t="n">
        <v>1</v>
      </c>
    </row>
    <row r="316" ht="54" customHeight="1">
      <c r="A316" s="29" t="inlineStr">
        <is>
          <t>eindhoven:action:huize-de-laak-1</t>
        </is>
      </c>
      <c r="B316" s="29" t="inlineStr">
        <is>
          <t>eindhoven</t>
        </is>
      </c>
      <c r="C316" s="29" t="inlineStr">
        <is>
          <t>eindhoven:huize-de-laak</t>
        </is>
      </c>
      <c r="D316" s="29" t="inlineStr">
        <is>
          <t>Bilgi al</t>
        </is>
      </c>
      <c r="E316" s="29" t="inlineStr">
        <is>
          <t>https://www.thisiseindhoven.com/en/locations/huize-de-laak</t>
        </is>
      </c>
      <c r="F316" s="49" t="n">
        <v>46317</v>
      </c>
      <c r="G316" s="51" t="n">
        <v>1</v>
      </c>
    </row>
    <row r="317" ht="54" customHeight="1">
      <c r="A317" s="29" t="inlineStr">
        <is>
          <t>eindhoven:action:philipsdorp-1</t>
        </is>
      </c>
      <c r="B317" s="29" t="inlineStr">
        <is>
          <t>eindhoven</t>
        </is>
      </c>
      <c r="C317" s="29" t="inlineStr">
        <is>
          <t>eindhoven:philipsdorp</t>
        </is>
      </c>
      <c r="D317" s="29" t="inlineStr">
        <is>
          <t>Bilgi al</t>
        </is>
      </c>
      <c r="E317" s="29" t="inlineStr">
        <is>
          <t>https://www.thisiseindhoven.com/en/city-life/about-eindhoven/philips-legacy-in-eindhoven</t>
        </is>
      </c>
      <c r="F317" s="49" t="n">
        <v>46317</v>
      </c>
      <c r="G317" s="51" t="n">
        <v>1</v>
      </c>
    </row>
    <row r="318" ht="54" customHeight="1">
      <c r="A318" s="29" t="inlineStr">
        <is>
          <t>eindhoven:action:de-witte-dame-lichtfabriek-1</t>
        </is>
      </c>
      <c r="B318" s="29" t="inlineStr">
        <is>
          <t>eindhoven</t>
        </is>
      </c>
      <c r="C318" s="29" t="inlineStr">
        <is>
          <t>eindhoven:de-witte-dame-lichtfabriek</t>
        </is>
      </c>
      <c r="D318" s="29" t="inlineStr">
        <is>
          <t>Bilgi al</t>
        </is>
      </c>
      <c r="E318" s="29" t="inlineStr">
        <is>
          <t>https://www.thisiseindhoven.com/en/city-life/about-eindhoven/philips-legacy-in-eindhoven</t>
        </is>
      </c>
      <c r="F318" s="49" t="n">
        <v>46317</v>
      </c>
      <c r="G318" s="51" t="n">
        <v>1</v>
      </c>
    </row>
    <row r="319" ht="54" customHeight="1">
      <c r="A319" s="29" t="inlineStr">
        <is>
          <t>eindhoven:action:de-oude-telefooncentrale-1</t>
        </is>
      </c>
      <c r="B319" s="29" t="inlineStr">
        <is>
          <t>eindhoven</t>
        </is>
      </c>
      <c r="C319" s="29" t="inlineStr">
        <is>
          <t>eindhoven:de-oude-telefooncentrale</t>
        </is>
      </c>
      <c r="D319" s="29" t="inlineStr">
        <is>
          <t>Bilgi al</t>
        </is>
      </c>
      <c r="E319" s="29" t="inlineStr">
        <is>
          <t>https://www.thisiseindhoven.com/en/locations/de-oude-telefooncentrale</t>
        </is>
      </c>
      <c r="F319" s="49" t="n">
        <v>46317</v>
      </c>
      <c r="G319" s="51" t="n">
        <v>1</v>
      </c>
    </row>
    <row r="320" ht="54" customHeight="1">
      <c r="A320" s="29" t="inlineStr">
        <is>
          <t>eindhoven:action:ton-smits-huis-1</t>
        </is>
      </c>
      <c r="B320" s="29" t="inlineStr">
        <is>
          <t>eindhoven</t>
        </is>
      </c>
      <c r="C320" s="29" t="inlineStr">
        <is>
          <t>eindhoven:ton-smits-huis</t>
        </is>
      </c>
      <c r="D320" s="29" t="inlineStr">
        <is>
          <t>Ziyaret bilgisi</t>
        </is>
      </c>
      <c r="E320" s="29" t="inlineStr">
        <is>
          <t>https://tonsmitshuis.nl/kaartverkoop/</t>
        </is>
      </c>
      <c r="F320" s="49" t="n">
        <v>46317</v>
      </c>
      <c r="G320" s="51" t="n">
        <v>1</v>
      </c>
    </row>
    <row r="321" ht="54" customHeight="1">
      <c r="A321" s="29" t="inlineStr">
        <is>
          <t>eindhoven:action:hezemans-indoor-karting-1</t>
        </is>
      </c>
      <c r="B321" s="29" t="inlineStr">
        <is>
          <t>eindhoven</t>
        </is>
      </c>
      <c r="C321" s="29" t="inlineStr">
        <is>
          <t>eindhoven:hezemans-indoor-karting</t>
        </is>
      </c>
      <c r="D321" s="29" t="inlineStr">
        <is>
          <t>Bilet al</t>
        </is>
      </c>
      <c r="E321" s="29" t="inlineStr">
        <is>
          <t>https://hezemans.nl/karten-eindhoven/</t>
        </is>
      </c>
      <c r="F321" s="49" t="n">
        <v>46317</v>
      </c>
      <c r="G321" s="51" t="n">
        <v>1</v>
      </c>
    </row>
    <row r="322" ht="54" customHeight="1">
      <c r="A322" s="29" t="inlineStr">
        <is>
          <t>eindhoven:action:stadhuis-van-eindhoven-1</t>
        </is>
      </c>
      <c r="B322" s="29" t="inlineStr">
        <is>
          <t>eindhoven</t>
        </is>
      </c>
      <c r="C322" s="29" t="inlineStr">
        <is>
          <t>eindhoven:stadhuis-van-eindhoven</t>
        </is>
      </c>
      <c r="D322" s="29" t="inlineStr">
        <is>
          <t>Randevu al</t>
        </is>
      </c>
      <c r="E322" s="29" t="inlineStr">
        <is>
          <t>https://www.eindhoven.nl/bestuur-en-beleid/contact/openingstijden-en-adressen</t>
        </is>
      </c>
      <c r="F322" s="49" t="n">
        <v>46317</v>
      </c>
      <c r="G322" s="51" t="n">
        <v>1</v>
      </c>
    </row>
    <row r="323" ht="54" customHeight="1">
      <c r="A323" s="29" t="inlineStr">
        <is>
          <t>eindhoven:action:victoriapark-1</t>
        </is>
      </c>
      <c r="B323" s="29" t="inlineStr">
        <is>
          <t>eindhoven</t>
        </is>
      </c>
      <c r="C323" s="29" t="inlineStr">
        <is>
          <t>eindhoven:victoriapark</t>
        </is>
      </c>
      <c r="D323" s="29" t="inlineStr">
        <is>
          <t>Bilgi al</t>
        </is>
      </c>
      <c r="E323" s="29" t="inlineStr">
        <is>
          <t>https://www.openeindhoven.nl/projecten/centrum/emmasingelkwadrant/victoriapark</t>
        </is>
      </c>
      <c r="F323" s="49" t="n">
        <v>46317</v>
      </c>
      <c r="G323" s="51" t="n">
        <v>1</v>
      </c>
    </row>
    <row r="324" ht="54" customHeight="1">
      <c r="A324" s="29" t="inlineStr">
        <is>
          <t>eindhoven:action:landgoed-de-grote-beek-1</t>
        </is>
      </c>
      <c r="B324" s="29" t="inlineStr">
        <is>
          <t>eindhoven</t>
        </is>
      </c>
      <c r="C324" s="29" t="inlineStr">
        <is>
          <t>eindhoven:landgoed-de-grote-beek</t>
        </is>
      </c>
      <c r="D324" s="29" t="inlineStr">
        <is>
          <t>Bilgi al</t>
        </is>
      </c>
      <c r="E324" s="29" t="inlineStr">
        <is>
          <t>https://www.ggze.nl/ggze-in-beeld/2022-01-wandel-over-het-breinpad-op-landgoed-de-grote-beek</t>
        </is>
      </c>
      <c r="F324" s="49" t="n">
        <v>46317</v>
      </c>
      <c r="G324" s="51" t="n">
        <v>1</v>
      </c>
    </row>
    <row r="325" ht="54" customHeight="1">
      <c r="A325" s="29" t="inlineStr">
        <is>
          <t>eindhoven:action:stratumse-heide-1</t>
        </is>
      </c>
      <c r="B325" s="29" t="inlineStr">
        <is>
          <t>eindhoven</t>
        </is>
      </c>
      <c r="C325" s="29" t="inlineStr">
        <is>
          <t>eindhoven:stratumse-heide</t>
        </is>
      </c>
      <c r="D325" s="29" t="inlineStr">
        <is>
          <t>Bilgi al</t>
        </is>
      </c>
      <c r="E325" s="29" t="inlineStr">
        <is>
          <t>https://www.brabantslandschap.nl/projecten/boswerkzaamheden-stratumse-heide</t>
        </is>
      </c>
      <c r="F325" s="49" t="n">
        <v>46317</v>
      </c>
      <c r="G325" s="51" t="n">
        <v>1</v>
      </c>
    </row>
    <row r="326" ht="54" customHeight="1">
      <c r="A326" s="29" t="inlineStr">
        <is>
          <t>eindhoven:action:park-meerland-1</t>
        </is>
      </c>
      <c r="B326" s="29" t="inlineStr">
        <is>
          <t>eindhoven</t>
        </is>
      </c>
      <c r="C326" s="29" t="inlineStr">
        <is>
          <t>eindhoven:park-meerland</t>
        </is>
      </c>
      <c r="D326" s="29" t="inlineStr">
        <is>
          <t>Bilgi al</t>
        </is>
      </c>
      <c r="E326" s="29" t="inlineStr">
        <is>
          <t>https://www.parkmeerland.nl/index.php/park/over-het-park</t>
        </is>
      </c>
      <c r="F326" s="49" t="n">
        <v>46317</v>
      </c>
      <c r="G326" s="51" t="n">
        <v>1</v>
      </c>
    </row>
    <row r="327" ht="54" customHeight="1">
      <c r="A327" s="29" t="inlineStr">
        <is>
          <t>eindhoven:action:inkijkmuseum-1</t>
        </is>
      </c>
      <c r="B327" s="29" t="inlineStr">
        <is>
          <t>eindhoven</t>
        </is>
      </c>
      <c r="C327" s="29" t="inlineStr">
        <is>
          <t>eindhoven:inkijkmuseum</t>
        </is>
      </c>
      <c r="D327" s="29" t="inlineStr">
        <is>
          <t>Bilgi al</t>
        </is>
      </c>
      <c r="E327" s="29" t="inlineStr">
        <is>
          <t>https://www.inkijkmuseum.nl/nl/cultureel</t>
        </is>
      </c>
      <c r="F327" s="49" t="n">
        <v>46317</v>
      </c>
      <c r="G327" s="51" t="n">
        <v>1</v>
      </c>
    </row>
    <row r="328" ht="54" customHeight="1">
      <c r="A328" s="29" t="inlineStr">
        <is>
          <t>eindhoven:action:de-vooruitgang-1</t>
        </is>
      </c>
      <c r="B328" s="29" t="inlineStr">
        <is>
          <t>eindhoven</t>
        </is>
      </c>
      <c r="C328" s="29" t="inlineStr">
        <is>
          <t>eindhoven:de-vooruitgang</t>
        </is>
      </c>
      <c r="D328" s="29" t="inlineStr">
        <is>
          <t>Ziyaret bilgisi</t>
        </is>
      </c>
      <c r="E328" s="29" t="inlineStr">
        <is>
          <t>https://www.de-vooruitgang.nl/nl/contactpagina/</t>
        </is>
      </c>
      <c r="F328" s="49" t="n">
        <v>46317</v>
      </c>
      <c r="G328" s="51" t="n">
        <v>1</v>
      </c>
    </row>
    <row r="329" ht="54" customHeight="1">
      <c r="A329" s="29" t="inlineStr">
        <is>
          <t>eindhoven:action:de-wildeman-1</t>
        </is>
      </c>
      <c r="B329" s="29" t="inlineStr">
        <is>
          <t>eindhoven</t>
        </is>
      </c>
      <c r="C329" s="29" t="inlineStr">
        <is>
          <t>eindhoven:de-wildeman</t>
        </is>
      </c>
      <c r="D329" s="29" t="inlineStr">
        <is>
          <t>Ziyaret bilgisi</t>
        </is>
      </c>
      <c r="E329" s="29" t="inlineStr">
        <is>
          <t>https://wildemaneindhoven.nl/contact</t>
        </is>
      </c>
      <c r="F329" s="49" t="n">
        <v>46317</v>
      </c>
      <c r="G329" s="51" t="n">
        <v>1</v>
      </c>
    </row>
    <row r="330" ht="54" customHeight="1">
      <c r="A330" s="29" t="inlineStr">
        <is>
          <t>eindhoven:action:restaurant-1910-1</t>
        </is>
      </c>
      <c r="B330" s="29" t="inlineStr">
        <is>
          <t>eindhoven</t>
        </is>
      </c>
      <c r="C330" s="29" t="inlineStr">
        <is>
          <t>eindhoven:restaurant-1910</t>
        </is>
      </c>
      <c r="D330" s="29" t="inlineStr">
        <is>
          <t>Rezervasyon yap</t>
        </is>
      </c>
      <c r="E330" s="29" t="inlineStr">
        <is>
          <t>https://www.1910.nl/</t>
        </is>
      </c>
      <c r="F330" s="49" t="n">
        <v>46317</v>
      </c>
      <c r="G330" s="51" t="n">
        <v>1</v>
      </c>
    </row>
    <row r="331" ht="54" customHeight="1">
      <c r="A331" s="29" t="inlineStr">
        <is>
          <t>eindhoven:action:brasserie-bellevue-1</t>
        </is>
      </c>
      <c r="B331" s="29" t="inlineStr">
        <is>
          <t>eindhoven</t>
        </is>
      </c>
      <c r="C331" s="29" t="inlineStr">
        <is>
          <t>eindhoven:brasserie-bellevue</t>
        </is>
      </c>
      <c r="D331" s="29" t="inlineStr">
        <is>
          <t>Rezervasyon yap</t>
        </is>
      </c>
      <c r="E331" s="29" t="inlineStr">
        <is>
          <t>https://brasseriebellevue.nl/contact/</t>
        </is>
      </c>
      <c r="F331" s="49" t="n">
        <v>46317</v>
      </c>
      <c r="G331" s="51" t="n">
        <v>1</v>
      </c>
    </row>
    <row r="332" ht="54" customHeight="1">
      <c r="A332" s="29" t="inlineStr">
        <is>
          <t>eindhoven:action:cafe-barolo-1</t>
        </is>
      </c>
      <c r="B332" s="29" t="inlineStr">
        <is>
          <t>eindhoven</t>
        </is>
      </c>
      <c r="C332" s="29" t="inlineStr">
        <is>
          <t>eindhoven:cafe-barolo</t>
        </is>
      </c>
      <c r="D332" s="29" t="inlineStr">
        <is>
          <t>Rezervasyon yap</t>
        </is>
      </c>
      <c r="E332" s="29" t="inlineStr">
        <is>
          <t>https://cafebarolo.nl/</t>
        </is>
      </c>
      <c r="F332" s="49" t="n">
        <v>46317</v>
      </c>
      <c r="G332" s="51" t="n">
        <v>1</v>
      </c>
    </row>
    <row r="333" ht="54" customHeight="1">
      <c r="A333" s="29" t="inlineStr">
        <is>
          <t>eindhoven:action:de-gaper-1</t>
        </is>
      </c>
      <c r="B333" s="29" t="inlineStr">
        <is>
          <t>eindhoven</t>
        </is>
      </c>
      <c r="C333" s="29" t="inlineStr">
        <is>
          <t>eindhoven:de-gaper</t>
        </is>
      </c>
      <c r="D333" s="29" t="inlineStr">
        <is>
          <t>Rezervasyon yap</t>
        </is>
      </c>
      <c r="E333" s="29" t="inlineStr">
        <is>
          <t>https://www.gaper.nl/menu/make-reservation/</t>
        </is>
      </c>
      <c r="F333" s="49" t="n">
        <v>46317</v>
      </c>
      <c r="G333" s="51" t="n">
        <v>1</v>
      </c>
    </row>
    <row r="334" ht="54" customHeight="1">
      <c r="A334" s="29" t="inlineStr">
        <is>
          <t>eindhoven:action:de-gaper-2</t>
        </is>
      </c>
      <c r="B334" s="29" t="inlineStr">
        <is>
          <t>eindhoven</t>
        </is>
      </c>
      <c r="C334" s="29" t="inlineStr">
        <is>
          <t>eindhoven:de-gaper</t>
        </is>
      </c>
      <c r="D334" s="29" t="inlineStr">
        <is>
          <t>Bilgi al</t>
        </is>
      </c>
      <c r="E334" s="29" t="inlineStr">
        <is>
          <t>https://www.gaper.nl/</t>
        </is>
      </c>
      <c r="F334" s="49" t="n">
        <v>46317</v>
      </c>
      <c r="G334" s="51" t="n">
        <v>2</v>
      </c>
    </row>
    <row r="335" ht="54" customHeight="1">
      <c r="A335" s="29" t="inlineStr">
        <is>
          <t>eindhoven:action:cafe-wilhelmina-1</t>
        </is>
      </c>
      <c r="B335" s="29" t="inlineStr">
        <is>
          <t>eindhoven</t>
        </is>
      </c>
      <c r="C335" s="29" t="inlineStr">
        <is>
          <t>eindhoven:cafe-wilhelmina</t>
        </is>
      </c>
      <c r="D335" s="29" t="inlineStr">
        <is>
          <t>Ajandayı gör</t>
        </is>
      </c>
      <c r="E335" s="29" t="inlineStr">
        <is>
          <t>https://www.cafewilhelmina.nl/agenda</t>
        </is>
      </c>
      <c r="F335" s="49" t="n">
        <v>46317</v>
      </c>
      <c r="G335" s="51" t="n">
        <v>1</v>
      </c>
    </row>
    <row r="336" ht="54" customHeight="1">
      <c r="A336" s="29" t="inlineStr">
        <is>
          <t>eindhoven:action:cafe-wilhelmina-2</t>
        </is>
      </c>
      <c r="B336" s="29" t="inlineStr">
        <is>
          <t>eindhoven</t>
        </is>
      </c>
      <c r="C336" s="29" t="inlineStr">
        <is>
          <t>eindhoven:cafe-wilhelmina</t>
        </is>
      </c>
      <c r="D336" s="29" t="inlineStr">
        <is>
          <t>İletişim bilgisi al</t>
        </is>
      </c>
      <c r="E336" s="29" t="inlineStr">
        <is>
          <t>https://www.cafewilhelmina.nl/contact</t>
        </is>
      </c>
      <c r="F336" s="49" t="n">
        <v>46317</v>
      </c>
      <c r="G336" s="51" t="n">
        <v>2</v>
      </c>
    </row>
    <row r="337" ht="54" customHeight="1">
      <c r="A337" s="29" t="inlineStr">
        <is>
          <t>eindhoven:action:altstadt-eindhoven-1</t>
        </is>
      </c>
      <c r="B337" s="29" t="inlineStr">
        <is>
          <t>eindhoven</t>
        </is>
      </c>
      <c r="C337" s="29" t="inlineStr">
        <is>
          <t>eindhoven:altstadt-eindhoven</t>
        </is>
      </c>
      <c r="D337" s="29" t="inlineStr">
        <is>
          <t>Ziyaret bilgisi</t>
        </is>
      </c>
      <c r="E337" s="29" t="inlineStr">
        <is>
          <t>https://www.altstadt.nl/over-ons/</t>
        </is>
      </c>
      <c r="F337" s="49" t="n">
        <v>46317</v>
      </c>
      <c r="G337" s="51" t="n">
        <v>1</v>
      </c>
    </row>
    <row r="338" ht="54" customHeight="1">
      <c r="A338" s="29" t="inlineStr">
        <is>
          <t>eindhoven:action:rugby-club-eindhoven-1</t>
        </is>
      </c>
      <c r="B338" s="29" t="inlineStr">
        <is>
          <t>eindhoven</t>
        </is>
      </c>
      <c r="C338" s="29" t="inlineStr">
        <is>
          <t>eindhoven:rugby-club-eindhoven</t>
        </is>
      </c>
      <c r="D338" s="29" t="inlineStr">
        <is>
          <t>Bilgi al</t>
        </is>
      </c>
      <c r="E338" s="29" t="inlineStr">
        <is>
          <t>https://rugbyclubeindhoven.nl/information.php</t>
        </is>
      </c>
      <c r="F338" s="49" t="n">
        <v>46317</v>
      </c>
      <c r="G338" s="51" t="n">
        <v>1</v>
      </c>
    </row>
    <row r="339" ht="54" customHeight="1">
      <c r="A339" s="29" t="inlineStr">
        <is>
          <t>eindhoven:action:rugby-club-eindhoven-2</t>
        </is>
      </c>
      <c r="B339" s="29" t="inlineStr">
        <is>
          <t>eindhoven</t>
        </is>
      </c>
      <c r="C339" s="29" t="inlineStr">
        <is>
          <t>eindhoven:rugby-club-eindhoven</t>
        </is>
      </c>
      <c r="D339" s="29" t="inlineStr">
        <is>
          <t>Aidat bilgisi al</t>
        </is>
      </c>
      <c r="E339" s="29" t="inlineStr">
        <is>
          <t>https://rugbyclubeindhoven.nl/contribution.php</t>
        </is>
      </c>
      <c r="F339" s="49" t="n">
        <v>46317</v>
      </c>
      <c r="G339" s="51" t="n">
        <v>2</v>
      </c>
    </row>
    <row r="340" ht="54" customHeight="1">
      <c r="A340" s="29" t="inlineStr">
        <is>
          <t>eindhoven:action:hc-oranje-rood-1</t>
        </is>
      </c>
      <c r="B340" s="29" t="inlineStr">
        <is>
          <t>eindhoven</t>
        </is>
      </c>
      <c r="C340" s="29" t="inlineStr">
        <is>
          <t>eindhoven:hc-oranje-rood</t>
        </is>
      </c>
      <c r="D340" s="29" t="inlineStr">
        <is>
          <t>Yol tarifi al</t>
        </is>
      </c>
      <c r="E340" s="29" t="inlineStr">
        <is>
          <t>https://www.hcoranje-rood.nl/contact</t>
        </is>
      </c>
      <c r="F340" s="49" t="n">
        <v>46317</v>
      </c>
      <c r="G340" s="51" t="n">
        <v>1</v>
      </c>
    </row>
    <row r="341" ht="54" customHeight="1">
      <c r="A341" s="29" t="inlineStr">
        <is>
          <t>eindhoven:action:hc-oranje-rood-2</t>
        </is>
      </c>
      <c r="B341" s="29" t="inlineStr">
        <is>
          <t>eindhoven</t>
        </is>
      </c>
      <c r="C341" s="29" t="inlineStr">
        <is>
          <t>eindhoven:hc-oranje-rood</t>
        </is>
      </c>
      <c r="D341" s="29" t="inlineStr">
        <is>
          <t>Bilgi al</t>
        </is>
      </c>
      <c r="E341" s="29" t="inlineStr">
        <is>
          <t>https://www.hcoranje-rood.nl/introductie</t>
        </is>
      </c>
      <c r="F341" s="49" t="n">
        <v>46317</v>
      </c>
      <c r="G341" s="51" t="n">
        <v>2</v>
      </c>
    </row>
    <row r="342" ht="54" customHeight="1">
      <c r="A342" s="29" t="inlineStr">
        <is>
          <t>eindhoven:action:centrum-bolgesi-1</t>
        </is>
      </c>
      <c r="B342" s="29" t="inlineStr">
        <is>
          <t>eindhoven</t>
        </is>
      </c>
      <c r="C342" s="29" t="inlineStr">
        <is>
          <t>eindhoven:centrum-bolgesi</t>
        </is>
      </c>
      <c r="D342" s="29" t="inlineStr">
        <is>
          <t>Bilgi al</t>
        </is>
      </c>
      <c r="E342" s="29" t="inlineStr">
        <is>
          <t>https://www.thisiseindhoven.com/en/see-and-do/culture-and-design/area-tip-downtown</t>
        </is>
      </c>
      <c r="F342" s="49" t="n">
        <v>46317</v>
      </c>
      <c r="G342" s="51" t="n">
        <v>1</v>
      </c>
    </row>
    <row r="343" ht="54" customHeight="1">
      <c r="A343" s="29" t="inlineStr">
        <is>
          <t>eindhoven:action:centrum-bolgesi-2</t>
        </is>
      </c>
      <c r="B343" s="29" t="inlineStr">
        <is>
          <t>eindhoven</t>
        </is>
      </c>
      <c r="C343" s="29" t="inlineStr">
        <is>
          <t>eindhoven:centrum-bolgesi</t>
        </is>
      </c>
      <c r="D343" s="29" t="inlineStr">
        <is>
          <t>Belediye bilgisi al</t>
        </is>
      </c>
      <c r="E343" s="29" t="inlineStr">
        <is>
          <t>https://www.eindhoven.nl/stad-en-wonen/stadsdelen/stadsdeel-centrum</t>
        </is>
      </c>
      <c r="F343" s="49" t="n">
        <v>46317</v>
      </c>
      <c r="G343" s="51" t="n">
        <v>2</v>
      </c>
    </row>
    <row r="344" ht="54" customHeight="1">
      <c r="A344" s="29" t="inlineStr">
        <is>
          <t>eindhoven:action:de-bergen-mahallesi-1</t>
        </is>
      </c>
      <c r="B344" s="29" t="inlineStr">
        <is>
          <t>eindhoven</t>
        </is>
      </c>
      <c r="C344" s="29" t="inlineStr">
        <is>
          <t>eindhoven:de-bergen-mahallesi</t>
        </is>
      </c>
      <c r="D344" s="29" t="inlineStr">
        <is>
          <t>Bilgi al</t>
        </is>
      </c>
      <c r="E344" s="29" t="inlineStr">
        <is>
          <t>https://www.thisiseindhoven.com/en/see-and-do/dynamic-districts/de-bergen</t>
        </is>
      </c>
      <c r="F344" s="49" t="n">
        <v>46317</v>
      </c>
      <c r="G344" s="51" t="n">
        <v>1</v>
      </c>
    </row>
    <row r="345" ht="54" customHeight="1">
      <c r="A345" s="29" t="inlineStr">
        <is>
          <t>eindhoven:action:de-bergen-mahallesi-2</t>
        </is>
      </c>
      <c r="B345" s="29" t="inlineStr">
        <is>
          <t>eindhoven</t>
        </is>
      </c>
      <c r="C345" s="29" t="inlineStr">
        <is>
          <t>eindhoven:de-bergen-mahallesi</t>
        </is>
      </c>
      <c r="D345" s="29" t="inlineStr">
        <is>
          <t>Belediye bilgisi al</t>
        </is>
      </c>
      <c r="E345" s="29" t="inlineStr">
        <is>
          <t>https://www.eindhoven.nl/stad-en-wonen/stadsdelen/stadsdeel-centrum</t>
        </is>
      </c>
      <c r="F345" s="49" t="n">
        <v>46317</v>
      </c>
      <c r="G345" s="51" t="n">
        <v>2</v>
      </c>
    </row>
    <row r="346" ht="54" customHeight="1">
      <c r="A346" s="29" t="inlineStr">
        <is>
          <t>eindhoven:action:strijp-s-mahallesi-1</t>
        </is>
      </c>
      <c r="B346" s="29" t="inlineStr">
        <is>
          <t>eindhoven</t>
        </is>
      </c>
      <c r="C346" s="29" t="inlineStr">
        <is>
          <t>eindhoven:strijp-s-mahallesi</t>
        </is>
      </c>
      <c r="D346" s="29" t="inlineStr">
        <is>
          <t>Bilgi al</t>
        </is>
      </c>
      <c r="E346" s="29" t="inlineStr">
        <is>
          <t>https://www.thisiseindhoven.com/en/see-and-do/culture-and-design/area-tip-strijp-s</t>
        </is>
      </c>
      <c r="F346" s="49" t="n">
        <v>46317</v>
      </c>
      <c r="G346" s="51" t="n">
        <v>1</v>
      </c>
    </row>
    <row r="347" ht="54" customHeight="1">
      <c r="A347" s="29" t="inlineStr">
        <is>
          <t>eindhoven:action:strijp-s-mahallesi-2</t>
        </is>
      </c>
      <c r="B347" s="29" t="inlineStr">
        <is>
          <t>eindhoven</t>
        </is>
      </c>
      <c r="C347" s="29" t="inlineStr">
        <is>
          <t>eindhoven:strijp-s-mahallesi</t>
        </is>
      </c>
      <c r="D347" s="29" t="inlineStr">
        <is>
          <t>Belediye bilgisi al</t>
        </is>
      </c>
      <c r="E347" s="29" t="inlineStr">
        <is>
          <t>https://www.eindhoven.nl/stad-en-wonen/stadsdelen/stadsdeel-strijp</t>
        </is>
      </c>
      <c r="F347" s="49" t="n">
        <v>46317</v>
      </c>
      <c r="G347" s="51" t="n">
        <v>2</v>
      </c>
    </row>
    <row r="348" ht="54" customHeight="1">
      <c r="A348" s="29" t="inlineStr">
        <is>
          <t>eindhoven:action:philipsdorp-mahallesi-1</t>
        </is>
      </c>
      <c r="B348" s="29" t="inlineStr">
        <is>
          <t>eindhoven</t>
        </is>
      </c>
      <c r="C348" s="29" t="inlineStr">
        <is>
          <t>eindhoven:philipsdorp-mahallesi</t>
        </is>
      </c>
      <c r="D348" s="29" t="inlineStr">
        <is>
          <t>Bilgi al</t>
        </is>
      </c>
      <c r="E348" s="29" t="inlineStr">
        <is>
          <t>https://www.thisiseindhoven.com/en/city-life/about-eindhoven/the-most-popular-neighborhoods-in-eindhoven</t>
        </is>
      </c>
      <c r="F348" s="49" t="n">
        <v>46317</v>
      </c>
      <c r="G348" s="51" t="n">
        <v>1</v>
      </c>
    </row>
    <row r="349" ht="54" customHeight="1">
      <c r="A349" s="29" t="inlineStr">
        <is>
          <t>eindhoven:action:philipsdorp-mahallesi-2</t>
        </is>
      </c>
      <c r="B349" s="29" t="inlineStr">
        <is>
          <t>eindhoven</t>
        </is>
      </c>
      <c r="C349" s="29" t="inlineStr">
        <is>
          <t>eindhoven:philipsdorp-mahallesi</t>
        </is>
      </c>
      <c r="D349" s="29" t="inlineStr">
        <is>
          <t>Belediye bilgisi al</t>
        </is>
      </c>
      <c r="E349" s="29" t="inlineStr">
        <is>
          <t>https://www.eindhoven.nl/stad-en-wonen/stadsdelen/stadsdeel-strijp</t>
        </is>
      </c>
      <c r="F349" s="49" t="n">
        <v>46317</v>
      </c>
      <c r="G349" s="51" t="n">
        <v>2</v>
      </c>
    </row>
    <row r="350" ht="54" customHeight="1">
      <c r="A350" s="29" t="inlineStr">
        <is>
          <t>eindhoven:action:philipsdorp-mahallesi-3</t>
        </is>
      </c>
      <c r="B350" s="29" t="inlineStr">
        <is>
          <t>eindhoven</t>
        </is>
      </c>
      <c r="C350" s="29" t="inlineStr">
        <is>
          <t>eindhoven:philipsdorp-mahallesi</t>
        </is>
      </c>
      <c r="D350" s="29" t="inlineStr">
        <is>
          <t>Kayıt ol</t>
        </is>
      </c>
      <c r="E350" s="29" t="inlineStr">
        <is>
          <t>https://www.wooniezie.nl/inschrijven-2/inschrijven</t>
        </is>
      </c>
      <c r="F350" s="49" t="n">
        <v>46317</v>
      </c>
      <c r="G350" s="51" t="n">
        <v>3</v>
      </c>
    </row>
    <row r="351" ht="54" customHeight="1">
      <c r="A351" s="29" t="inlineStr">
        <is>
          <t>eindhoven:action:meerhoven-mahallesi-1</t>
        </is>
      </c>
      <c r="B351" s="29" t="inlineStr">
        <is>
          <t>eindhoven</t>
        </is>
      </c>
      <c r="C351" s="29" t="inlineStr">
        <is>
          <t>eindhoven:meerhoven-mahallesi</t>
        </is>
      </c>
      <c r="D351" s="29" t="inlineStr">
        <is>
          <t>Bilgi al</t>
        </is>
      </c>
      <c r="E351" s="29" t="inlineStr">
        <is>
          <t>https://www.thisiseindhoven.com/en/city-life/about-eindhoven/the-most-popular-neighborhoods-in-eindhoven</t>
        </is>
      </c>
      <c r="F351" s="49" t="n">
        <v>46317</v>
      </c>
      <c r="G351" s="51" t="n">
        <v>1</v>
      </c>
    </row>
    <row r="352" ht="54" customHeight="1">
      <c r="A352" s="29" t="inlineStr">
        <is>
          <t>eindhoven:action:meerhoven-mahallesi-2</t>
        </is>
      </c>
      <c r="B352" s="29" t="inlineStr">
        <is>
          <t>eindhoven</t>
        </is>
      </c>
      <c r="C352" s="29" t="inlineStr">
        <is>
          <t>eindhoven:meerhoven-mahallesi</t>
        </is>
      </c>
      <c r="D352" s="29" t="inlineStr">
        <is>
          <t>Belediye bilgisi al</t>
        </is>
      </c>
      <c r="E352" s="29" t="inlineStr">
        <is>
          <t>https://www.eindhoven.nl/stad-en-wonen/stadsdelen/stadsdeel-strijp</t>
        </is>
      </c>
      <c r="F352" s="49" t="n">
        <v>46317</v>
      </c>
      <c r="G352" s="51" t="n">
        <v>2</v>
      </c>
    </row>
    <row r="353" ht="54" customHeight="1">
      <c r="A353" s="29" t="inlineStr">
        <is>
          <t>eindhoven:action:meerhoven-mahallesi-3</t>
        </is>
      </c>
      <c r="B353" s="29" t="inlineStr">
        <is>
          <t>eindhoven</t>
        </is>
      </c>
      <c r="C353" s="29" t="inlineStr">
        <is>
          <t>eindhoven:meerhoven-mahallesi</t>
        </is>
      </c>
      <c r="D353" s="29" t="inlineStr">
        <is>
          <t>Bilgi al</t>
        </is>
      </c>
      <c r="E353" s="29" t="inlineStr">
        <is>
          <t>https://www.hermes.nl/nl/onze-routes/bijzondere-lijnen/park-ride-richting-eindhoven</t>
        </is>
      </c>
      <c r="F353" s="49" t="n">
        <v>46317</v>
      </c>
      <c r="G353" s="51" t="n">
        <v>3</v>
      </c>
    </row>
    <row r="354" ht="54" customHeight="1">
      <c r="A354" s="29" t="inlineStr">
        <is>
          <t>eindhoven:action:woensel-west-mahallesi-1</t>
        </is>
      </c>
      <c r="B354" s="29" t="inlineStr">
        <is>
          <t>eindhoven</t>
        </is>
      </c>
      <c r="C354" s="29" t="inlineStr">
        <is>
          <t>eindhoven:woensel-west-mahallesi</t>
        </is>
      </c>
      <c r="D354" s="29" t="inlineStr">
        <is>
          <t>Bilgi al</t>
        </is>
      </c>
      <c r="E354" s="29" t="inlineStr">
        <is>
          <t>https://www.thisiseindhoven.com/en/see-and-do/dynamic-districts/woensel-west</t>
        </is>
      </c>
      <c r="F354" s="49" t="n">
        <v>46317</v>
      </c>
      <c r="G354" s="51" t="n">
        <v>1</v>
      </c>
    </row>
    <row r="355" ht="54" customHeight="1">
      <c r="A355" s="29" t="inlineStr">
        <is>
          <t>eindhoven:action:woensel-west-mahallesi-2</t>
        </is>
      </c>
      <c r="B355" s="29" t="inlineStr">
        <is>
          <t>eindhoven</t>
        </is>
      </c>
      <c r="C355" s="29" t="inlineStr">
        <is>
          <t>eindhoven:woensel-west-mahallesi</t>
        </is>
      </c>
      <c r="D355" s="29" t="inlineStr">
        <is>
          <t>Belediye bilgisi al</t>
        </is>
      </c>
      <c r="E355" s="29" t="inlineStr">
        <is>
          <t>https://www.eindhoven.nl/stad-en-wonen/stadsdelen/stadsdeel-woensel-zuid</t>
        </is>
      </c>
      <c r="F355" s="49" t="n">
        <v>46317</v>
      </c>
      <c r="G355" s="51" t="n">
        <v>2</v>
      </c>
    </row>
    <row r="356" ht="54" customHeight="1">
      <c r="A356" s="29" t="inlineStr">
        <is>
          <t>eindhoven:action:woensel-zuid-bolgesi-1</t>
        </is>
      </c>
      <c r="B356" s="29" t="inlineStr">
        <is>
          <t>eindhoven</t>
        </is>
      </c>
      <c r="C356" s="29" t="inlineStr">
        <is>
          <t>eindhoven:woensel-zuid-bolgesi</t>
        </is>
      </c>
      <c r="D356" s="29" t="inlineStr">
        <is>
          <t>Belediye bilgisi al</t>
        </is>
      </c>
      <c r="E356" s="29" t="inlineStr">
        <is>
          <t>https://www.eindhoven.nl/stad-en-wonen/stadsdelen/stadsdeel-woensel-zuid</t>
        </is>
      </c>
      <c r="F356" s="49" t="n">
        <v>46317</v>
      </c>
      <c r="G356" s="51" t="n">
        <v>1</v>
      </c>
    </row>
    <row r="357" ht="54" customHeight="1">
      <c r="A357" s="29" t="inlineStr">
        <is>
          <t>eindhoven:action:woensel-zuid-bolgesi-2</t>
        </is>
      </c>
      <c r="B357" s="29" t="inlineStr">
        <is>
          <t>eindhoven</t>
        </is>
      </c>
      <c r="C357" s="29" t="inlineStr">
        <is>
          <t>eindhoven:woensel-zuid-bolgesi</t>
        </is>
      </c>
      <c r="D357" s="29" t="inlineStr">
        <is>
          <t>Bilgi al</t>
        </is>
      </c>
      <c r="E357" s="29" t="inlineStr">
        <is>
          <t>https://expatarrivals.com/europe/netherlands/eindhoven/areas-and-suburbs-eindhoven</t>
        </is>
      </c>
      <c r="F357" s="49" t="n">
        <v>46317</v>
      </c>
      <c r="G357" s="51" t="n">
        <v>2</v>
      </c>
    </row>
    <row r="358" ht="54" customHeight="1">
      <c r="A358" s="29" t="inlineStr">
        <is>
          <t>eindhoven:action:woensel-noord-bolgesi-1</t>
        </is>
      </c>
      <c r="B358" s="29" t="inlineStr">
        <is>
          <t>eindhoven</t>
        </is>
      </c>
      <c r="C358" s="29" t="inlineStr">
        <is>
          <t>eindhoven:woensel-noord-bolgesi</t>
        </is>
      </c>
      <c r="D358" s="29" t="inlineStr">
        <is>
          <t>Belediye bilgisi al</t>
        </is>
      </c>
      <c r="E358" s="29" t="inlineStr">
        <is>
          <t>https://www.eindhoven.nl/stad-en-wonen/stadsdelen/stadsdeel-woensel-noord</t>
        </is>
      </c>
      <c r="F358" s="49" t="n">
        <v>46317</v>
      </c>
      <c r="G358" s="51" t="n">
        <v>1</v>
      </c>
    </row>
    <row r="359" ht="54" customHeight="1">
      <c r="A359" s="29" t="inlineStr">
        <is>
          <t>eindhoven:action:woensel-noord-bolgesi-2</t>
        </is>
      </c>
      <c r="B359" s="29" t="inlineStr">
        <is>
          <t>eindhoven</t>
        </is>
      </c>
      <c r="C359" s="29" t="inlineStr">
        <is>
          <t>eindhoven:woensel-noord-bolgesi</t>
        </is>
      </c>
      <c r="D359" s="29" t="inlineStr">
        <is>
          <t>Bilgi al</t>
        </is>
      </c>
      <c r="E359" s="29" t="inlineStr">
        <is>
          <t>https://www.expatica.com/nl/moving/location/where-to-live-in-eindhoven-100616/</t>
        </is>
      </c>
      <c r="F359" s="49" t="n">
        <v>46317</v>
      </c>
      <c r="G359" s="51" t="n">
        <v>2</v>
      </c>
    </row>
    <row r="360" ht="54" customHeight="1">
      <c r="A360" s="29" t="inlineStr">
        <is>
          <t>eindhoven:action:stratum-bolgesi-1</t>
        </is>
      </c>
      <c r="B360" s="29" t="inlineStr">
        <is>
          <t>eindhoven</t>
        </is>
      </c>
      <c r="C360" s="29" t="inlineStr">
        <is>
          <t>eindhoven:stratum-bolgesi</t>
        </is>
      </c>
      <c r="D360" s="29" t="inlineStr">
        <is>
          <t>Bilgi al</t>
        </is>
      </c>
      <c r="E360" s="29" t="inlineStr">
        <is>
          <t>https://www.thisiseindhoven.com/en/see-and-do/fun-things-to-do/heading-into-nature</t>
        </is>
      </c>
      <c r="F360" s="49" t="n">
        <v>46317</v>
      </c>
      <c r="G360" s="51" t="n">
        <v>1</v>
      </c>
    </row>
    <row r="361" ht="54" customHeight="1">
      <c r="A361" s="29" t="inlineStr">
        <is>
          <t>eindhoven:action:stratum-bolgesi-2</t>
        </is>
      </c>
      <c r="B361" s="29" t="inlineStr">
        <is>
          <t>eindhoven</t>
        </is>
      </c>
      <c r="C361" s="29" t="inlineStr">
        <is>
          <t>eindhoven:stratum-bolgesi</t>
        </is>
      </c>
      <c r="D361" s="29" t="inlineStr">
        <is>
          <t>Belediye bilgisi al</t>
        </is>
      </c>
      <c r="E361" s="29" t="inlineStr">
        <is>
          <t>https://www.eindhoven.nl/stad-en-wonen/stadsdelen/stadsdeel-stratum</t>
        </is>
      </c>
      <c r="F361" s="49" t="n">
        <v>46317</v>
      </c>
      <c r="G361" s="51" t="n">
        <v>2</v>
      </c>
    </row>
    <row r="362" ht="54" customHeight="1">
      <c r="A362" s="29" t="inlineStr">
        <is>
          <t>eindhoven:action:den-elzent-mahallesi-1</t>
        </is>
      </c>
      <c r="B362" s="29" t="inlineStr">
        <is>
          <t>eindhoven</t>
        </is>
      </c>
      <c r="C362" s="29" t="inlineStr">
        <is>
          <t>eindhoven:den-elzent-mahallesi</t>
        </is>
      </c>
      <c r="D362" s="29" t="inlineStr">
        <is>
          <t>Bilgi al</t>
        </is>
      </c>
      <c r="E362" s="29" t="inlineStr">
        <is>
          <t>https://www.thisiseindhoven.com/en/city-life/about-eindhoven/the-most-popular-neighborhoods-in-eindhoven</t>
        </is>
      </c>
      <c r="F362" s="49" t="n">
        <v>46317</v>
      </c>
      <c r="G362" s="51" t="n">
        <v>1</v>
      </c>
    </row>
    <row r="363" ht="54" customHeight="1">
      <c r="A363" s="29" t="inlineStr">
        <is>
          <t>eindhoven:action:den-elzent-mahallesi-2</t>
        </is>
      </c>
      <c r="B363" s="29" t="inlineStr">
        <is>
          <t>eindhoven</t>
        </is>
      </c>
      <c r="C363" s="29" t="inlineStr">
        <is>
          <t>eindhoven:den-elzent-mahallesi</t>
        </is>
      </c>
      <c r="D363" s="29" t="inlineStr">
        <is>
          <t>Belediye bilgisi al</t>
        </is>
      </c>
      <c r="E363" s="29" t="inlineStr">
        <is>
          <t>https://www.eindhoven.nl/stad-en-wonen/stadsdelen/stadsdeel-stratum</t>
        </is>
      </c>
      <c r="F363" s="49" t="n">
        <v>46317</v>
      </c>
      <c r="G363" s="51" t="n">
        <v>2</v>
      </c>
    </row>
    <row r="364" ht="54" customHeight="1">
      <c r="A364" s="29" t="inlineStr">
        <is>
          <t>eindhoven:action:witte-dorp-mahallesi-1</t>
        </is>
      </c>
      <c r="B364" s="29" t="inlineStr">
        <is>
          <t>eindhoven</t>
        </is>
      </c>
      <c r="C364" s="29" t="inlineStr">
        <is>
          <t>eindhoven:witte-dorp-mahallesi</t>
        </is>
      </c>
      <c r="D364" s="29" t="inlineStr">
        <is>
          <t>Bilgi al</t>
        </is>
      </c>
      <c r="E364" s="29" t="inlineStr">
        <is>
          <t>https://www.thisiseindhoven.com/en/city-life/about-eindhoven/the-most-popular-neighborhoods-in-eindhoven</t>
        </is>
      </c>
      <c r="F364" s="49" t="n">
        <v>46317</v>
      </c>
      <c r="G364" s="51" t="n">
        <v>1</v>
      </c>
    </row>
    <row r="365" ht="54" customHeight="1">
      <c r="A365" s="29" t="inlineStr">
        <is>
          <t>eindhoven:action:witte-dorp-mahallesi-2</t>
        </is>
      </c>
      <c r="B365" s="29" t="inlineStr">
        <is>
          <t>eindhoven</t>
        </is>
      </c>
      <c r="C365" s="29" t="inlineStr">
        <is>
          <t>eindhoven:witte-dorp-mahallesi</t>
        </is>
      </c>
      <c r="D365" s="29" t="inlineStr">
        <is>
          <t>Belediye bilgisi al</t>
        </is>
      </c>
      <c r="E365" s="29" t="inlineStr">
        <is>
          <t>https://www.eindhoven.nl/stad-en-wonen/stadsdelen/stadsdeel-stratum</t>
        </is>
      </c>
      <c r="F365" s="49" t="n">
        <v>46317</v>
      </c>
      <c r="G365" s="51" t="n">
        <v>2</v>
      </c>
    </row>
    <row r="366" ht="54" customHeight="1">
      <c r="A366" s="29" t="inlineStr">
        <is>
          <t>eindhoven:action:riel-mahallesi-1</t>
        </is>
      </c>
      <c r="B366" s="29" t="inlineStr">
        <is>
          <t>eindhoven</t>
        </is>
      </c>
      <c r="C366" s="29" t="inlineStr">
        <is>
          <t>eindhoven:riel-mahallesi</t>
        </is>
      </c>
      <c r="D366" s="29" t="inlineStr">
        <is>
          <t>Bilgi al</t>
        </is>
      </c>
      <c r="E366" s="29" t="inlineStr">
        <is>
          <t>https://www.thisiseindhoven.com/en/city-life/about-eindhoven/the-most-popular-neighborhoods-in-eindhoven</t>
        </is>
      </c>
      <c r="F366" s="49" t="n">
        <v>46317</v>
      </c>
      <c r="G366" s="51" t="n">
        <v>1</v>
      </c>
    </row>
    <row r="367" ht="54" customHeight="1">
      <c r="A367" s="29" t="inlineStr">
        <is>
          <t>eindhoven:action:riel-mahallesi-2</t>
        </is>
      </c>
      <c r="B367" s="29" t="inlineStr">
        <is>
          <t>eindhoven</t>
        </is>
      </c>
      <c r="C367" s="29" t="inlineStr">
        <is>
          <t>eindhoven:riel-mahallesi</t>
        </is>
      </c>
      <c r="D367" s="29" t="inlineStr">
        <is>
          <t>Belediye bilgisi al</t>
        </is>
      </c>
      <c r="E367" s="29" t="inlineStr">
        <is>
          <t>https://www.eindhoven.nl/stad-en-wonen/stadsdelen/stadsdeel-stratum</t>
        </is>
      </c>
      <c r="F367" s="49" t="n">
        <v>46317</v>
      </c>
      <c r="G367" s="51" t="n">
        <v>2</v>
      </c>
    </row>
    <row r="368" ht="54" customHeight="1">
      <c r="A368" s="29" t="inlineStr">
        <is>
          <t>eindhoven:action:gestel-bolgesi-1</t>
        </is>
      </c>
      <c r="B368" s="29" t="inlineStr">
        <is>
          <t>eindhoven</t>
        </is>
      </c>
      <c r="C368" s="29" t="inlineStr">
        <is>
          <t>eindhoven:gestel-bolgesi</t>
        </is>
      </c>
      <c r="D368" s="29" t="inlineStr">
        <is>
          <t>Belediye bilgisi al</t>
        </is>
      </c>
      <c r="E368" s="29" t="inlineStr">
        <is>
          <t>https://www.eindhoven.nl/stad-en-wonen/stadsdelen/stadsdeel-gestel</t>
        </is>
      </c>
      <c r="F368" s="49" t="n">
        <v>46317</v>
      </c>
      <c r="G368" s="51" t="n">
        <v>1</v>
      </c>
    </row>
    <row r="369" ht="54" customHeight="1">
      <c r="A369" s="29" t="inlineStr">
        <is>
          <t>eindhoven:action:gestel-bolgesi-2</t>
        </is>
      </c>
      <c r="B369" s="29" t="inlineStr">
        <is>
          <t>eindhoven</t>
        </is>
      </c>
      <c r="C369" s="29" t="inlineStr">
        <is>
          <t>eindhoven:gestel-bolgesi</t>
        </is>
      </c>
      <c r="D369" s="29" t="inlineStr">
        <is>
          <t>Bilgi al</t>
        </is>
      </c>
      <c r="E369" s="29" t="inlineStr">
        <is>
          <t>https://www.expatica.com/nl/moving/location/where-to-live-in-eindhoven-100616/</t>
        </is>
      </c>
      <c r="F369" s="49" t="n">
        <v>46317</v>
      </c>
      <c r="G369" s="51" t="n">
        <v>2</v>
      </c>
    </row>
    <row r="370" ht="54" customHeight="1">
      <c r="A370" s="29" t="inlineStr">
        <is>
          <t>eindhoven:action:tongelre-bolgesi-1</t>
        </is>
      </c>
      <c r="B370" s="29" t="inlineStr">
        <is>
          <t>eindhoven</t>
        </is>
      </c>
      <c r="C370" s="29" t="inlineStr">
        <is>
          <t>eindhoven:tongelre-bolgesi</t>
        </is>
      </c>
      <c r="D370" s="29" t="inlineStr">
        <is>
          <t>Bilgi al</t>
        </is>
      </c>
      <c r="E370" s="29" t="inlineStr">
        <is>
          <t>https://www.thisiseindhoven.com/en/see-and-do/fun-things-to-do/evergeen-eindhoven-parks</t>
        </is>
      </c>
      <c r="F370" s="49" t="n">
        <v>46317</v>
      </c>
      <c r="G370" s="51" t="n">
        <v>1</v>
      </c>
    </row>
    <row r="371" ht="54" customHeight="1">
      <c r="A371" s="29" t="inlineStr">
        <is>
          <t>eindhoven:action:tongelre-bolgesi-2</t>
        </is>
      </c>
      <c r="B371" s="29" t="inlineStr">
        <is>
          <t>eindhoven</t>
        </is>
      </c>
      <c r="C371" s="29" t="inlineStr">
        <is>
          <t>eindhoven:tongelre-bolgesi</t>
        </is>
      </c>
      <c r="D371" s="29" t="inlineStr">
        <is>
          <t>Belediye bilgisi al</t>
        </is>
      </c>
      <c r="E371" s="29" t="inlineStr">
        <is>
          <t>https://www.eindhoven.nl/stad-en-wonen/stadsdelen/stadsdeel-tongelre</t>
        </is>
      </c>
      <c r="F371" s="49" t="n">
        <v>46317</v>
      </c>
      <c r="G371" s="51" t="n">
        <v>2</v>
      </c>
    </row>
    <row r="372" ht="54" customHeight="1">
      <c r="A372" s="29" t="inlineStr">
        <is>
          <t>eindhoven:action:lakerlopen-mahallesi-1</t>
        </is>
      </c>
      <c r="B372" s="29" t="inlineStr">
        <is>
          <t>eindhoven</t>
        </is>
      </c>
      <c r="C372" s="29" t="inlineStr">
        <is>
          <t>eindhoven:lakerlopen-mahallesi</t>
        </is>
      </c>
      <c r="D372" s="29" t="inlineStr">
        <is>
          <t>Bilgi al</t>
        </is>
      </c>
      <c r="E372" s="29" t="inlineStr">
        <is>
          <t>https://www.thisiseindhoven.com/en/city-life/about-eindhoven/the-most-popular-neighborhoods-in-eindhoven</t>
        </is>
      </c>
      <c r="F372" s="49" t="n">
        <v>46317</v>
      </c>
      <c r="G372" s="51" t="n">
        <v>1</v>
      </c>
    </row>
    <row r="373" ht="54" customHeight="1">
      <c r="A373" s="29" t="inlineStr">
        <is>
          <t>eindhoven:action:lakerlopen-mahallesi-2</t>
        </is>
      </c>
      <c r="B373" s="29" t="inlineStr">
        <is>
          <t>eindhoven</t>
        </is>
      </c>
      <c r="C373" s="29" t="inlineStr">
        <is>
          <t>eindhoven:lakerlopen-mahallesi</t>
        </is>
      </c>
      <c r="D373" s="29" t="inlineStr">
        <is>
          <t>Belediye bilgisi al</t>
        </is>
      </c>
      <c r="E373" s="29" t="inlineStr">
        <is>
          <t>https://www.eindhoven.nl/stad-en-wonen/stadsdelen/stadsdeel-tongelre</t>
        </is>
      </c>
      <c r="F373" s="49" t="n">
        <v>46317</v>
      </c>
      <c r="G373" s="51" t="n">
        <v>2</v>
      </c>
    </row>
    <row r="374" ht="54" customHeight="1">
      <c r="A374" s="29" t="inlineStr">
        <is>
          <t>eindhoven:action:karpen-mahallesi-1</t>
        </is>
      </c>
      <c r="B374" s="29" t="inlineStr">
        <is>
          <t>eindhoven</t>
        </is>
      </c>
      <c r="C374" s="29" t="inlineStr">
        <is>
          <t>eindhoven:karpen-mahallesi</t>
        </is>
      </c>
      <c r="D374" s="29" t="inlineStr">
        <is>
          <t>Bilgi al</t>
        </is>
      </c>
      <c r="E374" s="29" t="inlineStr">
        <is>
          <t>https://www.thisiseindhoven.com/en/see-and-do/fun-things-to-do/evergeen-eindhoven-parks</t>
        </is>
      </c>
      <c r="F374" s="49" t="n">
        <v>46317</v>
      </c>
      <c r="G374" s="51" t="n">
        <v>1</v>
      </c>
    </row>
    <row r="375" ht="54" customHeight="1">
      <c r="A375" s="29" t="inlineStr">
        <is>
          <t>eindhoven:action:karpen-mahallesi-2</t>
        </is>
      </c>
      <c r="B375" s="29" t="inlineStr">
        <is>
          <t>eindhoven</t>
        </is>
      </c>
      <c r="C375" s="29" t="inlineStr">
        <is>
          <t>eindhoven:karpen-mahallesi</t>
        </is>
      </c>
      <c r="D375" s="29" t="inlineStr">
        <is>
          <t>Belediye bilgisi al</t>
        </is>
      </c>
      <c r="E375" s="29" t="inlineStr">
        <is>
          <t>https://www.eindhoven.nl/stad-en-wonen/stadsdelen/stadsdeel-tongelre</t>
        </is>
      </c>
      <c r="F375" s="49" t="n">
        <v>46317</v>
      </c>
      <c r="G375" s="51" t="n">
        <v>2</v>
      </c>
    </row>
    <row r="376" ht="54" customHeight="1">
      <c r="A376" s="29" t="inlineStr">
        <is>
          <t>eindhoven:action:oturum-izni-gerekli-mi-uyruga-gore-1</t>
        </is>
      </c>
      <c r="B376" s="29" t="inlineStr">
        <is>
          <t>eindhoven</t>
        </is>
      </c>
      <c r="C376" s="29" t="inlineStr">
        <is>
          <t>eindhoven:oturum-izni-gerekli-mi-uyruga-gore</t>
        </is>
      </c>
      <c r="D376" s="29" t="inlineStr">
        <is>
          <t>Bilgi al</t>
        </is>
      </c>
      <c r="E376" s="29" t="inlineStr">
        <is>
          <t>https://ind.nl/en/provisional-residence-permit-mvv</t>
        </is>
      </c>
      <c r="F376" s="49" t="n">
        <v>46317</v>
      </c>
      <c r="G376" s="51" t="n">
        <v>1</v>
      </c>
    </row>
    <row r="377" ht="54" customHeight="1">
      <c r="A377" s="29" t="inlineStr">
        <is>
          <t>eindhoven:action:oturum-izni-gerekli-mi-uyruga-gore-2</t>
        </is>
      </c>
      <c r="B377" s="29" t="inlineStr">
        <is>
          <t>eindhoven</t>
        </is>
      </c>
      <c r="C377" s="29" t="inlineStr">
        <is>
          <t>eindhoven:oturum-izni-gerekli-mi-uyruga-gore</t>
        </is>
      </c>
      <c r="D377" s="29" t="inlineStr">
        <is>
          <t>Bilgi al</t>
        </is>
      </c>
      <c r="E377" s="29" t="inlineStr">
        <is>
          <t>https://ind.nl/en/residence-permits/eu-eea-or-swiss-citizens/staying-in-the-netherlands-as-an-eu-eea-or-swiss-citizen</t>
        </is>
      </c>
      <c r="F377" s="49" t="n">
        <v>46317</v>
      </c>
      <c r="G377" s="51" t="n">
        <v>2</v>
      </c>
    </row>
    <row r="378" ht="54" customHeight="1">
      <c r="A378" s="29" t="inlineStr">
        <is>
          <t>eindhoven:action:mvv-nedir-kimlere-gerekir-1</t>
        </is>
      </c>
      <c r="B378" s="29" t="inlineStr">
        <is>
          <t>eindhoven</t>
        </is>
      </c>
      <c r="C378" s="29" t="inlineStr">
        <is>
          <t>eindhoven:mvv-nedir-kimlere-gerekir</t>
        </is>
      </c>
      <c r="D378" s="29" t="inlineStr">
        <is>
          <t>Bilgi al</t>
        </is>
      </c>
      <c r="E378" s="29" t="inlineStr">
        <is>
          <t>https://ind.nl/en/provisional-residence-permit-mvv</t>
        </is>
      </c>
      <c r="F378" s="49" t="n">
        <v>46317</v>
      </c>
      <c r="G378" s="51" t="n">
        <v>1</v>
      </c>
    </row>
    <row r="379" ht="54" customHeight="1">
      <c r="A379" s="29" t="inlineStr">
        <is>
          <t>eindhoven:action:mvv-nedir-kimlere-gerekir-2</t>
        </is>
      </c>
      <c r="B379" s="29" t="inlineStr">
        <is>
          <t>eindhoven</t>
        </is>
      </c>
      <c r="C379" s="29" t="inlineStr">
        <is>
          <t>eindhoven:mvv-nedir-kimlere-gerekir</t>
        </is>
      </c>
      <c r="D379" s="29" t="inlineStr">
        <is>
          <t>Bilgi al</t>
        </is>
      </c>
      <c r="E379" s="29" t="inlineStr">
        <is>
          <t>https://ind.nl/en/mvv-exemptions</t>
        </is>
      </c>
      <c r="F379" s="49" t="n">
        <v>46317</v>
      </c>
      <c r="G379" s="51" t="n">
        <v>2</v>
      </c>
    </row>
    <row r="380" ht="54" customHeight="1">
      <c r="A380" s="29" t="inlineStr">
        <is>
          <t>eindhoven:action:mvv-ve-oturum-basvurusu-yurt-disindan-1</t>
        </is>
      </c>
      <c r="B380" s="29" t="inlineStr">
        <is>
          <t>eindhoven</t>
        </is>
      </c>
      <c r="C380" s="29" t="inlineStr">
        <is>
          <t>eindhoven:mvv-ve-oturum-basvurusu-yurt-disindan</t>
        </is>
      </c>
      <c r="D380" s="29" t="inlineStr">
        <is>
          <t>Başvur</t>
        </is>
      </c>
      <c r="E380" s="29" t="inlineStr">
        <is>
          <t>https://ind.nl/en/apply-for-mvv-and-residence-permit-from-abroad</t>
        </is>
      </c>
      <c r="F380" s="49" t="n">
        <v>46317</v>
      </c>
      <c r="G380" s="51" t="n">
        <v>1</v>
      </c>
    </row>
    <row r="381" ht="54" customHeight="1">
      <c r="A381" s="29" t="inlineStr">
        <is>
          <t>eindhoven:action:oturum-izni-basvuru-ucretleri-ind-1</t>
        </is>
      </c>
      <c r="B381" s="29" t="inlineStr">
        <is>
          <t>eindhoven</t>
        </is>
      </c>
      <c r="C381" s="29" t="inlineStr">
        <is>
          <t>eindhoven:oturum-izni-basvuru-ucretleri-ind</t>
        </is>
      </c>
      <c r="D381" s="29" t="inlineStr">
        <is>
          <t>Bilgi al</t>
        </is>
      </c>
      <c r="E381" s="29" t="inlineStr">
        <is>
          <t>https://ind.nl/en/fees</t>
        </is>
      </c>
      <c r="F381" s="49" t="n">
        <v>46317</v>
      </c>
      <c r="G381" s="51" t="n">
        <v>1</v>
      </c>
    </row>
    <row r="382" ht="54" customHeight="1">
      <c r="A382" s="29" t="inlineStr">
        <is>
          <t>eindhoven:action:oturum-izni-gelir-sarti-tutarlari-1</t>
        </is>
      </c>
      <c r="B382" s="29" t="inlineStr">
        <is>
          <t>eindhoven</t>
        </is>
      </c>
      <c r="C382" s="29" t="inlineStr">
        <is>
          <t>eindhoven:oturum-izni-gelir-sarti-tutarlari</t>
        </is>
      </c>
      <c r="D382" s="29" t="inlineStr">
        <is>
          <t>Bilgi al</t>
        </is>
      </c>
      <c r="E382" s="29" t="inlineStr">
        <is>
          <t>https://ind.nl/en/required-amounts-income-requirements</t>
        </is>
      </c>
      <c r="F382" s="49" t="n">
        <v>46317</v>
      </c>
      <c r="G382" s="51" t="n">
        <v>1</v>
      </c>
    </row>
    <row r="383" ht="54" customHeight="1">
      <c r="A383" s="29" t="inlineStr">
        <is>
          <t>eindhoven:action:kennismigrant-nitelikli-calisan-izni-1</t>
        </is>
      </c>
      <c r="B383" s="29" t="inlineStr">
        <is>
          <t>eindhoven</t>
        </is>
      </c>
      <c r="C383" s="29" t="inlineStr">
        <is>
          <t>eindhoven:kennismigrant-nitelikli-calisan-izni</t>
        </is>
      </c>
      <c r="D383" s="29" t="inlineStr">
        <is>
          <t>Bilgi al</t>
        </is>
      </c>
      <c r="E383" s="29" t="inlineStr">
        <is>
          <t>https://ind.nl/en/residence-permits/work/highly-skilled-migrant</t>
        </is>
      </c>
      <c r="F383" s="49" t="n">
        <v>46317</v>
      </c>
      <c r="G383" s="51" t="n">
        <v>1</v>
      </c>
    </row>
    <row r="384" ht="54" customHeight="1">
      <c r="A384" s="29" t="inlineStr">
        <is>
          <t>eindhoven:action:kennismigrant-nitelikli-calisan-izni-2</t>
        </is>
      </c>
      <c r="B384" s="29" t="inlineStr">
        <is>
          <t>eindhoven</t>
        </is>
      </c>
      <c r="C384" s="29" t="inlineStr">
        <is>
          <t>eindhoven:kennismigrant-nitelikli-calisan-izni</t>
        </is>
      </c>
      <c r="D384" s="29" t="inlineStr">
        <is>
          <t>Bilgi al</t>
        </is>
      </c>
      <c r="E384" s="29" t="inlineStr">
        <is>
          <t>https://ind.nl/en/turkish-citizens-and-living-in-the-netherlands</t>
        </is>
      </c>
      <c r="F384" s="49" t="n">
        <v>46317</v>
      </c>
      <c r="G384" s="51" t="n">
        <v>2</v>
      </c>
    </row>
    <row r="385" ht="54" customHeight="1">
      <c r="A385" s="29" t="inlineStr">
        <is>
          <t>eindhoven:action:tek-izin-gvva-calisma-ve-oturum-1</t>
        </is>
      </c>
      <c r="B385" s="29" t="inlineStr">
        <is>
          <t>eindhoven</t>
        </is>
      </c>
      <c r="C385" s="29" t="inlineStr">
        <is>
          <t>eindhoven:tek-izin-gvva-calisma-ve-oturum</t>
        </is>
      </c>
      <c r="D385" s="29" t="inlineStr">
        <is>
          <t>Bilgi al</t>
        </is>
      </c>
      <c r="E385" s="29" t="inlineStr">
        <is>
          <t>https://ind.nl/en/residence-permits/work/single-permit-gvva</t>
        </is>
      </c>
      <c r="F385" s="49" t="n">
        <v>46317</v>
      </c>
      <c r="G385" s="51" t="n">
        <v>1</v>
      </c>
    </row>
    <row r="386" ht="54" customHeight="1">
      <c r="A386" s="29" t="inlineStr">
        <is>
          <t>eindhoven:action:tek-izin-gvva-calisma-ve-oturum-2</t>
        </is>
      </c>
      <c r="B386" s="29" t="inlineStr">
        <is>
          <t>eindhoven</t>
        </is>
      </c>
      <c r="C386" s="29" t="inlineStr">
        <is>
          <t>eindhoven:tek-izin-gvva-calisma-ve-oturum</t>
        </is>
      </c>
      <c r="D386" s="29" t="inlineStr">
        <is>
          <t>Bilgi al</t>
        </is>
      </c>
      <c r="E386" s="29" t="inlineStr">
        <is>
          <t>https://www.government.nl/documents/question-and-answer/foreign-citizens-working-in-the-netherlands/what-permits-do-foreign-workers-need</t>
        </is>
      </c>
      <c r="F386" s="49" t="n">
        <v>46317</v>
      </c>
      <c r="G386" s="51" t="n">
        <v>2</v>
      </c>
    </row>
    <row r="387" ht="54" customHeight="1">
      <c r="A387" s="29" t="inlineStr">
        <is>
          <t>eindhoven:action:twv-calisma-izni-isveren-basvurusu-1</t>
        </is>
      </c>
      <c r="B387" s="29" t="inlineStr">
        <is>
          <t>eindhoven</t>
        </is>
      </c>
      <c r="C387" s="29" t="inlineStr">
        <is>
          <t>eindhoven:twv-calisma-izni-isveren-basvurusu</t>
        </is>
      </c>
      <c r="D387" s="29" t="inlineStr">
        <is>
          <t>Başvur</t>
        </is>
      </c>
      <c r="E387" s="29" t="inlineStr">
        <is>
          <t>https://www.uwv.nl/nl/werkvergunning/twv-aanvragen</t>
        </is>
      </c>
      <c r="F387" s="49" t="n">
        <v>46317</v>
      </c>
      <c r="G387" s="51" t="n">
        <v>1</v>
      </c>
    </row>
    <row r="388" ht="54" customHeight="1">
      <c r="A388" s="29" t="inlineStr">
        <is>
          <t>eindhoven:action:calisma-izni-gerekmeyen-durumlar-1</t>
        </is>
      </c>
      <c r="B388" s="29" t="inlineStr">
        <is>
          <t>eindhoven</t>
        </is>
      </c>
      <c r="C388" s="29" t="inlineStr">
        <is>
          <t>eindhoven:calisma-izni-gerekmeyen-durumlar</t>
        </is>
      </c>
      <c r="D388" s="29" t="inlineStr">
        <is>
          <t>Bilgi al</t>
        </is>
      </c>
      <c r="E388" s="29" t="inlineStr">
        <is>
          <t>https://www.government.nl/documents/question-and-answer/foreign-citizens-working-in-the-netherlands/what-permits-do-foreign-workers-need</t>
        </is>
      </c>
      <c r="F388" s="49" t="n">
        <v>46317</v>
      </c>
      <c r="G388" s="51" t="n">
        <v>1</v>
      </c>
    </row>
    <row r="389" ht="54" customHeight="1">
      <c r="A389" s="29" t="inlineStr">
        <is>
          <t>eindhoven:action:ogrenci-oturum-izni-1</t>
        </is>
      </c>
      <c r="B389" s="29" t="inlineStr">
        <is>
          <t>eindhoven</t>
        </is>
      </c>
      <c r="C389" s="29" t="inlineStr">
        <is>
          <t>eindhoven:ogrenci-oturum-izni</t>
        </is>
      </c>
      <c r="D389" s="29" t="inlineStr">
        <is>
          <t>Bilgi al</t>
        </is>
      </c>
      <c r="E389" s="29" t="inlineStr">
        <is>
          <t>https://ind.nl/en/residence-permits/study/student-residence-permit-for-university-or-higher-professional-education</t>
        </is>
      </c>
      <c r="F389" s="49" t="n">
        <v>46317</v>
      </c>
      <c r="G389" s="51" t="n">
        <v>1</v>
      </c>
    </row>
    <row r="390" ht="54" customHeight="1">
      <c r="A390" s="29" t="inlineStr">
        <is>
          <t>eindhoven:action:mezuniyet-sonrasi-arama-yili-izni-1</t>
        </is>
      </c>
      <c r="B390" s="29" t="inlineStr">
        <is>
          <t>eindhoven</t>
        </is>
      </c>
      <c r="C390" s="29" t="inlineStr">
        <is>
          <t>eindhoven:mezuniyet-sonrasi-arama-yili-izni</t>
        </is>
      </c>
      <c r="D390" s="29" t="inlineStr">
        <is>
          <t>Bilgi al</t>
        </is>
      </c>
      <c r="E390" s="29" t="inlineStr">
        <is>
          <t>https://ind.nl/en/residence-permits/work/residence-permit-for-orientation-year</t>
        </is>
      </c>
      <c r="F390" s="49" t="n">
        <v>46317</v>
      </c>
      <c r="G390" s="51" t="n">
        <v>1</v>
      </c>
    </row>
    <row r="391" ht="54" customHeight="1">
      <c r="A391" s="29" t="inlineStr">
        <is>
          <t>eindhoven:action:mezuniyet-sonrasi-arama-yili-izni-2</t>
        </is>
      </c>
      <c r="B391" s="29" t="inlineStr">
        <is>
          <t>eindhoven</t>
        </is>
      </c>
      <c r="C391" s="29" t="inlineStr">
        <is>
          <t>eindhoven:mezuniyet-sonrasi-arama-yili-izni</t>
        </is>
      </c>
      <c r="D391" s="29" t="inlineStr">
        <is>
          <t>Başvur</t>
        </is>
      </c>
      <c r="E391" s="29" t="inlineStr">
        <is>
          <t>https://ind.nl/en/apply-for-mvv-and-residence-permit-from-abroad</t>
        </is>
      </c>
      <c r="F391" s="49" t="n">
        <v>46317</v>
      </c>
      <c r="G391" s="51" t="n">
        <v>2</v>
      </c>
    </row>
    <row r="392" ht="54" customHeight="1">
      <c r="A392" s="29" t="inlineStr">
        <is>
          <t>eindhoven:action:partner-oturum-izni-aile-birlesimi-1</t>
        </is>
      </c>
      <c r="B392" s="29" t="inlineStr">
        <is>
          <t>eindhoven</t>
        </is>
      </c>
      <c r="C392" s="29" t="inlineStr">
        <is>
          <t>eindhoven:partner-oturum-izni-aile-birlesimi</t>
        </is>
      </c>
      <c r="D392" s="29" t="inlineStr">
        <is>
          <t>Bilgi al</t>
        </is>
      </c>
      <c r="E392" s="29" t="inlineStr">
        <is>
          <t>https://ind.nl/en/residence-permits/family-and-partner/residence-permit-for-partner</t>
        </is>
      </c>
      <c r="F392" s="49" t="n">
        <v>46317</v>
      </c>
      <c r="G392" s="51" t="n">
        <v>1</v>
      </c>
    </row>
    <row r="393" ht="54" customHeight="1">
      <c r="A393" s="29" t="inlineStr">
        <is>
          <t>eindhoven:action:partner-oturum-izni-aile-birlesimi-2</t>
        </is>
      </c>
      <c r="B393" s="29" t="inlineStr">
        <is>
          <t>eindhoven</t>
        </is>
      </c>
      <c r="C393" s="29" t="inlineStr">
        <is>
          <t>eindhoven:partner-oturum-izni-aile-birlesimi</t>
        </is>
      </c>
      <c r="D393" s="29" t="inlineStr">
        <is>
          <t>Başvur</t>
        </is>
      </c>
      <c r="E393" s="29" t="inlineStr">
        <is>
          <t>https://ind.nl/en/apply-for-mvv-and-residence-permit-from-abroad</t>
        </is>
      </c>
      <c r="F393" s="49" t="n">
        <v>46317</v>
      </c>
      <c r="G393" s="51" t="n">
        <v>2</v>
      </c>
    </row>
    <row r="394" ht="54" customHeight="1">
      <c r="A394" s="29" t="inlineStr">
        <is>
          <t>eindhoven:action:serbest-meslek-oturum-izni-1</t>
        </is>
      </c>
      <c r="B394" s="29" t="inlineStr">
        <is>
          <t>eindhoven</t>
        </is>
      </c>
      <c r="C394" s="29" t="inlineStr">
        <is>
          <t>eindhoven:serbest-meslek-oturum-izni</t>
        </is>
      </c>
      <c r="D394" s="29" t="inlineStr">
        <is>
          <t>Bilgi al</t>
        </is>
      </c>
      <c r="E394" s="29" t="inlineStr">
        <is>
          <t>https://ind.nl/en/residence-permits/work/residence-permit-self-employed-person</t>
        </is>
      </c>
      <c r="F394" s="49" t="n">
        <v>46317</v>
      </c>
      <c r="G394" s="51" t="n">
        <v>1</v>
      </c>
    </row>
    <row r="395" ht="54" customHeight="1">
      <c r="A395" s="29" t="inlineStr">
        <is>
          <t>eindhoven:action:serbest-meslek-oturum-izni-2</t>
        </is>
      </c>
      <c r="B395" s="29" t="inlineStr">
        <is>
          <t>eindhoven</t>
        </is>
      </c>
      <c r="C395" s="29" t="inlineStr">
        <is>
          <t>eindhoven:serbest-meslek-oturum-izni</t>
        </is>
      </c>
      <c r="D395" s="29" t="inlineStr">
        <is>
          <t>Başvur</t>
        </is>
      </c>
      <c r="E395" s="29" t="inlineStr">
        <is>
          <t>https://ind.nl/en/apply-for-mvv-and-residence-permit-from-abroad</t>
        </is>
      </c>
      <c r="F395" s="49" t="n">
        <v>46317</v>
      </c>
      <c r="G395" s="51" t="n">
        <v>2</v>
      </c>
    </row>
    <row r="396" ht="54" customHeight="1">
      <c r="A396" s="29" t="inlineStr">
        <is>
          <t>eindhoven:action:ab-vatandasi-uc-aydan-uzun-kalis-1</t>
        </is>
      </c>
      <c r="B396" s="29" t="inlineStr">
        <is>
          <t>eindhoven</t>
        </is>
      </c>
      <c r="C396" s="29" t="inlineStr">
        <is>
          <t>eindhoven:ab-vatandasi-uc-aydan-uzun-kalis</t>
        </is>
      </c>
      <c r="D396" s="29" t="inlineStr">
        <is>
          <t>Bilgi al</t>
        </is>
      </c>
      <c r="E396" s="29" t="inlineStr">
        <is>
          <t>https://ind.nl/en/residence-permits/eu-eea-or-swiss-citizens/staying-in-the-netherlands-as-an-eu-eea-or-swiss-citizen</t>
        </is>
      </c>
      <c r="F396" s="49" t="n">
        <v>46317</v>
      </c>
      <c r="G396" s="51" t="n">
        <v>1</v>
      </c>
    </row>
    <row r="397" ht="54" customHeight="1">
      <c r="A397" s="29" t="inlineStr">
        <is>
          <t>eindhoven:action:ab-vatandasi-aile-uyesi-kimler-basvurabilir-1</t>
        </is>
      </c>
      <c r="B397" s="29" t="inlineStr">
        <is>
          <t>eindhoven</t>
        </is>
      </c>
      <c r="C397" s="29" t="inlineStr">
        <is>
          <t>eindhoven:ab-vatandasi-aile-uyesi-kimler-basvurabilir</t>
        </is>
      </c>
      <c r="D397" s="29" t="inlineStr">
        <is>
          <t>Bilgi al</t>
        </is>
      </c>
      <c r="E397" s="29" t="inlineStr">
        <is>
          <t>https://ind.nl/en/residence-permits/family-and-partner/verification-against-eu-law-for-union-citizen-family-members</t>
        </is>
      </c>
      <c r="F397" s="49" t="n">
        <v>46317</v>
      </c>
      <c r="G397" s="51" t="n">
        <v>1</v>
      </c>
    </row>
    <row r="398" ht="54" customHeight="1">
      <c r="A398" s="29" t="inlineStr">
        <is>
          <t>eindhoven:action:ab-hukuku-dogrulamasi-basvuru-sureci-1</t>
        </is>
      </c>
      <c r="B398" s="29" t="inlineStr">
        <is>
          <t>eindhoven</t>
        </is>
      </c>
      <c r="C398" s="29" t="inlineStr">
        <is>
          <t>eindhoven:ab-hukuku-dogrulamasi-basvuru-sureci</t>
        </is>
      </c>
      <c r="D398" s="29" t="inlineStr">
        <is>
          <t>Başvur</t>
        </is>
      </c>
      <c r="E398" s="29" t="inlineStr">
        <is>
          <t>https://ind.nl/en/residence-permits/family-and-partner/verification-against-eu-law-for-union-citizen-family-members</t>
        </is>
      </c>
      <c r="F398" s="49" t="n">
        <v>46317</v>
      </c>
      <c r="G398" s="51" t="n">
        <v>1</v>
      </c>
    </row>
    <row r="399" ht="54" customHeight="1">
      <c r="A399" s="29" t="inlineStr">
        <is>
          <t>eindhoven:action:turk-vatandasi-ortaklik-anlasmasi-kolayliklari-1</t>
        </is>
      </c>
      <c r="B399" s="29" t="inlineStr">
        <is>
          <t>eindhoven</t>
        </is>
      </c>
      <c r="C399" s="29" t="inlineStr">
        <is>
          <t>eindhoven:turk-vatandasi-ortaklik-anlasmasi-kolayliklari</t>
        </is>
      </c>
      <c r="D399" s="29" t="inlineStr">
        <is>
          <t>Bilgi al</t>
        </is>
      </c>
      <c r="E399" s="29" t="inlineStr">
        <is>
          <t>https://ind.nl/en/turkish-citizens-and-living-in-the-netherlands</t>
        </is>
      </c>
      <c r="F399" s="49" t="n">
        <v>46317</v>
      </c>
      <c r="G399" s="51" t="n">
        <v>1</v>
      </c>
    </row>
    <row r="400" ht="54" customHeight="1">
      <c r="A400" s="29" t="inlineStr">
        <is>
          <t>eindhoven:action:turk-calisan-ve-aile-uyesi-sartlari-1</t>
        </is>
      </c>
      <c r="B400" s="29" t="inlineStr">
        <is>
          <t>eindhoven</t>
        </is>
      </c>
      <c r="C400" s="29" t="inlineStr">
        <is>
          <t>eindhoven:turk-calisan-ve-aile-uyesi-sartlari</t>
        </is>
      </c>
      <c r="D400" s="29" t="inlineStr">
        <is>
          <t>Bilgi al</t>
        </is>
      </c>
      <c r="E400" s="29" t="inlineStr">
        <is>
          <t>https://ind.nl/en/turkish-citizens-and-living-in-the-netherlands</t>
        </is>
      </c>
      <c r="F400" s="49" t="n">
        <v>46317</v>
      </c>
      <c r="G400" s="51" t="n">
        <v>1</v>
      </c>
    </row>
    <row r="401" ht="54" customHeight="1">
      <c r="A401" s="29" t="inlineStr">
        <is>
          <t>eindhoven:action:turk-calisan-bir-yil-sonra-oturum-izni-1</t>
        </is>
      </c>
      <c r="B401" s="29" t="inlineStr">
        <is>
          <t>eindhoven</t>
        </is>
      </c>
      <c r="C401" s="29" t="inlineStr">
        <is>
          <t>eindhoven:turk-calisan-bir-yil-sonra-oturum-izni</t>
        </is>
      </c>
      <c r="D401" s="29" t="inlineStr">
        <is>
          <t>Bilgi al</t>
        </is>
      </c>
      <c r="E401" s="29" t="inlineStr">
        <is>
          <t>https://ind.nl/en/turkish-citizens-and-living-in-the-netherlands</t>
        </is>
      </c>
      <c r="F401" s="49" t="n">
        <v>46317</v>
      </c>
      <c r="G401" s="51" t="n">
        <v>1</v>
      </c>
    </row>
    <row r="402" ht="54" customHeight="1">
      <c r="A402" s="29" t="inlineStr">
        <is>
          <t>eindhoven:action:turk-aile-uyesi-bagimsiz-oturum-izni-1</t>
        </is>
      </c>
      <c r="B402" s="29" t="inlineStr">
        <is>
          <t>eindhoven</t>
        </is>
      </c>
      <c r="C402" s="29" t="inlineStr">
        <is>
          <t>eindhoven:turk-aile-uyesi-bagimsiz-oturum-izni</t>
        </is>
      </c>
      <c r="D402" s="29" t="inlineStr">
        <is>
          <t>Bilgi al</t>
        </is>
      </c>
      <c r="E402" s="29" t="inlineStr">
        <is>
          <t>https://ind.nl/en/turkish-citizens-and-living-in-the-netherlands</t>
        </is>
      </c>
      <c r="F402" s="49" t="n">
        <v>46317</v>
      </c>
      <c r="G402" s="51" t="n">
        <v>1</v>
      </c>
    </row>
    <row r="403" ht="54" customHeight="1">
      <c r="A403" s="29" t="inlineStr">
        <is>
          <t>eindhoven:action:oturum-izni-karar-suresi-ve-uzatma-1</t>
        </is>
      </c>
      <c r="B403" s="29" t="inlineStr">
        <is>
          <t>eindhoven</t>
        </is>
      </c>
      <c r="C403" s="29" t="inlineStr">
        <is>
          <t>eindhoven:oturum-izni-karar-suresi-ve-uzatma</t>
        </is>
      </c>
      <c r="D403" s="29" t="inlineStr">
        <is>
          <t>Başvur</t>
        </is>
      </c>
      <c r="E403" s="29" t="inlineStr">
        <is>
          <t>https://ind.nl/en/replace-extend-renew-and-change/extend-and-renew/regular-temporary-residence-permit-extension</t>
        </is>
      </c>
      <c r="F403" s="49" t="n">
        <v>46317</v>
      </c>
      <c r="G403" s="51" t="n">
        <v>1</v>
      </c>
    </row>
    <row r="404" ht="54" customHeight="1">
      <c r="A404" s="29" t="inlineStr">
        <is>
          <t>eindhoven:action:oturum-izni-karar-suresi-ve-uzatma-2</t>
        </is>
      </c>
      <c r="B404" s="29" t="inlineStr">
        <is>
          <t>eindhoven</t>
        </is>
      </c>
      <c r="C404" s="29" t="inlineStr">
        <is>
          <t>eindhoven:oturum-izni-karar-suresi-ve-uzatma</t>
        </is>
      </c>
      <c r="D404" s="29" t="inlineStr">
        <is>
          <t>Bilgi al</t>
        </is>
      </c>
      <c r="E404" s="29" t="inlineStr">
        <is>
          <t>https://ind.nl/en/after-your-application/decision-periods</t>
        </is>
      </c>
      <c r="F404" s="49" t="n">
        <v>46317</v>
      </c>
      <c r="G404" s="51" t="n">
        <v>2</v>
      </c>
    </row>
    <row r="405" ht="54" customHeight="1">
      <c r="A405" s="29" t="inlineStr">
        <is>
          <t>eindhoven:action:donus-vizesi-oturum-izniyle-yurt-disi-seyahat-1</t>
        </is>
      </c>
      <c r="B405" s="29" t="inlineStr">
        <is>
          <t>eindhoven</t>
        </is>
      </c>
      <c r="C405" s="29" t="inlineStr">
        <is>
          <t>eindhoven:donus-vizesi-oturum-izniyle-yurt-disi-seyahat</t>
        </is>
      </c>
      <c r="D405" s="29" t="inlineStr">
        <is>
          <t>Bilgi al</t>
        </is>
      </c>
      <c r="E405" s="29" t="inlineStr">
        <is>
          <t>https://ind.nl/en/living-in-the-netherlands-with-a-residence-permit/travelling-with-a-residence-permit-and-a-return-visa</t>
        </is>
      </c>
      <c r="F405" s="49" t="n">
        <v>46317</v>
      </c>
      <c r="G405" s="51" t="n">
        <v>1</v>
      </c>
    </row>
    <row r="406" ht="54" customHeight="1">
      <c r="A406" s="29" t="inlineStr">
        <is>
          <t>eindhoven:action:donus-vizesi-oturum-izniyle-yurt-disi-seyahat-2</t>
        </is>
      </c>
      <c r="B406" s="29" t="inlineStr">
        <is>
          <t>eindhoven</t>
        </is>
      </c>
      <c r="C406" s="29" t="inlineStr">
        <is>
          <t>eindhoven:donus-vizesi-oturum-izniyle-yurt-disi-seyahat</t>
        </is>
      </c>
      <c r="D406" s="29" t="inlineStr">
        <is>
          <t>Bilgi al</t>
        </is>
      </c>
      <c r="E406" s="29" t="inlineStr">
        <is>
          <t>https://ind.nl/en/fees</t>
        </is>
      </c>
      <c r="F406" s="49" t="n">
        <v>46317</v>
      </c>
      <c r="G406" s="51" t="n">
        <v>2</v>
      </c>
    </row>
    <row r="407" ht="54" customHeight="1">
      <c r="A407" s="29" t="inlineStr">
        <is>
          <t>eindhoven:action:kalici-oturum-izni-sartlari-ve-basvuru-1</t>
        </is>
      </c>
      <c r="B407" s="29" t="inlineStr">
        <is>
          <t>eindhoven</t>
        </is>
      </c>
      <c r="C407" s="29" t="inlineStr">
        <is>
          <t>eindhoven:kalici-oturum-izni-sartlari-ve-basvuru</t>
        </is>
      </c>
      <c r="D407" s="29" t="inlineStr">
        <is>
          <t>Başvur</t>
        </is>
      </c>
      <c r="E407" s="29" t="inlineStr">
        <is>
          <t>https://ind.nl/en/replace-extend-renew-and-change/permanent-residency/permanent-residence-permit</t>
        </is>
      </c>
      <c r="F407" s="49" t="n">
        <v>46317</v>
      </c>
      <c r="G407" s="51" t="n">
        <v>1</v>
      </c>
    </row>
    <row r="408" ht="54" customHeight="1">
      <c r="A408" s="29" t="inlineStr">
        <is>
          <t>eindhoven:action:inburgering-diplomasi-ve-muafiyetler-1</t>
        </is>
      </c>
      <c r="B408" s="29" t="inlineStr">
        <is>
          <t>eindhoven</t>
        </is>
      </c>
      <c r="C408" s="29" t="inlineStr">
        <is>
          <t>eindhoven:inburgering-diplomasi-ve-muafiyetler</t>
        </is>
      </c>
      <c r="D408" s="29" t="inlineStr">
        <is>
          <t>Formu doldur</t>
        </is>
      </c>
      <c r="E408" s="29" t="inlineStr">
        <is>
          <t>https://ind.nl/en/living-in-the-netherlands-with-a-residence-permit/civic-integration-for-more-secure-residence-permit</t>
        </is>
      </c>
      <c r="F408" s="49" t="n">
        <v>46317</v>
      </c>
      <c r="G408" s="51" t="n">
        <v>1</v>
      </c>
    </row>
    <row r="409" ht="54" customHeight="1">
      <c r="A409" s="29" t="inlineStr">
        <is>
          <t>eindhoven:action:inburgering-diplomasi-ve-muafiyetler-2</t>
        </is>
      </c>
      <c r="B409" s="29" t="inlineStr">
        <is>
          <t>eindhoven</t>
        </is>
      </c>
      <c r="C409" s="29" t="inlineStr">
        <is>
          <t>eindhoven:inburgering-diplomasi-ve-muafiyetler</t>
        </is>
      </c>
      <c r="D409" s="29" t="inlineStr">
        <is>
          <t>Bilgi al</t>
        </is>
      </c>
      <c r="E409" s="29" t="inlineStr">
        <is>
          <t>https://www.government.nl/themes/migration-and-travel/integration-in-the-netherlands/civic-integration-in-the-netherlands/applying-for-an-exemption-from-the-integration-obligation</t>
        </is>
      </c>
      <c r="F409" s="49" t="n">
        <v>46317</v>
      </c>
      <c r="G409" s="51" t="n">
        <v>2</v>
      </c>
    </row>
    <row r="410" ht="54" customHeight="1">
      <c r="A410" s="29" t="inlineStr">
        <is>
          <t>eindhoven:action:turk-vatandasi-kalici-oturum-inburgering-1</t>
        </is>
      </c>
      <c r="B410" s="29" t="inlineStr">
        <is>
          <t>eindhoven</t>
        </is>
      </c>
      <c r="C410" s="29" t="inlineStr">
        <is>
          <t>eindhoven:turk-vatandasi-kalici-oturum-inburgering</t>
        </is>
      </c>
      <c r="D410" s="29" t="inlineStr">
        <is>
          <t>Bilgi al</t>
        </is>
      </c>
      <c r="E410" s="29" t="inlineStr">
        <is>
          <t>https://ind.nl/en/news/turkish-people-need-an-integration-diploma-for-permanent-residence</t>
        </is>
      </c>
      <c r="F410" s="49" t="n">
        <v>46317</v>
      </c>
      <c r="G410" s="51" t="n">
        <v>1</v>
      </c>
    </row>
    <row r="411" ht="54" customHeight="1">
      <c r="A411" s="29" t="inlineStr">
        <is>
          <t>eindhoven:action:turk-vatandasi-kalici-oturum-inburgering-2</t>
        </is>
      </c>
      <c r="B411" s="29" t="inlineStr">
        <is>
          <t>eindhoven</t>
        </is>
      </c>
      <c r="C411" s="29" t="inlineStr">
        <is>
          <t>eindhoven:turk-vatandasi-kalici-oturum-inburgering</t>
        </is>
      </c>
      <c r="D411" s="29" t="inlineStr">
        <is>
          <t>Formu doldur</t>
        </is>
      </c>
      <c r="E411" s="29" t="inlineStr">
        <is>
          <t>https://ind.nl/en/living-in-the-netherlands-with-a-residence-permit/civic-integration-for-more-secure-residence-permit</t>
        </is>
      </c>
      <c r="F411" s="49" t="n">
        <v>46317</v>
      </c>
      <c r="G411" s="51" t="n">
        <v>2</v>
      </c>
    </row>
    <row r="412" ht="54" customHeight="1">
      <c r="A412" s="29" t="inlineStr">
        <is>
          <t>eindhoven:action:eindhoven-ind-loketi-den-bosch-1</t>
        </is>
      </c>
      <c r="B412" s="29" t="inlineStr">
        <is>
          <t>eindhoven</t>
        </is>
      </c>
      <c r="C412" s="29" t="inlineStr">
        <is>
          <t>eindhoven:eindhoven-ind-loketi-den-bosch</t>
        </is>
      </c>
      <c r="D412" s="29" t="inlineStr">
        <is>
          <t>Randevu al</t>
        </is>
      </c>
      <c r="E412" s="29" t="inlineStr">
        <is>
          <t>https://www.eindhoven.nl/stad-en-wonen/uittreksels-en-documenten/verblijfsvergunning</t>
        </is>
      </c>
      <c r="F412" s="49" t="n">
        <v>46317</v>
      </c>
      <c r="G412" s="51" t="n">
        <v>1</v>
      </c>
    </row>
    <row r="413" ht="54" customHeight="1">
      <c r="A413" s="29" t="inlineStr">
        <is>
          <t>eindhoven:action:banka-hesabi-acma-1</t>
        </is>
      </c>
      <c r="B413" s="29" t="inlineStr">
        <is>
          <t>eindhoven</t>
        </is>
      </c>
      <c r="C413" s="29" t="inlineStr">
        <is>
          <t>eindhoven:banka-hesabi-acma</t>
        </is>
      </c>
      <c r="D413" s="29" t="inlineStr">
        <is>
          <t>Bilgi al</t>
        </is>
      </c>
      <c r="E413" s="29" t="inlineStr">
        <is>
          <t>https://www.hollandexpatcenter.com/internationals-guide/banking-finance-and-insurance/banking</t>
        </is>
      </c>
      <c r="F413" s="49" t="n">
        <v>46317</v>
      </c>
      <c r="G413" s="51" t="n">
        <v>1</v>
      </c>
    </row>
    <row r="414" ht="54" customHeight="1">
      <c r="A414" s="29" t="inlineStr">
        <is>
          <t>eindhoven:action:banka-hesabi-acma-2</t>
        </is>
      </c>
      <c r="B414" s="29" t="inlineStr">
        <is>
          <t>eindhoven</t>
        </is>
      </c>
      <c r="C414" s="29" t="inlineStr">
        <is>
          <t>eindhoven:banka-hesabi-acma</t>
        </is>
      </c>
      <c r="D414" s="29" t="inlineStr">
        <is>
          <t>Bilgi al</t>
        </is>
      </c>
      <c r="E414" s="29" t="inlineStr">
        <is>
          <t>https://www.rijksoverheid.nl/documenten/vraag-en-antwoord/betalingsverkeer/afwijzing-betaalrekening-consument</t>
        </is>
      </c>
      <c r="F414" s="49" t="n">
        <v>46317</v>
      </c>
      <c r="G414" s="51" t="n">
        <v>2</v>
      </c>
    </row>
    <row r="415" ht="54" customHeight="1">
      <c r="A415" s="29" t="inlineStr">
        <is>
          <t>eindhoven:action:belastingaangifte-kim-verir-son-tarih-1</t>
        </is>
      </c>
      <c r="B415" s="29" t="inlineStr">
        <is>
          <t>eindhoven</t>
        </is>
      </c>
      <c r="C415" s="29" t="inlineStr">
        <is>
          <t>eindhoven:belastingaangifte-kim-verir-son-tarih</t>
        </is>
      </c>
      <c r="D415" s="29" t="inlineStr">
        <is>
          <t>Formu doldur</t>
        </is>
      </c>
      <c r="E415" s="29" t="inlineStr">
        <is>
          <t>https://www.belastingdienst.nl/wps/wcm/connect/en/individuals/content/filing-an-online-tax-return-in-4-steps</t>
        </is>
      </c>
      <c r="F415" s="49" t="n">
        <v>46317</v>
      </c>
      <c r="G415" s="51" t="n">
        <v>1</v>
      </c>
    </row>
    <row r="416" ht="54" customHeight="1">
      <c r="A416" s="29" t="inlineStr">
        <is>
          <t>eindhoven:action:belastingaangifte-kim-verir-son-tarih-2</t>
        </is>
      </c>
      <c r="B416" s="29" t="inlineStr">
        <is>
          <t>eindhoven</t>
        </is>
      </c>
      <c r="C416" s="29" t="inlineStr">
        <is>
          <t>eindhoven:belastingaangifte-kim-verir-son-tarih</t>
        </is>
      </c>
      <c r="D416" s="29" t="inlineStr">
        <is>
          <t>Bilgi al</t>
        </is>
      </c>
      <c r="E416" s="29" t="inlineStr">
        <is>
          <t>https://www.government.nl/topics/income-tax/filing-a-tax-return</t>
        </is>
      </c>
      <c r="F416" s="49" t="n">
        <v>46317</v>
      </c>
      <c r="G416" s="51" t="n">
        <v>2</v>
      </c>
    </row>
    <row r="417" ht="54" customHeight="1">
      <c r="A417" s="29" t="inlineStr">
        <is>
          <t>eindhoven:action:belastingaangifte-yapma-yollari-1</t>
        </is>
      </c>
      <c r="B417" s="29" t="inlineStr">
        <is>
          <t>eindhoven</t>
        </is>
      </c>
      <c r="C417" s="29" t="inlineStr">
        <is>
          <t>eindhoven:belastingaangifte-yapma-yollari</t>
        </is>
      </c>
      <c r="D417" s="29" t="inlineStr">
        <is>
          <t>Formu doldur</t>
        </is>
      </c>
      <c r="E417" s="29" t="inlineStr">
        <is>
          <t>https://www.belastingdienst.nl/wps/wcm/connect/nl/belastingaangifte/belastingaangifte</t>
        </is>
      </c>
      <c r="F417" s="49" t="n">
        <v>46317</v>
      </c>
      <c r="G417" s="51" t="n">
        <v>1</v>
      </c>
    </row>
    <row r="418" ht="54" customHeight="1">
      <c r="A418" s="29" t="inlineStr">
        <is>
          <t>eindhoven:action:tasinma-yili-vergi-beyani-m-formu-1</t>
        </is>
      </c>
      <c r="B418" s="29" t="inlineStr">
        <is>
          <t>eindhoven</t>
        </is>
      </c>
      <c r="C418" s="29" t="inlineStr">
        <is>
          <t>eindhoven:tasinma-yili-vergi-beyani-m-formu</t>
        </is>
      </c>
      <c r="D418" s="29" t="inlineStr">
        <is>
          <t>Formu doldur</t>
        </is>
      </c>
      <c r="E418" s="29" t="inlineStr">
        <is>
          <t>https://www.belastingdienst.nl/wps/wcm/connect/en/individuals/content/partly-living-outside-the-netherlands-m-tax-return</t>
        </is>
      </c>
      <c r="F418" s="49" t="n">
        <v>46317</v>
      </c>
      <c r="G418" s="51" t="n">
        <v>1</v>
      </c>
    </row>
    <row r="419" ht="54" customHeight="1">
      <c r="A419" s="29" t="inlineStr">
        <is>
          <t>eindhoven:action:tasinma-yili-beyani-sonucu-ne-zaman-gelir-1</t>
        </is>
      </c>
      <c r="B419" s="29" t="inlineStr">
        <is>
          <t>eindhoven</t>
        </is>
      </c>
      <c r="C419" s="29" t="inlineStr">
        <is>
          <t>eindhoven:tasinma-yili-beyani-sonucu-ne-zaman-gelir</t>
        </is>
      </c>
      <c r="D419" s="29" t="inlineStr">
        <is>
          <t>Bilgi al</t>
        </is>
      </c>
      <c r="E419" s="29" t="inlineStr">
        <is>
          <t>https://www.belastingdienst.nl/wps/wcm/connect/en/individuals/content/partly-living-outside-the-netherlands-m-tax-return</t>
        </is>
      </c>
      <c r="F419" s="49" t="n">
        <v>46317</v>
      </c>
      <c r="G419" s="51" t="n">
        <v>1</v>
      </c>
    </row>
    <row r="420" ht="54" customHeight="1">
      <c r="A420" s="29" t="inlineStr">
        <is>
          <t>eindhoven:action:gelir-vergisi-dilimleri-box-1-2026-1</t>
        </is>
      </c>
      <c r="B420" s="29" t="inlineStr">
        <is>
          <t>eindhoven</t>
        </is>
      </c>
      <c r="C420" s="29" t="inlineStr">
        <is>
          <t>eindhoven:gelir-vergisi-dilimleri-box-1-2026</t>
        </is>
      </c>
      <c r="D420" s="29" t="inlineStr">
        <is>
          <t>Bilgi al</t>
        </is>
      </c>
      <c r="E420" s="29" t="inlineStr">
        <is>
          <t>https://www.belastingdienst.nl/wps/wcm/connect/nl/werk-en-inkomen/content/hoeveel-inkomstenbelasting-betalen</t>
        </is>
      </c>
      <c r="F420" s="49" t="n">
        <v>46317</v>
      </c>
      <c r="G420" s="51" t="n">
        <v>1</v>
      </c>
    </row>
    <row r="421" ht="54" customHeight="1">
      <c r="A421" s="29" t="inlineStr">
        <is>
          <t>eindhoven:action:box-3-birikim-yatirim-vergisi-1</t>
        </is>
      </c>
      <c r="B421" s="29" t="inlineStr">
        <is>
          <t>eindhoven</t>
        </is>
      </c>
      <c r="C421" s="29" t="inlineStr">
        <is>
          <t>eindhoven:box-3-birikim-yatirim-vergisi</t>
        </is>
      </c>
      <c r="D421" s="29" t="inlineStr">
        <is>
          <t>Bilgi al</t>
        </is>
      </c>
      <c r="E421" s="29" t="inlineStr">
        <is>
          <t>https://www.belastingdienst.nl/wps/wcm/connect/nl/werk-en-inkomen/content/hoeveel-inkomstenbelasting-betalen</t>
        </is>
      </c>
      <c r="F421" s="49" t="n">
        <v>46317</v>
      </c>
      <c r="G421" s="51" t="n">
        <v>1</v>
      </c>
    </row>
    <row r="422" ht="54" customHeight="1">
      <c r="A422" s="29" t="inlineStr">
        <is>
          <t>eindhoven:action:otuz-yuzde-kurali-expat-regelingi-nedir-1</t>
        </is>
      </c>
      <c r="B422" s="29" t="inlineStr">
        <is>
          <t>eindhoven</t>
        </is>
      </c>
      <c r="C422" s="29" t="inlineStr">
        <is>
          <t>eindhoven:otuz-yuzde-kurali-expat-regelingi-nedir</t>
        </is>
      </c>
      <c r="D422" s="29" t="inlineStr">
        <is>
          <t>Bilgi al</t>
        </is>
      </c>
      <c r="E422" s="29" t="inlineStr">
        <is>
          <t>https://business.gov.nl/staff/employing-staff/the-expat-scheme-30-percent-ruling-in-the-netherlands/</t>
        </is>
      </c>
      <c r="F422" s="49" t="n">
        <v>46317</v>
      </c>
      <c r="G422" s="51" t="n">
        <v>1</v>
      </c>
    </row>
    <row r="423" ht="54" customHeight="1">
      <c r="A423" s="29" t="inlineStr">
        <is>
          <t>eindhoven:action:expat-regelingi-sartlari-150-km-kurali-1</t>
        </is>
      </c>
      <c r="B423" s="29" t="inlineStr">
        <is>
          <t>eindhoven</t>
        </is>
      </c>
      <c r="C423" s="29" t="inlineStr">
        <is>
          <t>eindhoven:expat-regelingi-sartlari-150-km-kurali</t>
        </is>
      </c>
      <c r="D423" s="29" t="inlineStr">
        <is>
          <t>Bilgi al</t>
        </is>
      </c>
      <c r="E423" s="29" t="inlineStr">
        <is>
          <t>https://business.gov.nl/staff/employing-staff/the-expat-scheme-30-percent-ruling-in-the-netherlands/</t>
        </is>
      </c>
      <c r="F423" s="49" t="n">
        <v>46317</v>
      </c>
      <c r="G423" s="51" t="n">
        <v>1</v>
      </c>
    </row>
    <row r="424" ht="54" customHeight="1">
      <c r="A424" s="29" t="inlineStr">
        <is>
          <t>eindhoven:action:expat-regelingi-2027-yuzde-27-degisiklik-1</t>
        </is>
      </c>
      <c r="B424" s="29" t="inlineStr">
        <is>
          <t>eindhoven</t>
        </is>
      </c>
      <c r="C424" s="29" t="inlineStr">
        <is>
          <t>eindhoven:expat-regelingi-2027-yuzde-27-degisiklik</t>
        </is>
      </c>
      <c r="D424" s="29" t="inlineStr">
        <is>
          <t>Bilgi al</t>
        </is>
      </c>
      <c r="E424" s="29" t="inlineStr">
        <is>
          <t>https://business.gov.nl/staff/employing-staff/the-expat-scheme-30-percent-ruling-in-the-netherlands/</t>
        </is>
      </c>
      <c r="F424" s="49" t="n">
        <v>46317</v>
      </c>
      <c r="G424" s="51" t="n">
        <v>1</v>
      </c>
    </row>
    <row r="425" ht="54" customHeight="1">
      <c r="A425" s="29" t="inlineStr">
        <is>
          <t>eindhoven:action:expat-regelingi-basvuru-isveren-degisikligi-1</t>
        </is>
      </c>
      <c r="B425" s="29" t="inlineStr">
        <is>
          <t>eindhoven</t>
        </is>
      </c>
      <c r="C425" s="29" t="inlineStr">
        <is>
          <t>eindhoven:expat-regelingi-basvuru-isveren-degisikligi</t>
        </is>
      </c>
      <c r="D425" s="29" t="inlineStr">
        <is>
          <t>Bilgi al</t>
        </is>
      </c>
      <c r="E425" s="29" t="inlineStr">
        <is>
          <t>https://business.gov.nl/staff/employing-staff/the-expat-scheme-30-percent-ruling-in-the-netherlands/</t>
        </is>
      </c>
      <c r="F425" s="49" t="n">
        <v>46317</v>
      </c>
      <c r="G425" s="51" t="n">
        <v>1</v>
      </c>
    </row>
    <row r="426" ht="54" customHeight="1">
      <c r="A426" s="29" t="inlineStr">
        <is>
          <t>eindhoven:action:toeslagen-devlet-destekleri-genel-bakis-1</t>
        </is>
      </c>
      <c r="B426" s="29" t="inlineStr">
        <is>
          <t>eindhoven</t>
        </is>
      </c>
      <c r="C426" s="29" t="inlineStr">
        <is>
          <t>eindhoven:toeslagen-devlet-destekleri-genel-bakis</t>
        </is>
      </c>
      <c r="D426" s="29" t="inlineStr">
        <is>
          <t>Hesapla</t>
        </is>
      </c>
      <c r="E426" s="29" t="inlineStr">
        <is>
          <t>https://www.belastingdienst.nl/wps/wcm/connect/nl/toeslagen/toeslagen</t>
        </is>
      </c>
      <c r="F426" s="49" t="n">
        <v>46317</v>
      </c>
      <c r="G426" s="51" t="n">
        <v>1</v>
      </c>
    </row>
    <row r="427" ht="54" customHeight="1">
      <c r="A427" s="29" t="inlineStr">
        <is>
          <t>eindhoven:action:zorgtoeslag-saglik-sigortasi-destegi-1</t>
        </is>
      </c>
      <c r="B427" s="29" t="inlineStr">
        <is>
          <t>eindhoven</t>
        </is>
      </c>
      <c r="C427" s="29" t="inlineStr">
        <is>
          <t>eindhoven:zorgtoeslag-saglik-sigortasi-destegi</t>
        </is>
      </c>
      <c r="D427" s="29" t="inlineStr">
        <is>
          <t>Başvur</t>
        </is>
      </c>
      <c r="E427" s="29" t="inlineStr">
        <is>
          <t>https://www.belastingdienst.nl/wps/wcm/connect/nl/zorgtoeslag/zorgtoeslag</t>
        </is>
      </c>
      <c r="F427" s="49" t="n">
        <v>46317</v>
      </c>
      <c r="G427" s="51" t="n">
        <v>1</v>
      </c>
    </row>
    <row r="428" ht="54" customHeight="1">
      <c r="A428" s="29" t="inlineStr">
        <is>
          <t>eindhoven:action:kinderopvangtoeslag-kres-destegi-1</t>
        </is>
      </c>
      <c r="B428" s="29" t="inlineStr">
        <is>
          <t>eindhoven</t>
        </is>
      </c>
      <c r="C428" s="29" t="inlineStr">
        <is>
          <t>eindhoven:kinderopvangtoeslag-kres-destegi</t>
        </is>
      </c>
      <c r="D428" s="29" t="inlineStr">
        <is>
          <t>Başvur</t>
        </is>
      </c>
      <c r="E428" s="29" t="inlineStr">
        <is>
          <t>https://www.belastingdienst.nl/wps/wcm/connect/nl/kinderopvangtoeslag/kinderopvangtoeslag</t>
        </is>
      </c>
      <c r="F428" s="49" t="n">
        <v>46317</v>
      </c>
      <c r="G428" s="51" t="n">
        <v>1</v>
      </c>
    </row>
    <row r="429" ht="54" customHeight="1">
      <c r="A429" s="29" t="inlineStr">
        <is>
          <t>eindhoven:action:kinderbijslag-kindgebonden-budget-cocuk-destegi-1</t>
        </is>
      </c>
      <c r="B429" s="29" t="inlineStr">
        <is>
          <t>eindhoven</t>
        </is>
      </c>
      <c r="C429" s="29" t="inlineStr">
        <is>
          <t>eindhoven:kinderbijslag-kindgebonden-budget-cocuk-destegi</t>
        </is>
      </c>
      <c r="D429" s="29" t="inlineStr">
        <is>
          <t>Bilgi al</t>
        </is>
      </c>
      <c r="E429" s="29" t="inlineStr">
        <is>
          <t>https://www.rijksoverheid.nl/themas/belastingen-uitkeringen-en-toeslagen/kinderbijslag</t>
        </is>
      </c>
      <c r="F429" s="49" t="n">
        <v>46317</v>
      </c>
      <c r="G429" s="51" t="n">
        <v>1</v>
      </c>
    </row>
    <row r="430" ht="54" customHeight="1">
      <c r="A430" s="29" t="inlineStr">
        <is>
          <t>eindhoven:action:cifte-vergilendirme-onleme-ve-itiraz-1</t>
        </is>
      </c>
      <c r="B430" s="29" t="inlineStr">
        <is>
          <t>eindhoven</t>
        </is>
      </c>
      <c r="C430" s="29" t="inlineStr">
        <is>
          <t>eindhoven:cifte-vergilendirme-onleme-ve-itiraz</t>
        </is>
      </c>
      <c r="D430" s="29" t="inlineStr">
        <is>
          <t>Bilgi al</t>
        </is>
      </c>
      <c r="E430" s="29" t="inlineStr">
        <is>
          <t>https://www.rijksoverheid.nl/onderwerpen/inkomstenbelasting/voorkomen-dubbele-belasting</t>
        </is>
      </c>
      <c r="F430" s="49" t="n">
        <v>46317</v>
      </c>
      <c r="G430" s="51" t="n">
        <v>1</v>
      </c>
    </row>
    <row r="431" ht="54" customHeight="1">
      <c r="A431" s="29" t="inlineStr">
        <is>
          <t>eindhoven:action:turkiye-hollanda-anlasmasi-maas-183-gun-1</t>
        </is>
      </c>
      <c r="B431" s="29" t="inlineStr">
        <is>
          <t>eindhoven</t>
        </is>
      </c>
      <c r="C431" s="29" t="inlineStr">
        <is>
          <t>eindhoven:turkiye-hollanda-anlasmasi-maas-183-gun</t>
        </is>
      </c>
      <c r="D431" s="29" t="inlineStr">
        <is>
          <t>Bilgi al</t>
        </is>
      </c>
      <c r="E431" s="29" t="inlineStr">
        <is>
          <t>https://wetten.overheid.nl/BWBV0002810</t>
        </is>
      </c>
      <c r="F431" s="49" t="n">
        <v>46317</v>
      </c>
      <c r="G431" s="51" t="n">
        <v>1</v>
      </c>
    </row>
    <row r="432" ht="54" customHeight="1">
      <c r="A432" s="29" t="inlineStr">
        <is>
          <t>eindhoven:action:turkiye-hollanda-anlasmasi-ogrenci-akademisyen-1</t>
        </is>
      </c>
      <c r="B432" s="29" t="inlineStr">
        <is>
          <t>eindhoven</t>
        </is>
      </c>
      <c r="C432" s="29" t="inlineStr">
        <is>
          <t>eindhoven:turkiye-hollanda-anlasmasi-ogrenci-akademisyen</t>
        </is>
      </c>
      <c r="D432" s="29" t="inlineStr">
        <is>
          <t>Bilgi al</t>
        </is>
      </c>
      <c r="E432" s="29" t="inlineStr">
        <is>
          <t>https://wetten.overheid.nl/BWBV0002810</t>
        </is>
      </c>
      <c r="F432" s="49" t="n">
        <v>46317</v>
      </c>
      <c r="G432" s="51" t="n">
        <v>1</v>
      </c>
    </row>
    <row r="433" ht="54" customHeight="1">
      <c r="A433" s="29" t="inlineStr">
        <is>
          <t>eindhoven:action:arac-sigortasi-zorunlu-wa-1</t>
        </is>
      </c>
      <c r="B433" s="29" t="inlineStr">
        <is>
          <t>eindhoven</t>
        </is>
      </c>
      <c r="C433" s="29" t="inlineStr">
        <is>
          <t>eindhoven:arac-sigortasi-zorunlu-wa</t>
        </is>
      </c>
      <c r="D433" s="29" t="inlineStr">
        <is>
          <t>Bilgi al</t>
        </is>
      </c>
      <c r="E433" s="29" t="inlineStr">
        <is>
          <t>https://www.hollandexpatcenter.com/internationals-guide/banking-finance-and-insurance/private-insurances</t>
        </is>
      </c>
      <c r="F433" s="49" t="n">
        <v>46317</v>
      </c>
      <c r="G433" s="51" t="n">
        <v>1</v>
      </c>
    </row>
    <row r="434" ht="54" customHeight="1">
      <c r="A434" s="29" t="inlineStr">
        <is>
          <t>eindhoven:action:ev-sigortalari-opstal-inboedel-aansprakelijkheid-1</t>
        </is>
      </c>
      <c r="B434" s="29" t="inlineStr">
        <is>
          <t>eindhoven</t>
        </is>
      </c>
      <c r="C434" s="29" t="inlineStr">
        <is>
          <t>eindhoven:ev-sigortalari-opstal-inboedel-aansprakelijkheid</t>
        </is>
      </c>
      <c r="D434" s="29" t="inlineStr">
        <is>
          <t>Bilgi al</t>
        </is>
      </c>
      <c r="E434" s="29" t="inlineStr">
        <is>
          <t>https://www.hollandexpatcenter.com/internationals-guide/banking-finance-and-insurance/private-insurances</t>
        </is>
      </c>
      <c r="F434" s="49" t="n">
        <v>46317</v>
      </c>
      <c r="G434" s="51" t="n">
        <v>1</v>
      </c>
    </row>
    <row r="435" ht="54" customHeight="1">
      <c r="A435" s="29" t="inlineStr">
        <is>
          <t>eindhoven:action:diger-sigortalar-hukuki-koruma-seyahat-kaza-ipotek-1</t>
        </is>
      </c>
      <c r="B435" s="29" t="inlineStr">
        <is>
          <t>eindhoven</t>
        </is>
      </c>
      <c r="C435" s="29" t="inlineStr">
        <is>
          <t>eindhoven:diger-sigortalar-hukuki-koruma-seyahat-kaza-ipotek</t>
        </is>
      </c>
      <c r="D435" s="29" t="inlineStr">
        <is>
          <t>Bilgi al</t>
        </is>
      </c>
      <c r="E435" s="29" t="inlineStr">
        <is>
          <t>https://www.hollandexpatcenter.com/internationals-guide/banking-finance-and-insurance/private-insurances</t>
        </is>
      </c>
      <c r="F435" s="49" t="n">
        <v>46317</v>
      </c>
      <c r="G435" s="51" t="n">
        <v>1</v>
      </c>
    </row>
    <row r="436" ht="54" customHeight="1">
      <c r="A436" s="29" t="inlineStr">
        <is>
          <t>eindhoven:action:eindhoven-borc-yardimi-wijeindhoven-1</t>
        </is>
      </c>
      <c r="B436" s="29" t="inlineStr">
        <is>
          <t>eindhoven</t>
        </is>
      </c>
      <c r="C436" s="29" t="inlineStr">
        <is>
          <t>eindhoven:eindhoven-borc-yardimi-wijeindhoven</t>
        </is>
      </c>
      <c r="D436" s="29" t="inlineStr">
        <is>
          <t>Bilgi al</t>
        </is>
      </c>
      <c r="E436" s="29" t="inlineStr">
        <is>
          <t>https://www.eindhoven.nl/inkomen-zorg-en-onderwijs/inkomen/hulp-bij-geldzorgen/hulp-bij-schulden</t>
        </is>
      </c>
      <c r="F436" s="49" t="n">
        <v>46317</v>
      </c>
      <c r="G436" s="51" t="n">
        <v>1</v>
      </c>
    </row>
    <row r="437" ht="54" customHeight="1">
      <c r="A437" s="29" t="inlineStr">
        <is>
          <t>eindhoven:action:eindhoven-meedoenbijdrage-inkomenstoeslag-1</t>
        </is>
      </c>
      <c r="B437" s="29" t="inlineStr">
        <is>
          <t>eindhoven</t>
        </is>
      </c>
      <c r="C437" s="29" t="inlineStr">
        <is>
          <t>eindhoven:eindhoven-meedoenbijdrage-inkomenstoeslag</t>
        </is>
      </c>
      <c r="D437" s="29" t="inlineStr">
        <is>
          <t>Başvur</t>
        </is>
      </c>
      <c r="E437" s="29" t="inlineStr">
        <is>
          <t>https://www.eindhoven.nl/inkomen-zorg-en-onderwijs/inkomen/hulp-bij-geldzorgen/inkomensondersteuning</t>
        </is>
      </c>
      <c r="F437" s="49" t="n">
        <v>46317</v>
      </c>
      <c r="G437" s="51" t="n">
        <v>1</v>
      </c>
    </row>
    <row r="438" ht="54" customHeight="1">
      <c r="A438" s="29" t="inlineStr">
        <is>
          <t>eindhoven:action:eindhoven-spor-kultur-agiz-dis-destegi-1</t>
        </is>
      </c>
      <c r="B438" s="29" t="inlineStr">
        <is>
          <t>eindhoven</t>
        </is>
      </c>
      <c r="C438" s="29" t="inlineStr">
        <is>
          <t>eindhoven:eindhoven-spor-kultur-agiz-dis-destegi</t>
        </is>
      </c>
      <c r="D438" s="29" t="inlineStr">
        <is>
          <t>Bilgi al</t>
        </is>
      </c>
      <c r="E438" s="29" t="inlineStr">
        <is>
          <t>https://www.eindhoven.nl/inkomen-zorg-en-onderwijs/inkomen/hulp-bij-geldzorgen/inkomensondersteuning</t>
        </is>
      </c>
      <c r="F438" s="49" t="n">
        <v>46317</v>
      </c>
      <c r="G438" s="51" t="n">
        <v>1</v>
      </c>
    </row>
    <row r="439" ht="54" customHeight="1">
      <c r="A439" s="29" t="inlineStr">
        <is>
          <t>eindhoven:action:hec-south-randevu-kapsami-1</t>
        </is>
      </c>
      <c r="B439" s="29" t="inlineStr">
        <is>
          <t>eindhoven</t>
        </is>
      </c>
      <c r="C439" s="29" t="inlineStr">
        <is>
          <t>eindhoven:hec-south-randevu-kapsami</t>
        </is>
      </c>
      <c r="D439" s="29" t="inlineStr">
        <is>
          <t>Randevu al</t>
        </is>
      </c>
      <c r="E439" s="29" t="inlineStr">
        <is>
          <t>https://www.hollandexpatcenter.com/appointment-at-the-expat-center</t>
        </is>
      </c>
      <c r="F439" s="49" t="n">
        <v>46317</v>
      </c>
      <c r="G439" s="51" t="n">
        <v>1</v>
      </c>
    </row>
    <row r="440" ht="54" customHeight="1">
      <c r="A440" s="29" t="inlineStr">
        <is>
          <t>eindhoven:action:hec-south-randevu-kapsami-2</t>
        </is>
      </c>
      <c r="B440" s="29" t="inlineStr">
        <is>
          <t>eindhoven</t>
        </is>
      </c>
      <c r="C440" s="29" t="inlineStr">
        <is>
          <t>eindhoven:hec-south-randevu-kapsami</t>
        </is>
      </c>
      <c r="D440" s="29" t="inlineStr">
        <is>
          <t>Bilgi al</t>
        </is>
      </c>
      <c r="E440" s="29" t="inlineStr">
        <is>
          <t>https://www.eindhoven.nl/stad-en-wonen/verhuizen/holland-expat-center-south</t>
        </is>
      </c>
      <c r="F440" s="49" t="n">
        <v>46317</v>
      </c>
      <c r="G440" s="51" t="n">
        <v>2</v>
      </c>
    </row>
    <row r="441" ht="54" customHeight="1">
      <c r="A441" s="29" t="inlineStr">
        <is>
          <t>eindhoven:action:hec-south-randevu-alma-1</t>
        </is>
      </c>
      <c r="B441" s="29" t="inlineStr">
        <is>
          <t>eindhoven</t>
        </is>
      </c>
      <c r="C441" s="29" t="inlineStr">
        <is>
          <t>eindhoven:hec-south-randevu-alma</t>
        </is>
      </c>
      <c r="D441" s="29" t="inlineStr">
        <is>
          <t>Randevu al</t>
        </is>
      </c>
      <c r="E441" s="29" t="inlineStr">
        <is>
          <t>https://www.hollandexpatcenter.com/appointment-at-the-expat-center</t>
        </is>
      </c>
      <c r="F441" s="49" t="n">
        <v>46317</v>
      </c>
      <c r="G441" s="51" t="n">
        <v>1</v>
      </c>
    </row>
    <row r="442" ht="54" customHeight="1">
      <c r="A442" s="29" t="inlineStr">
        <is>
          <t>eindhoven:action:hec-randevu-belgeleri-1</t>
        </is>
      </c>
      <c r="B442" s="29" t="inlineStr">
        <is>
          <t>eindhoven</t>
        </is>
      </c>
      <c r="C442" s="29" t="inlineStr">
        <is>
          <t>eindhoven:hec-randevu-belgeleri</t>
        </is>
      </c>
      <c r="D442" s="29" t="inlineStr">
        <is>
          <t>Bilgi al</t>
        </is>
      </c>
      <c r="E442" s="29" t="inlineStr">
        <is>
          <t>https://www.hollandexpatcenter.com/appointment-at-the-expat-center</t>
        </is>
      </c>
      <c r="F442" s="49" t="n">
        <v>46317</v>
      </c>
      <c r="G442" s="51" t="n">
        <v>1</v>
      </c>
    </row>
    <row r="443" ht="54" customHeight="1">
      <c r="A443" s="29" t="inlineStr">
        <is>
          <t>eindhoven:action:hec-hizmet-veren-belediyeler-1</t>
        </is>
      </c>
      <c r="B443" s="29" t="inlineStr">
        <is>
          <t>eindhoven</t>
        </is>
      </c>
      <c r="C443" s="29" t="inlineStr">
        <is>
          <t>eindhoven:hec-hizmet-veren-belediyeler</t>
        </is>
      </c>
      <c r="D443" s="29" t="inlineStr">
        <is>
          <t>Bilgi al</t>
        </is>
      </c>
      <c r="E443" s="29" t="inlineStr">
        <is>
          <t>https://www.hollandexpatcenter.com/internationals-guide/formalities/participating-municipalities</t>
        </is>
      </c>
      <c r="F443" s="49" t="n">
        <v>46317</v>
      </c>
      <c r="G443" s="51" t="n">
        <v>1</v>
      </c>
    </row>
    <row r="444" ht="54" customHeight="1">
      <c r="A444" s="29" t="inlineStr">
        <is>
          <t>eindhoven:action:hec-hizmet-veren-belediyeler-2</t>
        </is>
      </c>
      <c r="B444" s="29" t="inlineStr">
        <is>
          <t>eindhoven</t>
        </is>
      </c>
      <c r="C444" s="29" t="inlineStr">
        <is>
          <t>eindhoven:hec-hizmet-veren-belediyeler</t>
        </is>
      </c>
      <c r="D444" s="29" t="inlineStr">
        <is>
          <t>Randevu al</t>
        </is>
      </c>
      <c r="E444" s="29" t="inlineStr">
        <is>
          <t>https://www.hollandexpatcenter.com/appointment-at-the-expat-center</t>
        </is>
      </c>
      <c r="F444" s="49" t="n">
        <v>46317</v>
      </c>
      <c r="G444" s="51" t="n">
        <v>2</v>
      </c>
    </row>
    <row r="445" ht="54" customHeight="1">
      <c r="A445" s="29" t="inlineStr">
        <is>
          <t>eindhoven:action:izin-karti-hec-teslim-alma-1</t>
        </is>
      </c>
      <c r="B445" s="29" t="inlineStr">
        <is>
          <t>eindhoven</t>
        </is>
      </c>
      <c r="C445" s="29" t="inlineStr">
        <is>
          <t>eindhoven:izin-karti-hec-teslim-alma</t>
        </is>
      </c>
      <c r="D445" s="29" t="inlineStr">
        <is>
          <t>Randevu al</t>
        </is>
      </c>
      <c r="E445" s="29" t="inlineStr">
        <is>
          <t>https://www.hollandexpatcenter.com/appointment-at-the-expat-center</t>
        </is>
      </c>
      <c r="F445" s="49" t="n">
        <v>46317</v>
      </c>
      <c r="G445" s="51" t="n">
        <v>1</v>
      </c>
    </row>
    <row r="446" ht="54" customHeight="1">
      <c r="A446" s="29" t="inlineStr">
        <is>
          <t>eindhoven:action:izin-karti-hec-teslim-alma-2</t>
        </is>
      </c>
      <c r="B446" s="29" t="inlineStr">
        <is>
          <t>eindhoven</t>
        </is>
      </c>
      <c r="C446" s="29" t="inlineStr">
        <is>
          <t>eindhoven:izin-karti-hec-teslim-alma</t>
        </is>
      </c>
      <c r="D446" s="29" t="inlineStr">
        <is>
          <t>Bilgi al</t>
        </is>
      </c>
      <c r="E446" s="29" t="inlineStr">
        <is>
          <t>https://www.hollandexpatcenter.com/internationals-guide/formalities/residence-and-work-permits-that-can-be-collected-from-holland</t>
        </is>
      </c>
      <c r="F446" s="49" t="n">
        <v>46317</v>
      </c>
      <c r="G446" s="51" t="n">
        <v>2</v>
      </c>
    </row>
    <row r="447" ht="54" customHeight="1">
      <c r="A447" s="29" t="inlineStr">
        <is>
          <t>eindhoven:action:izin-turleri-basvuruyu-kim-yapar-1</t>
        </is>
      </c>
      <c r="B447" s="29" t="inlineStr">
        <is>
          <t>eindhoven</t>
        </is>
      </c>
      <c r="C447" s="29" t="inlineStr">
        <is>
          <t>eindhoven:izin-turleri-basvuruyu-kim-yapar</t>
        </is>
      </c>
      <c r="D447" s="29" t="inlineStr">
        <is>
          <t>Bilgi al</t>
        </is>
      </c>
      <c r="E447" s="29" t="inlineStr">
        <is>
          <t>https://www.hollandexpatcenter.com/internationals-guide/formalities/residence-and-work-permits-that-can-be-collected-from-holland</t>
        </is>
      </c>
      <c r="F447" s="49" t="n">
        <v>46317</v>
      </c>
      <c r="G447" s="51" t="n">
        <v>1</v>
      </c>
    </row>
    <row r="448" ht="54" customHeight="1">
      <c r="A448" s="29" t="inlineStr">
        <is>
          <t>eindhoven:action:belge-apostil-ceviri-hazirligi-1</t>
        </is>
      </c>
      <c r="B448" s="29" t="inlineStr">
        <is>
          <t>eindhoven</t>
        </is>
      </c>
      <c r="C448" s="29" t="inlineStr">
        <is>
          <t>eindhoven:belge-apostil-ceviri-hazirligi</t>
        </is>
      </c>
      <c r="D448" s="29" t="inlineStr">
        <is>
          <t>Bilgi al</t>
        </is>
      </c>
      <c r="E448" s="29" t="inlineStr">
        <is>
          <t>https://www.netherlandsworldwide.nl/legalisation/foreign-documents/turkiye</t>
        </is>
      </c>
      <c r="F448" s="49" t="n">
        <v>46317</v>
      </c>
      <c r="G448" s="51" t="n">
        <v>1</v>
      </c>
    </row>
    <row r="449" ht="54" customHeight="1">
      <c r="A449" s="29" t="inlineStr">
        <is>
          <t>eindhoven:action:belge-apostil-ceviri-hazirligi-2</t>
        </is>
      </c>
      <c r="B449" s="29" t="inlineStr">
        <is>
          <t>eindhoven</t>
        </is>
      </c>
      <c r="C449" s="29" t="inlineStr">
        <is>
          <t>eindhoven:belge-apostil-ceviri-hazirligi</t>
        </is>
      </c>
      <c r="D449" s="29" t="inlineStr">
        <is>
          <t>Bilgi al</t>
        </is>
      </c>
      <c r="E449" s="29" t="inlineStr">
        <is>
          <t>https://ind.nl/en/translation-and-legalisation-of-documents</t>
        </is>
      </c>
      <c r="F449" s="49" t="n">
        <v>46317</v>
      </c>
      <c r="G449" s="51" t="n">
        <v>2</v>
      </c>
    </row>
    <row r="450" ht="54" customHeight="1">
      <c r="A450" s="29" t="inlineStr">
        <is>
          <t>eindhoven:action:turkiye-belgeleri-apostilsiz-1</t>
        </is>
      </c>
      <c r="B450" s="29" t="inlineStr">
        <is>
          <t>eindhoven</t>
        </is>
      </c>
      <c r="C450" s="29" t="inlineStr">
        <is>
          <t>eindhoven:turkiye-belgeleri-apostilsiz</t>
        </is>
      </c>
      <c r="D450" s="29" t="inlineStr">
        <is>
          <t>Bilgi al</t>
        </is>
      </c>
      <c r="E450" s="29" t="inlineStr">
        <is>
          <t>https://www.netherlandsworldwide.nl/legalisation/foreign-documents/turkiye</t>
        </is>
      </c>
      <c r="F450" s="49" t="n">
        <v>46317</v>
      </c>
      <c r="G450" s="51" t="n">
        <v>1</v>
      </c>
    </row>
    <row r="451" ht="54" customHeight="1">
      <c r="A451" s="29" t="inlineStr">
        <is>
          <t>eindhoven:action:turkce-belge-yeminli-ceviri-1</t>
        </is>
      </c>
      <c r="B451" s="29" t="inlineStr">
        <is>
          <t>eindhoven</t>
        </is>
      </c>
      <c r="C451" s="29" t="inlineStr">
        <is>
          <t>eindhoven:turkce-belge-yeminli-ceviri</t>
        </is>
      </c>
      <c r="D451" s="29" t="inlineStr">
        <is>
          <t>Bilgi al</t>
        </is>
      </c>
      <c r="E451" s="29" t="inlineStr">
        <is>
          <t>https://www.netherlandsworldwide.nl/legalisation/foreign-documents/turkiye</t>
        </is>
      </c>
      <c r="F451" s="49" t="n">
        <v>46317</v>
      </c>
      <c r="G451" s="51" t="n">
        <v>1</v>
      </c>
    </row>
    <row r="452" ht="54" customHeight="1">
      <c r="A452" s="29" t="inlineStr">
        <is>
          <t>eindhoven:action:turkce-belge-yeminli-ceviri-2</t>
        </is>
      </c>
      <c r="B452" s="29" t="inlineStr">
        <is>
          <t>eindhoven</t>
        </is>
      </c>
      <c r="C452" s="29" t="inlineStr">
        <is>
          <t>eindhoven:turkce-belge-yeminli-ceviri</t>
        </is>
      </c>
      <c r="D452" s="29" t="inlineStr">
        <is>
          <t>Bilgi al</t>
        </is>
      </c>
      <c r="E452" s="29" t="inlineStr">
        <is>
          <t>https://ind.nl/en/translation-and-legalisation-of-documents</t>
        </is>
      </c>
      <c r="F452" s="49" t="n">
        <v>46317</v>
      </c>
      <c r="G452" s="51" t="n">
        <v>2</v>
      </c>
    </row>
    <row r="453" ht="54" customHeight="1">
      <c r="A453" s="29" t="inlineStr">
        <is>
          <t>eindhoven:action:evlilik-belgesi-lahey-kaydi-1</t>
        </is>
      </c>
      <c r="B453" s="29" t="inlineStr">
        <is>
          <t>eindhoven</t>
        </is>
      </c>
      <c r="C453" s="29" t="inlineStr">
        <is>
          <t>eindhoven:evlilik-belgesi-lahey-kaydi</t>
        </is>
      </c>
      <c r="D453" s="29" t="inlineStr">
        <is>
          <t>Bilgi al</t>
        </is>
      </c>
      <c r="E453" s="29" t="inlineStr">
        <is>
          <t>https://ind.nl/en/translation-and-legalisation-of-documents</t>
        </is>
      </c>
      <c r="F453" s="49" t="n">
        <v>46317</v>
      </c>
      <c r="G453" s="51" t="n">
        <v>1</v>
      </c>
    </row>
    <row r="454" ht="54" customHeight="1">
      <c r="A454" s="29" t="inlineStr">
        <is>
          <t>eindhoven:action:saglik-sigortasi-ne-zaman-1</t>
        </is>
      </c>
      <c r="B454" s="29" t="inlineStr">
        <is>
          <t>eindhoven</t>
        </is>
      </c>
      <c r="C454" s="29" t="inlineStr">
        <is>
          <t>eindhoven:saglik-sigortasi-ne-zaman</t>
        </is>
      </c>
      <c r="D454" s="29" t="inlineStr">
        <is>
          <t>Bilgi al</t>
        </is>
      </c>
      <c r="E454" s="29" t="inlineStr">
        <is>
          <t>https://www.government.nl/documents/question-and-answer/health-insurance/when-do-i-need-to-take-out-health-insurance-if-i-come-to-live-in-the-netherlands</t>
        </is>
      </c>
      <c r="F454" s="49" t="n">
        <v>46317</v>
      </c>
      <c r="G454" s="51" t="n">
        <v>1</v>
      </c>
    </row>
    <row r="455" ht="54" customHeight="1">
      <c r="A455" s="29" t="inlineStr">
        <is>
          <t>eindhoven:action:saglik-sigortasi-ne-zaman-2</t>
        </is>
      </c>
      <c r="B455" s="29" t="inlineStr">
        <is>
          <t>eindhoven</t>
        </is>
      </c>
      <c r="C455" s="29" t="inlineStr">
        <is>
          <t>eindhoven:saglik-sigortasi-ne-zaman</t>
        </is>
      </c>
      <c r="D455" s="29" t="inlineStr">
        <is>
          <t>Bilgi al</t>
        </is>
      </c>
      <c r="E455" s="29" t="inlineStr">
        <is>
          <t>https://www.hollandexpatcenter.com/internationals-guide/banking-finance-and-insurance/mandatory-health-insurance</t>
        </is>
      </c>
      <c r="F455" s="49" t="n">
        <v>46317</v>
      </c>
      <c r="G455" s="51" t="n">
        <v>2</v>
      </c>
    </row>
    <row r="456" ht="54" customHeight="1">
      <c r="A456" s="29" t="inlineStr">
        <is>
          <t>eindhoven:action:saglik-sigortasi-2026-maliyet-1</t>
        </is>
      </c>
      <c r="B456" s="29" t="inlineStr">
        <is>
          <t>eindhoven</t>
        </is>
      </c>
      <c r="C456" s="29" t="inlineStr">
        <is>
          <t>eindhoven:saglik-sigortasi-2026-maliyet</t>
        </is>
      </c>
      <c r="D456" s="29" t="inlineStr">
        <is>
          <t>Bilgi al</t>
        </is>
      </c>
      <c r="E456" s="29" t="inlineStr">
        <is>
          <t>https://www.hollandexpatcenter.com/internationals-guide/banking-finance-and-insurance/mandatory-health-insurance</t>
        </is>
      </c>
      <c r="F456" s="49" t="n">
        <v>46317</v>
      </c>
      <c r="G456" s="51" t="n">
        <v>1</v>
      </c>
    </row>
    <row r="457" ht="54" customHeight="1">
      <c r="A457" s="29" t="inlineStr">
        <is>
          <t>eindhoven:action:saglik-sigortasi-2026-maliyet-2</t>
        </is>
      </c>
      <c r="B457" s="29" t="inlineStr">
        <is>
          <t>eindhoven</t>
        </is>
      </c>
      <c r="C457" s="29" t="inlineStr">
        <is>
          <t>eindhoven:saglik-sigortasi-2026-maliyet</t>
        </is>
      </c>
      <c r="D457" s="29" t="inlineStr">
        <is>
          <t>Bilgi al</t>
        </is>
      </c>
      <c r="E457" s="29" t="inlineStr">
        <is>
          <t>https://www.government.nl/themes/family-health-and-care/health-insurance/standard-health-insurance/taking-out-compulsory-health-insurance</t>
        </is>
      </c>
      <c r="F457" s="49" t="n">
        <v>46317</v>
      </c>
      <c r="G457" s="51" t="n">
        <v>2</v>
      </c>
    </row>
    <row r="458" ht="54" customHeight="1">
      <c r="A458" s="29" t="inlineStr">
        <is>
          <t>eindhoven:action:zorgtoeslag-destegi-1</t>
        </is>
      </c>
      <c r="B458" s="29" t="inlineStr">
        <is>
          <t>eindhoven</t>
        </is>
      </c>
      <c r="C458" s="29" t="inlineStr">
        <is>
          <t>eindhoven:zorgtoeslag-destegi</t>
        </is>
      </c>
      <c r="D458" s="29" t="inlineStr">
        <is>
          <t>Bilgi al</t>
        </is>
      </c>
      <c r="E458" s="29" t="inlineStr">
        <is>
          <t>https://www.government.nl/documents/question-and-answer/health-insurance/when-do-i-need-to-take-out-health-insurance-if-i-come-to-live-in-the-netherlands</t>
        </is>
      </c>
      <c r="F458" s="49" t="n">
        <v>46317</v>
      </c>
      <c r="G458" s="51" t="n">
        <v>1</v>
      </c>
    </row>
    <row r="459" ht="54" customHeight="1">
      <c r="A459" s="29" t="inlineStr">
        <is>
          <t>eindhoven:action:zorgtoeslag-destegi-2</t>
        </is>
      </c>
      <c r="B459" s="29" t="inlineStr">
        <is>
          <t>eindhoven</t>
        </is>
      </c>
      <c r="C459" s="29" t="inlineStr">
        <is>
          <t>eindhoven:zorgtoeslag-destegi</t>
        </is>
      </c>
      <c r="D459" s="29" t="inlineStr">
        <is>
          <t>Bilgi al</t>
        </is>
      </c>
      <c r="E459" s="29" t="inlineStr">
        <is>
          <t>https://www.hollandexpatcenter.com/internationals-guide/banking-finance-and-insurance/mandatory-health-insurance</t>
        </is>
      </c>
      <c r="F459" s="49" t="n">
        <v>46317</v>
      </c>
      <c r="G459" s="51" t="n">
        <v>2</v>
      </c>
    </row>
    <row r="460" ht="54" customHeight="1">
      <c r="A460" s="29" t="inlineStr">
        <is>
          <t>eindhoven:action:banka-hesabi-belgeleri-1</t>
        </is>
      </c>
      <c r="B460" s="29" t="inlineStr">
        <is>
          <t>eindhoven</t>
        </is>
      </c>
      <c r="C460" s="29" t="inlineStr">
        <is>
          <t>eindhoven:banka-hesabi-belgeleri</t>
        </is>
      </c>
      <c r="D460" s="29" t="inlineStr">
        <is>
          <t>Bilgi al</t>
        </is>
      </c>
      <c r="E460" s="29" t="inlineStr">
        <is>
          <t>https://www.hollandexpatcenter.com/internationals-guide/banking-finance-and-insurance/banking</t>
        </is>
      </c>
      <c r="F460" s="49" t="n">
        <v>46317</v>
      </c>
      <c r="G460" s="51" t="n">
        <v>1</v>
      </c>
    </row>
    <row r="461" ht="54" customHeight="1">
      <c r="A461" s="29" t="inlineStr">
        <is>
          <t>eindhoven:action:ev-arama-kira-turleri-1</t>
        </is>
      </c>
      <c r="B461" s="29" t="inlineStr">
        <is>
          <t>eindhoven</t>
        </is>
      </c>
      <c r="C461" s="29" t="inlineStr">
        <is>
          <t>eindhoven:ev-arama-kira-turleri</t>
        </is>
      </c>
      <c r="D461" s="29" t="inlineStr">
        <is>
          <t>Bilgi al</t>
        </is>
      </c>
      <c r="E461" s="29" t="inlineStr">
        <is>
          <t>https://www.hollandexpatcenter.com/internationals-guide/housing/renting-and-buying</t>
        </is>
      </c>
      <c r="F461" s="49" t="n">
        <v>46317</v>
      </c>
      <c r="G461" s="51" t="n">
        <v>1</v>
      </c>
    </row>
    <row r="462" ht="54" customHeight="1">
      <c r="A462" s="29" t="inlineStr">
        <is>
          <t>eindhoven:action:kira-sozlesmesi-kontrol-listesi-1</t>
        </is>
      </c>
      <c r="B462" s="29" t="inlineStr">
        <is>
          <t>eindhoven</t>
        </is>
      </c>
      <c r="C462" s="29" t="inlineStr">
        <is>
          <t>eindhoven:kira-sozlesmesi-kontrol-listesi</t>
        </is>
      </c>
      <c r="D462" s="29" t="inlineStr">
        <is>
          <t>Bilgi al</t>
        </is>
      </c>
      <c r="E462" s="29" t="inlineStr">
        <is>
          <t>https://www.hollandexpatcenter.com/internationals-guide/housing/renting-and-buying</t>
        </is>
      </c>
      <c r="F462" s="49" t="n">
        <v>46317</v>
      </c>
      <c r="G462" s="51" t="n">
        <v>1</v>
      </c>
    </row>
    <row r="463" ht="54" customHeight="1">
      <c r="A463" s="29" t="inlineStr">
        <is>
          <t>eindhoven:action:eindhoven-esyali-kira-fiyatlari-1</t>
        </is>
      </c>
      <c r="B463" s="29" t="inlineStr">
        <is>
          <t>eindhoven</t>
        </is>
      </c>
      <c r="C463" s="29" t="inlineStr">
        <is>
          <t>eindhoven:eindhoven-esyali-kira-fiyatlari</t>
        </is>
      </c>
      <c r="D463" s="29" t="inlineStr">
        <is>
          <t>Bilgi al</t>
        </is>
      </c>
      <c r="E463" s="29" t="inlineStr">
        <is>
          <t>https://www.hollandexpatcenter.com/internationals-guide/housing/renting-and-buying</t>
        </is>
      </c>
      <c r="F463" s="49" t="n">
        <v>46317</v>
      </c>
      <c r="G463" s="51" t="n">
        <v>1</v>
      </c>
    </row>
    <row r="464" ht="54" customHeight="1">
      <c r="A464" s="29" t="inlineStr">
        <is>
          <t>eindhoven:action:eindhoven-esyali-kira-fiyatlari-2</t>
        </is>
      </c>
      <c r="B464" s="29" t="inlineStr">
        <is>
          <t>eindhoven</t>
        </is>
      </c>
      <c r="C464" s="29" t="inlineStr">
        <is>
          <t>eindhoven:eindhoven-esyali-kira-fiyatlari</t>
        </is>
      </c>
      <c r="D464" s="29" t="inlineStr">
        <is>
          <t>Bilgi al</t>
        </is>
      </c>
      <c r="E464" s="29" t="inlineStr">
        <is>
          <t>https://www.nibud.nl/samenwerken/cijfers-en-rekentools/referentiebegrotingen/</t>
        </is>
      </c>
      <c r="F464" s="49" t="n">
        <v>46317</v>
      </c>
      <c r="G464" s="51" t="n">
        <v>2</v>
      </c>
    </row>
    <row r="465" ht="54" customHeight="1">
      <c r="A465" s="29" t="inlineStr">
        <is>
          <t>eindhoven:action:expat-scheme-sartlari-1</t>
        </is>
      </c>
      <c r="B465" s="29" t="inlineStr">
        <is>
          <t>eindhoven</t>
        </is>
      </c>
      <c r="C465" s="29" t="inlineStr">
        <is>
          <t>eindhoven:expat-scheme-sartlari</t>
        </is>
      </c>
      <c r="D465" s="29" t="inlineStr">
        <is>
          <t>Bilgi al</t>
        </is>
      </c>
      <c r="E465" s="29" t="inlineStr">
        <is>
          <t>https://www.belastingdienst.nl/wps/wcm/connect/en/individuals/content/coming-to-work-in-the-netherlands-30-percent-facility</t>
        </is>
      </c>
      <c r="F465" s="49" t="n">
        <v>46317</v>
      </c>
      <c r="G465" s="51" t="n">
        <v>1</v>
      </c>
    </row>
    <row r="466" ht="54" customHeight="1">
      <c r="A466" s="29" t="inlineStr">
        <is>
          <t>eindhoven:action:expat-scheme-sartlari-2</t>
        </is>
      </c>
      <c r="B466" s="29" t="inlineStr">
        <is>
          <t>eindhoven</t>
        </is>
      </c>
      <c r="C466" s="29" t="inlineStr">
        <is>
          <t>eindhoven:expat-scheme-sartlari</t>
        </is>
      </c>
      <c r="D466" s="29" t="inlineStr">
        <is>
          <t>Bilgi al</t>
        </is>
      </c>
      <c r="E466" s="29" t="inlineStr">
        <is>
          <t>https://www.hollandexpatcenter.com/internationals-guide/taxation-benefits-and-pension/the-expat-scheme-30-ruling</t>
        </is>
      </c>
      <c r="F466" s="49" t="n">
        <v>46317</v>
      </c>
      <c r="G466" s="51" t="n">
        <v>2</v>
      </c>
    </row>
    <row r="467" ht="54" customHeight="1">
      <c r="A467" s="29" t="inlineStr">
        <is>
          <t>eindhoven:action:expat-scheme-basvuru-takvimi-1</t>
        </is>
      </c>
      <c r="B467" s="29" t="inlineStr">
        <is>
          <t>eindhoven</t>
        </is>
      </c>
      <c r="C467" s="29" t="inlineStr">
        <is>
          <t>eindhoven:expat-scheme-basvuru-takvimi</t>
        </is>
      </c>
      <c r="D467" s="29" t="inlineStr">
        <is>
          <t>Formu doldur</t>
        </is>
      </c>
      <c r="E467" s="29" t="inlineStr">
        <is>
          <t>https://www.belastingdienst.nl/wps/wcm/connect/en/individuals/content/coming-to-work-in-the-netherlands-30-percent-facility</t>
        </is>
      </c>
      <c r="F467" s="49" t="n">
        <v>46317</v>
      </c>
      <c r="G467" s="51" t="n">
        <v>1</v>
      </c>
    </row>
    <row r="468" ht="54" customHeight="1">
      <c r="A468" s="29" t="inlineStr">
        <is>
          <t>eindhoven:action:expat-scheme-basvuru-takvimi-2</t>
        </is>
      </c>
      <c r="B468" s="29" t="inlineStr">
        <is>
          <t>eindhoven</t>
        </is>
      </c>
      <c r="C468" s="29" t="inlineStr">
        <is>
          <t>eindhoven:expat-scheme-basvuru-takvimi</t>
        </is>
      </c>
      <c r="D468" s="29" t="inlineStr">
        <is>
          <t>Bilgi al</t>
        </is>
      </c>
      <c r="E468" s="29" t="inlineStr">
        <is>
          <t>https://www.hollandexpatcenter.com/internationals-guide/taxation-benefits-and-pension/the-expat-scheme-30-ruling</t>
        </is>
      </c>
      <c r="F468" s="49" t="n">
        <v>46317</v>
      </c>
      <c r="G468" s="51" t="n">
        <v>2</v>
      </c>
    </row>
    <row r="469" ht="54" customHeight="1">
      <c r="A469" s="29" t="inlineStr">
        <is>
          <t>eindhoven:action:ev-esyasi-ve-arac-getirme-1</t>
        </is>
      </c>
      <c r="B469" s="29" t="inlineStr">
        <is>
          <t>eindhoven</t>
        </is>
      </c>
      <c r="C469" s="29" t="inlineStr">
        <is>
          <t>eindhoven:ev-esyasi-ve-arac-getirme</t>
        </is>
      </c>
      <c r="D469" s="29" t="inlineStr">
        <is>
          <t>Bilgi al</t>
        </is>
      </c>
      <c r="E469" s="29" t="inlineStr">
        <is>
          <t>https://www.hollandexpatcenter.com/internationals-guide/formalities/importing-goods-cars-and-pets</t>
        </is>
      </c>
      <c r="F469" s="49" t="n">
        <v>46317</v>
      </c>
      <c r="G469" s="51" t="n">
        <v>1</v>
      </c>
    </row>
    <row r="470" ht="54" customHeight="1">
      <c r="A470" s="29" t="inlineStr">
        <is>
          <t>eindhoven:action:evcil-hayvan-getirme-1</t>
        </is>
      </c>
      <c r="B470" s="29" t="inlineStr">
        <is>
          <t>eindhoven</t>
        </is>
      </c>
      <c r="C470" s="29" t="inlineStr">
        <is>
          <t>eindhoven:evcil-hayvan-getirme</t>
        </is>
      </c>
      <c r="D470" s="29" t="inlineStr">
        <is>
          <t>Bilgi al</t>
        </is>
      </c>
      <c r="E470" s="29" t="inlineStr">
        <is>
          <t>https://www.hollandexpatcenter.com/internationals-guide/formalities/importing-goods-cars-and-pets</t>
        </is>
      </c>
      <c r="F470" s="49" t="n">
        <v>46317</v>
      </c>
      <c r="G470" s="51" t="n">
        <v>1</v>
      </c>
    </row>
    <row r="471" ht="54" customHeight="1">
      <c r="A471" s="29" t="inlineStr">
        <is>
          <t>eindhoven:action:evcil-hayvan-getirme-2</t>
        </is>
      </c>
      <c r="B471" s="29" t="inlineStr">
        <is>
          <t>eindhoven</t>
        </is>
      </c>
      <c r="C471" s="29" t="inlineStr">
        <is>
          <t>eindhoven:evcil-hayvan-getirme</t>
        </is>
      </c>
      <c r="D471" s="29" t="inlineStr">
        <is>
          <t>Bilgi al</t>
        </is>
      </c>
      <c r="E471" s="29" t="inlineStr">
        <is>
          <t>https://www.eindhoven.nl/stad-en-wonen/verhuizen-concept/welkom-in-eindhoven</t>
        </is>
      </c>
      <c r="F471" s="49" t="n">
        <v>46317</v>
      </c>
      <c r="G471" s="51" t="n">
        <v>2</v>
      </c>
    </row>
    <row r="472" ht="54" customHeight="1">
      <c r="A472" s="29" t="inlineStr">
        <is>
          <t>eindhoven:action:aylik-gida-butcesi-ve-enflasyon-1</t>
        </is>
      </c>
      <c r="B472" s="29" t="inlineStr">
        <is>
          <t>eindhoven</t>
        </is>
      </c>
      <c r="C472" s="29" t="inlineStr">
        <is>
          <t>eindhoven:aylik-gida-butcesi-ve-enflasyon</t>
        </is>
      </c>
      <c r="D472" s="29" t="inlineStr">
        <is>
          <t>Bilgi al</t>
        </is>
      </c>
      <c r="E472" s="29" t="inlineStr">
        <is>
          <t>https://www.nibud.nl/samenwerken/cijfers-en-rekentools/referentiebegrotingen/</t>
        </is>
      </c>
      <c r="F472" s="49" t="n">
        <v>46317</v>
      </c>
      <c r="G472" s="51" t="n">
        <v>1</v>
      </c>
    </row>
    <row r="473" ht="54" customHeight="1">
      <c r="A473" s="29" t="inlineStr">
        <is>
          <t>eindhoven:action:aylik-gida-butcesi-ve-enflasyon-2</t>
        </is>
      </c>
      <c r="B473" s="29" t="inlineStr">
        <is>
          <t>eindhoven</t>
        </is>
      </c>
      <c r="C473" s="29" t="inlineStr">
        <is>
          <t>eindhoven:aylik-gida-butcesi-ve-enflasyon</t>
        </is>
      </c>
      <c r="D473" s="29" t="inlineStr">
        <is>
          <t>Bilgi al</t>
        </is>
      </c>
      <c r="E473" s="29" t="inlineStr">
        <is>
          <t>https://www.nibud.nl/onderwerpen/uitgaven/huishoudelijke-uitgaven/</t>
        </is>
      </c>
      <c r="F473" s="49" t="n">
        <v>46317</v>
      </c>
      <c r="G473" s="51" t="n">
        <v>2</v>
      </c>
    </row>
    <row r="474" ht="54" customHeight="1">
      <c r="A474" s="29" t="inlineStr">
        <is>
          <t>eindhoven:action:aylik-gida-butcesi-ve-enflasyon-3</t>
        </is>
      </c>
      <c r="B474" s="29" t="inlineStr">
        <is>
          <t>eindhoven</t>
        </is>
      </c>
      <c r="C474" s="29" t="inlineStr">
        <is>
          <t>eindhoven:aylik-gida-butcesi-ve-enflasyon</t>
        </is>
      </c>
      <c r="D474" s="29" t="inlineStr">
        <is>
          <t>Bilgi al</t>
        </is>
      </c>
      <c r="E474" s="29" t="inlineStr">
        <is>
          <t>https://www.cbs.nl/en-gb/figures/detail/86141ENG</t>
        </is>
      </c>
      <c r="F474" s="49" t="n">
        <v>46317</v>
      </c>
      <c r="G474" s="51" t="n">
        <v>3</v>
      </c>
    </row>
    <row r="475" ht="54" customHeight="1">
      <c r="A475" s="29" t="inlineStr">
        <is>
          <t>eindhoven:action:eindhoven-yeni-gelen-belediye-bilgileri-1</t>
        </is>
      </c>
      <c r="B475" s="29" t="inlineStr">
        <is>
          <t>eindhoven</t>
        </is>
      </c>
      <c r="C475" s="29" t="inlineStr">
        <is>
          <t>eindhoven:eindhoven-yeni-gelen-belediye-bilgileri</t>
        </is>
      </c>
      <c r="D475" s="29" t="inlineStr">
        <is>
          <t>Bilgi al</t>
        </is>
      </c>
      <c r="E475" s="29" t="inlineStr">
        <is>
          <t>https://www.eindhoven.nl/stad-en-wonen/verhuizen-concept/welkom-in-eindhoven</t>
        </is>
      </c>
      <c r="F475" s="49" t="n">
        <v>46317</v>
      </c>
      <c r="G475" s="51" t="n">
        <v>1</v>
      </c>
    </row>
    <row r="476" ht="54" customHeight="1">
      <c r="A476" s="29" t="inlineStr">
        <is>
          <t>eindhoven:action:yurt-disindan-eindhoven-kayit-1</t>
        </is>
      </c>
      <c r="B476" s="29" t="inlineStr">
        <is>
          <t>eindhoven</t>
        </is>
      </c>
      <c r="C476" s="29" t="inlineStr">
        <is>
          <t>eindhoven:yurt-disindan-eindhoven-kayit</t>
        </is>
      </c>
      <c r="D476" s="29" t="inlineStr">
        <is>
          <t>Randevu al</t>
        </is>
      </c>
      <c r="E476" s="29" t="inlineStr">
        <is>
          <t>https://www.eindhoven.nl/stad-en-wonen/verhuizen-concept/verhuizen-vanuit-het-buitenland</t>
        </is>
      </c>
      <c r="F476" s="49" t="n">
        <v>46317</v>
      </c>
      <c r="G476" s="51" t="n">
        <v>1</v>
      </c>
    </row>
    <row r="477" ht="54" customHeight="1">
      <c r="A477" s="29" t="inlineStr">
        <is>
          <t>eindhoven:action:yurt-disindan-eindhoven-kayit-2</t>
        </is>
      </c>
      <c r="B477" s="29" t="inlineStr">
        <is>
          <t>eindhoven</t>
        </is>
      </c>
      <c r="C477" s="29" t="inlineStr">
        <is>
          <t>eindhoven:yurt-disindan-eindhoven-kayit</t>
        </is>
      </c>
      <c r="D477" s="29" t="inlineStr">
        <is>
          <t>Bilgi al</t>
        </is>
      </c>
      <c r="E477" s="29" t="inlineStr">
        <is>
          <t>https://www.hollandexpatcenter.com/internationals-guide/formalities/registration-at-the-municipality</t>
        </is>
      </c>
      <c r="F477" s="49" t="n">
        <v>46317</v>
      </c>
      <c r="G477" s="51" t="n">
        <v>2</v>
      </c>
    </row>
    <row r="478" ht="54" customHeight="1">
      <c r="A478" s="29" t="inlineStr">
        <is>
          <t>eindhoven:action:kayit-randevusu-gerekli-belgeler-1</t>
        </is>
      </c>
      <c r="B478" s="29" t="inlineStr">
        <is>
          <t>eindhoven</t>
        </is>
      </c>
      <c r="C478" s="29" t="inlineStr">
        <is>
          <t>eindhoven:kayit-randevusu-gerekli-belgeler</t>
        </is>
      </c>
      <c r="D478" s="29" t="inlineStr">
        <is>
          <t>Randevu al</t>
        </is>
      </c>
      <c r="E478" s="29" t="inlineStr">
        <is>
          <t>https://www.eindhoven.nl/stad-en-wonen/verhuizen-concept/verhuizen-vanuit-het-buitenland</t>
        </is>
      </c>
      <c r="F478" s="49" t="n">
        <v>46317</v>
      </c>
      <c r="G478" s="51" t="n">
        <v>1</v>
      </c>
    </row>
    <row r="479" ht="54" customHeight="1">
      <c r="A479" s="29" t="inlineStr">
        <is>
          <t>eindhoven:action:ab-disindan-gelenler-ind-ve-siginma-1</t>
        </is>
      </c>
      <c r="B479" s="29" t="inlineStr">
        <is>
          <t>eindhoven</t>
        </is>
      </c>
      <c r="C479" s="29" t="inlineStr">
        <is>
          <t>eindhoven:ab-disindan-gelenler-ind-ve-siginma</t>
        </is>
      </c>
      <c r="D479" s="29" t="inlineStr">
        <is>
          <t>Randevu al</t>
        </is>
      </c>
      <c r="E479" s="29" t="inlineStr">
        <is>
          <t>https://www.eindhoven.nl/verhuizen-dit-moet-je-doen</t>
        </is>
      </c>
      <c r="F479" s="49" t="n">
        <v>46317</v>
      </c>
      <c r="G479" s="51" t="n">
        <v>1</v>
      </c>
    </row>
    <row r="480" ht="54" customHeight="1">
      <c r="A480" s="29" t="inlineStr">
        <is>
          <t>eindhoven:action:ab-disindan-gelenler-ind-ve-siginma-2</t>
        </is>
      </c>
      <c r="B480" s="29" t="inlineStr">
        <is>
          <t>eindhoven</t>
        </is>
      </c>
      <c r="C480" s="29" t="inlineStr">
        <is>
          <t>eindhoven:ab-disindan-gelenler-ind-ve-siginma</t>
        </is>
      </c>
      <c r="D480" s="29" t="inlineStr">
        <is>
          <t>Bilgi al</t>
        </is>
      </c>
      <c r="E480" s="29" t="inlineStr">
        <is>
          <t>https://www.eindhoven.nl/stad-en-wonen/verhuizen-concept/verhuizen-vanuit-het-buitenland</t>
        </is>
      </c>
      <c r="F480" s="49" t="n">
        <v>46317</v>
      </c>
      <c r="G480" s="51" t="n">
        <v>2</v>
      </c>
    </row>
    <row r="481" ht="54" customHeight="1">
      <c r="A481" s="29" t="inlineStr">
        <is>
          <t>eindhoven:action:rni-kaydi-4-aydan-kisa-kalis-1</t>
        </is>
      </c>
      <c r="B481" s="29" t="inlineStr">
        <is>
          <t>eindhoven</t>
        </is>
      </c>
      <c r="C481" s="29" t="inlineStr">
        <is>
          <t>eindhoven:rni-kaydi-4-aydan-kisa-kalis</t>
        </is>
      </c>
      <c r="D481" s="29" t="inlineStr">
        <is>
          <t>Randevu al</t>
        </is>
      </c>
      <c r="E481" s="29" t="inlineStr">
        <is>
          <t>https://www.eindhoven.nl/verhuizen-dit-moet-je-doen</t>
        </is>
      </c>
      <c r="F481" s="49" t="n">
        <v>46317</v>
      </c>
      <c r="G481" s="51" t="n">
        <v>1</v>
      </c>
    </row>
    <row r="482" ht="54" customHeight="1">
      <c r="A482" s="29" t="inlineStr">
        <is>
          <t>eindhoven:action:rni-kaydi-4-aydan-kisa-kalis-2</t>
        </is>
      </c>
      <c r="B482" s="29" t="inlineStr">
        <is>
          <t>eindhoven</t>
        </is>
      </c>
      <c r="C482" s="29" t="inlineStr">
        <is>
          <t>eindhoven:rni-kaydi-4-aydan-kisa-kalis</t>
        </is>
      </c>
      <c r="D482" s="29" t="inlineStr">
        <is>
          <t>Bilgi al</t>
        </is>
      </c>
      <c r="E482" s="29" t="inlineStr">
        <is>
          <t>https://www.hollandexpatcenter.com/internationals-guide/formalities/bsn-brp-and-rni-explained</t>
        </is>
      </c>
      <c r="F482" s="49" t="n">
        <v>46317</v>
      </c>
      <c r="G482" s="51" t="n">
        <v>2</v>
      </c>
    </row>
    <row r="483" ht="54" customHeight="1">
      <c r="A483" s="29" t="inlineStr">
        <is>
          <t>eindhoven:action:bsn-numarasi-alma-ve-bulma-1</t>
        </is>
      </c>
      <c r="B483" s="29" t="inlineStr">
        <is>
          <t>eindhoven</t>
        </is>
      </c>
      <c r="C483" s="29" t="inlineStr">
        <is>
          <t>eindhoven:bsn-numarasi-alma-ve-bulma</t>
        </is>
      </c>
      <c r="D483" s="29" t="inlineStr">
        <is>
          <t>Bilgi al</t>
        </is>
      </c>
      <c r="E483" s="29" t="inlineStr">
        <is>
          <t>https://www.eindhoven.nl/stad-en-wonen/uittreksels-en-documenten/burgerservicenummer-bsn</t>
        </is>
      </c>
      <c r="F483" s="49" t="n">
        <v>46317</v>
      </c>
      <c r="G483" s="51" t="n">
        <v>1</v>
      </c>
    </row>
    <row r="484" ht="54" customHeight="1">
      <c r="A484" s="29" t="inlineStr">
        <is>
          <t>eindhoven:action:bsn-numarasi-alma-ve-bulma-2</t>
        </is>
      </c>
      <c r="B484" s="29" t="inlineStr">
        <is>
          <t>eindhoven</t>
        </is>
      </c>
      <c r="C484" s="29" t="inlineStr">
        <is>
          <t>eindhoven:bsn-numarasi-alma-ve-bulma</t>
        </is>
      </c>
      <c r="D484" s="29" t="inlineStr">
        <is>
          <t>Bilgi al</t>
        </is>
      </c>
      <c r="E484" s="29" t="inlineStr">
        <is>
          <t>https://www.government.nl/themes/government-and-democracy/personal-data/citizen-service-number-bsn</t>
        </is>
      </c>
      <c r="F484" s="49" t="n">
        <v>46317</v>
      </c>
      <c r="G484" s="51" t="n">
        <v>2</v>
      </c>
    </row>
    <row r="485" ht="54" customHeight="1">
      <c r="A485" s="29" t="inlineStr">
        <is>
          <t>eindhoven:action:bsn-brp-rni-farki-1</t>
        </is>
      </c>
      <c r="B485" s="29" t="inlineStr">
        <is>
          <t>eindhoven</t>
        </is>
      </c>
      <c r="C485" s="29" t="inlineStr">
        <is>
          <t>eindhoven:bsn-brp-rni-farki</t>
        </is>
      </c>
      <c r="D485" s="29" t="inlineStr">
        <is>
          <t>Bilgi al</t>
        </is>
      </c>
      <c r="E485" s="29" t="inlineStr">
        <is>
          <t>https://www.hollandexpatcenter.com/internationals-guide/formalities/bsn-brp-and-rni-explained</t>
        </is>
      </c>
      <c r="F485" s="49" t="n">
        <v>46317</v>
      </c>
      <c r="G485" s="51" t="n">
        <v>1</v>
      </c>
    </row>
    <row r="486" ht="54" customHeight="1">
      <c r="A486" s="29" t="inlineStr">
        <is>
          <t>eindhoven:action:bsn-brp-rni-farki-2</t>
        </is>
      </c>
      <c r="B486" s="29" t="inlineStr">
        <is>
          <t>eindhoven</t>
        </is>
      </c>
      <c r="C486" s="29" t="inlineStr">
        <is>
          <t>eindhoven:bsn-brp-rni-farki</t>
        </is>
      </c>
      <c r="D486" s="29" t="inlineStr">
        <is>
          <t>Bilgi al</t>
        </is>
      </c>
      <c r="E486" s="29" t="inlineStr">
        <is>
          <t>https://www.hollandexpatcenter.com/internationals-guide/formalities/registration-at-the-municipality</t>
        </is>
      </c>
      <c r="F486" s="49" t="n">
        <v>46317</v>
      </c>
      <c r="G486" s="51" t="n">
        <v>2</v>
      </c>
    </row>
    <row r="487" ht="54" customHeight="1">
      <c r="A487" s="29" t="inlineStr">
        <is>
          <t>eindhoven:action:eindhoven-tasinma-bildirimi-digid-1</t>
        </is>
      </c>
      <c r="B487" s="29" t="inlineStr">
        <is>
          <t>eindhoven</t>
        </is>
      </c>
      <c r="C487" s="29" t="inlineStr">
        <is>
          <t>eindhoven:eindhoven-tasinma-bildirimi-digid</t>
        </is>
      </c>
      <c r="D487" s="29" t="inlineStr">
        <is>
          <t>Formu doldur</t>
        </is>
      </c>
      <c r="E487" s="29" t="inlineStr">
        <is>
          <t>https://www.eindhoven.nl/stad-en-wonen/verhuizen-concept/verhuizen-binnen-of-naar-eindhoven</t>
        </is>
      </c>
      <c r="F487" s="49" t="n">
        <v>46317</v>
      </c>
      <c r="G487" s="51" t="n">
        <v>1</v>
      </c>
    </row>
    <row r="488" ht="54" customHeight="1">
      <c r="A488" s="29" t="inlineStr">
        <is>
          <t>eindhoven:action:eindhoven-tasinma-bildirimi-digid-2</t>
        </is>
      </c>
      <c r="B488" s="29" t="inlineStr">
        <is>
          <t>eindhoven</t>
        </is>
      </c>
      <c r="C488" s="29" t="inlineStr">
        <is>
          <t>eindhoven:eindhoven-tasinma-bildirimi-digid</t>
        </is>
      </c>
      <c r="D488" s="29" t="inlineStr">
        <is>
          <t>Bilgi al</t>
        </is>
      </c>
      <c r="E488" s="29" t="inlineStr">
        <is>
          <t>https://www.eindhoven.nl/verhuizen-dit-moet-je-doen</t>
        </is>
      </c>
      <c r="F488" s="49" t="n">
        <v>46317</v>
      </c>
      <c r="G488" s="51" t="n">
        <v>2</v>
      </c>
    </row>
    <row r="489" ht="54" customHeight="1">
      <c r="A489" s="29" t="inlineStr">
        <is>
          <t>eindhoven:action:tasinma-bildirimi-tezgah-veya-posta-1</t>
        </is>
      </c>
      <c r="B489" s="29" t="inlineStr">
        <is>
          <t>eindhoven</t>
        </is>
      </c>
      <c r="C489" s="29" t="inlineStr">
        <is>
          <t>eindhoven:tasinma-bildirimi-tezgah-veya-posta</t>
        </is>
      </c>
      <c r="D489" s="29" t="inlineStr">
        <is>
          <t>Formu doldur</t>
        </is>
      </c>
      <c r="E489" s="29" t="inlineStr">
        <is>
          <t>https://www.eindhoven.nl/stad-en-wonen/verhuizen-concept/verhuizen-binnen-of-naar-eindhoven</t>
        </is>
      </c>
      <c r="F489" s="49" t="n">
        <v>46317</v>
      </c>
      <c r="G489" s="51" t="n">
        <v>1</v>
      </c>
    </row>
    <row r="490" ht="54" customHeight="1">
      <c r="A490" s="29" t="inlineStr">
        <is>
          <t>eindhoven:action:tasinma-bildirimi-tezgah-veya-posta-2</t>
        </is>
      </c>
      <c r="B490" s="29" t="inlineStr">
        <is>
          <t>eindhoven</t>
        </is>
      </c>
      <c r="C490" s="29" t="inlineStr">
        <is>
          <t>eindhoven:tasinma-bildirimi-tezgah-veya-posta</t>
        </is>
      </c>
      <c r="D490" s="29" t="inlineStr">
        <is>
          <t>Randevu al</t>
        </is>
      </c>
      <c r="E490" s="29" t="inlineStr">
        <is>
          <t>https://www.eindhoven.nl/verhuizen-dit-moet-je-doen</t>
        </is>
      </c>
      <c r="F490" s="49" t="n">
        <v>46317</v>
      </c>
      <c r="G490" s="51" t="n">
        <v>2</v>
      </c>
    </row>
    <row r="491" ht="54" customHeight="1">
      <c r="A491" s="29" t="inlineStr">
        <is>
          <t>eindhoven:action:briefadres-ve-zorg-instelling-tasinma-1</t>
        </is>
      </c>
      <c r="B491" s="29" t="inlineStr">
        <is>
          <t>eindhoven</t>
        </is>
      </c>
      <c r="C491" s="29" t="inlineStr">
        <is>
          <t>eindhoven:briefadres-ve-zorg-instelling-tasinma</t>
        </is>
      </c>
      <c r="D491" s="29" t="inlineStr">
        <is>
          <t>Formu doldur</t>
        </is>
      </c>
      <c r="E491" s="29" t="inlineStr">
        <is>
          <t>https://www.eindhoven.nl/stad-en-wonen/verhuizen-concept/verhuizen-binnen-of-naar-eindhoven</t>
        </is>
      </c>
      <c r="F491" s="49" t="n">
        <v>46317</v>
      </c>
      <c r="G491" s="51" t="n">
        <v>1</v>
      </c>
    </row>
    <row r="492" ht="54" customHeight="1">
      <c r="A492" s="29" t="inlineStr">
        <is>
          <t>eindhoven:action:yanlis-tasinma-bilgisini-duzeltme-ve-boete-1</t>
        </is>
      </c>
      <c r="B492" s="29" t="inlineStr">
        <is>
          <t>eindhoven</t>
        </is>
      </c>
      <c r="C492" s="29" t="inlineStr">
        <is>
          <t>eindhoven:yanlis-tasinma-bilgisini-duzeltme-ve-boete</t>
        </is>
      </c>
      <c r="D492" s="29" t="inlineStr">
        <is>
          <t>Bilgi al</t>
        </is>
      </c>
      <c r="E492" s="29" t="inlineStr">
        <is>
          <t>https://www.eindhoven.nl/stad-en-wonen/verhuizen-concept/verhuizen-binnen-of-naar-eindhoven</t>
        </is>
      </c>
      <c r="F492" s="49" t="n">
        <v>46317</v>
      </c>
      <c r="G492" s="51" t="n">
        <v>1</v>
      </c>
    </row>
    <row r="493" ht="54" customHeight="1">
      <c r="A493" s="29" t="inlineStr">
        <is>
          <t>eindhoven:action:hollandadan-ayrilirken-belediye-kaydi-silme-1</t>
        </is>
      </c>
      <c r="B493" s="29" t="inlineStr">
        <is>
          <t>eindhoven</t>
        </is>
      </c>
      <c r="C493" s="29" t="inlineStr">
        <is>
          <t>eindhoven:hollandadan-ayrilirken-belediye-kaydi-silme</t>
        </is>
      </c>
      <c r="D493" s="29" t="inlineStr">
        <is>
          <t>Formu doldur</t>
        </is>
      </c>
      <c r="E493" s="29" t="inlineStr">
        <is>
          <t>https://www.eindhoven.nl/stad-en-wonen/verhuizen-concept/verhuizen-naar-het-buitenland-emigratie</t>
        </is>
      </c>
      <c r="F493" s="49" t="n">
        <v>46317</v>
      </c>
      <c r="G493" s="51" t="n">
        <v>1</v>
      </c>
    </row>
    <row r="494" ht="54" customHeight="1">
      <c r="A494" s="29" t="inlineStr">
        <is>
          <t>eindhoven:action:hollandadan-ayrilirken-belediye-kaydi-silme-2</t>
        </is>
      </c>
      <c r="B494" s="29" t="inlineStr">
        <is>
          <t>eindhoven</t>
        </is>
      </c>
      <c r="C494" s="29" t="inlineStr">
        <is>
          <t>eindhoven:hollandadan-ayrilirken-belediye-kaydi-silme</t>
        </is>
      </c>
      <c r="D494" s="29" t="inlineStr">
        <is>
          <t>Bilgi al</t>
        </is>
      </c>
      <c r="E494" s="29" t="inlineStr">
        <is>
          <t>https://www.hollandexpatcenter.com/internationals-guide/formalities/registration-at-the-municipality</t>
        </is>
      </c>
      <c r="F494" s="49" t="n">
        <v>46317</v>
      </c>
      <c r="G494" s="51" t="n">
        <v>2</v>
      </c>
    </row>
    <row r="495" ht="54" customHeight="1">
      <c r="A495" s="29" t="inlineStr">
        <is>
          <t>eindhoven:action:belediyede-randevu-alma-iptal-randevusuz-1</t>
        </is>
      </c>
      <c r="B495" s="29" t="inlineStr">
        <is>
          <t>eindhoven</t>
        </is>
      </c>
      <c r="C495" s="29" t="inlineStr">
        <is>
          <t>eindhoven:belediyede-randevu-alma-iptal-randevusuz</t>
        </is>
      </c>
      <c r="D495" s="29" t="inlineStr">
        <is>
          <t>Randevu al</t>
        </is>
      </c>
      <c r="E495" s="29" t="inlineStr">
        <is>
          <t>https://www.eindhoven.nl/bestuur-en-beleid/contact/contact-met-de-gemeente/hoe-maak-of-annuleer-ik-een-afspraak</t>
        </is>
      </c>
      <c r="F495" s="49" t="n">
        <v>46317</v>
      </c>
      <c r="G495" s="51" t="n">
        <v>1</v>
      </c>
    </row>
    <row r="496" ht="54" customHeight="1">
      <c r="A496" s="29" t="inlineStr">
        <is>
          <t>eindhoven:action:digid-basvurusu-ve-cocuk-icin-digid-1</t>
        </is>
      </c>
      <c r="B496" s="29" t="inlineStr">
        <is>
          <t>eindhoven</t>
        </is>
      </c>
      <c r="C496" s="29" t="inlineStr">
        <is>
          <t>eindhoven:digid-basvurusu-ve-cocuk-icin-digid</t>
        </is>
      </c>
      <c r="D496" s="29" t="inlineStr">
        <is>
          <t>Başvur</t>
        </is>
      </c>
      <c r="E496" s="29" t="inlineStr">
        <is>
          <t>https://www.digid.nl/en/apply-and-activate/apply-digid</t>
        </is>
      </c>
      <c r="F496" s="49" t="n">
        <v>46317</v>
      </c>
      <c r="G496" s="51" t="n">
        <v>1</v>
      </c>
    </row>
    <row r="497" ht="54" customHeight="1">
      <c r="A497" s="29" t="inlineStr">
        <is>
          <t>eindhoven:action:digid-basvurusu-ve-cocuk-icin-digid-2</t>
        </is>
      </c>
      <c r="B497" s="29" t="inlineStr">
        <is>
          <t>eindhoven</t>
        </is>
      </c>
      <c r="C497" s="29" t="inlineStr">
        <is>
          <t>eindhoven:digid-basvurusu-ve-cocuk-icin-digid</t>
        </is>
      </c>
      <c r="D497" s="29" t="inlineStr">
        <is>
          <t>Bilgi al</t>
        </is>
      </c>
      <c r="E497" s="29" t="inlineStr">
        <is>
          <t>https://www.hollandexpatcenter.com/internationals-guide/formalities/digid-and-mijnoverheid</t>
        </is>
      </c>
      <c r="F497" s="49" t="n">
        <v>46317</v>
      </c>
      <c r="G497" s="51" t="n">
        <v>2</v>
      </c>
    </row>
    <row r="498" ht="54" customHeight="1">
      <c r="A498" s="29" t="inlineStr">
        <is>
          <t>eindhoven:action:digid-kod-gelmiyor-sorun-giderme-1</t>
        </is>
      </c>
      <c r="B498" s="29" t="inlineStr">
        <is>
          <t>eindhoven</t>
        </is>
      </c>
      <c r="C498" s="29" t="inlineStr">
        <is>
          <t>eindhoven:digid-kod-gelmiyor-sorun-giderme</t>
        </is>
      </c>
      <c r="D498" s="29" t="inlineStr">
        <is>
          <t>Bilgi al</t>
        </is>
      </c>
      <c r="E498" s="29" t="inlineStr">
        <is>
          <t>https://www.digid.nl/en/apply-and-activate/apply-digid</t>
        </is>
      </c>
      <c r="F498" s="49" t="n">
        <v>46317</v>
      </c>
      <c r="G498" s="51" t="n">
        <v>1</v>
      </c>
    </row>
    <row r="499" ht="54" customHeight="1">
      <c r="A499" s="29" t="inlineStr">
        <is>
          <t>eindhoven:action:mijnoverheid-ve-berichtenbox-1</t>
        </is>
      </c>
      <c r="B499" s="29" t="inlineStr">
        <is>
          <t>eindhoven</t>
        </is>
      </c>
      <c r="C499" s="29" t="inlineStr">
        <is>
          <t>eindhoven:mijnoverheid-ve-berichtenbox</t>
        </is>
      </c>
      <c r="D499" s="29" t="inlineStr">
        <is>
          <t>Bilgi al</t>
        </is>
      </c>
      <c r="E499" s="29" t="inlineStr">
        <is>
          <t>https://www.hollandexpatcenter.com/internationals-guide/formalities/digid-and-mijnoverheid</t>
        </is>
      </c>
      <c r="F499" s="49" t="n">
        <v>46317</v>
      </c>
      <c r="G499" s="51" t="n">
        <v>1</v>
      </c>
    </row>
    <row r="500" ht="54" customHeight="1">
      <c r="A500" s="29" t="inlineStr">
        <is>
          <t>eindhoven:action:mijnoverheid-ve-berichtenbox-2</t>
        </is>
      </c>
      <c r="B500" s="29" t="inlineStr">
        <is>
          <t>eindhoven</t>
        </is>
      </c>
      <c r="C500" s="29" t="inlineStr">
        <is>
          <t>eindhoven:mijnoverheid-ve-berichtenbox</t>
        </is>
      </c>
      <c r="D500" s="29" t="inlineStr">
        <is>
          <t>Başvur</t>
        </is>
      </c>
      <c r="E500" s="29" t="inlineStr">
        <is>
          <t>https://www.digid.nl/en/apply-and-activate/apply-digid</t>
        </is>
      </c>
      <c r="F500" s="49" t="n">
        <v>46317</v>
      </c>
      <c r="G500" s="51" t="n">
        <v>2</v>
      </c>
    </row>
    <row r="501" ht="54" customHeight="1">
      <c r="A501" s="29" t="inlineStr">
        <is>
          <t>eindhoven:action:brp-uittreksel-alma-ve-ucret-1</t>
        </is>
      </c>
      <c r="B501" s="29" t="inlineStr">
        <is>
          <t>eindhoven</t>
        </is>
      </c>
      <c r="C501" s="29" t="inlineStr">
        <is>
          <t>eindhoven:brp-uittreksel-alma-ve-ucret</t>
        </is>
      </c>
      <c r="D501" s="29" t="inlineStr">
        <is>
          <t>Başvur</t>
        </is>
      </c>
      <c r="E501" s="29" t="inlineStr">
        <is>
          <t>https://www.eindhoven.nl/stad-en-wonen/uittreksels-en-documenten/uittreksel-basisregistratie-personen-brp</t>
        </is>
      </c>
      <c r="F501" s="49" t="n">
        <v>46317</v>
      </c>
      <c r="G501" s="51" t="n">
        <v>1</v>
      </c>
    </row>
    <row r="502" ht="54" customHeight="1">
      <c r="A502" s="29" t="inlineStr">
        <is>
          <t>eindhoven:action:brp-uittreksel-cesitleri-dil-ve-baskasi-adina-1</t>
        </is>
      </c>
      <c r="B502" s="29" t="inlineStr">
        <is>
          <t>eindhoven</t>
        </is>
      </c>
      <c r="C502" s="29" t="inlineStr">
        <is>
          <t>eindhoven:brp-uittreksel-cesitleri-dil-ve-baskasi-adina</t>
        </is>
      </c>
      <c r="D502" s="29" t="inlineStr">
        <is>
          <t>Başvur</t>
        </is>
      </c>
      <c r="E502" s="29" t="inlineStr">
        <is>
          <t>https://www.eindhoven.nl/stad-en-wonen/uittreksels-en-documenten/uittreksel-basisregistratie-personen-brp</t>
        </is>
      </c>
      <c r="F502" s="49" t="n">
        <v>46317</v>
      </c>
      <c r="G502" s="51" t="n">
        <v>1</v>
      </c>
    </row>
    <row r="503" ht="54" customHeight="1">
      <c r="A503" s="29" t="inlineStr">
        <is>
          <t>eindhoven:action:eindhoven-nufus-akti-burgerlijke-stand-alma-1</t>
        </is>
      </c>
      <c r="B503" s="29" t="inlineStr">
        <is>
          <t>eindhoven</t>
        </is>
      </c>
      <c r="C503" s="29" t="inlineStr">
        <is>
          <t>eindhoven:eindhoven-nufus-akti-burgerlijke-stand-alma</t>
        </is>
      </c>
      <c r="D503" s="29" t="inlineStr">
        <is>
          <t>Başvur</t>
        </is>
      </c>
      <c r="E503" s="29" t="inlineStr">
        <is>
          <t>https://www.eindhoven.nl/stad-en-wonen/uittreksels-en-documenten/akte-of-uittreksel-burgerlijke-stand-bs</t>
        </is>
      </c>
      <c r="F503" s="49" t="n">
        <v>46317</v>
      </c>
      <c r="G503" s="51" t="n">
        <v>1</v>
      </c>
    </row>
    <row r="504" ht="54" customHeight="1">
      <c r="A504" s="29" t="inlineStr">
        <is>
          <t>eindhoven:action:nufus-akti-yurt-disinda-kullanim-uittreksel-mmf-1</t>
        </is>
      </c>
      <c r="B504" s="29" t="inlineStr">
        <is>
          <t>eindhoven</t>
        </is>
      </c>
      <c r="C504" s="29" t="inlineStr">
        <is>
          <t>eindhoven:nufus-akti-yurt-disinda-kullanim-uittreksel-mmf</t>
        </is>
      </c>
      <c r="D504" s="29" t="inlineStr">
        <is>
          <t>Başvur</t>
        </is>
      </c>
      <c r="E504" s="29" t="inlineStr">
        <is>
          <t>https://www.eindhoven.nl/stad-en-wonen/uittreksels-en-documenten/akte-of-uittreksel-burgerlijke-stand-bs</t>
        </is>
      </c>
      <c r="F504" s="49" t="n">
        <v>46317</v>
      </c>
      <c r="G504" s="51" t="n">
        <v>1</v>
      </c>
    </row>
    <row r="505" ht="54" customHeight="1">
      <c r="A505" s="29" t="inlineStr">
        <is>
          <t>eindhoven:action:hollanda-dogum-bildirimi-geboorteaangifte-1</t>
        </is>
      </c>
      <c r="B505" s="29" t="inlineStr">
        <is>
          <t>eindhoven</t>
        </is>
      </c>
      <c r="C505" s="29" t="inlineStr">
        <is>
          <t>eindhoven:hollanda-dogum-bildirimi-geboorteaangifte</t>
        </is>
      </c>
      <c r="D505" s="29" t="inlineStr">
        <is>
          <t>Formu doldur</t>
        </is>
      </c>
      <c r="E505" s="29" t="inlineStr">
        <is>
          <t>https://www.eindhoven.nl/stad-en-wonen/levensgebeurtenissen/geboorteaangifte</t>
        </is>
      </c>
      <c r="F505" s="49" t="n">
        <v>46317</v>
      </c>
      <c r="G505" s="51" t="n">
        <v>1</v>
      </c>
    </row>
    <row r="506" ht="54" customHeight="1">
      <c r="A506" s="29" t="inlineStr">
        <is>
          <t>eindhoven:action:hollanda-dogum-bildirimi-geboorteaangifte-2</t>
        </is>
      </c>
      <c r="B506" s="29" t="inlineStr">
        <is>
          <t>eindhoven</t>
        </is>
      </c>
      <c r="C506" s="29" t="inlineStr">
        <is>
          <t>eindhoven:hollanda-dogum-bildirimi-geboorteaangifte</t>
        </is>
      </c>
      <c r="D506" s="29" t="inlineStr">
        <is>
          <t>Randevu al</t>
        </is>
      </c>
      <c r="E506" s="29" t="inlineStr">
        <is>
          <t>https://www.eindhoven.nl/bestuur-en-beleid/contact/contact-met-de-gemeente/hoe-maak-of-annuleer-ik-een-afspraak</t>
        </is>
      </c>
      <c r="F506" s="49" t="n">
        <v>46317</v>
      </c>
      <c r="G506" s="51" t="n">
        <v>2</v>
      </c>
    </row>
    <row r="507" ht="54" customHeight="1">
      <c r="A507" s="29" t="inlineStr">
        <is>
          <t>eindhoven:action:hollanda-cocugun-soyadi-secimi-naamskeuze-1</t>
        </is>
      </c>
      <c r="B507" s="29" t="inlineStr">
        <is>
          <t>eindhoven</t>
        </is>
      </c>
      <c r="C507" s="29" t="inlineStr">
        <is>
          <t>eindhoven:hollanda-cocugun-soyadi-secimi-naamskeuze</t>
        </is>
      </c>
      <c r="D507" s="29" t="inlineStr">
        <is>
          <t>Bilgi al</t>
        </is>
      </c>
      <c r="E507" s="29" t="inlineStr">
        <is>
          <t>https://www.eindhoven.nl/stad-en-wonen/levensgebeurtenissen/geboorteaangifte</t>
        </is>
      </c>
      <c r="F507" s="49" t="n">
        <v>46317</v>
      </c>
      <c r="G507" s="51" t="n">
        <v>1</v>
      </c>
    </row>
    <row r="508" ht="54" customHeight="1">
      <c r="A508" s="29" t="inlineStr">
        <is>
          <t>eindhoven:action:turk-vatandaslari-konsoloslukta-adres-beyani-1</t>
        </is>
      </c>
      <c r="B508" s="29" t="inlineStr">
        <is>
          <t>eindhoven</t>
        </is>
      </c>
      <c r="C508" s="29" t="inlineStr">
        <is>
          <t>eindhoven:turk-vatandaslari-konsoloslukta-adres-beyani</t>
        </is>
      </c>
      <c r="D508" s="29" t="inlineStr">
        <is>
          <t>Bilgi al</t>
        </is>
      </c>
      <c r="E508" s="29" t="inlineStr">
        <is>
          <t>https://rotterdam-bk.mfa.gov.tr/Mission/ShowInfoNote/417052</t>
        </is>
      </c>
      <c r="F508" s="49" t="n">
        <v>46317</v>
      </c>
      <c r="G508" s="51" t="n">
        <v>1</v>
      </c>
    </row>
    <row r="509" ht="54" customHeight="1">
      <c r="A509" s="29" t="inlineStr">
        <is>
          <t>eindhoven:action:rotterdam-baskonsoloslugu-randevu-calisma-saatleri-odeme-1</t>
        </is>
      </c>
      <c r="B509" s="29" t="inlineStr">
        <is>
          <t>eindhoven</t>
        </is>
      </c>
      <c r="C509" s="29" t="inlineStr">
        <is>
          <t>eindhoven:rotterdam-baskonsoloslugu-randevu-calisma-saatleri-odeme</t>
        </is>
      </c>
      <c r="D509" s="29" t="inlineStr">
        <is>
          <t>Bilgi al</t>
        </is>
      </c>
      <c r="E509" s="29" t="inlineStr">
        <is>
          <t>https://rotterdam-bk.mfa.gov.tr/Mission/ShowInfoNote/417060</t>
        </is>
      </c>
      <c r="F509" s="49" t="n">
        <v>46317</v>
      </c>
      <c r="G509" s="51" t="n">
        <v>1</v>
      </c>
    </row>
    <row r="510" ht="54" customHeight="1">
      <c r="A510" s="29" t="inlineStr">
        <is>
          <t>eindhoven:action:rotterdam-baskonsoloslugu-randevu-calisma-saatleri-odeme-2</t>
        </is>
      </c>
      <c r="B510" s="29" t="inlineStr">
        <is>
          <t>eindhoven</t>
        </is>
      </c>
      <c r="C510" s="29" t="inlineStr">
        <is>
          <t>eindhoven:rotterdam-baskonsoloslugu-randevu-calisma-saatleri-odeme</t>
        </is>
      </c>
      <c r="D510" s="29" t="inlineStr">
        <is>
          <t>Bilgi al</t>
        </is>
      </c>
      <c r="E510" s="29" t="inlineStr">
        <is>
          <t>https://rotterdam-bk.mfa.gov.tr/Mission/ShowInfoNote/417054</t>
        </is>
      </c>
      <c r="F510" s="49" t="n">
        <v>46317</v>
      </c>
      <c r="G510" s="51" t="n">
        <v>2</v>
      </c>
    </row>
    <row r="511" ht="54" customHeight="1">
      <c r="A511" s="29" t="inlineStr">
        <is>
          <t>eindhoven:action:hollanda-bosanma-kararini-turk-nufusuna-tescil-1</t>
        </is>
      </c>
      <c r="B511" s="29" t="inlineStr">
        <is>
          <t>eindhoven</t>
        </is>
      </c>
      <c r="C511" s="29" t="inlineStr">
        <is>
          <t>eindhoven:hollanda-bosanma-kararini-turk-nufusuna-tescil</t>
        </is>
      </c>
      <c r="D511" s="29" t="inlineStr">
        <is>
          <t>Bilgi al</t>
        </is>
      </c>
      <c r="E511" s="29" t="inlineStr">
        <is>
          <t>https://rotterdam-bk.mfa.gov.tr/Mission/ShowInfoNote/417062</t>
        </is>
      </c>
      <c r="F511" s="49" t="n">
        <v>46317</v>
      </c>
      <c r="G511" s="51" t="n">
        <v>1</v>
      </c>
    </row>
    <row r="512" ht="54" customHeight="1">
      <c r="A512" s="29" t="inlineStr">
        <is>
          <t>eindhoven:action:yurt-disinda-evlilik-hollanda-belediyesine-bildirim-1</t>
        </is>
      </c>
      <c r="B512" s="29" t="inlineStr">
        <is>
          <t>eindhoven</t>
        </is>
      </c>
      <c r="C512" s="29" t="inlineStr">
        <is>
          <t>eindhoven:yurt-disinda-evlilik-hollanda-belediyesine-bildirim</t>
        </is>
      </c>
      <c r="D512" s="29" t="inlineStr">
        <is>
          <t>Bilgi al</t>
        </is>
      </c>
      <c r="E512" s="29" t="inlineStr">
        <is>
          <t>https://www.eindhoven.nl/stad-en-wonen/levensgebeurtenissen/trouwen-en-geregistreerd-partnerschap/trouwen-in-het-buitenland</t>
        </is>
      </c>
      <c r="F512" s="49" t="n">
        <v>46317</v>
      </c>
      <c r="G512" s="51" t="n">
        <v>1</v>
      </c>
    </row>
    <row r="513" ht="54" customHeight="1">
      <c r="A513" s="29" t="inlineStr">
        <is>
          <t>eindhoven:action:inburgering-ucretleri-duo-kredisi-1</t>
        </is>
      </c>
      <c r="B513" s="29" t="inlineStr">
        <is>
          <t>eindhoven</t>
        </is>
      </c>
      <c r="C513" s="29" t="inlineStr">
        <is>
          <t>eindhoven:inburgering-ucretleri-duo-kredisi</t>
        </is>
      </c>
      <c r="D513" s="29" t="inlineStr">
        <is>
          <t>Bilgi al</t>
        </is>
      </c>
      <c r="E513" s="29" t="inlineStr">
        <is>
          <t>https://www.inburgeren.nl/inburgeren-betalen/</t>
        </is>
      </c>
      <c r="F513" s="49" t="n">
        <v>46317</v>
      </c>
      <c r="G513" s="51" t="n">
        <v>1</v>
      </c>
    </row>
    <row r="514" ht="54" customHeight="1">
      <c r="A514" s="29" t="inlineStr">
        <is>
          <t>eindhoven:action:zorunlu-sigorta-cak-ceza-1</t>
        </is>
      </c>
      <c r="B514" s="29" t="inlineStr">
        <is>
          <t>eindhoven</t>
        </is>
      </c>
      <c r="C514" s="29" t="inlineStr">
        <is>
          <t>eindhoven:zorunlu-sigorta-cak-ceza</t>
        </is>
      </c>
      <c r="D514" s="29" t="inlineStr">
        <is>
          <t>Bilgi al</t>
        </is>
      </c>
      <c r="E514" s="29" t="inlineStr">
        <is>
          <t>https://www.government.nl/themes/family-health-and-care/health-insurance/standard-health-insurance/taking-out-compulsory-health-insurance</t>
        </is>
      </c>
      <c r="F514" s="49" t="n">
        <v>46317</v>
      </c>
      <c r="G514" s="51" t="n">
        <v>1</v>
      </c>
    </row>
    <row r="515" ht="54" customHeight="1">
      <c r="A515" s="29" t="inlineStr">
        <is>
          <t>eindhoven:action:zorunlu-sigorta-cak-ceza-2</t>
        </is>
      </c>
      <c r="B515" s="29" t="inlineStr">
        <is>
          <t>eindhoven</t>
        </is>
      </c>
      <c r="C515" s="29" t="inlineStr">
        <is>
          <t>eindhoven:zorunlu-sigorta-cak-ceza</t>
        </is>
      </c>
      <c r="D515" s="29" t="inlineStr">
        <is>
          <t>Bilgi al</t>
        </is>
      </c>
      <c r="E515" s="29" t="inlineStr">
        <is>
          <t>https://www.government.nl/faq/health-insurance/more-qas-about-health-insurance-in-the-netherlands</t>
        </is>
      </c>
      <c r="F515" s="49" t="n">
        <v>46317</v>
      </c>
      <c r="G515" s="51" t="n">
        <v>2</v>
      </c>
    </row>
    <row r="516" ht="54" customHeight="1">
      <c r="A516" s="29" t="inlineStr">
        <is>
          <t>eindhoven:action:zorunlu-saglik-sigortasi-kapsam-1</t>
        </is>
      </c>
      <c r="B516" s="29" t="inlineStr">
        <is>
          <t>eindhoven</t>
        </is>
      </c>
      <c r="C516" s="29" t="inlineStr">
        <is>
          <t>eindhoven:zorunlu-saglik-sigortasi-kapsam</t>
        </is>
      </c>
      <c r="D516" s="29" t="inlineStr">
        <is>
          <t>Bilgi al</t>
        </is>
      </c>
      <c r="E516" s="29" t="inlineStr">
        <is>
          <t>https://www.rijksoverheid.nl/documenten/vraag-en-antwoord/zorgverzekering/eigen-risico-zorgverzekering</t>
        </is>
      </c>
      <c r="F516" s="49" t="n">
        <v>46317</v>
      </c>
      <c r="G516" s="51" t="n">
        <v>1</v>
      </c>
    </row>
    <row r="517" ht="54" customHeight="1">
      <c r="A517" s="29" t="inlineStr">
        <is>
          <t>eindhoven:action:zorunlu-saglik-sigortasi-kapsam-2</t>
        </is>
      </c>
      <c r="B517" s="29" t="inlineStr">
        <is>
          <t>eindhoven</t>
        </is>
      </c>
      <c r="C517" s="29" t="inlineStr">
        <is>
          <t>eindhoven:zorunlu-saglik-sigortasi-kapsam</t>
        </is>
      </c>
      <c r="D517" s="29" t="inlineStr">
        <is>
          <t>Bilgi al</t>
        </is>
      </c>
      <c r="E517" s="29" t="inlineStr">
        <is>
          <t>https://www.government.nl/themes/family-health-and-care/health-insurance/standard-health-insurance/taking-out-compulsory-health-insurance</t>
        </is>
      </c>
      <c r="F517" s="49" t="n">
        <v>46317</v>
      </c>
      <c r="G517" s="51" t="n">
        <v>2</v>
      </c>
    </row>
    <row r="518" ht="54" customHeight="1">
      <c r="A518" s="29" t="inlineStr">
        <is>
          <t>eindhoven:action:sigorta-degistirme-overstappen-1</t>
        </is>
      </c>
      <c r="B518" s="29" t="inlineStr">
        <is>
          <t>eindhoven</t>
        </is>
      </c>
      <c r="C518" s="29" t="inlineStr">
        <is>
          <t>eindhoven:sigorta-degistirme-overstappen</t>
        </is>
      </c>
      <c r="D518" s="29" t="inlineStr">
        <is>
          <t>Bilgi al</t>
        </is>
      </c>
      <c r="E518" s="29" t="inlineStr">
        <is>
          <t>https://www.government.nl/themes/family-health-and-care/health-insurance/standard-health-insurance/changing-your-health-insurance</t>
        </is>
      </c>
      <c r="F518" s="49" t="n">
        <v>46317</v>
      </c>
      <c r="G518" s="51" t="n">
        <v>1</v>
      </c>
    </row>
    <row r="519" ht="54" customHeight="1">
      <c r="A519" s="29" t="inlineStr">
        <is>
          <t>eindhoven:action:eigen-risico-2026-1</t>
        </is>
      </c>
      <c r="B519" s="29" t="inlineStr">
        <is>
          <t>eindhoven</t>
        </is>
      </c>
      <c r="C519" s="29" t="inlineStr">
        <is>
          <t>eindhoven:eigen-risico-2026</t>
        </is>
      </c>
      <c r="D519" s="29" t="inlineStr">
        <is>
          <t>Bilgi al</t>
        </is>
      </c>
      <c r="E519" s="29" t="inlineStr">
        <is>
          <t>https://www.rijksoverheid.nl/documenten/vraag-en-antwoord/zorgverzekering/eigen-risico-zorgverzekering</t>
        </is>
      </c>
      <c r="F519" s="49" t="n">
        <v>46317</v>
      </c>
      <c r="G519" s="51" t="n">
        <v>1</v>
      </c>
    </row>
    <row r="520" ht="54" customHeight="1">
      <c r="A520" s="29" t="inlineStr">
        <is>
          <t>eindhoven:action:eigen-risico-2026-2</t>
        </is>
      </c>
      <c r="B520" s="29" t="inlineStr">
        <is>
          <t>eindhoven</t>
        </is>
      </c>
      <c r="C520" s="29" t="inlineStr">
        <is>
          <t>eindhoven:eigen-risico-2026</t>
        </is>
      </c>
      <c r="D520" s="29" t="inlineStr">
        <is>
          <t>Bilgi al</t>
        </is>
      </c>
      <c r="E520" s="29" t="inlineStr">
        <is>
          <t>https://www.rijksoverheid.nl/documenten/vraag-en-antwoord/zorgverzekering/veranderingen-basispakket</t>
        </is>
      </c>
      <c r="F520" s="49" t="n">
        <v>46317</v>
      </c>
      <c r="G520" s="51" t="n">
        <v>2</v>
      </c>
    </row>
    <row r="521" ht="54" customHeight="1">
      <c r="A521" s="29" t="inlineStr">
        <is>
          <t>eindhoven:action:eigen-risico-muaf-bakim-1</t>
        </is>
      </c>
      <c r="B521" s="29" t="inlineStr">
        <is>
          <t>eindhoven</t>
        </is>
      </c>
      <c r="C521" s="29" t="inlineStr">
        <is>
          <t>eindhoven:eigen-risico-muaf-bakim</t>
        </is>
      </c>
      <c r="D521" s="29" t="inlineStr">
        <is>
          <t>Bilgi al</t>
        </is>
      </c>
      <c r="E521" s="29" t="inlineStr">
        <is>
          <t>https://www.rijksoverheid.nl/documenten/vraag-en-antwoord/zorgverzekering/eigen-risico-zorgverzekering</t>
        </is>
      </c>
      <c r="F521" s="49" t="n">
        <v>46317</v>
      </c>
      <c r="G521" s="51" t="n">
        <v>1</v>
      </c>
    </row>
    <row r="522" ht="54" customHeight="1">
      <c r="A522" s="29" t="inlineStr">
        <is>
          <t>eindhoven:action:eigen-risico-muaf-bakim-2</t>
        </is>
      </c>
      <c r="B522" s="29" t="inlineStr">
        <is>
          <t>eindhoven</t>
        </is>
      </c>
      <c r="C522" s="29" t="inlineStr">
        <is>
          <t>eindhoven:eigen-risico-muaf-bakim</t>
        </is>
      </c>
      <c r="D522" s="29" t="inlineStr">
        <is>
          <t>Bilgi al</t>
        </is>
      </c>
      <c r="E522" s="29" t="inlineStr">
        <is>
          <t>https://www.rijksoverheid.nl/documenten/vraag-en-antwoord/zorgverzekering/veranderingen-basispakket</t>
        </is>
      </c>
      <c r="F522" s="49" t="n">
        <v>46317</v>
      </c>
      <c r="G522" s="51" t="n">
        <v>2</v>
      </c>
    </row>
    <row r="523" ht="54" customHeight="1">
      <c r="A523" s="29" t="inlineStr">
        <is>
          <t>eindhoven:action:gonullu-yuksek-eigen-risico-1</t>
        </is>
      </c>
      <c r="B523" s="29" t="inlineStr">
        <is>
          <t>eindhoven</t>
        </is>
      </c>
      <c r="C523" s="29" t="inlineStr">
        <is>
          <t>eindhoven:gonullu-yuksek-eigen-risico</t>
        </is>
      </c>
      <c r="D523" s="29" t="inlineStr">
        <is>
          <t>Bilgi al</t>
        </is>
      </c>
      <c r="E523" s="29" t="inlineStr">
        <is>
          <t>https://www.rijksoverheid.nl/documenten/vraag-en-antwoord/zorgverzekering/eigen-risico-zorgverzekering</t>
        </is>
      </c>
      <c r="F523" s="49" t="n">
        <v>46317</v>
      </c>
      <c r="G523" s="51" t="n">
        <v>1</v>
      </c>
    </row>
    <row r="524" ht="54" customHeight="1">
      <c r="A524" s="29" t="inlineStr">
        <is>
          <t>eindhoven:action:cocuklar-saglik-sigortasi-agiz-bakimi-1</t>
        </is>
      </c>
      <c r="B524" s="29" t="inlineStr">
        <is>
          <t>eindhoven</t>
        </is>
      </c>
      <c r="C524" s="29" t="inlineStr">
        <is>
          <t>eindhoven:cocuklar-saglik-sigortasi-agiz-bakimi</t>
        </is>
      </c>
      <c r="D524" s="29" t="inlineStr">
        <is>
          <t>Bilgi al</t>
        </is>
      </c>
      <c r="E524" s="29" t="inlineStr">
        <is>
          <t>https://www.rijksoverheid.nl/documenten/vraag-en-antwoord/zorgverzekering/eigen-risico-zorgverzekering</t>
        </is>
      </c>
      <c r="F524" s="49" t="n">
        <v>46317</v>
      </c>
      <c r="G524" s="51" t="n">
        <v>1</v>
      </c>
    </row>
    <row r="525" ht="54" customHeight="1">
      <c r="A525" s="29" t="inlineStr">
        <is>
          <t>eindhoven:action:zorgtoeslag-nedir-1</t>
        </is>
      </c>
      <c r="B525" s="29" t="inlineStr">
        <is>
          <t>eindhoven</t>
        </is>
      </c>
      <c r="C525" s="29" t="inlineStr">
        <is>
          <t>eindhoven:zorgtoeslag-nedir</t>
        </is>
      </c>
      <c r="D525" s="29" t="inlineStr">
        <is>
          <t>Bilgi al</t>
        </is>
      </c>
      <c r="E525" s="29" t="inlineStr">
        <is>
          <t>https://www.government.nl/themes/family-health-and-care/health-insurance/applying-for-healthcare-benefit</t>
        </is>
      </c>
      <c r="F525" s="49" t="n">
        <v>46317</v>
      </c>
      <c r="G525" s="51" t="n">
        <v>1</v>
      </c>
    </row>
    <row r="526" ht="54" customHeight="1">
      <c r="A526" s="29" t="inlineStr">
        <is>
          <t>eindhoven:action:zorgtoeslag-nedir-2</t>
        </is>
      </c>
      <c r="B526" s="29" t="inlineStr">
        <is>
          <t>eindhoven</t>
        </is>
      </c>
      <c r="C526" s="29" t="inlineStr">
        <is>
          <t>eindhoven:zorgtoeslag-nedir</t>
        </is>
      </c>
      <c r="D526" s="29" t="inlineStr">
        <is>
          <t>Bilgi al</t>
        </is>
      </c>
      <c r="E526" s="29" t="inlineStr">
        <is>
          <t>https://www.belastingdienst.nl/wps/wcm/connect/bldcontenten/belastingdienst/individuals/benefits/moving_to_the_netherlands/i_have_dutch_healthcare_insurance/maximum-income-healthcare-benefit</t>
        </is>
      </c>
      <c r="F526" s="49" t="n">
        <v>46317</v>
      </c>
      <c r="G526" s="51" t="n">
        <v>2</v>
      </c>
    </row>
    <row r="527" ht="54" customHeight="1">
      <c r="A527" s="29" t="inlineStr">
        <is>
          <t>eindhoven:action:zorgtoeslag-nedir-3</t>
        </is>
      </c>
      <c r="B527" s="29" t="inlineStr">
        <is>
          <t>eindhoven</t>
        </is>
      </c>
      <c r="C527" s="29" t="inlineStr">
        <is>
          <t>eindhoven:zorgtoeslag-nedir</t>
        </is>
      </c>
      <c r="D527" s="29" t="inlineStr">
        <is>
          <t>Bilgi al</t>
        </is>
      </c>
      <c r="E527" s="29" t="inlineStr">
        <is>
          <t>https://www.government.nl/faq/health-insurance/more-qas-about-health-insurance-in-the-netherlands</t>
        </is>
      </c>
      <c r="F527" s="49" t="n">
        <v>46317</v>
      </c>
      <c r="G527" s="51" t="n">
        <v>3</v>
      </c>
    </row>
    <row r="528" ht="54" customHeight="1">
      <c r="A528" s="29" t="inlineStr">
        <is>
          <t>eindhoven:action:zorgtoeslag-basvurusu-1</t>
        </is>
      </c>
      <c r="B528" s="29" t="inlineStr">
        <is>
          <t>eindhoven</t>
        </is>
      </c>
      <c r="C528" s="29" t="inlineStr">
        <is>
          <t>eindhoven:zorgtoeslag-basvurusu</t>
        </is>
      </c>
      <c r="D528" s="29" t="inlineStr">
        <is>
          <t>Başvur</t>
        </is>
      </c>
      <c r="E528" s="29" t="inlineStr">
        <is>
          <t>https://www.government.nl/themes/family-health-and-care/health-insurance/applying-for-healthcare-benefit</t>
        </is>
      </c>
      <c r="F528" s="49" t="n">
        <v>46317</v>
      </c>
      <c r="G528" s="51" t="n">
        <v>1</v>
      </c>
    </row>
    <row r="529" ht="54" customHeight="1">
      <c r="A529" s="29" t="inlineStr">
        <is>
          <t>eindhoven:action:zorgtoeslag-basvurusu-2</t>
        </is>
      </c>
      <c r="B529" s="29" t="inlineStr">
        <is>
          <t>eindhoven</t>
        </is>
      </c>
      <c r="C529" s="29" t="inlineStr">
        <is>
          <t>eindhoven:zorgtoeslag-basvurusu</t>
        </is>
      </c>
      <c r="D529" s="29" t="inlineStr">
        <is>
          <t>Hesapla</t>
        </is>
      </c>
      <c r="E529" s="29" t="inlineStr">
        <is>
          <t>https://www.belastingdienst.nl/wps/wcm/connect/bldcontenten/belastingdienst/individuals/benefits/moving_to_the_netherlands/i_have_dutch_healthcare_insurance/maximum-income-healthcare-benefit</t>
        </is>
      </c>
      <c r="F529" s="49" t="n">
        <v>46317</v>
      </c>
      <c r="G529" s="51" t="n">
        <v>2</v>
      </c>
    </row>
    <row r="530" ht="54" customHeight="1">
      <c r="A530" s="29" t="inlineStr">
        <is>
          <t>eindhoven:action:huisarts-kaydi-nasil-yapilir-1</t>
        </is>
      </c>
      <c r="B530" s="29" t="inlineStr">
        <is>
          <t>eindhoven</t>
        </is>
      </c>
      <c r="C530" s="29" t="inlineStr">
        <is>
          <t>eindhoven:huisarts-kaydi-nasil-yapilir</t>
        </is>
      </c>
      <c r="D530" s="29" t="inlineStr">
        <is>
          <t>Bilgi al</t>
        </is>
      </c>
      <c r="E530" s="29" t="inlineStr">
        <is>
          <t>https://www.thuisarts.nl/dutch-healthcare/choosing-gp</t>
        </is>
      </c>
      <c r="F530" s="49" t="n">
        <v>46317</v>
      </c>
      <c r="G530" s="51" t="n">
        <v>1</v>
      </c>
    </row>
    <row r="531" ht="54" customHeight="1">
      <c r="A531" s="29" t="inlineStr">
        <is>
          <t>eindhoven:action:huisarts-kaydi-nasil-yapilir-2</t>
        </is>
      </c>
      <c r="B531" s="29" t="inlineStr">
        <is>
          <t>eindhoven</t>
        </is>
      </c>
      <c r="C531" s="29" t="inlineStr">
        <is>
          <t>eindhoven:huisarts-kaydi-nasil-yapilir</t>
        </is>
      </c>
      <c r="D531" s="29" t="inlineStr">
        <is>
          <t>Bilgi al</t>
        </is>
      </c>
      <c r="E531" s="29" t="inlineStr">
        <is>
          <t>https://www.rijksoverheid.nl/documenten/vraag-en-antwoord/eerstelijnszorg/ben-ik-vrij-om-zelf-een-huisarts-te-kiezen-en-hoe-verander-ik-van-huisarts</t>
        </is>
      </c>
      <c r="F531" s="49" t="n">
        <v>46317</v>
      </c>
      <c r="G531" s="51" t="n">
        <v>2</v>
      </c>
    </row>
    <row r="532" ht="54" customHeight="1">
      <c r="A532" s="29" t="inlineStr">
        <is>
          <t>eindhoven:action:huisarts-degistirme-1</t>
        </is>
      </c>
      <c r="B532" s="29" t="inlineStr">
        <is>
          <t>eindhoven</t>
        </is>
      </c>
      <c r="C532" s="29" t="inlineStr">
        <is>
          <t>eindhoven:huisarts-degistirme</t>
        </is>
      </c>
      <c r="D532" s="29" t="inlineStr">
        <is>
          <t>Bilgi al</t>
        </is>
      </c>
      <c r="E532" s="29" t="inlineStr">
        <is>
          <t>https://www.rijksoverheid.nl/documenten/vraag-en-antwoord/eerstelijnszorg/ben-ik-vrij-om-zelf-een-huisarts-te-kiezen-en-hoe-verander-ik-van-huisarts</t>
        </is>
      </c>
      <c r="F532" s="49" t="n">
        <v>46317</v>
      </c>
      <c r="G532" s="51" t="n">
        <v>1</v>
      </c>
    </row>
    <row r="533" ht="54" customHeight="1">
      <c r="A533" s="29" t="inlineStr">
        <is>
          <t>eindhoven:action:huisarts-kabul-etmezse-1</t>
        </is>
      </c>
      <c r="B533" s="29" t="inlineStr">
        <is>
          <t>eindhoven</t>
        </is>
      </c>
      <c r="C533" s="29" t="inlineStr">
        <is>
          <t>eindhoven:huisarts-kabul-etmezse</t>
        </is>
      </c>
      <c r="D533" s="29" t="inlineStr">
        <is>
          <t>Bilgi al</t>
        </is>
      </c>
      <c r="E533" s="29" t="inlineStr">
        <is>
          <t>https://www.rijksoverheid.nl/documenten/vraag-en-antwoord/eerstelijnszorg/ben-ik-vrij-om-zelf-een-huisarts-te-kiezen-en-hoe-verander-ik-van-huisarts</t>
        </is>
      </c>
      <c r="F533" s="49" t="n">
        <v>46317</v>
      </c>
      <c r="G533" s="51" t="n">
        <v>1</v>
      </c>
    </row>
    <row r="534" ht="54" customHeight="1">
      <c r="A534" s="29" t="inlineStr">
        <is>
          <t>eindhoven:action:huisarts-kabul-etmezse-2</t>
        </is>
      </c>
      <c r="B534" s="29" t="inlineStr">
        <is>
          <t>eindhoven</t>
        </is>
      </c>
      <c r="C534" s="29" t="inlineStr">
        <is>
          <t>eindhoven:huisarts-kabul-etmezse</t>
        </is>
      </c>
      <c r="D534" s="29" t="inlineStr">
        <is>
          <t>Bilgi al</t>
        </is>
      </c>
      <c r="E534" s="29" t="inlineStr">
        <is>
          <t>https://www.thuisarts.nl/dutch-healthcare/choosing-gp</t>
        </is>
      </c>
      <c r="F534" s="49" t="n">
        <v>46317</v>
      </c>
      <c r="G534" s="51" t="n">
        <v>2</v>
      </c>
    </row>
    <row r="535" ht="54" customHeight="1">
      <c r="A535" s="29" t="inlineStr">
        <is>
          <t>eindhoven:action:huisartsenpost-eindhoven-1</t>
        </is>
      </c>
      <c r="B535" s="29" t="inlineStr">
        <is>
          <t>eindhoven</t>
        </is>
      </c>
      <c r="C535" s="29" t="inlineStr">
        <is>
          <t>eindhoven:huisartsenpost-eindhoven</t>
        </is>
      </c>
      <c r="D535" s="29" t="inlineStr">
        <is>
          <t>Bilgi al</t>
        </is>
      </c>
      <c r="E535" s="29" t="inlineStr">
        <is>
          <t>https://huisartsenpostenoostbrabant.nl/locaties/huisartsenpost-eindhoven/</t>
        </is>
      </c>
      <c r="F535" s="49" t="n">
        <v>46317</v>
      </c>
      <c r="G535" s="51" t="n">
        <v>1</v>
      </c>
    </row>
    <row r="536" ht="54" customHeight="1">
      <c r="A536" s="29" t="inlineStr">
        <is>
          <t>eindhoven:action:huisartsenpost-eindhoven-2</t>
        </is>
      </c>
      <c r="B536" s="29" t="inlineStr">
        <is>
          <t>eindhoven</t>
        </is>
      </c>
      <c r="C536" s="29" t="inlineStr">
        <is>
          <t>eindhoven:huisartsenpost-eindhoven</t>
        </is>
      </c>
      <c r="D536" s="29" t="inlineStr">
        <is>
          <t>Bilgi al</t>
        </is>
      </c>
      <c r="E536" s="29" t="inlineStr">
        <is>
          <t>https://huisartsenpostenoostbrabant.nl/english/</t>
        </is>
      </c>
      <c r="F536" s="49" t="n">
        <v>46317</v>
      </c>
      <c r="G536" s="51" t="n">
        <v>2</v>
      </c>
    </row>
    <row r="537" ht="54" customHeight="1">
      <c r="A537" s="29" t="inlineStr">
        <is>
          <t>eindhoven:action:huisartsenpost-arama-hazirligi-1</t>
        </is>
      </c>
      <c r="B537" s="29" t="inlineStr">
        <is>
          <t>eindhoven</t>
        </is>
      </c>
      <c r="C537" s="29" t="inlineStr">
        <is>
          <t>eindhoven:huisartsenpost-arama-hazirligi</t>
        </is>
      </c>
      <c r="D537" s="29" t="inlineStr">
        <is>
          <t>Bilgi al</t>
        </is>
      </c>
      <c r="E537" s="29" t="inlineStr">
        <is>
          <t>https://huisartsenpostenoostbrabant.nl/english/</t>
        </is>
      </c>
      <c r="F537" s="49" t="n">
        <v>46317</v>
      </c>
      <c r="G537" s="51" t="n">
        <v>1</v>
      </c>
    </row>
    <row r="538" ht="54" customHeight="1">
      <c r="A538" s="29" t="inlineStr">
        <is>
          <t>eindhoven:action:dienstapotheek-eindhoven-1</t>
        </is>
      </c>
      <c r="B538" s="29" t="inlineStr">
        <is>
          <t>eindhoven</t>
        </is>
      </c>
      <c r="C538" s="29" t="inlineStr">
        <is>
          <t>eindhoven:dienstapotheek-eindhoven</t>
        </is>
      </c>
      <c r="D538" s="29" t="inlineStr">
        <is>
          <t>Bilgi al</t>
        </is>
      </c>
      <c r="E538" s="29" t="inlineStr">
        <is>
          <t>https://huisartsenpostenoostbrabant.nl/apotheken/centrale-dienstapotheek/</t>
        </is>
      </c>
      <c r="F538" s="49" t="n">
        <v>46317</v>
      </c>
      <c r="G538" s="51" t="n">
        <v>1</v>
      </c>
    </row>
    <row r="539" ht="54" customHeight="1">
      <c r="A539" s="29" t="inlineStr">
        <is>
          <t>eindhoven:action:dienstapotheek-eindhoven-2</t>
        </is>
      </c>
      <c r="B539" s="29" t="inlineStr">
        <is>
          <t>eindhoven</t>
        </is>
      </c>
      <c r="C539" s="29" t="inlineStr">
        <is>
          <t>eindhoven:dienstapotheek-eindhoven</t>
        </is>
      </c>
      <c r="D539" s="29" t="inlineStr">
        <is>
          <t>Bilgi al</t>
        </is>
      </c>
      <c r="E539" s="29" t="inlineStr">
        <is>
          <t>https://www.catharinaziekenhuis.nl/afdelingen/spoedeisende-hulp-huisartsenpost/</t>
        </is>
      </c>
      <c r="F539" s="49" t="n">
        <v>46317</v>
      </c>
      <c r="G539" s="51" t="n">
        <v>2</v>
      </c>
    </row>
    <row r="540" ht="54" customHeight="1">
      <c r="A540" s="29" t="inlineStr">
        <is>
          <t>eindhoven:action:catharina-acil-servis-1</t>
        </is>
      </c>
      <c r="B540" s="29" t="inlineStr">
        <is>
          <t>eindhoven</t>
        </is>
      </c>
      <c r="C540" s="29" t="inlineStr">
        <is>
          <t>eindhoven:catharina-acil-servis</t>
        </is>
      </c>
      <c r="D540" s="29" t="inlineStr">
        <is>
          <t>Bilgi al</t>
        </is>
      </c>
      <c r="E540" s="29" t="inlineStr">
        <is>
          <t>https://www.catharinaziekenhuis.nl/afdelingen/spoedeisende-hulp-huisartsenpost/</t>
        </is>
      </c>
      <c r="F540" s="49" t="n">
        <v>46317</v>
      </c>
      <c r="G540" s="51" t="n">
        <v>1</v>
      </c>
    </row>
    <row r="541" ht="54" customHeight="1">
      <c r="A541" s="29" t="inlineStr">
        <is>
          <t>eindhoven:action:maxima-mc-acil-servis-1</t>
        </is>
      </c>
      <c r="B541" s="29" t="inlineStr">
        <is>
          <t>eindhoven</t>
        </is>
      </c>
      <c r="C541" s="29" t="inlineStr">
        <is>
          <t>eindhoven:maxima-mc-acil-servis</t>
        </is>
      </c>
      <c r="D541" s="29" t="inlineStr">
        <is>
          <t>Bilgi al</t>
        </is>
      </c>
      <c r="E541" s="29" t="inlineStr">
        <is>
          <t>https://www.mmc.nl/afdelingen/spoedeisende-hulp/</t>
        </is>
      </c>
      <c r="F541" s="49" t="n">
        <v>46317</v>
      </c>
      <c r="G541" s="51" t="n">
        <v>1</v>
      </c>
    </row>
    <row r="542" ht="54" customHeight="1">
      <c r="A542" s="29" t="inlineStr">
        <is>
          <t>eindhoven:action:acil-durumda-kime-basvurulur-1</t>
        </is>
      </c>
      <c r="B542" s="29" t="inlineStr">
        <is>
          <t>eindhoven</t>
        </is>
      </c>
      <c r="C542" s="29" t="inlineStr">
        <is>
          <t>eindhoven:acil-durumda-kime-basvurulur</t>
        </is>
      </c>
      <c r="D542" s="29" t="inlineStr">
        <is>
          <t>Bilgi al</t>
        </is>
      </c>
      <c r="E542" s="29" t="inlineStr">
        <is>
          <t>https://www.catharinaziekenhuis.nl/afdelingen/spoedeisende-hulp-huisartsenpost/</t>
        </is>
      </c>
      <c r="F542" s="49" t="n">
        <v>46317</v>
      </c>
      <c r="G542" s="51" t="n">
        <v>1</v>
      </c>
    </row>
    <row r="543" ht="54" customHeight="1">
      <c r="A543" s="29" t="inlineStr">
        <is>
          <t>eindhoven:action:acil-durumda-kime-basvurulur-2</t>
        </is>
      </c>
      <c r="B543" s="29" t="inlineStr">
        <is>
          <t>eindhoven</t>
        </is>
      </c>
      <c r="C543" s="29" t="inlineStr">
        <is>
          <t>eindhoven:acil-durumda-kime-basvurulur</t>
        </is>
      </c>
      <c r="D543" s="29" t="inlineStr">
        <is>
          <t>Bilgi al</t>
        </is>
      </c>
      <c r="E543" s="29" t="inlineStr">
        <is>
          <t>https://www.mmc.nl/afdelingen/spoedeisende-hulp/</t>
        </is>
      </c>
      <c r="F543" s="49" t="n">
        <v>46317</v>
      </c>
      <c r="G543" s="51" t="n">
        <v>2</v>
      </c>
    </row>
    <row r="544" ht="54" customHeight="1">
      <c r="A544" s="29" t="inlineStr">
        <is>
          <t>eindhoven:action:acil-durumda-kime-basvurulur-3</t>
        </is>
      </c>
      <c r="B544" s="29" t="inlineStr">
        <is>
          <t>eindhoven</t>
        </is>
      </c>
      <c r="C544" s="29" t="inlineStr">
        <is>
          <t>eindhoven:acil-durumda-kime-basvurulur</t>
        </is>
      </c>
      <c r="D544" s="29" t="inlineStr">
        <is>
          <t>Bilgi al</t>
        </is>
      </c>
      <c r="E544" s="29" t="inlineStr">
        <is>
          <t>https://huisartsenpostenoostbrabant.nl/english/</t>
        </is>
      </c>
      <c r="F544" s="49" t="n">
        <v>46317</v>
      </c>
      <c r="G544" s="51" t="n">
        <v>3</v>
      </c>
    </row>
    <row r="545" ht="54" customHeight="1">
      <c r="A545" s="29" t="inlineStr">
        <is>
          <t>eindhoven:action:112-ne-zaman-aranir-1</t>
        </is>
      </c>
      <c r="B545" s="29" t="inlineStr">
        <is>
          <t>eindhoven</t>
        </is>
      </c>
      <c r="C545" s="29" t="inlineStr">
        <is>
          <t>eindhoven:112-ne-zaman-aranir</t>
        </is>
      </c>
      <c r="D545" s="29" t="inlineStr">
        <is>
          <t>Bilgi al</t>
        </is>
      </c>
      <c r="E545" s="29" t="inlineStr">
        <is>
          <t>https://www.government.nl/documents/question-and-answer/emergency-number-112/when-can-i-call-112</t>
        </is>
      </c>
      <c r="F545" s="49" t="n">
        <v>46317</v>
      </c>
      <c r="G545" s="51" t="n">
        <v>1</v>
      </c>
    </row>
    <row r="546" ht="54" customHeight="1">
      <c r="A546" s="29" t="inlineStr">
        <is>
          <t>eindhoven:action:112-ne-zaman-aranir-2</t>
        </is>
      </c>
      <c r="B546" s="29" t="inlineStr">
        <is>
          <t>eindhoven</t>
        </is>
      </c>
      <c r="C546" s="29" t="inlineStr">
        <is>
          <t>eindhoven:112-ne-zaman-aranir</t>
        </is>
      </c>
      <c r="D546" s="29" t="inlineStr">
        <is>
          <t>Bilgi al</t>
        </is>
      </c>
      <c r="E546" s="29" t="inlineStr">
        <is>
          <t>https://www.politie.nl/informatie/wanneer-bel-ik-0900-8844.html</t>
        </is>
      </c>
      <c r="F546" s="49" t="n">
        <v>46317</v>
      </c>
      <c r="G546" s="51" t="n">
        <v>2</v>
      </c>
    </row>
    <row r="547" ht="54" customHeight="1">
      <c r="A547" s="29" t="inlineStr">
        <is>
          <t>eindhoven:action:cinsel-siddet-merkezi-catharina-1</t>
        </is>
      </c>
      <c r="B547" s="29" t="inlineStr">
        <is>
          <t>eindhoven</t>
        </is>
      </c>
      <c r="C547" s="29" t="inlineStr">
        <is>
          <t>eindhoven:cinsel-siddet-merkezi-catharina</t>
        </is>
      </c>
      <c r="D547" s="29" t="inlineStr">
        <is>
          <t>Bilgi al</t>
        </is>
      </c>
      <c r="E547" s="29" t="inlineStr">
        <is>
          <t>https://www.catharinaziekenhuis.nl/afdelingen/spoedeisende-hulp-huisartsenpost/</t>
        </is>
      </c>
      <c r="F547" s="49" t="n">
        <v>46317</v>
      </c>
      <c r="G547" s="51" t="n">
        <v>1</v>
      </c>
    </row>
    <row r="548" ht="54" customHeight="1">
      <c r="A548" s="29" t="inlineStr">
        <is>
          <t>eindhoven:action:verloskundige-hamilelik-bakimi-1</t>
        </is>
      </c>
      <c r="B548" s="29" t="inlineStr">
        <is>
          <t>eindhoven</t>
        </is>
      </c>
      <c r="C548" s="29" t="inlineStr">
        <is>
          <t>eindhoven:verloskundige-hamilelik-bakimi</t>
        </is>
      </c>
      <c r="D548" s="29" t="inlineStr">
        <is>
          <t>Bilgi al</t>
        </is>
      </c>
      <c r="E548" s="29" t="inlineStr">
        <is>
          <t>https://www.zorginstituutnederland.nl/verzekerde-zorg/v/verloskundige-zorg-zvw</t>
        </is>
      </c>
      <c r="F548" s="49" t="n">
        <v>46317</v>
      </c>
      <c r="G548" s="51" t="n">
        <v>1</v>
      </c>
    </row>
    <row r="549" ht="54" customHeight="1">
      <c r="A549" s="29" t="inlineStr">
        <is>
          <t>eindhoven:action:kraamzorg-saat-ve-eigen-bijdrage-1</t>
        </is>
      </c>
      <c r="B549" s="29" t="inlineStr">
        <is>
          <t>eindhoven</t>
        </is>
      </c>
      <c r="C549" s="29" t="inlineStr">
        <is>
          <t>eindhoven:kraamzorg-saat-ve-eigen-bijdrage</t>
        </is>
      </c>
      <c r="D549" s="29" t="inlineStr">
        <is>
          <t>Bilgi al</t>
        </is>
      </c>
      <c r="E549" s="29" t="inlineStr">
        <is>
          <t>https://www.zorginstituutnederland.nl/verzekerde-zorg/k/kraamzorg-zvw</t>
        </is>
      </c>
      <c r="F549" s="49" t="n">
        <v>46317</v>
      </c>
      <c r="G549" s="51" t="n">
        <v>1</v>
      </c>
    </row>
    <row r="550" ht="54" customHeight="1">
      <c r="A550" s="29" t="inlineStr">
        <is>
          <t>eindhoven:action:consultatiebureau-0-4-yas-1</t>
        </is>
      </c>
      <c r="B550" s="29" t="inlineStr">
        <is>
          <t>eindhoven</t>
        </is>
      </c>
      <c r="C550" s="29" t="inlineStr">
        <is>
          <t>eindhoven:consultatiebureau-0-4-yas</t>
        </is>
      </c>
      <c r="D550" s="29" t="inlineStr">
        <is>
          <t>Bilgi al</t>
        </is>
      </c>
      <c r="E550" s="29" t="inlineStr">
        <is>
          <t>https://www.ggdbzo.nl/mijn-kind/onderzoek-en-contactmomenten-0-tot-4-jarigen/</t>
        </is>
      </c>
      <c r="F550" s="49" t="n">
        <v>46317</v>
      </c>
      <c r="G550" s="51" t="n">
        <v>1</v>
      </c>
    </row>
    <row r="551" ht="54" customHeight="1">
      <c r="A551" s="29" t="inlineStr">
        <is>
          <t>eindhoven:action:consultatiebureau-0-4-yas-2</t>
        </is>
      </c>
      <c r="B551" s="29" t="inlineStr">
        <is>
          <t>eindhoven</t>
        </is>
      </c>
      <c r="C551" s="29" t="inlineStr">
        <is>
          <t>eindhoven:consultatiebureau-0-4-yas</t>
        </is>
      </c>
      <c r="D551" s="29" t="inlineStr">
        <is>
          <t>Bilgi al</t>
        </is>
      </c>
      <c r="E551" s="29" t="inlineStr">
        <is>
          <t>https://www.ggdbzo.nl/information-for-expats-and-migrant-workers/youth-healthcare/</t>
        </is>
      </c>
      <c r="F551" s="49" t="n">
        <v>46317</v>
      </c>
      <c r="G551" s="51" t="n">
        <v>2</v>
      </c>
    </row>
    <row r="552" ht="54" customHeight="1">
      <c r="A552" s="29" t="inlineStr">
        <is>
          <t>eindhoven:action:cocuk-asilari-rvp-1</t>
        </is>
      </c>
      <c r="B552" s="29" t="inlineStr">
        <is>
          <t>eindhoven</t>
        </is>
      </c>
      <c r="C552" s="29" t="inlineStr">
        <is>
          <t>eindhoven:cocuk-asilari-rvp</t>
        </is>
      </c>
      <c r="D552" s="29" t="inlineStr">
        <is>
          <t>Bilgi al</t>
        </is>
      </c>
      <c r="E552" s="29" t="inlineStr">
        <is>
          <t>https://www.ggdbzo.nl/mijn-kind/vaccinatiesrvp/groepsvaccinaties-rvp/</t>
        </is>
      </c>
      <c r="F552" s="49" t="n">
        <v>46317</v>
      </c>
      <c r="G552" s="51" t="n">
        <v>1</v>
      </c>
    </row>
    <row r="553" ht="54" customHeight="1">
      <c r="A553" s="29" t="inlineStr">
        <is>
          <t>eindhoven:action:cocuk-asilari-rvp-2</t>
        </is>
      </c>
      <c r="B553" s="29" t="inlineStr">
        <is>
          <t>eindhoven</t>
        </is>
      </c>
      <c r="C553" s="29" t="inlineStr">
        <is>
          <t>eindhoven:cocuk-asilari-rvp</t>
        </is>
      </c>
      <c r="D553" s="29" t="inlineStr">
        <is>
          <t>Bilgi al</t>
        </is>
      </c>
      <c r="E553" s="29" t="inlineStr">
        <is>
          <t>https://www.ggdbzo.nl/mijn-kind/onderzoek-en-contactmomenten-0-tot-4-jarigen/</t>
        </is>
      </c>
      <c r="F553" s="49" t="n">
        <v>46317</v>
      </c>
      <c r="G553" s="51" t="n">
        <v>2</v>
      </c>
    </row>
    <row r="554" ht="54" customHeight="1">
      <c r="A554" s="29" t="inlineStr">
        <is>
          <t>eindhoven:action:kacirilan-asi-ve-tereddut-1</t>
        </is>
      </c>
      <c r="B554" s="29" t="inlineStr">
        <is>
          <t>eindhoven</t>
        </is>
      </c>
      <c r="C554" s="29" t="inlineStr">
        <is>
          <t>eindhoven:kacirilan-asi-ve-tereddut</t>
        </is>
      </c>
      <c r="D554" s="29" t="inlineStr">
        <is>
          <t>Bilgi al</t>
        </is>
      </c>
      <c r="E554" s="29" t="inlineStr">
        <is>
          <t>https://www.ggdbzo.nl/mijn-kind/vaccinatiesrvp/groepsvaccinaties-rvp/</t>
        </is>
      </c>
      <c r="F554" s="49" t="n">
        <v>46317</v>
      </c>
      <c r="G554" s="51" t="n">
        <v>1</v>
      </c>
    </row>
    <row r="555" ht="54" customHeight="1">
      <c r="A555" s="29" t="inlineStr">
        <is>
          <t>eindhoven:action:ruh-sagligi-destek-yollari-1</t>
        </is>
      </c>
      <c r="B555" s="29" t="inlineStr">
        <is>
          <t>eindhoven</t>
        </is>
      </c>
      <c r="C555" s="29" t="inlineStr">
        <is>
          <t>eindhoven:ruh-sagligi-destek-yollari</t>
        </is>
      </c>
      <c r="D555" s="29" t="inlineStr">
        <is>
          <t>Bilgi al</t>
        </is>
      </c>
      <c r="E555" s="29" t="inlineStr">
        <is>
          <t>https://www.government.nl/documents/question-and-answer/help-for-mental-health-problems</t>
        </is>
      </c>
      <c r="F555" s="49" t="n">
        <v>46317</v>
      </c>
      <c r="G555" s="51" t="n">
        <v>1</v>
      </c>
    </row>
    <row r="556" ht="54" customHeight="1">
      <c r="A556" s="29" t="inlineStr">
        <is>
          <t>eindhoven:action:ruh-sagligi-destek-yollari-2</t>
        </is>
      </c>
      <c r="B556" s="29" t="inlineStr">
        <is>
          <t>eindhoven</t>
        </is>
      </c>
      <c r="C556" s="29" t="inlineStr">
        <is>
          <t>eindhoven:ruh-sagligi-destek-yollari</t>
        </is>
      </c>
      <c r="D556" s="29" t="inlineStr">
        <is>
          <t>Bilgi al</t>
        </is>
      </c>
      <c r="E556" s="29" t="inlineStr">
        <is>
          <t>https://www.113.nl/i/zelfmoordlijn</t>
        </is>
      </c>
      <c r="F556" s="49" t="n">
        <v>46317</v>
      </c>
      <c r="G556" s="51" t="n">
        <v>2</v>
      </c>
    </row>
    <row r="557" ht="54" customHeight="1">
      <c r="A557" s="29" t="inlineStr">
        <is>
          <t>eindhoven:action:ehliyet-degisimi-eindhoven-1</t>
        </is>
      </c>
      <c r="B557" s="29" t="inlineStr">
        <is>
          <t>eindhoven</t>
        </is>
      </c>
      <c r="C557" s="29" t="inlineStr">
        <is>
          <t>eindhoven:ehliyet-degisimi-eindhoven</t>
        </is>
      </c>
      <c r="D557" s="29" t="inlineStr">
        <is>
          <t>Randevu al</t>
        </is>
      </c>
      <c r="E557" s="29" t="inlineStr">
        <is>
          <t>https://www.eindhoven.nl/stad-en-wonen/uittreksels-en-documenten/omwisselen-buitenlands-rijbewijs-voor-nederlands-rijbewijs</t>
        </is>
      </c>
      <c r="F557" s="49" t="n">
        <v>46317</v>
      </c>
      <c r="G557" s="51" t="n">
        <v>1</v>
      </c>
    </row>
    <row r="558" ht="54" customHeight="1">
      <c r="A558" s="29" t="inlineStr">
        <is>
          <t>eindhoven:action:ehliyet-degisimi-eindhoven-2</t>
        </is>
      </c>
      <c r="B558" s="29" t="inlineStr">
        <is>
          <t>eindhoven</t>
        </is>
      </c>
      <c r="C558" s="29" t="inlineStr">
        <is>
          <t>eindhoven:ehliyet-degisimi-eindhoven</t>
        </is>
      </c>
      <c r="D558" s="29" t="inlineStr">
        <is>
          <t>Bilgi al</t>
        </is>
      </c>
      <c r="E558" s="29" t="inlineStr">
        <is>
          <t>https://www.rdw.nl/en/driving-licence/foreign-driving-licence/exchanging-a-foreign-driving-licence</t>
        </is>
      </c>
      <c r="F558" s="49" t="n">
        <v>46317</v>
      </c>
      <c r="G558" s="51" t="n">
        <v>2</v>
      </c>
    </row>
    <row r="559" ht="54" customHeight="1">
      <c r="A559" s="29" t="inlineStr">
        <is>
          <t>eindhoven:action:turk-ehliyeti-degisim-durumu-1</t>
        </is>
      </c>
      <c r="B559" s="29" t="inlineStr">
        <is>
          <t>eindhoven</t>
        </is>
      </c>
      <c r="C559" s="29" t="inlineStr">
        <is>
          <t>eindhoven:turk-ehliyeti-degisim-durumu</t>
        </is>
      </c>
      <c r="D559" s="29" t="inlineStr">
        <is>
          <t>Bilgi al</t>
        </is>
      </c>
      <c r="E559" s="29" t="inlineStr">
        <is>
          <t>https://www.rdw.nl/en/driving-licence/foreign-driving-licence/exchanging-a-foreign-driving-licence</t>
        </is>
      </c>
      <c r="F559" s="49" t="n">
        <v>46317</v>
      </c>
      <c r="G559" s="51" t="n">
        <v>1</v>
      </c>
    </row>
    <row r="560" ht="54" customHeight="1">
      <c r="A560" s="29" t="inlineStr">
        <is>
          <t>eindhoven:action:turk-ehliyeti-degisim-durumu-2</t>
        </is>
      </c>
      <c r="B560" s="29" t="inlineStr">
        <is>
          <t>eindhoven</t>
        </is>
      </c>
      <c r="C560" s="29" t="inlineStr">
        <is>
          <t>eindhoven:turk-ehliyeti-degisim-durumu</t>
        </is>
      </c>
      <c r="D560" s="29" t="inlineStr">
        <is>
          <t>Bilgi al</t>
        </is>
      </c>
      <c r="E560" s="29" t="inlineStr">
        <is>
          <t>https://www.rdw.nl/en/driving-licence/foreign-driving-licence/driving-with-a-foreign-driving-licence</t>
        </is>
      </c>
      <c r="F560" s="49" t="n">
        <v>46317</v>
      </c>
      <c r="G560" s="51" t="n">
        <v>2</v>
      </c>
    </row>
    <row r="561" ht="54" customHeight="1">
      <c r="A561" s="29" t="inlineStr">
        <is>
          <t>eindhoven:action:yabanci-ehliyetle-surus-suresi-1</t>
        </is>
      </c>
      <c r="B561" s="29" t="inlineStr">
        <is>
          <t>eindhoven</t>
        </is>
      </c>
      <c r="C561" s="29" t="inlineStr">
        <is>
          <t>eindhoven:yabanci-ehliyetle-surus-suresi</t>
        </is>
      </c>
      <c r="D561" s="29" t="inlineStr">
        <is>
          <t>Bilgi al</t>
        </is>
      </c>
      <c r="E561" s="29" t="inlineStr">
        <is>
          <t>https://www.rdw.nl/en/driving-licence/foreign-driving-licence/driving-with-a-foreign-driving-licence</t>
        </is>
      </c>
      <c r="F561" s="49" t="n">
        <v>46317</v>
      </c>
      <c r="G561" s="51" t="n">
        <v>1</v>
      </c>
    </row>
    <row r="562" ht="54" customHeight="1">
      <c r="A562" s="29" t="inlineStr">
        <is>
          <t>eindhoven:action:ehliyet-basvurusu-surerken-arac-kullanma-1</t>
        </is>
      </c>
      <c r="B562" s="29" t="inlineStr">
        <is>
          <t>eindhoven</t>
        </is>
      </c>
      <c r="C562" s="29" t="inlineStr">
        <is>
          <t>eindhoven:ehliyet-basvurusu-surerken-arac-kullanma</t>
        </is>
      </c>
      <c r="D562" s="29" t="inlineStr">
        <is>
          <t>Bilgi al</t>
        </is>
      </c>
      <c r="E562" s="29" t="inlineStr">
        <is>
          <t>https://www.rdw.nl/en/driving-licence/foreign-driving-licence/exchanging-a-foreign-driving-licence</t>
        </is>
      </c>
      <c r="F562" s="49" t="n">
        <v>46317</v>
      </c>
      <c r="G562" s="51" t="n">
        <v>1</v>
      </c>
    </row>
    <row r="563" ht="54" customHeight="1">
      <c r="A563" s="29" t="inlineStr">
        <is>
          <t>eindhoven:action:ehliyet-basvurusu-surerken-arac-kullanma-2</t>
        </is>
      </c>
      <c r="B563" s="29" t="inlineStr">
        <is>
          <t>eindhoven</t>
        </is>
      </c>
      <c r="C563" s="29" t="inlineStr">
        <is>
          <t>eindhoven:ehliyet-basvurusu-surerken-arac-kullanma</t>
        </is>
      </c>
      <c r="D563" s="29" t="inlineStr">
        <is>
          <t>Randevu al</t>
        </is>
      </c>
      <c r="E563" s="29" t="inlineStr">
        <is>
          <t>https://www.eindhoven.nl/stad-en-wonen/uittreksels-en-documenten/omwisselen-buitenlands-rijbewijs-voor-nederlands-rijbewijs</t>
        </is>
      </c>
      <c r="F563" s="49" t="n">
        <v>46317</v>
      </c>
      <c r="G563" s="51" t="n">
        <v>2</v>
      </c>
    </row>
    <row r="564" ht="54" customHeight="1">
      <c r="A564" s="29" t="inlineStr">
        <is>
          <t>eindhoven:action:yabanci-ehliyet-kayip-calinti-1</t>
        </is>
      </c>
      <c r="B564" s="29" t="inlineStr">
        <is>
          <t>eindhoven</t>
        </is>
      </c>
      <c r="C564" s="29" t="inlineStr">
        <is>
          <t>eindhoven:yabanci-ehliyet-kayip-calinti</t>
        </is>
      </c>
      <c r="D564" s="29" t="inlineStr">
        <is>
          <t>Randevu al</t>
        </is>
      </c>
      <c r="E564" s="29" t="inlineStr">
        <is>
          <t>https://www.eindhoven.nl/stad-en-wonen/uittreksels-en-documenten/omwisselen-buitenlands-rijbewijs-voor-nederlands-rijbewijs</t>
        </is>
      </c>
      <c r="F564" s="49" t="n">
        <v>46317</v>
      </c>
      <c r="G564" s="51" t="n">
        <v>1</v>
      </c>
    </row>
    <row r="565" ht="54" customHeight="1">
      <c r="A565" s="29" t="inlineStr">
        <is>
          <t>eindhoven:action:ehliyet-uzman-semasi-saglik-beyani-1</t>
        </is>
      </c>
      <c r="B565" s="29" t="inlineStr">
        <is>
          <t>eindhoven</t>
        </is>
      </c>
      <c r="C565" s="29" t="inlineStr">
        <is>
          <t>eindhoven:ehliyet-uzman-semasi-saglik-beyani</t>
        </is>
      </c>
      <c r="D565" s="29" t="inlineStr">
        <is>
          <t>Bilgi al</t>
        </is>
      </c>
      <c r="E565" s="29" t="inlineStr">
        <is>
          <t>https://www.rdw.nl/en/driving-licence/foreign-driving-licence/exchanging-a-foreign-driving-licence</t>
        </is>
      </c>
      <c r="F565" s="49" t="n">
        <v>46317</v>
      </c>
      <c r="G565" s="51" t="n">
        <v>1</v>
      </c>
    </row>
    <row r="566" ht="54" customHeight="1">
      <c r="A566" s="29" t="inlineStr">
        <is>
          <t>eindhoven:action:ehliyet-uzman-semasi-saglik-beyani-2</t>
        </is>
      </c>
      <c r="B566" s="29" t="inlineStr">
        <is>
          <t>eindhoven</t>
        </is>
      </c>
      <c r="C566" s="29" t="inlineStr">
        <is>
          <t>eindhoven:ehliyet-uzman-semasi-saglik-beyani</t>
        </is>
      </c>
      <c r="D566" s="29" t="inlineStr">
        <is>
          <t>Randevu al</t>
        </is>
      </c>
      <c r="E566" s="29" t="inlineStr">
        <is>
          <t>https://www.eindhoven.nl/stad-en-wonen/uittreksels-en-documenten/omwisselen-buitenlands-rijbewijs-voor-nederlands-rijbewijs</t>
        </is>
      </c>
      <c r="F566" s="49" t="n">
        <v>46317</v>
      </c>
      <c r="G566" s="51" t="n">
        <v>2</v>
      </c>
    </row>
    <row r="567" ht="54" customHeight="1">
      <c r="A567" s="29" t="inlineStr">
        <is>
          <t>eindhoven:action:cbr-teori-sinavi-ingilizce-tercuman-1</t>
        </is>
      </c>
      <c r="B567" s="29" t="inlineStr">
        <is>
          <t>eindhoven</t>
        </is>
      </c>
      <c r="C567" s="29" t="inlineStr">
        <is>
          <t>eindhoven:cbr-teori-sinavi-ingilizce-tercuman</t>
        </is>
      </c>
      <c r="D567" s="29" t="inlineStr">
        <is>
          <t>Bilgi al</t>
        </is>
      </c>
      <c r="E567" s="29" t="inlineStr">
        <is>
          <t>https://www.cbr.nl/nl/veelgestelde-vragen/kan-ik-het-theorie-examen-in-een-andere-taal-doen</t>
        </is>
      </c>
      <c r="F567" s="49" t="n">
        <v>46317</v>
      </c>
      <c r="G567" s="51" t="n">
        <v>1</v>
      </c>
    </row>
    <row r="568" ht="54" customHeight="1">
      <c r="A568" s="29" t="inlineStr">
        <is>
          <t>eindhoven:action:hollanda-ehliyeti-sinav-maliyeti-cbr-1</t>
        </is>
      </c>
      <c r="B568" s="29" t="inlineStr">
        <is>
          <t>eindhoven</t>
        </is>
      </c>
      <c r="C568" s="29" t="inlineStr">
        <is>
          <t>eindhoven:hollanda-ehliyeti-sinav-maliyeti-cbr</t>
        </is>
      </c>
      <c r="D568" s="29" t="inlineStr">
        <is>
          <t>Bilgi al</t>
        </is>
      </c>
      <c r="E568" s="29" t="inlineStr">
        <is>
          <t>https://www.cbr.nl/nl/rijbewijs-halen/auto/wat-kost-het-halen-van-een-autorijbewijs</t>
        </is>
      </c>
      <c r="F568" s="49" t="n">
        <v>46317</v>
      </c>
      <c r="G568" s="51" t="n">
        <v>1</v>
      </c>
    </row>
    <row r="569" ht="54" customHeight="1">
      <c r="A569" s="29" t="inlineStr">
        <is>
          <t>eindhoven:action:tasinirken-arac-getirme-tescil-1</t>
        </is>
      </c>
      <c r="B569" s="29" t="inlineStr">
        <is>
          <t>eindhoven</t>
        </is>
      </c>
      <c r="C569" s="29" t="inlineStr">
        <is>
          <t>eindhoven:tasinirken-arac-getirme-tescil</t>
        </is>
      </c>
      <c r="D569" s="29" t="inlineStr">
        <is>
          <t>Bilgi al</t>
        </is>
      </c>
      <c r="E569" s="29" t="inlineStr">
        <is>
          <t>https://www.rdw.nl/en/import-export-transit/moving-to-the-netherlands-and-taking-your-vehicle-with-you</t>
        </is>
      </c>
      <c r="F569" s="49" t="n">
        <v>46317</v>
      </c>
      <c r="G569" s="51" t="n">
        <v>1</v>
      </c>
    </row>
    <row r="570" ht="54" customHeight="1">
      <c r="A570" s="29" t="inlineStr">
        <is>
          <t>eindhoven:action:arac-sahibi-yukumlulukleri-wa-pti-mrb-1</t>
        </is>
      </c>
      <c r="B570" s="29" t="inlineStr">
        <is>
          <t>eindhoven</t>
        </is>
      </c>
      <c r="C570" s="29" t="inlineStr">
        <is>
          <t>eindhoven:arac-sahibi-yukumlulukleri-wa-pti-mrb</t>
        </is>
      </c>
      <c r="D570" s="29" t="inlineStr">
        <is>
          <t>Bilgi al</t>
        </is>
      </c>
      <c r="E570" s="29" t="inlineStr">
        <is>
          <t>https://www.rdw.nl/en/import-export-transit/moving-to-the-netherlands-and-taking-your-vehicle-with-you</t>
        </is>
      </c>
      <c r="F570" s="49" t="n">
        <v>46317</v>
      </c>
      <c r="G570" s="51" t="n">
        <v>1</v>
      </c>
    </row>
    <row r="571" ht="54" customHeight="1">
      <c r="A571" s="29" t="inlineStr">
        <is>
          <t>eindhoven:action:ab-disindan-arac-ithali-lelystad-1</t>
        </is>
      </c>
      <c r="B571" s="29" t="inlineStr">
        <is>
          <t>eindhoven</t>
        </is>
      </c>
      <c r="C571" s="29" t="inlineStr">
        <is>
          <t>eindhoven:ab-disindan-arac-ithali-lelystad</t>
        </is>
      </c>
      <c r="D571" s="29" t="inlineStr">
        <is>
          <t>Randevu al</t>
        </is>
      </c>
      <c r="E571" s="29" t="inlineStr">
        <is>
          <t>https://www.rdw.nl/en/import-export-transit/approval-for-import-outside-europe/getting-a-car-motorcycle-or-moped-from-outside-the-eu-approved</t>
        </is>
      </c>
      <c r="F571" s="49" t="n">
        <v>46317</v>
      </c>
      <c r="G571" s="51" t="n">
        <v>1</v>
      </c>
    </row>
    <row r="572" ht="54" customHeight="1">
      <c r="A572" s="29" t="inlineStr">
        <is>
          <t>eindhoven:action:sakin-park-izni-basvurusu-1</t>
        </is>
      </c>
      <c r="B572" s="29" t="inlineStr">
        <is>
          <t>eindhoven</t>
        </is>
      </c>
      <c r="C572" s="29" t="inlineStr">
        <is>
          <t>eindhoven:sakin-park-izni-basvurusu</t>
        </is>
      </c>
      <c r="D572" s="29" t="inlineStr">
        <is>
          <t>Başvur</t>
        </is>
      </c>
      <c r="E572" s="29" t="inlineStr">
        <is>
          <t>https://www.eindhoven.nl/stad-en-wonen/stad/parkeren/parkeervergunningen</t>
        </is>
      </c>
      <c r="F572" s="49" t="n">
        <v>46317</v>
      </c>
      <c r="G572" s="51" t="n">
        <v>1</v>
      </c>
    </row>
    <row r="573" ht="54" customHeight="1">
      <c r="A573" s="29" t="inlineStr">
        <is>
          <t>eindhoven:action:park-izni-ucretleri-2026-1</t>
        </is>
      </c>
      <c r="B573" s="29" t="inlineStr">
        <is>
          <t>eindhoven</t>
        </is>
      </c>
      <c r="C573" s="29" t="inlineStr">
        <is>
          <t>eindhoven:park-izni-ucretleri-2026</t>
        </is>
      </c>
      <c r="D573" s="29" t="inlineStr">
        <is>
          <t>Bilgi al</t>
        </is>
      </c>
      <c r="E573" s="29" t="inlineStr">
        <is>
          <t>https://www.eindhoven.nl/stad-en-wonen/stad/parkeren/parkeervergunningen</t>
        </is>
      </c>
      <c r="F573" s="49" t="n">
        <v>46317</v>
      </c>
      <c r="G573" s="51" t="n">
        <v>1</v>
      </c>
    </row>
    <row r="574" ht="54" customHeight="1">
      <c r="A574" s="29" t="inlineStr">
        <is>
          <t>eindhoven:action:ziyaretci-park-duzenlemesi-1</t>
        </is>
      </c>
      <c r="B574" s="29" t="inlineStr">
        <is>
          <t>eindhoven</t>
        </is>
      </c>
      <c r="C574" s="29" t="inlineStr">
        <is>
          <t>eindhoven:ziyaretci-park-duzenlemesi</t>
        </is>
      </c>
      <c r="D574" s="29" t="inlineStr">
        <is>
          <t>Bilgi al</t>
        </is>
      </c>
      <c r="E574" s="29" t="inlineStr">
        <is>
          <t>https://www.eindhoven.nl/stad-en-wonen/stad/parkeren/parkeervergunningen</t>
        </is>
      </c>
      <c r="F574" s="49" t="n">
        <v>46317</v>
      </c>
      <c r="G574" s="51" t="n">
        <v>1</v>
      </c>
    </row>
    <row r="575" ht="54" customHeight="1">
      <c r="A575" s="29" t="inlineStr">
        <is>
          <t>eindhoven:action:park-izni-plaka-degisimi-tasinma-1</t>
        </is>
      </c>
      <c r="B575" s="29" t="inlineStr">
        <is>
          <t>eindhoven</t>
        </is>
      </c>
      <c r="C575" s="29" t="inlineStr">
        <is>
          <t>eindhoven:park-izni-plaka-degisimi-tasinma</t>
        </is>
      </c>
      <c r="D575" s="29" t="inlineStr">
        <is>
          <t>Bilgi al</t>
        </is>
      </c>
      <c r="E575" s="29" t="inlineStr">
        <is>
          <t>https://www.eindhoven.nl/stad-en-wonen/stad/parkeren/parkeervergunningen</t>
        </is>
      </c>
      <c r="F575" s="49" t="n">
        <v>46317</v>
      </c>
      <c r="G575" s="51" t="n">
        <v>1</v>
      </c>
    </row>
    <row r="576" ht="54" customHeight="1">
      <c r="A576" s="29" t="inlineStr">
        <is>
          <t>eindhoven:action:park-ride-meerhoven-genneper-parken-1</t>
        </is>
      </c>
      <c r="B576" s="29" t="inlineStr">
        <is>
          <t>eindhoven</t>
        </is>
      </c>
      <c r="C576" s="29" t="inlineStr">
        <is>
          <t>eindhoven:park-ride-meerhoven-genneper-parken</t>
        </is>
      </c>
      <c r="D576" s="29" t="inlineStr">
        <is>
          <t>Bilgi al</t>
        </is>
      </c>
      <c r="E576" s="29" t="inlineStr">
        <is>
          <t>https://www.eindhoven.nl/stad-en-wonen/stad/parkeren/parkeren-en-reizen-pr</t>
        </is>
      </c>
      <c r="F576" s="49" t="n">
        <v>46317</v>
      </c>
      <c r="G576" s="51" t="n">
        <v>1</v>
      </c>
    </row>
    <row r="577" ht="54" customHeight="1">
      <c r="A577" s="29" t="inlineStr">
        <is>
          <t>eindhoven:action:park-ride-meerhoven-genneper-parken-2</t>
        </is>
      </c>
      <c r="B577" s="29" t="inlineStr">
        <is>
          <t>eindhoven</t>
        </is>
      </c>
      <c r="C577" s="29" t="inlineStr">
        <is>
          <t>eindhoven:park-ride-meerhoven-genneper-parken</t>
        </is>
      </c>
      <c r="D577" s="29" t="inlineStr">
        <is>
          <t>Bilgi al</t>
        </is>
      </c>
      <c r="E577" s="29" t="inlineStr">
        <is>
          <t>https://www.hermes.nl/nl/onze-routes/bijzondere-lijnen/park-ride-richting-eindhoven</t>
        </is>
      </c>
      <c r="F577" s="49" t="n">
        <v>46317</v>
      </c>
      <c r="G577" s="51" t="n">
        <v>2</v>
      </c>
    </row>
    <row r="578" ht="54" customHeight="1">
      <c r="A578" s="29" t="inlineStr">
        <is>
          <t>eindhoven:action:ovpay-banka-karti-telefon-ile-binis-1</t>
        </is>
      </c>
      <c r="B578" s="29" t="inlineStr">
        <is>
          <t>eindhoven</t>
        </is>
      </c>
      <c r="C578" s="29" t="inlineStr">
        <is>
          <t>eindhoven:ovpay-banka-karti-telefon-ile-binis</t>
        </is>
      </c>
      <c r="D578" s="29" t="inlineStr">
        <is>
          <t>Bilgi al</t>
        </is>
      </c>
      <c r="E578" s="29" t="inlineStr">
        <is>
          <t>https://9292.nl/en/fares-and-season-tickets/ovpay/betaalpas-creditcard-mobiel/</t>
        </is>
      </c>
      <c r="F578" s="49" t="n">
        <v>46317</v>
      </c>
      <c r="G578" s="51" t="n">
        <v>1</v>
      </c>
    </row>
    <row r="579" ht="54" customHeight="1">
      <c r="A579" s="29" t="inlineStr">
        <is>
          <t>eindhoven:action:ovpay-banka-karti-telefon-ile-binis-2</t>
        </is>
      </c>
      <c r="B579" s="29" t="inlineStr">
        <is>
          <t>eindhoven</t>
        </is>
      </c>
      <c r="C579" s="29" t="inlineStr">
        <is>
          <t>eindhoven:ovpay-banka-karti-telefon-ile-binis</t>
        </is>
      </c>
      <c r="D579" s="29" t="inlineStr">
        <is>
          <t>Bilgi al</t>
        </is>
      </c>
      <c r="E579" s="29" t="inlineStr">
        <is>
          <t>https://9292.nl/en/app-and-website/how-does-app-work/plan-your-journey-in-app/</t>
        </is>
      </c>
      <c r="F579" s="49" t="n">
        <v>46317</v>
      </c>
      <c r="G579" s="51" t="n">
        <v>2</v>
      </c>
    </row>
    <row r="580" ht="54" customHeight="1">
      <c r="A580" s="29" t="inlineStr">
        <is>
          <t>eindhoven:action:hermes-otobus-ucretleri-binis-ucreti-1</t>
        </is>
      </c>
      <c r="B580" s="29" t="inlineStr">
        <is>
          <t>eindhoven</t>
        </is>
      </c>
      <c r="C580" s="29" t="inlineStr">
        <is>
          <t>eindhoven:hermes-otobus-ucretleri-binis-ucreti</t>
        </is>
      </c>
      <c r="D580" s="29" t="inlineStr">
        <is>
          <t>Bilgi al</t>
        </is>
      </c>
      <c r="E580" s="29" t="inlineStr">
        <is>
          <t>https://www.hermes.nl/en/tickets/cost-of-traveling-on-balance-or-with-ovpay/varying-fares</t>
        </is>
      </c>
      <c r="F580" s="49" t="n">
        <v>46317</v>
      </c>
      <c r="G580" s="51" t="n">
        <v>1</v>
      </c>
    </row>
    <row r="581" ht="54" customHeight="1">
      <c r="A581" s="29" t="inlineStr">
        <is>
          <t>eindhoven:action:hermes-otobus-ucretleri-binis-ucreti-2</t>
        </is>
      </c>
      <c r="B581" s="29" t="inlineStr">
        <is>
          <t>eindhoven</t>
        </is>
      </c>
      <c r="C581" s="29" t="inlineStr">
        <is>
          <t>eindhoven:hermes-otobus-ucretleri-binis-ucreti</t>
        </is>
      </c>
      <c r="D581" s="29" t="inlineStr">
        <is>
          <t>Bilgi al</t>
        </is>
      </c>
      <c r="E581" s="29" t="inlineStr">
        <is>
          <t>https://9292.nl/en/fares-and-season-tickets/ovpay/betaalpas-creditcard-mobiel/</t>
        </is>
      </c>
      <c r="F581" s="49" t="n">
        <v>46317</v>
      </c>
      <c r="G581" s="51" t="n">
        <v>2</v>
      </c>
    </row>
    <row r="582" ht="54" customHeight="1">
      <c r="A582" s="29" t="inlineStr">
        <is>
          <t>eindhoven:action:9292-uygulamasi-yolculuk-planlama-1</t>
        </is>
      </c>
      <c r="B582" s="29" t="inlineStr">
        <is>
          <t>eindhoven</t>
        </is>
      </c>
      <c r="C582" s="29" t="inlineStr">
        <is>
          <t>eindhoven:9292-uygulamasi-yolculuk-planlama</t>
        </is>
      </c>
      <c r="D582" s="29" t="inlineStr">
        <is>
          <t>Bilgi al</t>
        </is>
      </c>
      <c r="E582" s="29" t="inlineStr">
        <is>
          <t>https://9292.nl/en/app-and-website/how-does-app-work/plan-your-journey-in-app/</t>
        </is>
      </c>
      <c r="F582" s="49" t="n">
        <v>46317</v>
      </c>
      <c r="G582" s="51" t="n">
        <v>1</v>
      </c>
    </row>
    <row r="583" ht="54" customHeight="1">
      <c r="A583" s="29" t="inlineStr">
        <is>
          <t>eindhoven:action:bisiklet-cekildi-fietsdepot-1</t>
        </is>
      </c>
      <c r="B583" s="29" t="inlineStr">
        <is>
          <t>eindhoven</t>
        </is>
      </c>
      <c r="C583" s="29" t="inlineStr">
        <is>
          <t>eindhoven:bisiklet-cekildi-fietsdepot</t>
        </is>
      </c>
      <c r="D583" s="29" t="inlineStr">
        <is>
          <t>Bilgi al</t>
        </is>
      </c>
      <c r="E583" s="29" t="inlineStr">
        <is>
          <t>https://www.eindhoven.nl/stad-en-wonen/verkeer/fietsen-in-eindhoven</t>
        </is>
      </c>
      <c r="F583" s="49" t="n">
        <v>46317</v>
      </c>
      <c r="G583" s="51" t="n">
        <v>1</v>
      </c>
    </row>
    <row r="584" ht="54" customHeight="1">
      <c r="A584" s="29" t="inlineStr">
        <is>
          <t>eindhoven:action:bisiklet-stalling-ucretsiz-gozetimli-1</t>
        </is>
      </c>
      <c r="B584" s="29" t="inlineStr">
        <is>
          <t>eindhoven</t>
        </is>
      </c>
      <c r="C584" s="29" t="inlineStr">
        <is>
          <t>eindhoven:bisiklet-stalling-ucretsiz-gozetimli</t>
        </is>
      </c>
      <c r="D584" s="29" t="inlineStr">
        <is>
          <t>Bilgi al</t>
        </is>
      </c>
      <c r="E584" s="29" t="inlineStr">
        <is>
          <t>https://www.eindhoven.nl/stad-en-wonen/verkeer/eindhoven-bereikbaar/fietsenstallingen</t>
        </is>
      </c>
      <c r="F584" s="49" t="n">
        <v>46317</v>
      </c>
      <c r="G584" s="51" t="n">
        <v>1</v>
      </c>
    </row>
    <row r="585" ht="54" customHeight="1">
      <c r="A585" s="29" t="inlineStr">
        <is>
          <t>eindhoven:action:calinan-bisiklet-polise-ihbar-1</t>
        </is>
      </c>
      <c r="B585" s="29" t="inlineStr">
        <is>
          <t>eindhoven</t>
        </is>
      </c>
      <c r="C585" s="29" t="inlineStr">
        <is>
          <t>eindhoven:calinan-bisiklet-polise-ihbar</t>
        </is>
      </c>
      <c r="D585" s="29" t="inlineStr">
        <is>
          <t>Formu doldur</t>
        </is>
      </c>
      <c r="E585" s="29" t="inlineStr">
        <is>
          <t>https://www.politie.nl/informatie/fiets-gestolen-doe-aangifte.html</t>
        </is>
      </c>
      <c r="F585" s="49" t="n">
        <v>46317</v>
      </c>
      <c r="G585" s="51" t="n">
        <v>1</v>
      </c>
    </row>
    <row r="586" ht="54" customHeight="1">
      <c r="A586" s="29" t="inlineStr">
        <is>
          <t>eindhoven:action:calinan-bisiklet-polise-ihbar-2</t>
        </is>
      </c>
      <c r="B586" s="29" t="inlineStr">
        <is>
          <t>eindhoven</t>
        </is>
      </c>
      <c r="C586" s="29" t="inlineStr">
        <is>
          <t>eindhoven:calinan-bisiklet-polise-ihbar</t>
        </is>
      </c>
      <c r="D586" s="29" t="inlineStr">
        <is>
          <t>Bilgi al</t>
        </is>
      </c>
      <c r="E586" s="29" t="inlineStr">
        <is>
          <t>https://www.eindhoven.nl/stad-en-wonen/verkeer/fietsen-in-eindhoven</t>
        </is>
      </c>
      <c r="F586" s="49" t="n">
        <v>46317</v>
      </c>
      <c r="G586" s="51" t="n">
        <v>2</v>
      </c>
    </row>
    <row r="587" ht="54" customHeight="1">
      <c r="A587" s="29" t="inlineStr">
        <is>
          <t>eindhoven:action:eindhoven-havalimani-toplu-tasima-1</t>
        </is>
      </c>
      <c r="B587" s="29" t="inlineStr">
        <is>
          <t>eindhoven</t>
        </is>
      </c>
      <c r="C587" s="29" t="inlineStr">
        <is>
          <t>eindhoven:eindhoven-havalimani-toplu-tasima</t>
        </is>
      </c>
      <c r="D587" s="29" t="inlineStr">
        <is>
          <t>Bilgi al</t>
        </is>
      </c>
      <c r="E587" s="29" t="inlineStr">
        <is>
          <t>https://www.eindhovenairport.nl/en/public-transport</t>
        </is>
      </c>
      <c r="F587" s="49" t="n">
        <v>46317</v>
      </c>
      <c r="G587" s="51" t="n">
        <v>1</v>
      </c>
    </row>
    <row r="588" ht="54" customHeight="1">
      <c r="A588" s="29" t="inlineStr">
        <is>
          <t>eindhoven:action:eindhoven-havalimani-toplu-tasima-2</t>
        </is>
      </c>
      <c r="B588" s="29" t="inlineStr">
        <is>
          <t>eindhoven</t>
        </is>
      </c>
      <c r="C588" s="29" t="inlineStr">
        <is>
          <t>eindhoven:eindhoven-havalimani-toplu-tasima</t>
        </is>
      </c>
      <c r="D588" s="29" t="inlineStr">
        <is>
          <t>Bilgi al</t>
        </is>
      </c>
      <c r="E588" s="29" t="inlineStr">
        <is>
          <t>https://9292.nl/en/app-and-website/how-does-app-work/plan-your-journey-in-app/</t>
        </is>
      </c>
      <c r="F588" s="49" t="n">
        <v>46317</v>
      </c>
      <c r="G588" s="51" t="n">
        <v>2</v>
      </c>
    </row>
    <row r="589" ht="54" customHeight="1">
      <c r="A589" s="29" t="n"/>
      <c r="B589" s="29" t="n"/>
      <c r="C589" s="29" t="n"/>
      <c r="D589" s="29" t="n"/>
      <c r="E589" s="29" t="n"/>
      <c r="F589" s="49" t="n"/>
      <c r="G589" s="51" t="n"/>
    </row>
    <row r="590" ht="54" customHeight="1">
      <c r="A590" s="29" t="n"/>
      <c r="B590" s="29" t="n"/>
      <c r="C590" s="29" t="n"/>
      <c r="D590" s="29" t="n"/>
      <c r="E590" s="29" t="n"/>
      <c r="F590" s="49" t="n"/>
      <c r="G590" s="51" t="n"/>
    </row>
    <row r="591" ht="54" customHeight="1">
      <c r="A591" s="29" t="n"/>
      <c r="B591" s="29" t="n"/>
      <c r="C591" s="29" t="n"/>
      <c r="D591" s="29" t="n"/>
      <c r="E591" s="29" t="n"/>
      <c r="F591" s="49" t="n"/>
      <c r="G591" s="51" t="n"/>
    </row>
    <row r="592" ht="54" customHeight="1">
      <c r="A592" s="29" t="n"/>
      <c r="B592" s="29" t="n"/>
      <c r="C592" s="29" t="n"/>
      <c r="D592" s="29" t="n"/>
      <c r="E592" s="29" t="n"/>
      <c r="F592" s="49" t="n"/>
      <c r="G592" s="51" t="n"/>
    </row>
    <row r="593" ht="54" customHeight="1">
      <c r="A593" s="29" t="n"/>
      <c r="B593" s="29" t="n"/>
      <c r="C593" s="29" t="n"/>
      <c r="D593" s="29" t="n"/>
      <c r="E593" s="29" t="n"/>
      <c r="F593" s="49" t="n"/>
      <c r="G593" s="51" t="n"/>
    </row>
    <row r="594" ht="54" customHeight="1">
      <c r="A594" s="29" t="n"/>
      <c r="B594" s="29" t="n"/>
      <c r="C594" s="29" t="n"/>
      <c r="D594" s="29" t="n"/>
      <c r="E594" s="29" t="n"/>
      <c r="F594" s="49" t="n"/>
      <c r="G594" s="51" t="n"/>
    </row>
    <row r="595" ht="54" customHeight="1">
      <c r="A595" s="29" t="n"/>
      <c r="B595" s="29" t="n"/>
      <c r="C595" s="29" t="n"/>
      <c r="D595" s="29" t="n"/>
      <c r="E595" s="29" t="n"/>
      <c r="F595" s="49" t="n"/>
      <c r="G595" s="51" t="n"/>
    </row>
    <row r="596" ht="54" customHeight="1">
      <c r="A596" s="29" t="n"/>
      <c r="B596" s="29" t="n"/>
      <c r="C596" s="29" t="n"/>
      <c r="D596" s="29" t="n"/>
      <c r="E596" s="29" t="n"/>
      <c r="F596" s="49" t="n"/>
      <c r="G596" s="51" t="n"/>
    </row>
    <row r="597" ht="54" customHeight="1">
      <c r="A597" s="29" t="n"/>
      <c r="B597" s="29" t="n"/>
      <c r="C597" s="29" t="n"/>
      <c r="D597" s="29" t="n"/>
      <c r="E597" s="29" t="n"/>
      <c r="F597" s="49" t="n"/>
      <c r="G597" s="51" t="n"/>
    </row>
    <row r="598" ht="54" customHeight="1">
      <c r="A598" s="29" t="n"/>
      <c r="B598" s="29" t="n"/>
      <c r="C598" s="29" t="n"/>
      <c r="D598" s="29" t="n"/>
      <c r="E598" s="29" t="n"/>
      <c r="F598" s="49" t="n"/>
      <c r="G598" s="51" t="n"/>
    </row>
    <row r="599" ht="54" customHeight="1">
      <c r="A599" s="29" t="n"/>
      <c r="B599" s="29" t="n"/>
      <c r="C599" s="29" t="n"/>
      <c r="D599" s="29" t="n"/>
      <c r="E599" s="29" t="n"/>
      <c r="F599" s="49" t="n"/>
      <c r="G599" s="51" t="n"/>
    </row>
    <row r="600" ht="54" customHeight="1">
      <c r="A600" s="29" t="n"/>
      <c r="B600" s="29" t="n"/>
      <c r="C600" s="29" t="n"/>
      <c r="D600" s="29" t="n"/>
      <c r="E600" s="29" t="n"/>
      <c r="F600" s="49" t="n"/>
      <c r="G600" s="51" t="n"/>
    </row>
    <row r="601" ht="54" customHeight="1">
      <c r="A601" s="29" t="n"/>
      <c r="B601" s="29" t="n"/>
      <c r="C601" s="29" t="n"/>
      <c r="D601" s="29" t="n"/>
      <c r="E601" s="29" t="n"/>
      <c r="F601" s="49" t="n"/>
      <c r="G601" s="51" t="n"/>
    </row>
    <row r="602" ht="54" customHeight="1">
      <c r="A602" s="29" t="n"/>
      <c r="B602" s="29" t="n"/>
      <c r="C602" s="29" t="n"/>
      <c r="D602" s="29" t="n"/>
      <c r="E602" s="29" t="n"/>
      <c r="F602" s="49" t="n"/>
      <c r="G602" s="51" t="n"/>
    </row>
    <row r="603" ht="54" customHeight="1">
      <c r="A603" s="29" t="n"/>
      <c r="B603" s="29" t="n"/>
      <c r="C603" s="29" t="n"/>
      <c r="D603" s="29" t="n"/>
      <c r="E603" s="29" t="n"/>
      <c r="F603" s="49" t="n"/>
      <c r="G603" s="51" t="n"/>
    </row>
    <row r="604" ht="54" customHeight="1">
      <c r="A604" s="29" t="n"/>
      <c r="B604" s="29" t="n"/>
      <c r="C604" s="29" t="n"/>
      <c r="D604" s="29" t="n"/>
      <c r="E604" s="29" t="n"/>
      <c r="F604" s="49" t="n"/>
      <c r="G604" s="51" t="n"/>
    </row>
    <row r="605" ht="54" customHeight="1">
      <c r="A605" s="29" t="n"/>
      <c r="B605" s="29" t="n"/>
      <c r="C605" s="29" t="n"/>
      <c r="D605" s="29" t="n"/>
      <c r="E605" s="29" t="n"/>
      <c r="F605" s="49" t="n"/>
      <c r="G605" s="51" t="n"/>
    </row>
    <row r="606" ht="54" customHeight="1">
      <c r="A606" s="29" t="n"/>
      <c r="B606" s="29" t="n"/>
      <c r="C606" s="29" t="n"/>
      <c r="D606" s="29" t="n"/>
      <c r="E606" s="29" t="n"/>
      <c r="F606" s="49" t="n"/>
      <c r="G606" s="51" t="n"/>
    </row>
    <row r="607" ht="54" customHeight="1">
      <c r="A607" s="29" t="n"/>
      <c r="B607" s="29" t="n"/>
      <c r="C607" s="29" t="n"/>
      <c r="D607" s="29" t="n"/>
      <c r="E607" s="29" t="n"/>
      <c r="F607" s="49" t="n"/>
      <c r="G607" s="51" t="n"/>
    </row>
    <row r="608" ht="54" customHeight="1">
      <c r="A608" s="29" t="n"/>
      <c r="B608" s="29" t="n"/>
      <c r="C608" s="29" t="n"/>
      <c r="D608" s="29" t="n"/>
      <c r="E608" s="29" t="n"/>
      <c r="F608" s="49" t="n"/>
      <c r="G608" s="51" t="n"/>
    </row>
    <row r="609" ht="54" customHeight="1">
      <c r="A609" s="29" t="n"/>
      <c r="B609" s="29" t="n"/>
      <c r="C609" s="29" t="n"/>
      <c r="D609" s="29" t="n"/>
      <c r="E609" s="29" t="n"/>
      <c r="F609" s="49" t="n"/>
      <c r="G609" s="51" t="n"/>
    </row>
    <row r="610" ht="54" customHeight="1">
      <c r="A610" s="29" t="n"/>
      <c r="B610" s="29" t="n"/>
      <c r="C610" s="29" t="n"/>
      <c r="D610" s="29" t="n"/>
      <c r="E610" s="29" t="n"/>
      <c r="F610" s="49" t="n"/>
      <c r="G610" s="51" t="n"/>
    </row>
    <row r="611" ht="54" customHeight="1">
      <c r="A611" s="29" t="n"/>
      <c r="B611" s="29" t="n"/>
      <c r="C611" s="29" t="n"/>
      <c r="D611" s="29" t="n"/>
      <c r="E611" s="29" t="n"/>
      <c r="F611" s="49" t="n"/>
      <c r="G611" s="51" t="n"/>
    </row>
    <row r="612" ht="54" customHeight="1">
      <c r="A612" s="29" t="n"/>
      <c r="B612" s="29" t="n"/>
      <c r="C612" s="29" t="n"/>
      <c r="D612" s="29" t="n"/>
      <c r="E612" s="29" t="n"/>
      <c r="F612" s="49" t="n"/>
      <c r="G612" s="51" t="n"/>
    </row>
    <row r="613" ht="54" customHeight="1">
      <c r="A613" s="29" t="n"/>
      <c r="B613" s="29" t="n"/>
      <c r="C613" s="29" t="n"/>
      <c r="D613" s="29" t="n"/>
      <c r="E613" s="29" t="n"/>
      <c r="F613" s="49" t="n"/>
      <c r="G613" s="51" t="n"/>
    </row>
    <row r="614" ht="54" customHeight="1">
      <c r="A614" s="29" t="n"/>
      <c r="B614" s="29" t="n"/>
      <c r="C614" s="29" t="n"/>
      <c r="D614" s="29" t="n"/>
      <c r="E614" s="29" t="n"/>
      <c r="F614" s="49" t="n"/>
      <c r="G614" s="51" t="n"/>
    </row>
    <row r="615" ht="54" customHeight="1">
      <c r="A615" s="29" t="n"/>
      <c r="B615" s="29" t="n"/>
      <c r="C615" s="29" t="n"/>
      <c r="D615" s="29" t="n"/>
      <c r="E615" s="29" t="n"/>
      <c r="F615" s="49" t="n"/>
      <c r="G615" s="51" t="n"/>
    </row>
    <row r="616" ht="54" customHeight="1">
      <c r="A616" s="29" t="n"/>
      <c r="B616" s="29" t="n"/>
      <c r="C616" s="29" t="n"/>
      <c r="D616" s="29" t="n"/>
      <c r="E616" s="29" t="n"/>
      <c r="F616" s="49" t="n"/>
      <c r="G616" s="51" t="n"/>
    </row>
    <row r="617" ht="54" customHeight="1">
      <c r="A617" s="29" t="n"/>
      <c r="B617" s="29" t="n"/>
      <c r="C617" s="29" t="n"/>
      <c r="D617" s="29" t="n"/>
      <c r="E617" s="29" t="n"/>
      <c r="F617" s="49" t="n"/>
      <c r="G617" s="51" t="n"/>
    </row>
    <row r="618" ht="54" customHeight="1">
      <c r="A618" s="29" t="n"/>
      <c r="B618" s="29" t="n"/>
      <c r="C618" s="29" t="n"/>
      <c r="D618" s="29" t="n"/>
      <c r="E618" s="29" t="n"/>
      <c r="F618" s="49" t="n"/>
      <c r="G618" s="51" t="n"/>
    </row>
    <row r="619" ht="54" customHeight="1">
      <c r="A619" s="29" t="n"/>
      <c r="B619" s="29" t="n"/>
      <c r="C619" s="29" t="n"/>
      <c r="D619" s="29" t="n"/>
      <c r="E619" s="29" t="n"/>
      <c r="F619" s="49" t="n"/>
      <c r="G619" s="51" t="n"/>
    </row>
    <row r="620" ht="54" customHeight="1">
      <c r="A620" s="29" t="n"/>
      <c r="B620" s="29" t="n"/>
      <c r="C620" s="29" t="n"/>
      <c r="D620" s="29" t="n"/>
      <c r="E620" s="29" t="n"/>
      <c r="F620" s="49" t="n"/>
      <c r="G620" s="51" t="n"/>
    </row>
    <row r="621" ht="54" customHeight="1">
      <c r="A621" s="29" t="n"/>
      <c r="B621" s="29" t="n"/>
      <c r="C621" s="29" t="n"/>
      <c r="D621" s="29" t="n"/>
      <c r="E621" s="29" t="n"/>
      <c r="F621" s="49" t="n"/>
      <c r="G621" s="51" t="n"/>
    </row>
    <row r="622" ht="54" customHeight="1">
      <c r="A622" s="29" t="n"/>
      <c r="B622" s="29" t="n"/>
      <c r="C622" s="29" t="n"/>
      <c r="D622" s="29" t="n"/>
      <c r="E622" s="29" t="n"/>
      <c r="F622" s="49" t="n"/>
      <c r="G622" s="51" t="n"/>
    </row>
    <row r="623" ht="54" customHeight="1">
      <c r="A623" s="29" t="n"/>
      <c r="B623" s="29" t="n"/>
      <c r="C623" s="29" t="n"/>
      <c r="D623" s="29" t="n"/>
      <c r="E623" s="29" t="n"/>
      <c r="F623" s="49" t="n"/>
      <c r="G623" s="51" t="n"/>
    </row>
    <row r="624" ht="54" customHeight="1">
      <c r="A624" s="29" t="n"/>
      <c r="B624" s="29" t="n"/>
      <c r="C624" s="29" t="n"/>
      <c r="D624" s="29" t="n"/>
      <c r="E624" s="29" t="n"/>
      <c r="F624" s="49" t="n"/>
      <c r="G624" s="51" t="n"/>
    </row>
    <row r="625" ht="54" customHeight="1">
      <c r="A625" s="29" t="n"/>
      <c r="B625" s="29" t="n"/>
      <c r="C625" s="29" t="n"/>
      <c r="D625" s="29" t="n"/>
      <c r="E625" s="29" t="n"/>
      <c r="F625" s="49" t="n"/>
      <c r="G625" s="51" t="n"/>
    </row>
    <row r="626" ht="54" customHeight="1">
      <c r="A626" s="29" t="n"/>
      <c r="B626" s="29" t="n"/>
      <c r="C626" s="29" t="n"/>
      <c r="D626" s="29" t="n"/>
      <c r="E626" s="29" t="n"/>
      <c r="F626" s="49" t="n"/>
      <c r="G626" s="51" t="n"/>
    </row>
    <row r="627" ht="54" customHeight="1">
      <c r="A627" s="29" t="n"/>
      <c r="B627" s="29" t="n"/>
      <c r="C627" s="29" t="n"/>
      <c r="D627" s="29" t="n"/>
      <c r="E627" s="29" t="n"/>
      <c r="F627" s="49" t="n"/>
      <c r="G627" s="51" t="n"/>
    </row>
    <row r="628" ht="54" customHeight="1">
      <c r="A628" s="29" t="n"/>
      <c r="B628" s="29" t="n"/>
      <c r="C628" s="29" t="n"/>
      <c r="D628" s="29" t="n"/>
      <c r="E628" s="29" t="n"/>
      <c r="F628" s="49" t="n"/>
      <c r="G628" s="51" t="n"/>
    </row>
    <row r="629" ht="54" customHeight="1">
      <c r="A629" s="29" t="n"/>
      <c r="B629" s="29" t="n"/>
      <c r="C629" s="29" t="n"/>
      <c r="D629" s="29" t="n"/>
      <c r="E629" s="29" t="n"/>
      <c r="F629" s="49" t="n"/>
      <c r="G629" s="51" t="n"/>
    </row>
    <row r="630" ht="54" customHeight="1">
      <c r="A630" s="29" t="n"/>
      <c r="B630" s="29" t="n"/>
      <c r="C630" s="29" t="n"/>
      <c r="D630" s="29" t="n"/>
      <c r="E630" s="29" t="n"/>
      <c r="F630" s="49" t="n"/>
      <c r="G630" s="51" t="n"/>
    </row>
    <row r="631" ht="54" customHeight="1">
      <c r="A631" s="29" t="n"/>
      <c r="B631" s="29" t="n"/>
      <c r="C631" s="29" t="n"/>
      <c r="D631" s="29" t="n"/>
      <c r="E631" s="29" t="n"/>
      <c r="F631" s="49" t="n"/>
      <c r="G631" s="51" t="n"/>
    </row>
    <row r="632" ht="54" customHeight="1">
      <c r="A632" s="29" t="n"/>
      <c r="B632" s="29" t="n"/>
      <c r="C632" s="29" t="n"/>
      <c r="D632" s="29" t="n"/>
      <c r="E632" s="29" t="n"/>
      <c r="F632" s="49" t="n"/>
      <c r="G632" s="51" t="n"/>
    </row>
    <row r="633" ht="54" customHeight="1">
      <c r="A633" s="29" t="n"/>
      <c r="B633" s="29" t="n"/>
      <c r="C633" s="29" t="n"/>
      <c r="D633" s="29" t="n"/>
      <c r="E633" s="29" t="n"/>
      <c r="F633" s="49" t="n"/>
      <c r="G633" s="51" t="n"/>
    </row>
    <row r="634" ht="54" customHeight="1">
      <c r="A634" s="29" t="n"/>
      <c r="B634" s="29" t="n"/>
      <c r="C634" s="29" t="n"/>
      <c r="D634" s="29" t="n"/>
      <c r="E634" s="29" t="n"/>
      <c r="F634" s="49" t="n"/>
      <c r="G634" s="51" t="n"/>
    </row>
    <row r="635" ht="54" customHeight="1">
      <c r="A635" s="29" t="n"/>
      <c r="B635" s="29" t="n"/>
      <c r="C635" s="29" t="n"/>
      <c r="D635" s="29" t="n"/>
      <c r="E635" s="29" t="n"/>
      <c r="F635" s="49" t="n"/>
      <c r="G635" s="51" t="n"/>
    </row>
    <row r="636" ht="54" customHeight="1">
      <c r="A636" s="29" t="n"/>
      <c r="B636" s="29" t="n"/>
      <c r="C636" s="29" t="n"/>
      <c r="D636" s="29" t="n"/>
      <c r="E636" s="29" t="n"/>
      <c r="F636" s="49" t="n"/>
      <c r="G636" s="51" t="n"/>
    </row>
    <row r="637" ht="54" customHeight="1">
      <c r="A637" s="29" t="n"/>
      <c r="B637" s="29" t="n"/>
      <c r="C637" s="29" t="n"/>
      <c r="D637" s="29" t="n"/>
      <c r="E637" s="29" t="n"/>
      <c r="F637" s="49" t="n"/>
      <c r="G637" s="51" t="n"/>
    </row>
    <row r="638" ht="54" customHeight="1">
      <c r="A638" s="29" t="n"/>
      <c r="B638" s="29" t="n"/>
      <c r="C638" s="29" t="n"/>
      <c r="D638" s="29" t="n"/>
      <c r="E638" s="29" t="n"/>
      <c r="F638" s="49" t="n"/>
      <c r="G638" s="51" t="n"/>
    </row>
    <row r="639" ht="54" customHeight="1">
      <c r="A639" s="29" t="n"/>
      <c r="B639" s="29" t="n"/>
      <c r="C639" s="29" t="n"/>
      <c r="D639" s="29" t="n"/>
      <c r="E639" s="29" t="n"/>
      <c r="F639" s="49" t="n"/>
      <c r="G639" s="51" t="n"/>
    </row>
    <row r="640" ht="54" customHeight="1">
      <c r="A640" s="29" t="n"/>
      <c r="B640" s="29" t="n"/>
      <c r="C640" s="29" t="n"/>
      <c r="D640" s="29" t="n"/>
      <c r="E640" s="29" t="n"/>
      <c r="F640" s="49" t="n"/>
      <c r="G640" s="51" t="n"/>
    </row>
    <row r="641" ht="54" customHeight="1">
      <c r="A641" s="29" t="n"/>
      <c r="B641" s="29" t="n"/>
      <c r="C641" s="29" t="n"/>
      <c r="D641" s="29" t="n"/>
      <c r="E641" s="29" t="n"/>
      <c r="F641" s="49" t="n"/>
      <c r="G641" s="51" t="n"/>
    </row>
    <row r="642" ht="54" customHeight="1">
      <c r="A642" s="29" t="n"/>
      <c r="B642" s="29" t="n"/>
      <c r="C642" s="29" t="n"/>
      <c r="D642" s="29" t="n"/>
      <c r="E642" s="29" t="n"/>
      <c r="F642" s="49" t="n"/>
      <c r="G642" s="51" t="n"/>
    </row>
    <row r="643" ht="54" customHeight="1">
      <c r="A643" s="29" t="n"/>
      <c r="B643" s="29" t="n"/>
      <c r="C643" s="29" t="n"/>
      <c r="D643" s="29" t="n"/>
      <c r="E643" s="29" t="n"/>
      <c r="F643" s="49" t="n"/>
      <c r="G643" s="51" t="n"/>
    </row>
    <row r="644" ht="54" customHeight="1">
      <c r="A644" s="29" t="n"/>
      <c r="B644" s="29" t="n"/>
      <c r="C644" s="29" t="n"/>
      <c r="D644" s="29" t="n"/>
      <c r="E644" s="29" t="n"/>
      <c r="F644" s="49" t="n"/>
      <c r="G644" s="51" t="n"/>
    </row>
    <row r="645" ht="54" customHeight="1">
      <c r="A645" s="29" t="n"/>
      <c r="B645" s="29" t="n"/>
      <c r="C645" s="29" t="n"/>
      <c r="D645" s="29" t="n"/>
      <c r="E645" s="29" t="n"/>
      <c r="F645" s="49" t="n"/>
      <c r="G645" s="51" t="n"/>
    </row>
    <row r="646" ht="54" customHeight="1">
      <c r="A646" s="29" t="n"/>
      <c r="B646" s="29" t="n"/>
      <c r="C646" s="29" t="n"/>
      <c r="D646" s="29" t="n"/>
      <c r="E646" s="29" t="n"/>
      <c r="F646" s="49" t="n"/>
      <c r="G646" s="51" t="n"/>
    </row>
    <row r="647" ht="54" customHeight="1">
      <c r="A647" s="29" t="n"/>
      <c r="B647" s="29" t="n"/>
      <c r="C647" s="29" t="n"/>
      <c r="D647" s="29" t="n"/>
      <c r="E647" s="29" t="n"/>
      <c r="F647" s="49" t="n"/>
      <c r="G647" s="51" t="n"/>
    </row>
    <row r="648" ht="54" customHeight="1">
      <c r="A648" s="29" t="n"/>
      <c r="B648" s="29" t="n"/>
      <c r="C648" s="29" t="n"/>
      <c r="D648" s="29" t="n"/>
      <c r="E648" s="29" t="n"/>
      <c r="F648" s="49" t="n"/>
      <c r="G648" s="51" t="n"/>
    </row>
    <row r="649" ht="54" customHeight="1">
      <c r="A649" s="29" t="n"/>
      <c r="B649" s="29" t="n"/>
      <c r="C649" s="29" t="n"/>
      <c r="D649" s="29" t="n"/>
      <c r="E649" s="29" t="n"/>
      <c r="F649" s="49" t="n"/>
      <c r="G649" s="51" t="n"/>
    </row>
    <row r="650" ht="54" customHeight="1">
      <c r="A650" s="29" t="n"/>
      <c r="B650" s="29" t="n"/>
      <c r="C650" s="29" t="n"/>
      <c r="D650" s="29" t="n"/>
      <c r="E650" s="29" t="n"/>
      <c r="F650" s="49" t="n"/>
      <c r="G650" s="51" t="n"/>
    </row>
    <row r="651" ht="54" customHeight="1">
      <c r="A651" s="29" t="n"/>
      <c r="B651" s="29" t="n"/>
      <c r="C651" s="29" t="n"/>
      <c r="D651" s="29" t="n"/>
      <c r="E651" s="29" t="n"/>
      <c r="F651" s="49" t="n"/>
      <c r="G651" s="51" t="n"/>
    </row>
    <row r="652" ht="54" customHeight="1">
      <c r="A652" s="29" t="n"/>
      <c r="B652" s="29" t="n"/>
      <c r="C652" s="29" t="n"/>
      <c r="D652" s="29" t="n"/>
      <c r="E652" s="29" t="n"/>
      <c r="F652" s="49" t="n"/>
      <c r="G652" s="51" t="n"/>
    </row>
    <row r="653" ht="54" customHeight="1">
      <c r="A653" s="29" t="n"/>
      <c r="B653" s="29" t="n"/>
      <c r="C653" s="29" t="n"/>
      <c r="D653" s="29" t="n"/>
      <c r="E653" s="29" t="n"/>
      <c r="F653" s="49" t="n"/>
      <c r="G653" s="51" t="n"/>
    </row>
    <row r="654" ht="54" customHeight="1">
      <c r="A654" s="29" t="n"/>
      <c r="B654" s="29" t="n"/>
      <c r="C654" s="29" t="n"/>
      <c r="D654" s="29" t="n"/>
      <c r="E654" s="29" t="n"/>
      <c r="F654" s="49" t="n"/>
      <c r="G654" s="51" t="n"/>
    </row>
    <row r="655" ht="54" customHeight="1">
      <c r="A655" s="29" t="n"/>
      <c r="B655" s="29" t="n"/>
      <c r="C655" s="29" t="n"/>
      <c r="D655" s="29" t="n"/>
      <c r="E655" s="29" t="n"/>
      <c r="F655" s="49" t="n"/>
      <c r="G655" s="51" t="n"/>
    </row>
    <row r="656" ht="54" customHeight="1">
      <c r="A656" s="29" t="n"/>
      <c r="B656" s="29" t="n"/>
      <c r="C656" s="29" t="n"/>
      <c r="D656" s="29" t="n"/>
      <c r="E656" s="29" t="n"/>
      <c r="F656" s="49" t="n"/>
      <c r="G656" s="51" t="n"/>
    </row>
    <row r="657" ht="54" customHeight="1">
      <c r="A657" s="29" t="n"/>
      <c r="B657" s="29" t="n"/>
      <c r="C657" s="29" t="n"/>
      <c r="D657" s="29" t="n"/>
      <c r="E657" s="29" t="n"/>
      <c r="F657" s="49" t="n"/>
      <c r="G657" s="51" t="n"/>
    </row>
    <row r="658" ht="54" customHeight="1">
      <c r="A658" s="29" t="n"/>
      <c r="B658" s="29" t="n"/>
      <c r="C658" s="29" t="n"/>
      <c r="D658" s="29" t="n"/>
      <c r="E658" s="29" t="n"/>
      <c r="F658" s="49" t="n"/>
      <c r="G658" s="51" t="n"/>
    </row>
    <row r="659" ht="54" customHeight="1">
      <c r="A659" s="29" t="n"/>
      <c r="B659" s="29" t="n"/>
      <c r="C659" s="29" t="n"/>
      <c r="D659" s="29" t="n"/>
      <c r="E659" s="29" t="n"/>
      <c r="F659" s="49" t="n"/>
      <c r="G659" s="51" t="n"/>
    </row>
    <row r="660" ht="54" customHeight="1">
      <c r="A660" s="29" t="n"/>
      <c r="B660" s="29" t="n"/>
      <c r="C660" s="29" t="n"/>
      <c r="D660" s="29" t="n"/>
      <c r="E660" s="29" t="n"/>
      <c r="F660" s="49" t="n"/>
      <c r="G660" s="51" t="n"/>
    </row>
    <row r="661" ht="54" customHeight="1">
      <c r="A661" s="29" t="n"/>
      <c r="B661" s="29" t="n"/>
      <c r="C661" s="29" t="n"/>
      <c r="D661" s="29" t="n"/>
      <c r="E661" s="29" t="n"/>
      <c r="F661" s="49" t="n"/>
      <c r="G661" s="51" t="n"/>
    </row>
    <row r="662" ht="54" customHeight="1">
      <c r="A662" s="29" t="n"/>
      <c r="B662" s="29" t="n"/>
      <c r="C662" s="29" t="n"/>
      <c r="D662" s="29" t="n"/>
      <c r="E662" s="29" t="n"/>
      <c r="F662" s="49" t="n"/>
      <c r="G662" s="51" t="n"/>
    </row>
    <row r="663" ht="54" customHeight="1">
      <c r="A663" s="29" t="n"/>
      <c r="B663" s="29" t="n"/>
      <c r="C663" s="29" t="n"/>
      <c r="D663" s="29" t="n"/>
      <c r="E663" s="29" t="n"/>
      <c r="F663" s="49" t="n"/>
      <c r="G663" s="51" t="n"/>
    </row>
    <row r="664" ht="54" customHeight="1">
      <c r="A664" s="29" t="n"/>
      <c r="B664" s="29" t="n"/>
      <c r="C664" s="29" t="n"/>
      <c r="D664" s="29" t="n"/>
      <c r="E664" s="29" t="n"/>
      <c r="F664" s="49" t="n"/>
      <c r="G664" s="51" t="n"/>
    </row>
    <row r="665" ht="54" customHeight="1">
      <c r="A665" s="29" t="n"/>
      <c r="B665" s="29" t="n"/>
      <c r="C665" s="29" t="n"/>
      <c r="D665" s="29" t="n"/>
      <c r="E665" s="29" t="n"/>
      <c r="F665" s="49" t="n"/>
      <c r="G665" s="51" t="n"/>
    </row>
    <row r="666" ht="54" customHeight="1">
      <c r="A666" s="29" t="n"/>
      <c r="B666" s="29" t="n"/>
      <c r="C666" s="29" t="n"/>
      <c r="D666" s="29" t="n"/>
      <c r="E666" s="29" t="n"/>
      <c r="F666" s="49" t="n"/>
      <c r="G666" s="51" t="n"/>
    </row>
    <row r="667" ht="54" customHeight="1">
      <c r="A667" s="29" t="n"/>
      <c r="B667" s="29" t="n"/>
      <c r="C667" s="29" t="n"/>
      <c r="D667" s="29" t="n"/>
      <c r="E667" s="29" t="n"/>
      <c r="F667" s="49" t="n"/>
      <c r="G667" s="51" t="n"/>
    </row>
    <row r="668" ht="54" customHeight="1">
      <c r="A668" s="29" t="n"/>
      <c r="B668" s="29" t="n"/>
      <c r="C668" s="29" t="n"/>
      <c r="D668" s="29" t="n"/>
      <c r="E668" s="29" t="n"/>
      <c r="F668" s="49" t="n"/>
      <c r="G668" s="51" t="n"/>
    </row>
    <row r="669" ht="54" customHeight="1">
      <c r="A669" s="29" t="n"/>
      <c r="B669" s="29" t="n"/>
      <c r="C669" s="29" t="n"/>
      <c r="D669" s="29" t="n"/>
      <c r="E669" s="29" t="n"/>
      <c r="F669" s="49" t="n"/>
      <c r="G669" s="51" t="n"/>
    </row>
    <row r="670" ht="54" customHeight="1">
      <c r="A670" s="29" t="n"/>
      <c r="B670" s="29" t="n"/>
      <c r="C670" s="29" t="n"/>
      <c r="D670" s="29" t="n"/>
      <c r="E670" s="29" t="n"/>
      <c r="F670" s="49" t="n"/>
      <c r="G670" s="51" t="n"/>
    </row>
    <row r="671" ht="54" customHeight="1">
      <c r="A671" s="29" t="n"/>
      <c r="B671" s="29" t="n"/>
      <c r="C671" s="29" t="n"/>
      <c r="D671" s="29" t="n"/>
      <c r="E671" s="29" t="n"/>
      <c r="F671" s="49" t="n"/>
      <c r="G671" s="51" t="n"/>
    </row>
    <row r="672" ht="54" customHeight="1">
      <c r="A672" s="29" t="n"/>
      <c r="B672" s="29" t="n"/>
      <c r="C672" s="29" t="n"/>
      <c r="D672" s="29" t="n"/>
      <c r="E672" s="29" t="n"/>
      <c r="F672" s="49" t="n"/>
      <c r="G672" s="51" t="n"/>
    </row>
    <row r="673" ht="54" customHeight="1">
      <c r="A673" s="29" t="n"/>
      <c r="B673" s="29" t="n"/>
      <c r="C673" s="29" t="n"/>
      <c r="D673" s="29" t="n"/>
      <c r="E673" s="29" t="n"/>
      <c r="F673" s="49" t="n"/>
      <c r="G673" s="51" t="n"/>
    </row>
    <row r="674" ht="54" customHeight="1">
      <c r="A674" s="29" t="n"/>
      <c r="B674" s="29" t="n"/>
      <c r="C674" s="29" t="n"/>
      <c r="D674" s="29" t="n"/>
      <c r="E674" s="29" t="n"/>
      <c r="F674" s="49" t="n"/>
      <c r="G674" s="51" t="n"/>
    </row>
    <row r="675" ht="54" customHeight="1">
      <c r="A675" s="29" t="n"/>
      <c r="B675" s="29" t="n"/>
      <c r="C675" s="29" t="n"/>
      <c r="D675" s="29" t="n"/>
      <c r="E675" s="29" t="n"/>
      <c r="F675" s="49" t="n"/>
      <c r="G675" s="51" t="n"/>
    </row>
    <row r="676" ht="54" customHeight="1">
      <c r="A676" s="29" t="n"/>
      <c r="B676" s="29" t="n"/>
      <c r="C676" s="29" t="n"/>
      <c r="D676" s="29" t="n"/>
      <c r="E676" s="29" t="n"/>
      <c r="F676" s="49" t="n"/>
      <c r="G676" s="51" t="n"/>
    </row>
    <row r="677" ht="54" customHeight="1">
      <c r="A677" s="29" t="n"/>
      <c r="B677" s="29" t="n"/>
      <c r="C677" s="29" t="n"/>
      <c r="D677" s="29" t="n"/>
      <c r="E677" s="29" t="n"/>
      <c r="F677" s="49" t="n"/>
      <c r="G677" s="51" t="n"/>
    </row>
    <row r="678" ht="54" customHeight="1">
      <c r="A678" s="29" t="n"/>
      <c r="B678" s="29" t="n"/>
      <c r="C678" s="29" t="n"/>
      <c r="D678" s="29" t="n"/>
      <c r="E678" s="29" t="n"/>
      <c r="F678" s="49" t="n"/>
      <c r="G678" s="51" t="n"/>
    </row>
    <row r="679" ht="54" customHeight="1">
      <c r="A679" s="29" t="n"/>
      <c r="B679" s="29" t="n"/>
      <c r="C679" s="29" t="n"/>
      <c r="D679" s="29" t="n"/>
      <c r="E679" s="29" t="n"/>
      <c r="F679" s="49" t="n"/>
      <c r="G679" s="51" t="n"/>
    </row>
    <row r="680" ht="54" customHeight="1">
      <c r="A680" s="29" t="n"/>
      <c r="B680" s="29" t="n"/>
      <c r="C680" s="29" t="n"/>
      <c r="D680" s="29" t="n"/>
      <c r="E680" s="29" t="n"/>
      <c r="F680" s="49" t="n"/>
      <c r="G680" s="51" t="n"/>
    </row>
    <row r="681" ht="54" customHeight="1">
      <c r="A681" s="29" t="n"/>
      <c r="B681" s="29" t="n"/>
      <c r="C681" s="29" t="n"/>
      <c r="D681" s="29" t="n"/>
      <c r="E681" s="29" t="n"/>
      <c r="F681" s="49" t="n"/>
      <c r="G681" s="51" t="n"/>
    </row>
    <row r="682" ht="54" customHeight="1">
      <c r="A682" s="29" t="n"/>
      <c r="B682" s="29" t="n"/>
      <c r="C682" s="29" t="n"/>
      <c r="D682" s="29" t="n"/>
      <c r="E682" s="29" t="n"/>
      <c r="F682" s="49" t="n"/>
      <c r="G682" s="51" t="n"/>
    </row>
    <row r="683" ht="54" customHeight="1">
      <c r="A683" s="29" t="n"/>
      <c r="B683" s="29" t="n"/>
      <c r="C683" s="29" t="n"/>
      <c r="D683" s="29" t="n"/>
      <c r="E683" s="29" t="n"/>
      <c r="F683" s="49" t="n"/>
      <c r="G683" s="51" t="n"/>
    </row>
    <row r="684" ht="54" customHeight="1">
      <c r="A684" s="29" t="n"/>
      <c r="B684" s="29" t="n"/>
      <c r="C684" s="29" t="n"/>
      <c r="D684" s="29" t="n"/>
      <c r="E684" s="29" t="n"/>
      <c r="F684" s="49" t="n"/>
      <c r="G684" s="51" t="n"/>
    </row>
    <row r="685" ht="54" customHeight="1">
      <c r="A685" s="29" t="n"/>
      <c r="B685" s="29" t="n"/>
      <c r="C685" s="29" t="n"/>
      <c r="D685" s="29" t="n"/>
      <c r="E685" s="29" t="n"/>
      <c r="F685" s="49" t="n"/>
      <c r="G685" s="51" t="n"/>
    </row>
    <row r="686" ht="54" customHeight="1">
      <c r="A686" s="29" t="n"/>
      <c r="B686" s="29" t="n"/>
      <c r="C686" s="29" t="n"/>
      <c r="D686" s="29" t="n"/>
      <c r="E686" s="29" t="n"/>
      <c r="F686" s="49" t="n"/>
      <c r="G686" s="51" t="n"/>
    </row>
    <row r="687" ht="54" customHeight="1">
      <c r="A687" s="29" t="n"/>
      <c r="B687" s="29" t="n"/>
      <c r="C687" s="29" t="n"/>
      <c r="D687" s="29" t="n"/>
      <c r="E687" s="29" t="n"/>
      <c r="F687" s="49" t="n"/>
      <c r="G687" s="51" t="n"/>
    </row>
    <row r="688" ht="54" customHeight="1">
      <c r="A688" s="29" t="n"/>
      <c r="B688" s="29" t="n"/>
      <c r="C688" s="29" t="n"/>
      <c r="D688" s="29" t="n"/>
      <c r="E688" s="29" t="n"/>
      <c r="F688" s="49" t="n"/>
      <c r="G688" s="51" t="n"/>
    </row>
    <row r="689" ht="54" customHeight="1">
      <c r="A689" s="29" t="n"/>
      <c r="B689" s="29" t="n"/>
      <c r="C689" s="29" t="n"/>
      <c r="D689" s="29" t="n"/>
      <c r="E689" s="29" t="n"/>
      <c r="F689" s="49" t="n"/>
      <c r="G689" s="51" t="n"/>
    </row>
    <row r="690" ht="54" customHeight="1">
      <c r="A690" s="29" t="n"/>
      <c r="B690" s="29" t="n"/>
      <c r="C690" s="29" t="n"/>
      <c r="D690" s="29" t="n"/>
      <c r="E690" s="29" t="n"/>
      <c r="F690" s="49" t="n"/>
      <c r="G690" s="51" t="n"/>
    </row>
    <row r="691" ht="54" customHeight="1">
      <c r="A691" s="29" t="n"/>
      <c r="B691" s="29" t="n"/>
      <c r="C691" s="29" t="n"/>
      <c r="D691" s="29" t="n"/>
      <c r="E691" s="29" t="n"/>
      <c r="F691" s="49" t="n"/>
      <c r="G691" s="51" t="n"/>
    </row>
    <row r="692" ht="54" customHeight="1">
      <c r="A692" s="29" t="n"/>
      <c r="B692" s="29" t="n"/>
      <c r="C692" s="29" t="n"/>
      <c r="D692" s="29" t="n"/>
      <c r="E692" s="29" t="n"/>
      <c r="F692" s="49" t="n"/>
      <c r="G692" s="51" t="n"/>
    </row>
    <row r="693" ht="54" customHeight="1">
      <c r="A693" s="29" t="n"/>
      <c r="B693" s="29" t="n"/>
      <c r="C693" s="29" t="n"/>
      <c r="D693" s="29" t="n"/>
      <c r="E693" s="29" t="n"/>
      <c r="F693" s="49" t="n"/>
      <c r="G693" s="51" t="n"/>
    </row>
    <row r="694" ht="54" customHeight="1">
      <c r="A694" s="29" t="n"/>
      <c r="B694" s="29" t="n"/>
      <c r="C694" s="29" t="n"/>
      <c r="D694" s="29" t="n"/>
      <c r="E694" s="29" t="n"/>
      <c r="F694" s="49" t="n"/>
      <c r="G694" s="51" t="n"/>
    </row>
    <row r="695" ht="54" customHeight="1">
      <c r="A695" s="29" t="n"/>
      <c r="B695" s="29" t="n"/>
      <c r="C695" s="29" t="n"/>
      <c r="D695" s="29" t="n"/>
      <c r="E695" s="29" t="n"/>
      <c r="F695" s="49" t="n"/>
      <c r="G695" s="51" t="n"/>
    </row>
    <row r="696" ht="54" customHeight="1">
      <c r="A696" s="29" t="n"/>
      <c r="B696" s="29" t="n"/>
      <c r="C696" s="29" t="n"/>
      <c r="D696" s="29" t="n"/>
      <c r="E696" s="29" t="n"/>
      <c r="F696" s="49" t="n"/>
      <c r="G696" s="51" t="n"/>
    </row>
    <row r="697" ht="54" customHeight="1">
      <c r="A697" s="29" t="n"/>
      <c r="B697" s="29" t="n"/>
      <c r="C697" s="29" t="n"/>
      <c r="D697" s="29" t="n"/>
      <c r="E697" s="29" t="n"/>
      <c r="F697" s="49" t="n"/>
      <c r="G697" s="51" t="n"/>
    </row>
    <row r="698" ht="54" customHeight="1">
      <c r="A698" s="29" t="n"/>
      <c r="B698" s="29" t="n"/>
      <c r="C698" s="29" t="n"/>
      <c r="D698" s="29" t="n"/>
      <c r="E698" s="29" t="n"/>
      <c r="F698" s="49" t="n"/>
      <c r="G698" s="51" t="n"/>
    </row>
    <row r="699" ht="54" customHeight="1">
      <c r="A699" s="29" t="n"/>
      <c r="B699" s="29" t="n"/>
      <c r="C699" s="29" t="n"/>
      <c r="D699" s="29" t="n"/>
      <c r="E699" s="29" t="n"/>
      <c r="F699" s="49" t="n"/>
      <c r="G699" s="51" t="n"/>
    </row>
    <row r="700" ht="54" customHeight="1">
      <c r="A700" s="29" t="n"/>
      <c r="B700" s="29" t="n"/>
      <c r="C700" s="29" t="n"/>
      <c r="D700" s="29" t="n"/>
      <c r="E700" s="29" t="n"/>
      <c r="F700" s="49" t="n"/>
      <c r="G700" s="51" t="n"/>
    </row>
    <row r="701" ht="54" customHeight="1">
      <c r="A701" s="29" t="n"/>
      <c r="B701" s="29" t="n"/>
      <c r="C701" s="29" t="n"/>
      <c r="D701" s="29" t="n"/>
      <c r="E701" s="29" t="n"/>
      <c r="F701" s="49" t="n"/>
      <c r="G701" s="51" t="n"/>
    </row>
    <row r="702" ht="54" customHeight="1">
      <c r="A702" s="29" t="n"/>
      <c r="B702" s="29" t="n"/>
      <c r="C702" s="29" t="n"/>
      <c r="D702" s="29" t="n"/>
      <c r="E702" s="29" t="n"/>
      <c r="F702" s="49" t="n"/>
      <c r="G702" s="51" t="n"/>
    </row>
    <row r="703" ht="54" customHeight="1">
      <c r="A703" s="29" t="n"/>
      <c r="B703" s="29" t="n"/>
      <c r="C703" s="29" t="n"/>
      <c r="D703" s="29" t="n"/>
      <c r="E703" s="29" t="n"/>
      <c r="F703" s="49" t="n"/>
      <c r="G703" s="51" t="n"/>
    </row>
    <row r="704" ht="54" customHeight="1">
      <c r="A704" s="29" t="n"/>
      <c r="B704" s="29" t="n"/>
      <c r="C704" s="29" t="n"/>
      <c r="D704" s="29" t="n"/>
      <c r="E704" s="29" t="n"/>
      <c r="F704" s="49" t="n"/>
      <c r="G704" s="51" t="n"/>
    </row>
    <row r="705" ht="54" customHeight="1">
      <c r="A705" s="29" t="n"/>
      <c r="B705" s="29" t="n"/>
      <c r="C705" s="29" t="n"/>
      <c r="D705" s="29" t="n"/>
      <c r="E705" s="29" t="n"/>
      <c r="F705" s="49" t="n"/>
      <c r="G705" s="51" t="n"/>
    </row>
    <row r="706" ht="54" customHeight="1">
      <c r="A706" s="29" t="n"/>
      <c r="B706" s="29" t="n"/>
      <c r="C706" s="29" t="n"/>
      <c r="D706" s="29" t="n"/>
      <c r="E706" s="29" t="n"/>
      <c r="F706" s="49" t="n"/>
      <c r="G706" s="51" t="n"/>
    </row>
    <row r="707" ht="54" customHeight="1">
      <c r="A707" s="29" t="n"/>
      <c r="B707" s="29" t="n"/>
      <c r="C707" s="29" t="n"/>
      <c r="D707" s="29" t="n"/>
      <c r="E707" s="29" t="n"/>
      <c r="F707" s="49" t="n"/>
      <c r="G707" s="51" t="n"/>
    </row>
    <row r="708" ht="54" customHeight="1">
      <c r="A708" s="29" t="n"/>
      <c r="B708" s="29" t="n"/>
      <c r="C708" s="29" t="n"/>
      <c r="D708" s="29" t="n"/>
      <c r="E708" s="29" t="n"/>
      <c r="F708" s="49" t="n"/>
      <c r="G708" s="51" t="n"/>
    </row>
    <row r="709" ht="54" customHeight="1">
      <c r="A709" s="29" t="n"/>
      <c r="B709" s="29" t="n"/>
      <c r="C709" s="29" t="n"/>
      <c r="D709" s="29" t="n"/>
      <c r="E709" s="29" t="n"/>
      <c r="F709" s="49" t="n"/>
      <c r="G709" s="51" t="n"/>
    </row>
    <row r="710" ht="54" customHeight="1">
      <c r="A710" s="29" t="n"/>
      <c r="B710" s="29" t="n"/>
      <c r="C710" s="29" t="n"/>
      <c r="D710" s="29" t="n"/>
      <c r="E710" s="29" t="n"/>
      <c r="F710" s="49" t="n"/>
      <c r="G710" s="51" t="n"/>
    </row>
    <row r="711" ht="54" customHeight="1">
      <c r="A711" s="29" t="n"/>
      <c r="B711" s="29" t="n"/>
      <c r="C711" s="29" t="n"/>
      <c r="D711" s="29" t="n"/>
      <c r="E711" s="29" t="n"/>
      <c r="F711" s="49" t="n"/>
      <c r="G711" s="51" t="n"/>
    </row>
    <row r="712" ht="54" customHeight="1">
      <c r="A712" s="29" t="n"/>
      <c r="B712" s="29" t="n"/>
      <c r="C712" s="29" t="n"/>
      <c r="D712" s="29" t="n"/>
      <c r="E712" s="29" t="n"/>
      <c r="F712" s="49" t="n"/>
      <c r="G712" s="51" t="n"/>
    </row>
    <row r="713" ht="54" customHeight="1">
      <c r="A713" s="29" t="n"/>
      <c r="B713" s="29" t="n"/>
      <c r="C713" s="29" t="n"/>
      <c r="D713" s="29" t="n"/>
      <c r="E713" s="29" t="n"/>
      <c r="F713" s="49" t="n"/>
      <c r="G713" s="51" t="n"/>
    </row>
    <row r="714" ht="54" customHeight="1">
      <c r="A714" s="29" t="n"/>
      <c r="B714" s="29" t="n"/>
      <c r="C714" s="29" t="n"/>
      <c r="D714" s="29" t="n"/>
      <c r="E714" s="29" t="n"/>
      <c r="F714" s="49" t="n"/>
      <c r="G714" s="51" t="n"/>
    </row>
    <row r="715" ht="54" customHeight="1">
      <c r="A715" s="29" t="n"/>
      <c r="B715" s="29" t="n"/>
      <c r="C715" s="29" t="n"/>
      <c r="D715" s="29" t="n"/>
      <c r="E715" s="29" t="n"/>
      <c r="F715" s="49" t="n"/>
      <c r="G715" s="51" t="n"/>
    </row>
    <row r="716" ht="54" customHeight="1">
      <c r="A716" s="29" t="n"/>
      <c r="B716" s="29" t="n"/>
      <c r="C716" s="29" t="n"/>
      <c r="D716" s="29" t="n"/>
      <c r="E716" s="29" t="n"/>
      <c r="F716" s="49" t="n"/>
      <c r="G716" s="51" t="n"/>
    </row>
    <row r="717" ht="54" customHeight="1">
      <c r="A717" s="29" t="n"/>
      <c r="B717" s="29" t="n"/>
      <c r="C717" s="29" t="n"/>
      <c r="D717" s="29" t="n"/>
      <c r="E717" s="29" t="n"/>
      <c r="F717" s="49" t="n"/>
      <c r="G717" s="51" t="n"/>
    </row>
    <row r="718" ht="54" customHeight="1">
      <c r="A718" s="29" t="n"/>
      <c r="B718" s="29" t="n"/>
      <c r="C718" s="29" t="n"/>
      <c r="D718" s="29" t="n"/>
      <c r="E718" s="29" t="n"/>
      <c r="F718" s="49" t="n"/>
      <c r="G718" s="51" t="n"/>
    </row>
    <row r="719" ht="54" customHeight="1">
      <c r="A719" s="29" t="n"/>
      <c r="B719" s="29" t="n"/>
      <c r="C719" s="29" t="n"/>
      <c r="D719" s="29" t="n"/>
      <c r="E719" s="29" t="n"/>
      <c r="F719" s="49" t="n"/>
      <c r="G719" s="51" t="n"/>
    </row>
    <row r="720" ht="54" customHeight="1">
      <c r="A720" s="29" t="n"/>
      <c r="B720" s="29" t="n"/>
      <c r="C720" s="29" t="n"/>
      <c r="D720" s="29" t="n"/>
      <c r="E720" s="29" t="n"/>
      <c r="F720" s="49" t="n"/>
      <c r="G720" s="51" t="n"/>
    </row>
    <row r="721" ht="54" customHeight="1">
      <c r="A721" s="29" t="n"/>
      <c r="B721" s="29" t="n"/>
      <c r="C721" s="29" t="n"/>
      <c r="D721" s="29" t="n"/>
      <c r="E721" s="29" t="n"/>
      <c r="F721" s="49" t="n"/>
      <c r="G721" s="51" t="n"/>
    </row>
    <row r="722" ht="54" customHeight="1">
      <c r="A722" s="29" t="n"/>
      <c r="B722" s="29" t="n"/>
      <c r="C722" s="29" t="n"/>
      <c r="D722" s="29" t="n"/>
      <c r="E722" s="29" t="n"/>
      <c r="F722" s="49" t="n"/>
      <c r="G722" s="51" t="n"/>
    </row>
    <row r="723" ht="54" customHeight="1">
      <c r="A723" s="29" t="n"/>
      <c r="B723" s="29" t="n"/>
      <c r="C723" s="29" t="n"/>
      <c r="D723" s="29" t="n"/>
      <c r="E723" s="29" t="n"/>
      <c r="F723" s="49" t="n"/>
      <c r="G723" s="51" t="n"/>
    </row>
    <row r="724" ht="54" customHeight="1">
      <c r="A724" s="29" t="n"/>
      <c r="B724" s="29" t="n"/>
      <c r="C724" s="29" t="n"/>
      <c r="D724" s="29" t="n"/>
      <c r="E724" s="29" t="n"/>
      <c r="F724" s="49" t="n"/>
      <c r="G724" s="51" t="n"/>
    </row>
    <row r="725" ht="54" customHeight="1">
      <c r="A725" s="29" t="n"/>
      <c r="B725" s="29" t="n"/>
      <c r="C725" s="29" t="n"/>
      <c r="D725" s="29" t="n"/>
      <c r="E725" s="29" t="n"/>
      <c r="F725" s="49" t="n"/>
      <c r="G725" s="51" t="n"/>
    </row>
    <row r="726" ht="54" customHeight="1">
      <c r="A726" s="29" t="n"/>
      <c r="B726" s="29" t="n"/>
      <c r="C726" s="29" t="n"/>
      <c r="D726" s="29" t="n"/>
      <c r="E726" s="29" t="n"/>
      <c r="F726" s="49" t="n"/>
      <c r="G726" s="51" t="n"/>
    </row>
    <row r="727" ht="54" customHeight="1">
      <c r="A727" s="29" t="n"/>
      <c r="B727" s="29" t="n"/>
      <c r="C727" s="29" t="n"/>
      <c r="D727" s="29" t="n"/>
      <c r="E727" s="29" t="n"/>
      <c r="F727" s="49" t="n"/>
      <c r="G727" s="51" t="n"/>
    </row>
    <row r="728" ht="54" customHeight="1">
      <c r="A728" s="29" t="n"/>
      <c r="B728" s="29" t="n"/>
      <c r="C728" s="29" t="n"/>
      <c r="D728" s="29" t="n"/>
      <c r="E728" s="29" t="n"/>
      <c r="F728" s="49" t="n"/>
      <c r="G728" s="51" t="n"/>
    </row>
    <row r="729" ht="54" customHeight="1">
      <c r="A729" s="29" t="n"/>
      <c r="B729" s="29" t="n"/>
      <c r="C729" s="29" t="n"/>
      <c r="D729" s="29" t="n"/>
      <c r="E729" s="29" t="n"/>
      <c r="F729" s="49" t="n"/>
      <c r="G729" s="51" t="n"/>
    </row>
    <row r="730" ht="54" customHeight="1">
      <c r="A730" s="29" t="n"/>
      <c r="B730" s="29" t="n"/>
      <c r="C730" s="29" t="n"/>
      <c r="D730" s="29" t="n"/>
      <c r="E730" s="29" t="n"/>
      <c r="F730" s="49" t="n"/>
      <c r="G730" s="51" t="n"/>
    </row>
    <row r="731" ht="54" customHeight="1">
      <c r="A731" s="29" t="n"/>
      <c r="B731" s="29" t="n"/>
      <c r="C731" s="29" t="n"/>
      <c r="D731" s="29" t="n"/>
      <c r="E731" s="29" t="n"/>
      <c r="F731" s="49" t="n"/>
      <c r="G731" s="51" t="n"/>
    </row>
    <row r="732" ht="54" customHeight="1">
      <c r="A732" s="29" t="n"/>
      <c r="B732" s="29" t="n"/>
      <c r="C732" s="29" t="n"/>
      <c r="D732" s="29" t="n"/>
      <c r="E732" s="29" t="n"/>
      <c r="F732" s="49" t="n"/>
      <c r="G732" s="51" t="n"/>
    </row>
    <row r="733" ht="54" customHeight="1">
      <c r="A733" s="29" t="n"/>
      <c r="B733" s="29" t="n"/>
      <c r="C733" s="29" t="n"/>
      <c r="D733" s="29" t="n"/>
      <c r="E733" s="29" t="n"/>
      <c r="F733" s="49" t="n"/>
      <c r="G733" s="51" t="n"/>
    </row>
    <row r="734" ht="54" customHeight="1">
      <c r="A734" s="29" t="n"/>
      <c r="B734" s="29" t="n"/>
      <c r="C734" s="29" t="n"/>
      <c r="D734" s="29" t="n"/>
      <c r="E734" s="29" t="n"/>
      <c r="F734" s="49" t="n"/>
      <c r="G734" s="51" t="n"/>
    </row>
    <row r="735" ht="54" customHeight="1">
      <c r="A735" s="29" t="n"/>
      <c r="B735" s="29" t="n"/>
      <c r="C735" s="29" t="n"/>
      <c r="D735" s="29" t="n"/>
      <c r="E735" s="29" t="n"/>
      <c r="F735" s="49" t="n"/>
      <c r="G735" s="51" t="n"/>
    </row>
    <row r="736" ht="54" customHeight="1">
      <c r="A736" s="29" t="n"/>
      <c r="B736" s="29" t="n"/>
      <c r="C736" s="29" t="n"/>
      <c r="D736" s="29" t="n"/>
      <c r="E736" s="29" t="n"/>
      <c r="F736" s="49" t="n"/>
      <c r="G736" s="51" t="n"/>
    </row>
    <row r="737" ht="54" customHeight="1">
      <c r="A737" s="29" t="n"/>
      <c r="B737" s="29" t="n"/>
      <c r="C737" s="29" t="n"/>
      <c r="D737" s="29" t="n"/>
      <c r="E737" s="29" t="n"/>
      <c r="F737" s="49" t="n"/>
      <c r="G737" s="51" t="n"/>
    </row>
    <row r="738" ht="54" customHeight="1">
      <c r="A738" s="29" t="n"/>
      <c r="B738" s="29" t="n"/>
      <c r="C738" s="29" t="n"/>
      <c r="D738" s="29" t="n"/>
      <c r="E738" s="29" t="n"/>
      <c r="F738" s="49" t="n"/>
      <c r="G738" s="51" t="n"/>
    </row>
    <row r="739" ht="54" customHeight="1">
      <c r="A739" s="29" t="n"/>
      <c r="B739" s="29" t="n"/>
      <c r="C739" s="29" t="n"/>
      <c r="D739" s="29" t="n"/>
      <c r="E739" s="29" t="n"/>
      <c r="F739" s="49" t="n"/>
      <c r="G739" s="51" t="n"/>
    </row>
    <row r="740" ht="54" customHeight="1">
      <c r="A740" s="29" t="n"/>
      <c r="B740" s="29" t="n"/>
      <c r="C740" s="29" t="n"/>
      <c r="D740" s="29" t="n"/>
      <c r="E740" s="29" t="n"/>
      <c r="F740" s="49" t="n"/>
      <c r="G740" s="51" t="n"/>
    </row>
    <row r="741" ht="54" customHeight="1">
      <c r="A741" s="29" t="n"/>
      <c r="B741" s="29" t="n"/>
      <c r="C741" s="29" t="n"/>
      <c r="D741" s="29" t="n"/>
      <c r="E741" s="29" t="n"/>
      <c r="F741" s="49" t="n"/>
      <c r="G741" s="51" t="n"/>
    </row>
    <row r="742" ht="54" customHeight="1">
      <c r="A742" s="29" t="n"/>
      <c r="B742" s="29" t="n"/>
      <c r="C742" s="29" t="n"/>
      <c r="D742" s="29" t="n"/>
      <c r="E742" s="29" t="n"/>
      <c r="F742" s="49" t="n"/>
      <c r="G742" s="51" t="n"/>
    </row>
    <row r="743" ht="54" customHeight="1">
      <c r="A743" s="29" t="n"/>
      <c r="B743" s="29" t="n"/>
      <c r="C743" s="29" t="n"/>
      <c r="D743" s="29" t="n"/>
      <c r="E743" s="29" t="n"/>
      <c r="F743" s="49" t="n"/>
      <c r="G743" s="51" t="n"/>
    </row>
    <row r="744" ht="54" customHeight="1">
      <c r="A744" s="29" t="n"/>
      <c r="B744" s="29" t="n"/>
      <c r="C744" s="29" t="n"/>
      <c r="D744" s="29" t="n"/>
      <c r="E744" s="29" t="n"/>
      <c r="F744" s="49" t="n"/>
      <c r="G744" s="51" t="n"/>
    </row>
    <row r="745" ht="54" customHeight="1">
      <c r="A745" s="29" t="n"/>
      <c r="B745" s="29" t="n"/>
      <c r="C745" s="29" t="n"/>
      <c r="D745" s="29" t="n"/>
      <c r="E745" s="29" t="n"/>
      <c r="F745" s="49" t="n"/>
      <c r="G745" s="51" t="n"/>
    </row>
    <row r="746" ht="54" customHeight="1">
      <c r="A746" s="29" t="n"/>
      <c r="B746" s="29" t="n"/>
      <c r="C746" s="29" t="n"/>
      <c r="D746" s="29" t="n"/>
      <c r="E746" s="29" t="n"/>
      <c r="F746" s="49" t="n"/>
      <c r="G746" s="51" t="n"/>
    </row>
    <row r="747" ht="54" customHeight="1">
      <c r="A747" s="29" t="n"/>
      <c r="B747" s="29" t="n"/>
      <c r="C747" s="29" t="n"/>
      <c r="D747" s="29" t="n"/>
      <c r="E747" s="29" t="n"/>
      <c r="F747" s="49" t="n"/>
      <c r="G747" s="51" t="n"/>
    </row>
    <row r="748" ht="54" customHeight="1">
      <c r="A748" s="29" t="n"/>
      <c r="B748" s="29" t="n"/>
      <c r="C748" s="29" t="n"/>
      <c r="D748" s="29" t="n"/>
      <c r="E748" s="29" t="n"/>
      <c r="F748" s="49" t="n"/>
      <c r="G748" s="51" t="n"/>
    </row>
    <row r="749" ht="54" customHeight="1">
      <c r="A749" s="29" t="n"/>
      <c r="B749" s="29" t="n"/>
      <c r="C749" s="29" t="n"/>
      <c r="D749" s="29" t="n"/>
      <c r="E749" s="29" t="n"/>
      <c r="F749" s="49" t="n"/>
      <c r="G749" s="51" t="n"/>
    </row>
    <row r="750" ht="54" customHeight="1">
      <c r="A750" s="29" t="n"/>
      <c r="B750" s="29" t="n"/>
      <c r="C750" s="29" t="n"/>
      <c r="D750" s="29" t="n"/>
      <c r="E750" s="29" t="n"/>
      <c r="F750" s="49" t="n"/>
      <c r="G750" s="51" t="n"/>
    </row>
    <row r="751" ht="54" customHeight="1">
      <c r="A751" s="29" t="n"/>
      <c r="B751" s="29" t="n"/>
      <c r="C751" s="29" t="n"/>
      <c r="D751" s="29" t="n"/>
      <c r="E751" s="29" t="n"/>
      <c r="F751" s="49" t="n"/>
      <c r="G751" s="51" t="n"/>
    </row>
    <row r="752" ht="54" customHeight="1">
      <c r="A752" s="29" t="n"/>
      <c r="B752" s="29" t="n"/>
      <c r="C752" s="29" t="n"/>
      <c r="D752" s="29" t="n"/>
      <c r="E752" s="29" t="n"/>
      <c r="F752" s="49" t="n"/>
      <c r="G752" s="51" t="n"/>
    </row>
    <row r="753" ht="54" customHeight="1">
      <c r="A753" s="29" t="n"/>
      <c r="B753" s="29" t="n"/>
      <c r="C753" s="29" t="n"/>
      <c r="D753" s="29" t="n"/>
      <c r="E753" s="29" t="n"/>
      <c r="F753" s="49" t="n"/>
      <c r="G753" s="51" t="n"/>
    </row>
    <row r="754" ht="54" customHeight="1">
      <c r="A754" s="29" t="n"/>
      <c r="B754" s="29" t="n"/>
      <c r="C754" s="29" t="n"/>
      <c r="D754" s="29" t="n"/>
      <c r="E754" s="29" t="n"/>
      <c r="F754" s="49" t="n"/>
      <c r="G754" s="51" t="n"/>
    </row>
    <row r="755" ht="54" customHeight="1">
      <c r="A755" s="29" t="n"/>
      <c r="B755" s="29" t="n"/>
      <c r="C755" s="29" t="n"/>
      <c r="D755" s="29" t="n"/>
      <c r="E755" s="29" t="n"/>
      <c r="F755" s="49" t="n"/>
      <c r="G755" s="51" t="n"/>
    </row>
    <row r="756" ht="54" customHeight="1">
      <c r="A756" s="29" t="n"/>
      <c r="B756" s="29" t="n"/>
      <c r="C756" s="29" t="n"/>
      <c r="D756" s="29" t="n"/>
      <c r="E756" s="29" t="n"/>
      <c r="F756" s="49" t="n"/>
      <c r="G756" s="51" t="n"/>
    </row>
    <row r="757" ht="54" customHeight="1">
      <c r="A757" s="29" t="n"/>
      <c r="B757" s="29" t="n"/>
      <c r="C757" s="29" t="n"/>
      <c r="D757" s="29" t="n"/>
      <c r="E757" s="29" t="n"/>
      <c r="F757" s="49" t="n"/>
      <c r="G757" s="51" t="n"/>
    </row>
    <row r="758" ht="54" customHeight="1">
      <c r="A758" s="29" t="n"/>
      <c r="B758" s="29" t="n"/>
      <c r="C758" s="29" t="n"/>
      <c r="D758" s="29" t="n"/>
      <c r="E758" s="29" t="n"/>
      <c r="F758" s="49" t="n"/>
      <c r="G758" s="51" t="n"/>
    </row>
    <row r="759" ht="54" customHeight="1">
      <c r="A759" s="29" t="n"/>
      <c r="B759" s="29" t="n"/>
      <c r="C759" s="29" t="n"/>
      <c r="D759" s="29" t="n"/>
      <c r="E759" s="29" t="n"/>
      <c r="F759" s="49" t="n"/>
      <c r="G759" s="51" t="n"/>
    </row>
    <row r="760" ht="54" customHeight="1">
      <c r="A760" s="29" t="n"/>
      <c r="B760" s="29" t="n"/>
      <c r="C760" s="29" t="n"/>
      <c r="D760" s="29" t="n"/>
      <c r="E760" s="29" t="n"/>
      <c r="F760" s="49" t="n"/>
      <c r="G760" s="51" t="n"/>
    </row>
    <row r="761" ht="54" customHeight="1">
      <c r="A761" s="29" t="n"/>
      <c r="B761" s="29" t="n"/>
      <c r="C761" s="29" t="n"/>
      <c r="D761" s="29" t="n"/>
      <c r="E761" s="29" t="n"/>
      <c r="F761" s="49" t="n"/>
      <c r="G761" s="51" t="n"/>
    </row>
    <row r="762" ht="54" customHeight="1">
      <c r="A762" s="29" t="n"/>
      <c r="B762" s="29" t="n"/>
      <c r="C762" s="29" t="n"/>
      <c r="D762" s="29" t="n"/>
      <c r="E762" s="29" t="n"/>
      <c r="F762" s="49" t="n"/>
      <c r="G762" s="51" t="n"/>
    </row>
    <row r="763" ht="54" customHeight="1">
      <c r="A763" s="29" t="n"/>
      <c r="B763" s="29" t="n"/>
      <c r="C763" s="29" t="n"/>
      <c r="D763" s="29" t="n"/>
      <c r="E763" s="29" t="n"/>
      <c r="F763" s="49" t="n"/>
      <c r="G763" s="51" t="n"/>
    </row>
    <row r="764" ht="54" customHeight="1">
      <c r="A764" s="29" t="n"/>
      <c r="B764" s="29" t="n"/>
      <c r="C764" s="29" t="n"/>
      <c r="D764" s="29" t="n"/>
      <c r="E764" s="29" t="n"/>
      <c r="F764" s="49" t="n"/>
      <c r="G764" s="51" t="n"/>
    </row>
    <row r="765" ht="54" customHeight="1">
      <c r="A765" s="29" t="n"/>
      <c r="B765" s="29" t="n"/>
      <c r="C765" s="29" t="n"/>
      <c r="D765" s="29" t="n"/>
      <c r="E765" s="29" t="n"/>
      <c r="F765" s="49" t="n"/>
      <c r="G765" s="51" t="n"/>
    </row>
    <row r="766" ht="54" customHeight="1">
      <c r="A766" s="29" t="n"/>
      <c r="B766" s="29" t="n"/>
      <c r="C766" s="29" t="n"/>
      <c r="D766" s="29" t="n"/>
      <c r="E766" s="29" t="n"/>
      <c r="F766" s="49" t="n"/>
      <c r="G766" s="51" t="n"/>
    </row>
    <row r="767" ht="54" customHeight="1">
      <c r="A767" s="29" t="n"/>
      <c r="B767" s="29" t="n"/>
      <c r="C767" s="29" t="n"/>
      <c r="D767" s="29" t="n"/>
      <c r="E767" s="29" t="n"/>
      <c r="F767" s="49" t="n"/>
      <c r="G767" s="51" t="n"/>
    </row>
    <row r="768" ht="54" customHeight="1">
      <c r="A768" s="29" t="n"/>
      <c r="B768" s="29" t="n"/>
      <c r="C768" s="29" t="n"/>
      <c r="D768" s="29" t="n"/>
      <c r="E768" s="29" t="n"/>
      <c r="F768" s="49" t="n"/>
      <c r="G768" s="51" t="n"/>
    </row>
    <row r="769" ht="54" customHeight="1">
      <c r="A769" s="29" t="n"/>
      <c r="B769" s="29" t="n"/>
      <c r="C769" s="29" t="n"/>
      <c r="D769" s="29" t="n"/>
      <c r="E769" s="29" t="n"/>
      <c r="F769" s="49" t="n"/>
      <c r="G769" s="51" t="n"/>
    </row>
    <row r="770" ht="54" customHeight="1">
      <c r="A770" s="29" t="n"/>
      <c r="B770" s="29" t="n"/>
      <c r="C770" s="29" t="n"/>
      <c r="D770" s="29" t="n"/>
      <c r="E770" s="29" t="n"/>
      <c r="F770" s="49" t="n"/>
      <c r="G770" s="51" t="n"/>
    </row>
    <row r="771" ht="54" customHeight="1">
      <c r="A771" s="29" t="n"/>
      <c r="B771" s="29" t="n"/>
      <c r="C771" s="29" t="n"/>
      <c r="D771" s="29" t="n"/>
      <c r="E771" s="29" t="n"/>
      <c r="F771" s="49" t="n"/>
      <c r="G771" s="51" t="n"/>
    </row>
    <row r="772" ht="54" customHeight="1">
      <c r="A772" s="29" t="n"/>
      <c r="B772" s="29" t="n"/>
      <c r="C772" s="29" t="n"/>
      <c r="D772" s="29" t="n"/>
      <c r="E772" s="29" t="n"/>
      <c r="F772" s="49" t="n"/>
      <c r="G772" s="51" t="n"/>
    </row>
    <row r="773" ht="54" customHeight="1">
      <c r="A773" s="29" t="n"/>
      <c r="B773" s="29" t="n"/>
      <c r="C773" s="29" t="n"/>
      <c r="D773" s="29" t="n"/>
      <c r="E773" s="29" t="n"/>
      <c r="F773" s="49" t="n"/>
      <c r="G773" s="51" t="n"/>
    </row>
    <row r="774" ht="54" customHeight="1">
      <c r="A774" s="29" t="n"/>
      <c r="B774" s="29" t="n"/>
      <c r="C774" s="29" t="n"/>
      <c r="D774" s="29" t="n"/>
      <c r="E774" s="29" t="n"/>
      <c r="F774" s="49" t="n"/>
      <c r="G774" s="51" t="n"/>
    </row>
    <row r="775" ht="54" customHeight="1">
      <c r="A775" s="29" t="n"/>
      <c r="B775" s="29" t="n"/>
      <c r="C775" s="29" t="n"/>
      <c r="D775" s="29" t="n"/>
      <c r="E775" s="29" t="n"/>
      <c r="F775" s="49" t="n"/>
      <c r="G775" s="51" t="n"/>
    </row>
    <row r="776" ht="54" customHeight="1">
      <c r="A776" s="29" t="n"/>
      <c r="B776" s="29" t="n"/>
      <c r="C776" s="29" t="n"/>
      <c r="D776" s="29" t="n"/>
      <c r="E776" s="29" t="n"/>
      <c r="F776" s="49" t="n"/>
      <c r="G776" s="51" t="n"/>
    </row>
    <row r="777" ht="54" customHeight="1">
      <c r="A777" s="29" t="n"/>
      <c r="B777" s="29" t="n"/>
      <c r="C777" s="29" t="n"/>
      <c r="D777" s="29" t="n"/>
      <c r="E777" s="29" t="n"/>
      <c r="F777" s="49" t="n"/>
      <c r="G777" s="51" t="n"/>
    </row>
    <row r="778" ht="54" customHeight="1">
      <c r="A778" s="29" t="n"/>
      <c r="B778" s="29" t="n"/>
      <c r="C778" s="29" t="n"/>
      <c r="D778" s="29" t="n"/>
      <c r="E778" s="29" t="n"/>
      <c r="F778" s="49" t="n"/>
      <c r="G778" s="51" t="n"/>
    </row>
    <row r="779" ht="54" customHeight="1">
      <c r="A779" s="29" t="n"/>
      <c r="B779" s="29" t="n"/>
      <c r="C779" s="29" t="n"/>
      <c r="D779" s="29" t="n"/>
      <c r="E779" s="29" t="n"/>
      <c r="F779" s="49" t="n"/>
      <c r="G779" s="51" t="n"/>
    </row>
    <row r="780" ht="54" customHeight="1">
      <c r="A780" s="29" t="n"/>
      <c r="B780" s="29" t="n"/>
      <c r="C780" s="29" t="n"/>
      <c r="D780" s="29" t="n"/>
      <c r="E780" s="29" t="n"/>
      <c r="F780" s="49" t="n"/>
      <c r="G780" s="51" t="n"/>
    </row>
    <row r="781" ht="54" customHeight="1">
      <c r="A781" s="29" t="n"/>
      <c r="B781" s="29" t="n"/>
      <c r="C781" s="29" t="n"/>
      <c r="D781" s="29" t="n"/>
      <c r="E781" s="29" t="n"/>
      <c r="F781" s="49" t="n"/>
      <c r="G781" s="51" t="n"/>
    </row>
    <row r="782" ht="54" customHeight="1">
      <c r="A782" s="29" t="n"/>
      <c r="B782" s="29" t="n"/>
      <c r="C782" s="29" t="n"/>
      <c r="D782" s="29" t="n"/>
      <c r="E782" s="29" t="n"/>
      <c r="F782" s="49" t="n"/>
      <c r="G782" s="51" t="n"/>
    </row>
    <row r="783" ht="54" customHeight="1">
      <c r="A783" s="29" t="n"/>
      <c r="B783" s="29" t="n"/>
      <c r="C783" s="29" t="n"/>
      <c r="D783" s="29" t="n"/>
      <c r="E783" s="29" t="n"/>
      <c r="F783" s="49" t="n"/>
      <c r="G783" s="51" t="n"/>
    </row>
    <row r="784" ht="54" customHeight="1">
      <c r="A784" s="29" t="n"/>
      <c r="B784" s="29" t="n"/>
      <c r="C784" s="29" t="n"/>
      <c r="D784" s="29" t="n"/>
      <c r="E784" s="29" t="n"/>
      <c r="F784" s="49" t="n"/>
      <c r="G784" s="51" t="n"/>
    </row>
    <row r="785" ht="54" customHeight="1">
      <c r="A785" s="29" t="n"/>
      <c r="B785" s="29" t="n"/>
      <c r="C785" s="29" t="n"/>
      <c r="D785" s="29" t="n"/>
      <c r="E785" s="29" t="n"/>
      <c r="F785" s="49" t="n"/>
      <c r="G785" s="51" t="n"/>
    </row>
    <row r="786" ht="54" customHeight="1">
      <c r="A786" s="29" t="n"/>
      <c r="B786" s="29" t="n"/>
      <c r="C786" s="29" t="n"/>
      <c r="D786" s="29" t="n"/>
      <c r="E786" s="29" t="n"/>
      <c r="F786" s="49" t="n"/>
      <c r="G786" s="51" t="n"/>
    </row>
    <row r="787" ht="54" customHeight="1">
      <c r="A787" s="29" t="n"/>
      <c r="B787" s="29" t="n"/>
      <c r="C787" s="29" t="n"/>
      <c r="D787" s="29" t="n"/>
      <c r="E787" s="29" t="n"/>
      <c r="F787" s="49" t="n"/>
      <c r="G787" s="51" t="n"/>
    </row>
    <row r="788" ht="54" customHeight="1">
      <c r="A788" s="29" t="n"/>
      <c r="B788" s="29" t="n"/>
      <c r="C788" s="29" t="n"/>
      <c r="D788" s="29" t="n"/>
      <c r="E788" s="29" t="n"/>
      <c r="F788" s="49" t="n"/>
      <c r="G788" s="51" t="n"/>
    </row>
    <row r="789" ht="54" customHeight="1">
      <c r="A789" s="29" t="n"/>
      <c r="B789" s="29" t="n"/>
      <c r="C789" s="29" t="n"/>
      <c r="D789" s="29" t="n"/>
      <c r="E789" s="29" t="n"/>
      <c r="F789" s="49" t="n"/>
      <c r="G789" s="51" t="n"/>
    </row>
    <row r="790" ht="54" customHeight="1">
      <c r="A790" s="29" t="n"/>
      <c r="B790" s="29" t="n"/>
      <c r="C790" s="29" t="n"/>
      <c r="D790" s="29" t="n"/>
      <c r="E790" s="29" t="n"/>
      <c r="F790" s="49" t="n"/>
      <c r="G790" s="51" t="n"/>
    </row>
    <row r="791" ht="54" customHeight="1">
      <c r="A791" s="29" t="n"/>
      <c r="B791" s="29" t="n"/>
      <c r="C791" s="29" t="n"/>
      <c r="D791" s="29" t="n"/>
      <c r="E791" s="29" t="n"/>
      <c r="F791" s="49" t="n"/>
      <c r="G791" s="51" t="n"/>
    </row>
    <row r="792" ht="54" customHeight="1">
      <c r="A792" s="29" t="n"/>
      <c r="B792" s="29" t="n"/>
      <c r="C792" s="29" t="n"/>
      <c r="D792" s="29" t="n"/>
      <c r="E792" s="29" t="n"/>
      <c r="F792" s="49" t="n"/>
      <c r="G792" s="51" t="n"/>
    </row>
    <row r="793" ht="54" customHeight="1">
      <c r="A793" s="29" t="n"/>
      <c r="B793" s="29" t="n"/>
      <c r="C793" s="29" t="n"/>
      <c r="D793" s="29" t="n"/>
      <c r="E793" s="29" t="n"/>
      <c r="F793" s="49" t="n"/>
      <c r="G793" s="51" t="n"/>
    </row>
    <row r="794" ht="54" customHeight="1">
      <c r="A794" s="29" t="n"/>
      <c r="B794" s="29" t="n"/>
      <c r="C794" s="29" t="n"/>
      <c r="D794" s="29" t="n"/>
      <c r="E794" s="29" t="n"/>
      <c r="F794" s="49" t="n"/>
      <c r="G794" s="51" t="n"/>
    </row>
    <row r="795" ht="54" customHeight="1">
      <c r="A795" s="29" t="n"/>
      <c r="B795" s="29" t="n"/>
      <c r="C795" s="29" t="n"/>
      <c r="D795" s="29" t="n"/>
      <c r="E795" s="29" t="n"/>
      <c r="F795" s="49" t="n"/>
      <c r="G795" s="51" t="n"/>
    </row>
    <row r="796" ht="54" customHeight="1">
      <c r="A796" s="29" t="n"/>
      <c r="B796" s="29" t="n"/>
      <c r="C796" s="29" t="n"/>
      <c r="D796" s="29" t="n"/>
      <c r="E796" s="29" t="n"/>
      <c r="F796" s="49" t="n"/>
      <c r="G796" s="51" t="n"/>
    </row>
    <row r="797" ht="54" customHeight="1">
      <c r="A797" s="29" t="n"/>
      <c r="B797" s="29" t="n"/>
      <c r="C797" s="29" t="n"/>
      <c r="D797" s="29" t="n"/>
      <c r="E797" s="29" t="n"/>
      <c r="F797" s="49" t="n"/>
      <c r="G797" s="51" t="n"/>
    </row>
    <row r="798" ht="54" customHeight="1">
      <c r="A798" s="29" t="n"/>
      <c r="B798" s="29" t="n"/>
      <c r="C798" s="29" t="n"/>
      <c r="D798" s="29" t="n"/>
      <c r="E798" s="29" t="n"/>
      <c r="F798" s="49" t="n"/>
      <c r="G798" s="51" t="n"/>
    </row>
    <row r="799" ht="54" customHeight="1">
      <c r="A799" s="29" t="n"/>
      <c r="B799" s="29" t="n"/>
      <c r="C799" s="29" t="n"/>
      <c r="D799" s="29" t="n"/>
      <c r="E799" s="29" t="n"/>
      <c r="F799" s="49" t="n"/>
      <c r="G799" s="51" t="n"/>
    </row>
    <row r="800" ht="54" customHeight="1">
      <c r="A800" s="29" t="n"/>
      <c r="B800" s="29" t="n"/>
      <c r="C800" s="29" t="n"/>
      <c r="D800" s="29" t="n"/>
      <c r="E800" s="29" t="n"/>
      <c r="F800" s="49" t="n"/>
      <c r="G800" s="51" t="n"/>
    </row>
    <row r="801" ht="54" customHeight="1">
      <c r="A801" s="29" t="n"/>
      <c r="B801" s="29" t="n"/>
      <c r="C801" s="29" t="n"/>
      <c r="D801" s="29" t="n"/>
      <c r="E801" s="29" t="n"/>
      <c r="F801" s="49" t="n"/>
      <c r="G801" s="51" t="n"/>
    </row>
    <row r="802" ht="54" customHeight="1">
      <c r="A802" s="29" t="n"/>
      <c r="B802" s="29" t="n"/>
      <c r="C802" s="29" t="n"/>
      <c r="D802" s="29" t="n"/>
      <c r="E802" s="29" t="n"/>
      <c r="F802" s="49" t="n"/>
      <c r="G802" s="51" t="n"/>
    </row>
    <row r="803" ht="54" customHeight="1">
      <c r="A803" s="29" t="n"/>
      <c r="B803" s="29" t="n"/>
      <c r="C803" s="29" t="n"/>
      <c r="D803" s="29" t="n"/>
      <c r="E803" s="29" t="n"/>
      <c r="F803" s="49" t="n"/>
      <c r="G803" s="51" t="n"/>
    </row>
    <row r="804" ht="54" customHeight="1">
      <c r="A804" s="29" t="n"/>
      <c r="B804" s="29" t="n"/>
      <c r="C804" s="29" t="n"/>
      <c r="D804" s="29" t="n"/>
      <c r="E804" s="29" t="n"/>
      <c r="F804" s="49" t="n"/>
      <c r="G804" s="51" t="n"/>
    </row>
    <row r="805" ht="54" customHeight="1">
      <c r="A805" s="29" t="n"/>
      <c r="B805" s="29" t="n"/>
      <c r="C805" s="29" t="n"/>
      <c r="D805" s="29" t="n"/>
      <c r="E805" s="29" t="n"/>
      <c r="F805" s="49" t="n"/>
      <c r="G805" s="51" t="n"/>
    </row>
    <row r="806" ht="54" customHeight="1">
      <c r="A806" s="29" t="n"/>
      <c r="B806" s="29" t="n"/>
      <c r="C806" s="29" t="n"/>
      <c r="D806" s="29" t="n"/>
      <c r="E806" s="29" t="n"/>
      <c r="F806" s="49" t="n"/>
      <c r="G806" s="51" t="n"/>
    </row>
    <row r="807" ht="54" customHeight="1">
      <c r="A807" s="29" t="n"/>
      <c r="B807" s="29" t="n"/>
      <c r="C807" s="29" t="n"/>
      <c r="D807" s="29" t="n"/>
      <c r="E807" s="29" t="n"/>
      <c r="F807" s="49" t="n"/>
      <c r="G807" s="51" t="n"/>
    </row>
  </sheetData>
  <mergeCells count="1">
    <mergeCell ref="A3:G3"/>
  </mergeCells>
  <conditionalFormatting sqref="A8:A807">
    <cfRule type="expression" priority="1" dxfId="1">
      <formula>AND($A8&lt;&gt;"",ISBLANK(A8))</formula>
    </cfRule>
  </conditionalFormatting>
  <conditionalFormatting sqref="B8:B807">
    <cfRule type="expression" priority="2" dxfId="1">
      <formula>AND($A8&lt;&gt;"",ISBLANK(B8))</formula>
    </cfRule>
  </conditionalFormatting>
  <conditionalFormatting sqref="C8:C807">
    <cfRule type="expression" priority="3" dxfId="1">
      <formula>AND($A8&lt;&gt;"",ISBLANK(C8))</formula>
    </cfRule>
  </conditionalFormatting>
  <conditionalFormatting sqref="D8:D807">
    <cfRule type="expression" priority="4" dxfId="1">
      <formula>AND($A8&lt;&gt;"",ISBLANK(D8))</formula>
    </cfRule>
  </conditionalFormatting>
  <conditionalFormatting sqref="E8:E807">
    <cfRule type="expression" priority="5" dxfId="1">
      <formula>AND($A8&lt;&gt;"",ISBLANK(E8))</formula>
    </cfRule>
  </conditionalFormatting>
  <conditionalFormatting sqref="F8:F807">
    <cfRule type="expression" priority="6" dxfId="1">
      <formula>AND($A8&lt;&gt;"",ISBLANK(F8))</formula>
    </cfRule>
  </conditionalFormatting>
  <conditionalFormatting sqref="G8:G80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58" customWidth="1" min="5" max="5"/>
    <col width="28" customWidth="1" min="6" max="6"/>
    <col width="32" customWidth="1" min="7" max="7"/>
    <col width="58" customWidth="1" min="8" max="8"/>
    <col width="20" customWidth="1" min="9" max="9"/>
    <col width="28" customWidth="1" min="10" max="10"/>
    <col width="28" customWidth="1" min="11" max="11"/>
    <col width="28" customWidth="1" min="12" max="12"/>
  </cols>
  <sheetData>
    <row r="1" ht="30" customHeight="1">
      <c r="A1" s="2" t="n"/>
      <c r="B1" s="2" t="n"/>
      <c r="C1" s="2" t="n"/>
      <c r="D1" s="2" t="n"/>
      <c r="E1" s="2" t="n"/>
      <c r="F1" s="2" t="n"/>
      <c r="G1" s="2" t="n"/>
      <c r="H1" s="2" t="n"/>
      <c r="I1" s="2" t="n"/>
      <c r="J1" s="2" t="n"/>
      <c r="K1" s="2" t="n"/>
      <c r="L1" s="2" t="n"/>
    </row>
    <row r="2" ht="30" customHeight="1">
      <c r="A2" s="19" t="inlineStr">
        <is>
          <t>Corteqs · Keşif rotaları</t>
        </is>
      </c>
      <c r="B2" s="2" t="n"/>
      <c r="C2" s="2" t="n"/>
      <c r="D2" s="2" t="n"/>
      <c r="E2" s="2" t="n"/>
      <c r="F2" s="2" t="n"/>
      <c r="G2" s="2" t="n"/>
      <c r="H2" s="2" t="n"/>
      <c r="I2" s="2" t="n"/>
      <c r="J2" s="2" t="n"/>
      <c r="K2" s="2" t="n"/>
      <c r="L2" s="2" t="n"/>
    </row>
    <row r="3" ht="36" customHeight="1">
      <c r="A3" s="20" t="inlineStr">
        <is>
          <t>Türkçe başlığı okuyun; veriyi 8. satırdan yazın. 7. satırdaki alan adını ve sayfa adını değiştirmeyin.</t>
        </is>
      </c>
      <c r="I3" s="2" t="n"/>
      <c r="J3" s="2" t="n"/>
      <c r="K3" s="2" t="n"/>
      <c r="L3" s="2" t="n"/>
    </row>
    <row r="4" ht="30" customHeight="1">
      <c r="A4" s="21" t="n"/>
      <c r="B4" s="21" t="n"/>
      <c r="C4" s="21" t="n"/>
      <c r="D4" s="21" t="n"/>
      <c r="E4" s="21" t="n"/>
      <c r="F4" s="21" t="n"/>
      <c r="G4" s="21" t="n"/>
      <c r="H4" s="21" t="n"/>
      <c r="I4" s="21" t="n"/>
      <c r="J4" s="21" t="n"/>
      <c r="K4" s="21" t="n"/>
      <c r="L4" s="21" t="n"/>
    </row>
    <row r="5" ht="26" customHeight="1">
      <c r="A5" s="22" t="inlineStr">
        <is>
          <t>Zorunlu</t>
        </is>
      </c>
      <c r="B5" s="22" t="inlineStr">
        <is>
          <t>Zorunlu</t>
        </is>
      </c>
      <c r="C5" s="22" t="inlineStr">
        <is>
          <t>Zorunlu</t>
        </is>
      </c>
      <c r="D5" s="22" t="inlineStr">
        <is>
          <t>Zorunlu</t>
        </is>
      </c>
      <c r="E5" s="22" t="inlineStr">
        <is>
          <t>Zorunlu · alt satır</t>
        </is>
      </c>
      <c r="F5" s="22" t="inlineStr">
        <is>
          <t>İsteğe bağlı · ; ile</t>
        </is>
      </c>
      <c r="G5" s="22" t="inlineStr">
        <is>
          <t>Zorunlu</t>
        </is>
      </c>
      <c r="H5" s="22" t="inlineStr">
        <is>
          <t>Zorunlu</t>
        </is>
      </c>
      <c r="I5" s="22" t="inlineStr">
        <is>
          <t>Zorunlu · tarih</t>
        </is>
      </c>
      <c r="J5" s="22" t="inlineStr">
        <is>
          <t>Zorunlu · ; ile</t>
        </is>
      </c>
      <c r="K5" s="22" t="inlineStr">
        <is>
          <t>Zorunlu</t>
        </is>
      </c>
      <c r="L5" s="22" t="inlineStr">
        <is>
          <t>Zorunlu</t>
        </is>
      </c>
    </row>
    <row r="6" ht="44" customHeight="1">
      <c r="A6" s="25" t="inlineStr">
        <is>
          <t>Rota kimliği</t>
        </is>
      </c>
      <c r="B6" s="25" t="inlineStr">
        <is>
          <t>Şehir kimliği</t>
        </is>
      </c>
      <c r="C6" s="25" t="inlineStr">
        <is>
          <t>Rota başlığı</t>
        </is>
      </c>
      <c r="D6" s="25" t="inlineStr">
        <is>
          <t>Süre / rota türü</t>
        </is>
      </c>
      <c r="E6" s="25" t="inlineStr">
        <is>
          <t>Sıralı durak adları</t>
        </is>
      </c>
      <c r="F6" s="25" t="inlineStr">
        <is>
          <t>Varsa durak içerik kimlikleri</t>
        </is>
      </c>
      <c r="G6" s="25" t="inlineStr">
        <is>
          <t>Ana kart kimliği</t>
        </is>
      </c>
      <c r="H6" s="25" t="inlineStr">
        <is>
          <t>Rota ve erişim notu</t>
        </is>
      </c>
      <c r="I6" s="25" t="inlineStr">
        <is>
          <t>Rota kontrol tarihi</t>
        </is>
      </c>
      <c r="J6" s="25" t="inlineStr">
        <is>
          <t>Kaynak kimlikleri</t>
        </is>
      </c>
      <c r="K6" s="25" t="inlineStr">
        <is>
          <t>Sıra</t>
        </is>
      </c>
      <c r="L6" s="25" t="inlineStr">
        <is>
          <t>Editör durumu</t>
        </is>
      </c>
    </row>
    <row r="7" ht="32" customHeight="1">
      <c r="A7" s="28" t="inlineStr">
        <is>
          <t>route_id</t>
        </is>
      </c>
      <c r="B7" s="28" t="inlineStr">
        <is>
          <t>city_id</t>
        </is>
      </c>
      <c r="C7" s="28" t="inlineStr">
        <is>
          <t>title</t>
        </is>
      </c>
      <c r="D7" s="28" t="inlineStr">
        <is>
          <t>tag</t>
        </is>
      </c>
      <c r="E7" s="28" t="inlineStr">
        <is>
          <t>stops</t>
        </is>
      </c>
      <c r="F7" s="28" t="inlineStr">
        <is>
          <t>stop_entry_ids</t>
        </is>
      </c>
      <c r="G7" s="28" t="inlineStr">
        <is>
          <t>entry_id</t>
        </is>
      </c>
      <c r="H7" s="28" t="inlineStr">
        <is>
          <t>note</t>
        </is>
      </c>
      <c r="I7" s="28" t="inlineStr">
        <is>
          <t>reviewed_on</t>
        </is>
      </c>
      <c r="J7" s="28" t="inlineStr">
        <is>
          <t>source_ids</t>
        </is>
      </c>
      <c r="K7" s="28" t="inlineStr">
        <is>
          <t>order</t>
        </is>
      </c>
      <c r="L7" s="28" t="inlineStr">
        <is>
          <t>editorial_status</t>
        </is>
      </c>
    </row>
    <row r="8" ht="54" customHeight="1">
      <c r="A8" s="29" t="inlineStr">
        <is>
          <t>eindhoven:route:001</t>
        </is>
      </c>
      <c r="B8" s="29" t="inlineStr">
        <is>
          <t>eindhoven</t>
        </is>
      </c>
      <c r="C8" s="29" t="inlineStr">
        <is>
          <t>Merkezde ilk gün: istasyondan Van Abbemuseum'a</t>
        </is>
      </c>
      <c r="D8" s="29" t="inlineStr">
        <is>
          <t>Yarım gün · Kültür</t>
        </is>
      </c>
      <c r="E8" s="29" t="inlineStr">
        <is>
          <t>Eindhoven Centraal
18 Septemberplein
Philips Museum
Sint-Catharinakerk
Van Abbemuseum</t>
        </is>
      </c>
      <c r="F8" s="29" t="inlineStr">
        <is>
          <t>eindhoven:eindhoven-centraal;eindhoven:18-septemberplein;eindhoven:philips-museum;eindhoven:sint-catharinakerk;eindhoven:van-abbemuseum</t>
        </is>
      </c>
      <c r="G8" s="29" t="inlineStr">
        <is>
          <t>eindhoven:eindhoven-centraal</t>
        </is>
      </c>
      <c r="H8" s="29" t="inlineStr">
        <is>
          <t>Eindhoven Centraal'dan başlayıp şehir merkezinde yürüyerek ilerleyen bir rota. Philips Museum'da yetişkin bileti 13,50 euro ve Türkçe de dinlenebilen sesli rehber bilete dahil; Van Abbemuseum'da yetişkin bileti 16 euro, 13 yaşından küçükler ücretsiz. Museumkaart iki müzede de geçiyor. Salı öğleden sonrası bütçe dostu: Philips Museum'a 15.30'dan sonra (okul tatilleri hariç), Van Abbemuseum'a 15.00–17.00 arası giriş ücretsiz. Pazartesi uygun değil: Sint-Catharinakerk pazartesi kapalı, Van Abbemuseum da yalnız salıdan pazara 11.00–17.00 arası açık.</t>
        </is>
      </c>
      <c r="I8" s="49" t="n">
        <v>46317</v>
      </c>
      <c r="J8" s="29" t="inlineStr">
        <is>
          <t>eindhoven:kaynak:337;eindhoven:kaynak:336;eindhoven:kaynak:245;eindhoven:kaynak:328;eindhoven:kaynak:244;eindhoven:kaynak:179</t>
        </is>
      </c>
      <c r="K8" s="51" t="n">
        <v>1</v>
      </c>
      <c r="L8" s="29" t="inlineStr">
        <is>
          <t>Taslak</t>
        </is>
      </c>
    </row>
    <row r="9" ht="54" customHeight="1">
      <c r="A9" s="29" t="inlineStr">
        <is>
          <t>eindhoven:route:002</t>
        </is>
      </c>
      <c r="B9" s="29" t="inlineStr">
        <is>
          <t>eindhoven</t>
        </is>
      </c>
      <c r="C9" s="29" t="inlineStr">
        <is>
          <t>Strijp'te tasarım: Piet Hein Eek'ten COVA'ya</t>
        </is>
      </c>
      <c r="D9" s="29" t="inlineStr">
        <is>
          <t>Yarım gün · Tasarım</t>
        </is>
      </c>
      <c r="E9" s="29" t="inlineStr">
        <is>
          <t>Piet Hein Eek mağaza ve showroom
Strijp-S
MU Hybrid Art House
Baltan Laboratories
COVA Art Gallery</t>
        </is>
      </c>
      <c r="F9" s="29" t="inlineStr">
        <is>
          <t>eindhoven:piet-hein-eek;eindhoven:strijp-s;eindhoven:mu-hybrid-art-house;eindhoven:baltan-laboratories;eindhoven:cova-art-gallery</t>
        </is>
      </c>
      <c r="G9" s="29" t="inlineStr">
        <is>
          <t>eindhoven:piet-hein-eek</t>
        </is>
      </c>
      <c r="H9" s="29" t="inlineStr">
        <is>
          <t>Strijp-R'deki Piet Hein Eek showroom'undan Strijp-S'in eski Philips binalarına yürüyerek geçen bir tasarım turu; This is Eindhoven'a göre Strijp-S'e toplu taşımayla 5 dakikada varılıyor. Cuma, cumartesi ya da pazarı seçin: COVA Art Gallery yalnız bu günlerde 12.00–17.00 arası açık, pazartesiden perşembeye kapalı. Piet Hein Eek pazartesi–cumartesi 10.00–18.00, pazar 11.00–17.00 arası; MU Hybrid Art House hafta içi 10.00–18.00, cumartesi 12.00–18.00, pazar 13.00–17.00 arası açık. MU'da çarşamba girişi ücretsiz ama o gün COVA kapalı. Baltan Laboratories'in kartında açılış saati yok; durak, ziyaret adresi olan Philips'in eski fizik laboratuvarı Natlab'ın (Kastanjelaan 500) önü olarak düşünüldü.</t>
        </is>
      </c>
      <c r="I9" s="49" t="n">
        <v>46317</v>
      </c>
      <c r="J9" s="29" t="inlineStr">
        <is>
          <t>eindhoven:kaynak:269;eindhoven:kaynak:329;eindhoven:kaynak:339;eindhoven:kaynak:252;eindhoven:kaynak:265;eindhoven:kaynak:260</t>
        </is>
      </c>
      <c r="K9" s="51" t="n">
        <v>2</v>
      </c>
      <c r="L9" s="29" t="inlineStr">
        <is>
          <t>Taslak</t>
        </is>
      </c>
    </row>
    <row r="10" ht="54" customHeight="1">
      <c r="A10" s="29" t="inlineStr">
        <is>
          <t>eindhoven:route:003</t>
        </is>
      </c>
      <c r="B10" s="29" t="inlineStr">
        <is>
          <t>eindhoven</t>
        </is>
      </c>
      <c r="C10" s="29" t="inlineStr">
        <is>
          <t>Philips'in izinde: Witte Dame'den Klokgebouw'a</t>
        </is>
      </c>
      <c r="D10" s="29" t="inlineStr">
        <is>
          <t>Yarım gün · Tarih</t>
        </is>
      </c>
      <c r="E10" s="29" t="inlineStr">
        <is>
          <t>De Witte Dame
Philipsdorp
PSV Museum
De Oude Telefooncentrale
Klokgebouw</t>
        </is>
      </c>
      <c r="F10" s="29" t="inlineStr">
        <is>
          <t>eindhoven:de-witte-dame-lichtfabriek;eindhoven:philipsdorp;eindhoven:psv-museum;eindhoven:de-oude-telefooncentrale;eindhoven:klokgebouw</t>
        </is>
      </c>
      <c r="G10" s="29" t="inlineStr">
        <is>
          <t>eindhoven:de-witte-dame-lichtfabriek</t>
        </is>
      </c>
      <c r="H10" s="29" t="inlineStr">
        <is>
          <t>Merkezdeki ilk Philips fabrikalarından Strijp-S'e uzanan yürüyüş. De Witte Dame'nin tam karşısındaki eski ampul fabrikası 2001'den beri ulusal anıt. PSV Museum pazar kapalı; pazartesi 12.00–17.00, salı, perşembe, cuma ve cumartesi 10.00–17.00, çarşamba 10.00–18.00 arası açık. Mola için De Oude Telefooncentrale pazartesi–cumartesi 11.00–22.00, pazar 11.00–21.00 arası açık. Klokgebouw'un saatinde rakam yerine PHILIPSPILIHP harfleri var; bina etkinlik bileti satmıyor, bilet etkinliği düzenleyenden alınıyor. Dönüş için yakında Eindhoven Strijp-S tren istasyonu var; Centraal ile Strijp-S durağı arasında 401, 402 ve 403 numaralı otobüsler çalışıyor.</t>
        </is>
      </c>
      <c r="I10" s="49" t="n">
        <v>46317</v>
      </c>
      <c r="J10" s="29" t="inlineStr">
        <is>
          <t>eindhoven:kaynak:340;eindhoven:kaynak:339;eindhoven:kaynak:248;eindhoven:kaynak:341;eindhoven:kaynak:234;eindhoven:kaynak:330</t>
        </is>
      </c>
      <c r="K10" s="51" t="n">
        <v>3</v>
      </c>
      <c r="L10" s="29" t="inlineStr">
        <is>
          <t>Taslak</t>
        </is>
      </c>
    </row>
    <row r="11" ht="54" customHeight="1">
      <c r="A11" s="29" t="inlineStr">
        <is>
          <t>eindhoven:route:004</t>
        </is>
      </c>
      <c r="B11" s="29" t="inlineStr">
        <is>
          <t>eindhoven</t>
        </is>
      </c>
      <c r="C11" s="29" t="inlineStr">
        <is>
          <t>Genneper Parken'de aile günü</t>
        </is>
      </c>
      <c r="D11" s="29" t="inlineStr">
        <is>
          <t>Tam gün · Aile</t>
        </is>
      </c>
      <c r="E11" s="29" t="inlineStr">
        <is>
          <t>Museumpark VONK
Genneper Watermolen
Heempark Frater Simon Deltour
Genneper Hoeve
Paviljoen Genneper Parken</t>
        </is>
      </c>
      <c r="F11" s="29" t="inlineStr">
        <is>
          <t>eindhoven:museumpark-vonk-prehistorisch-dorp;eindhoven:genneper-watermolen;eindhoven:heempark-frater-simon-deltour;eindhoven:genneper-hoeve;eindhoven:paviljoen-genneper-parken</t>
        </is>
      </c>
      <c r="G11" s="29" t="inlineStr">
        <is>
          <t>eindhoven:museumpark-vonk-prehistorisch-dorp</t>
        </is>
      </c>
      <c r="H11" s="29" t="inlineStr">
        <is>
          <t>Genneper Parken'in içinde yürüyerek geçirilen bir gün; This is Eindhoven'a göre Genneper Watermolen'e bisikletle 15 dakikalık yol var. Museumpark VONK'un kartında açılış saati ve bilet fiyatı yok; grup programı ya da çocuk doğum günü için 040-252 22 81 aranabiliyor. Genneper Watermolen'in dükkânı salı–cumartesi 10.00–17.00 arası açık, pazar ve pazartesi kapalı; Genneper Hoeve ise her gün 10.00–17.00 arası açık ve çocuklar orada inekleri sevebiliyor. Heempark'ı sağlam botlarla kendi başınıza gezebilirsiniz. Günü Paviljoen Genneper Parken'de bitirirseniz akşam mutfağı 17.00'den yaklaşık 20.00'ye kadar çalışıyor; çocuklar için oyun parkı ve rezervasyonsuz mini golf var, yolun karşısındaki büyük otopark ücretsiz.</t>
        </is>
      </c>
      <c r="I11" s="49" t="n">
        <v>46317</v>
      </c>
      <c r="J11" s="29" t="inlineStr">
        <is>
          <t>eindhoven:kaynak:255;eindhoven:kaynak:332;eindhoven:kaynak:189;eindhoven:kaynak:305;eindhoven:kaynak:325</t>
        </is>
      </c>
      <c r="K11" s="51" t="n">
        <v>4</v>
      </c>
      <c r="L11" s="29" t="inlineStr">
        <is>
          <t>Taslak</t>
        </is>
      </c>
    </row>
    <row r="12" ht="54" customHeight="1">
      <c r="A12" s="29" t="inlineStr">
        <is>
          <t>eindhoven:route:005</t>
        </is>
      </c>
      <c r="B12" s="29" t="inlineStr">
        <is>
          <t>eindhoven</t>
        </is>
      </c>
      <c r="C12" s="29" t="inlineStr">
        <is>
          <t>Güneyde spor: kano, buz ve tırmanış</t>
        </is>
      </c>
      <c r="D12" s="29" t="inlineStr">
        <is>
          <t>Tam gün · Spor</t>
        </is>
      </c>
      <c r="E12" s="29" t="inlineStr">
        <is>
          <t>Happy Canoe
IJssportcentrum Eindhoven
Nationaal Zwemcentrum De Tongelreep
Klimcentrum Neoliet Eindhoven-Zuid</t>
        </is>
      </c>
      <c r="F12" s="29" t="inlineStr">
        <is>
          <t>eindhoven:happy-canoe;eindhoven:ijssportcentrum-eindhoven;eindhoven:nationaal-zwemcentrum-de-tongelreep;eindhoven:klimcentrum-neoliet-eindhoven-zuid</t>
        </is>
      </c>
      <c r="G12" s="29" t="inlineStr">
        <is>
          <t>eindhoven:happy-canoe</t>
        </is>
      </c>
      <c r="H12" s="29" t="inlineStr">
        <is>
          <t>Genneper Parken'in güney ucunda birbirine yürüme mesafesindeki spor tesisleri; hepsini aynı güne sıkıştırmak yerine birkaçını seçmek daha rahat. Happy Canoe'nun Dommel turu 1,5–2 saat sürüyor, Genneper Watermolen'de başlayıp aynı yerde bitiyor; perşembe–pazar 10.00–18.00 arası açık, diğer günler rezervasyonla; ancak 23 Ekim 2026 itibarıyla 2026 kano sezonu bitti ve şu an yalnız gruplar e-postayla rezervasyon yapabiliyor. IJssportcentrum 17 Ekim 2026'dan beri yeniden halka açık; bilet ve çok girişli kart web mağazasından alınıyor, otoparkı ücretsiz. De Tongelreep'in kapısında 407 numaralı otobüs duruyor; 7, 317, 318 ve 408 numaralı hatlar da Aalsterweg'deki Kortonjo durağına geliyor. Klimcentrum Neoliet hafta içi akşamları ve cumartesi 12.00–18.00 arası açık; pazar ve pazartesi kapalı.</t>
        </is>
      </c>
      <c r="I12" s="49" t="n">
        <v>46317</v>
      </c>
      <c r="J12" s="29" t="inlineStr">
        <is>
          <t>eindhoven:kaynak:295;eindhoven:kaynak:286;eindhoven:kaynak:285;eindhoven:kaynak:293;eindhoven:kaynak:401</t>
        </is>
      </c>
      <c r="K12" s="51" t="n">
        <v>5</v>
      </c>
      <c r="L12" s="29" t="inlineStr">
        <is>
          <t>Taslak</t>
        </is>
      </c>
    </row>
    <row r="13" ht="54" customHeight="1">
      <c r="A13" s="29" t="inlineStr">
        <is>
          <t>eindhoven:route:006</t>
        </is>
      </c>
      <c r="B13" s="29" t="inlineStr">
        <is>
          <t>eindhoven</t>
        </is>
      </c>
      <c r="C13" s="29" t="inlineStr">
        <is>
          <t>Kuzeybatının yeşil kuşağı: Philips parkları ve meyve bahçesi</t>
        </is>
      </c>
      <c r="D13" s="29" t="inlineStr">
        <is>
          <t>Yarım gün · Doğa</t>
        </is>
      </c>
      <c r="E13" s="29" t="inlineStr">
        <is>
          <t>Philips de Jongh Wandelpark
Landgoed De Wielewaal
Philips Fruittuin
Pannenkoekenhuis De Proeftuin
De Mispelhoef</t>
        </is>
      </c>
      <c r="F13" s="29" t="inlineStr">
        <is>
          <t>eindhoven:philips-de-jongh-wandelpark;eindhoven:landgoed-de-wielewaal;eindhoven:philips-fruittuin;eindhoven:pannenkoekenhuis-de-proeftuin;eindhoven:de-mispelhoef</t>
        </is>
      </c>
      <c r="G13" s="29" t="inlineStr">
        <is>
          <t>eindhoven:philips-de-jongh-wandelpark</t>
        </is>
      </c>
      <c r="H13" s="29" t="inlineStr">
        <is>
          <t>Yaya ya da bisikletle yapılacak bir doğa rotası; belediye De Wielewaal'da otopark az olduğu için arabayla gelmemeyi öneriyor. De Wielewaal her gün gün doğumundan gün batımına kadar açık ve giriş ücretsiz; içindeki yaklaşık 4 kilometrelik yürüyüş rotası molalarla yaklaşık 1,5 saat sürüyor, tekerlekli sandalye ve bebek arabası için 3,3 kilometrelik engelsiz bir rota da var. Pazartesiyi seçmeyin: Philips Fruittuin'deki krep evi ve çiftlik dükkânı pazartesi kapalı, De Mispelhoef'in eetcafé'si de yalnız salıdan pazara 11.00–22.00 arası açık. This is Eindhoven'a göre De Proeftuin toplu taşımayla yaklaşık 20 dakikalık yolda.</t>
        </is>
      </c>
      <c r="I13" s="49" t="n">
        <v>46317</v>
      </c>
      <c r="J13" s="29" t="inlineStr">
        <is>
          <t>eindhoven:kaynak:298;eindhoven:kaynak:189;eindhoven:kaynak:311;eindhoven:kaynak:301;eindhoven:kaynak:324;eindhoven:kaynak:326</t>
        </is>
      </c>
      <c r="K13" s="51" t="n">
        <v>6</v>
      </c>
      <c r="L13" s="29" t="inlineStr">
        <is>
          <t>Taslak</t>
        </is>
      </c>
    </row>
    <row r="14" ht="54" customHeight="1">
      <c r="A14" s="29" t="inlineStr">
        <is>
          <t>eindhoven:route:007</t>
        </is>
      </c>
      <c r="B14" s="29" t="inlineStr">
        <is>
          <t>eindhoven</t>
        </is>
      </c>
      <c r="C14" s="29" t="inlineStr">
        <is>
          <t>Merkezde müzikli akşam</t>
        </is>
      </c>
      <c r="D14" s="29" t="inlineStr">
        <is>
          <t>Akşam · Müzik</t>
        </is>
      </c>
      <c r="E14" s="29" t="inlineStr">
        <is>
          <t>Muziekgebouw Eindhoven
Dynamo
Stratumseind
Stage Music Café
Effenaar</t>
        </is>
      </c>
      <c r="F14" s="29" t="inlineStr">
        <is>
          <t>eindhoven:muziekgebouw-eindhoven;eindhoven:dynamo;eindhoven:stratumseind;eindhoven:stage-music-cafe;eindhoven:effenaar</t>
        </is>
      </c>
      <c r="G14" s="29" t="inlineStr">
        <is>
          <t>eindhoven:muziekgebouw-eindhoven</t>
        </is>
      </c>
      <c r="H14" s="29" t="inlineStr">
        <is>
          <t>Konser salonundan bar sokağına uzanan, tamamı merkezde kalan bir akşam rotası; son durak Effenaar istasyonun 'centrum' çıkışından yaklaşık 150 metre ötede, gece dönüşü kolay. Muziekgebouw'un gişesi pazartesi–cumartesi 13.00–17.00 arası ve her konserden bir saat önce açık. Dynamo hafta içi 22.00'ye kadar açık, pazar kapalı. Stratumseind 225 metre boyunca 40 kafenin sıralandığı bar sokağı; buradaki 'café'ler kahveci değil, bar. Stage Music Café pazartesi kapalı, cuma gecesi 04.00'e kadar açık. Effenaar tamamen nakitsiz: kapıda bilet yalnız banka kartıyla (pin) alınıyor; büyük çanta, sırt çantası ve kask salona alınmıyor.</t>
        </is>
      </c>
      <c r="I14" s="49" t="n">
        <v>46317</v>
      </c>
      <c r="J14" s="29" t="inlineStr">
        <is>
          <t>eindhoven:kaynak:271;eindhoven:kaynak:277;eindhoven:kaynak:321;eindhoven:kaynak:274;eindhoven:kaynak:270</t>
        </is>
      </c>
      <c r="K14" s="51" t="n">
        <v>7</v>
      </c>
      <c r="L14" s="29" t="inlineStr">
        <is>
          <t>Taslak</t>
        </is>
      </c>
    </row>
    <row r="15" ht="54" customHeight="1">
      <c r="A15" s="29" t="inlineStr">
        <is>
          <t>eindhoven:route:008</t>
        </is>
      </c>
      <c r="B15" s="29" t="inlineStr">
        <is>
          <t>eindhoven</t>
        </is>
      </c>
      <c r="C15" s="29" t="inlineStr">
        <is>
          <t>Salı pazarından bira tadımına: merkezde yeme-içme</t>
        </is>
      </c>
      <c r="D15" s="29" t="inlineStr">
        <is>
          <t>Yarım gün · Yeme-içme</t>
        </is>
      </c>
      <c r="E15" s="29" t="inlineStr">
        <is>
          <t>Centrale Markt (18 Septemberplein)
De Lichttoren
Kazerne
Stadsbrouwerij Eindhoven</t>
        </is>
      </c>
      <c r="F15" s="29" t="inlineStr">
        <is>
          <t>eindhoven:centrale-markt-18-septemberplein;eindhoven:grand-cafe-de-lichttoren;eindhoven:kazerne;eindhoven:stadsbrouwerij-eindhoven</t>
        </is>
      </c>
      <c r="G15" s="29" t="inlineStr">
        <is>
          <t>eindhoven:centrale-markt-18-septemberplein</t>
        </is>
      </c>
      <c r="H15" s="29" t="inlineStr">
        <is>
          <t>Salı günü için kurgulandı: Centrale Markt her salı 18 Septemberplein'da kuruluyor ve This is Eindhoven'a göre tezgâhlarda Türk lezzetleri de var. De Lichttoren, Eindhoven Centraal'a 6 dakikalık yürüme mesafesinde ve salı 11.00–22.00 arası açık. Kazerne'de gündüz ByDay kahvaltı, kahve ve öğle yemeği sunuyor; BarBistro'nun mutfağı pazartesi–cumartesi 17.00'de açılıyor. Son durak Stadsbrouwerij Eindhoven'ın kafesi salı 15.00–23.00 arası açık ve rezervasyon formunda bira tadımı (bierproeverij) seçeneği var. Duraklar arası yürüyerek geçiliyor.</t>
        </is>
      </c>
      <c r="I15" s="49" t="n">
        <v>46317</v>
      </c>
      <c r="J15" s="29" t="inlineStr">
        <is>
          <t>eindhoven:kaynak:327;eindhoven:kaynak:323;eindhoven:kaynak:322;eindhoven:kaynak:320</t>
        </is>
      </c>
      <c r="K15" s="51" t="n">
        <v>8</v>
      </c>
      <c r="L15" s="29" t="inlineStr">
        <is>
          <t>Taslak</t>
        </is>
      </c>
    </row>
    <row r="16" ht="54" customHeight="1">
      <c r="A16" s="29" t="inlineStr">
        <is>
          <t>eindhoven:route:009</t>
        </is>
      </c>
      <c r="B16" s="29" t="inlineStr">
        <is>
          <t>eindhoven</t>
        </is>
      </c>
      <c r="C16" s="29" t="inlineStr">
        <is>
          <t>Doğu yakası: Erfgoedhuis'ten Koelhuis'e</t>
        </is>
      </c>
      <c r="D16" s="29" t="inlineStr">
        <is>
          <t>Yarım gün · Müze ve müzik</t>
        </is>
      </c>
      <c r="E16" s="29" t="inlineStr">
        <is>
          <t>Erfgoedhuis Eindhoven
DAF Museum
Jazzclub OSJE
Het Koelhuis</t>
        </is>
      </c>
      <c r="F16" s="29" t="inlineStr">
        <is>
          <t>eindhoven:erfgoedhuis-eindhoven;eindhoven:daf-museum;eindhoven:jazzclub-osje;eindhoven:het-koelhuis</t>
        </is>
      </c>
      <c r="G16" s="29" t="inlineStr">
        <is>
          <t>eindhoven:erfgoedhuis-eindhoven</t>
        </is>
      </c>
      <c r="H16" s="29" t="inlineStr">
        <is>
          <t>Salı ya da çarşamba en uygun günler: DAF Museum salıdan pazara 10.00–17.00 arası, Erfgoedhuis ise belediye sayfasına göre pazartesiden çarşambaya 10.00–16.00 arası açık. Merkez istasyondan DAF Museum'a yaklaşık 15 dakika yürünüyor; 5 numaralı otobüs de müzenin hemen önünde duruyor. DAF'ta yetişkin bileti 14,50 euro, Museumkaart ile giriş ücretsiz. Jazzclub OSJE'nin sayfasında her gün için 14.00–17.00 saatleri yazıyor. Het Koelhuis'te ziyaret etkinliklere bağlı; merkezden 24 veya 320 numaralı otobüsle Otto Veniusweg durağına gidip kısa bir yürüyüşle de ulaşılıyor.</t>
        </is>
      </c>
      <c r="I16" s="49" t="n">
        <v>46317</v>
      </c>
      <c r="J16" s="29" t="inlineStr">
        <is>
          <t>eindhoven:kaynak:250;eindhoven:kaynak:246;eindhoven:kaynak:278;eindhoven:kaynak:268</t>
        </is>
      </c>
      <c r="K16" s="51" t="n">
        <v>9</v>
      </c>
      <c r="L16" s="29" t="inlineStr">
        <is>
          <t>Taslak</t>
        </is>
      </c>
    </row>
    <row r="17" ht="54" customHeight="1">
      <c r="A17" s="29" t="inlineStr">
        <is>
          <t>eindhoven:route:010</t>
        </is>
      </c>
      <c r="B17" s="29" t="inlineStr">
        <is>
          <t>eindhoven</t>
        </is>
      </c>
      <c r="C17" s="29" t="inlineStr">
        <is>
          <t>Stratum'da park, gözlemevi ve tiyatro</t>
        </is>
      </c>
      <c r="D17" s="29" t="inlineStr">
        <is>
          <t>Yarım gün · Park ve sahne</t>
        </is>
      </c>
      <c r="E17" s="29" t="inlineStr">
        <is>
          <t>Ton Smits Huis
Stadswandelpark
Dr. A.F. Philips Sterrenwacht
Wim van Doorne Muziekkiosk
Parktheater Eindhoven</t>
        </is>
      </c>
      <c r="F17" s="29" t="inlineStr">
        <is>
          <t>eindhoven:ton-smits-huis;eindhoven:stadswandelpark;eindhoven:dr-a-f-philips-sterrenwacht;eindhoven:wim-van-doorne-muziekkiosk;eindhoven:parktheater-eindhoven</t>
        </is>
      </c>
      <c r="G17" s="29" t="inlineStr">
        <is>
          <t>eindhoven:ton-smits-huis</t>
        </is>
      </c>
      <c r="H17" s="29" t="inlineStr">
        <is>
          <t>Stadswandelpark'ın çevresinde kısa mesafelerle dolaşılan bir rota; Van Abbemuseum'dan parka 15 dakikadan kısa bir yürüyüşle varılıyor. Ton Smits Huis'te giriş kişi başı 3,50 euro ve kapıda yalnız nakit alınıyor; Museumkaart burada geçmiyor. Parktaki heykel bahçesinde 30 eser var. Gözlemevinin (Sterrenwacht) kendi otoparkı yok ve Alberdingk Thijmlaan'da park 19 Haziran 2025'ten beri ücretli; bu rotaya yürüyerek ya da bisikletle gelmek daha rahat. Akşam Parktheater'da müzikal, tiyatro ya da opera izleyerek günü kapatabilirsiniz.</t>
        </is>
      </c>
      <c r="I17" s="49" t="n">
        <v>46317</v>
      </c>
      <c r="J17" s="29" t="inlineStr">
        <is>
          <t>eindhoven:kaynak:342;eindhoven:kaynak:343;eindhoven:kaynak:297;eindhoven:kaynak:191;eindhoven:kaynak:253;eindhoven:kaynak:281;eindhoven:kaynak:272</t>
        </is>
      </c>
      <c r="K17" s="51" t="n">
        <v>10</v>
      </c>
      <c r="L17" s="29" t="inlineStr">
        <is>
          <t>Taslak</t>
        </is>
      </c>
    </row>
    <row r="18" ht="54" customHeight="1">
      <c r="A18" s="29" t="inlineStr">
        <is>
          <t>eindhoven:route:011</t>
        </is>
      </c>
      <c r="B18" s="29" t="inlineStr">
        <is>
          <t>eindhoven</t>
        </is>
      </c>
      <c r="C18" s="29" t="inlineStr">
        <is>
          <t>Kuzeyde çocuklarla: Splinter'den Glow Golf'e</t>
        </is>
      </c>
      <c r="D18" s="29" t="inlineStr">
        <is>
          <t>Tam gün · Çocuklarla</t>
        </is>
      </c>
      <c r="E18" s="29" t="inlineStr">
        <is>
          <t>Henri Dunantpark
Speelpark De Splinter
Ir. Ottenbad
Monkey Town
Glow Golf Eindhoven</t>
        </is>
      </c>
      <c r="F18" s="29" t="inlineStr">
        <is>
          <t>eindhoven:henri-dunantpark;eindhoven:speelpark-de-splinter;eindhoven:ir-ottenbad;eindhoven:monkey-town;eindhoven:glow-golf-eindhoven</t>
        </is>
      </c>
      <c r="G18" s="29" t="inlineStr">
        <is>
          <t>eindhoven:henri-dunantpark</t>
        </is>
      </c>
      <c r="H18" s="29" t="inlineStr">
        <is>
          <t>Woensel-Noord'da sabahı açık havada, öğleden sonrayı kapalı mekânlarda geçirmek için sıralandı; duraklar arası yürünüyor. Speelpark De Splinter, Henri Dunantpark'ın içinde; hafta içi 09.00–18.00, cumartesi 10.00–18.00, pazar 12.00–18.00 arası açık; en küçükler için oyun köşesi ve hayvanların sevilebildiği küçük bir hayvanat bahçesi var. Ir. Ottenbad, Monkey Town ve Glow Golf aynı caddede, Vijfkamplaan'da. Yüzme havuzunun hemen yanındaki büyük açık otopark ücretsiz. Monkey Town her gün 09.00–18.00 arası açık ve tamamen kapalı olduğu için yağmurda da işe yarıyor. Glow Golf 12.00'de açılıyor; pazartesi–perşembe ve pazar 22.00'ye, cuma ve cumartesi gece yarısına kadar oynanabiliyor.</t>
        </is>
      </c>
      <c r="I18" s="49" t="n">
        <v>46317</v>
      </c>
      <c r="J18" s="29" t="inlineStr">
        <is>
          <t>eindhoven:kaynak:300;eindhoven:kaynak:189;eindhoven:kaynak:304;eindhoven:kaynak:288;eindhoven:kaynak:312;eindhoven:kaynak:317</t>
        </is>
      </c>
      <c r="K18" s="51" t="n">
        <v>11</v>
      </c>
      <c r="L18" s="29" t="inlineStr">
        <is>
          <t>Taslak</t>
        </is>
      </c>
    </row>
    <row r="19" ht="54" customHeight="1">
      <c r="A19" s="29" t="inlineStr">
        <is>
          <t>eindhoven:route:012</t>
        </is>
      </c>
      <c r="B19" s="29" t="inlineStr">
        <is>
          <t>eindhoven</t>
        </is>
      </c>
      <c r="C19" s="29" t="inlineStr">
        <is>
          <t>Tongelre'de göl, çiftlik ve yaratıcı atölyeler</t>
        </is>
      </c>
      <c r="D19" s="29" t="inlineStr">
        <is>
          <t>Yarım gün · Doğa ve sanat</t>
        </is>
      </c>
      <c r="E19" s="29" t="inlineStr">
        <is>
          <t>Wandelpark Eckart
Wasven
THE POOL
De Kruisruimte</t>
        </is>
      </c>
      <c r="F19" s="29" t="inlineStr">
        <is>
          <t>eindhoven:wandelpark-eckart-eckartse-bos;eindhoven:wasven;eindhoven:the-pool;eindhoven:de-kruisruimte</t>
        </is>
      </c>
      <c r="G19" s="29" t="inlineStr">
        <is>
          <t>eindhoven:wandelpark-eckart-eckartse-bos</t>
        </is>
      </c>
      <c r="H19" s="29" t="inlineStr">
        <is>
          <t>Karpendonkse Plas kıyısından Sectie-C'ye yürüyerek inen bir rota. Wandelpark Eckart'ta dikkatli bakanlar pek çok su kuşu görebiliyor; göl manzaralı 't Zusje restoranı da burada. Wasven'in gasterij'i salıdan pazara 10.00–17.00 arası açık, mutfak kapanıştan bir saat önce kapanıyor; çiftlik resmî tatillerde kapalı. THE POOL yalnız cuma ve cumartesi 12.00–17.00 arası açık; cumartesi giderseniz Wasven de THE POOL da açık olur. De Kruisruimte'nin kartında açılış saati yok; sergi, atölye ve performanslara ev sahipliği yapan açık bir sanat alanı.</t>
        </is>
      </c>
      <c r="I19" s="49" t="n">
        <v>46317</v>
      </c>
      <c r="J19" s="29" t="inlineStr">
        <is>
          <t>eindhoven:kaynak:189;eindhoven:kaynak:302;eindhoven:kaynak:307;eindhoven:kaynak:266;eindhoven:kaynak:262</t>
        </is>
      </c>
      <c r="K19" s="51" t="n">
        <v>12</v>
      </c>
      <c r="L19" s="29" t="inlineStr">
        <is>
          <t>Taslak</t>
        </is>
      </c>
    </row>
    <row r="20" ht="54" customHeight="1">
      <c r="A20" s="29" t="n"/>
      <c r="B20" s="29" t="n"/>
      <c r="C20" s="29" t="n"/>
      <c r="D20" s="29" t="n"/>
      <c r="E20" s="29" t="n"/>
      <c r="F20" s="29" t="n"/>
      <c r="G20" s="29" t="n"/>
      <c r="H20" s="29" t="n"/>
      <c r="I20" s="49" t="n"/>
      <c r="J20" s="29" t="n"/>
      <c r="K20" s="51" t="n"/>
      <c r="L20" s="29" t="n"/>
    </row>
    <row r="21" ht="54" customHeight="1">
      <c r="A21" s="29" t="n"/>
      <c r="B21" s="29" t="n"/>
      <c r="C21" s="29" t="n"/>
      <c r="D21" s="29" t="n"/>
      <c r="E21" s="29" t="n"/>
      <c r="F21" s="29" t="n"/>
      <c r="G21" s="29" t="n"/>
      <c r="H21" s="29" t="n"/>
      <c r="I21" s="49" t="n"/>
      <c r="J21" s="29" t="n"/>
      <c r="K21" s="51" t="n"/>
      <c r="L21" s="29" t="n"/>
    </row>
    <row r="22" ht="54" customHeight="1">
      <c r="A22" s="29" t="n"/>
      <c r="B22" s="29" t="n"/>
      <c r="C22" s="29" t="n"/>
      <c r="D22" s="29" t="n"/>
      <c r="E22" s="29" t="n"/>
      <c r="F22" s="29" t="n"/>
      <c r="G22" s="29" t="n"/>
      <c r="H22" s="29" t="n"/>
      <c r="I22" s="49" t="n"/>
      <c r="J22" s="29" t="n"/>
      <c r="K22" s="51" t="n"/>
      <c r="L22" s="29" t="n"/>
    </row>
    <row r="23" ht="54" customHeight="1">
      <c r="A23" s="29" t="n"/>
      <c r="B23" s="29" t="n"/>
      <c r="C23" s="29" t="n"/>
      <c r="D23" s="29" t="n"/>
      <c r="E23" s="29" t="n"/>
      <c r="F23" s="29" t="n"/>
      <c r="G23" s="29" t="n"/>
      <c r="H23" s="29" t="n"/>
      <c r="I23" s="49" t="n"/>
      <c r="J23" s="29" t="n"/>
      <c r="K23" s="51" t="n"/>
      <c r="L23" s="29" t="n"/>
    </row>
    <row r="24" ht="54" customHeight="1">
      <c r="A24" s="29" t="n"/>
      <c r="B24" s="29" t="n"/>
      <c r="C24" s="29" t="n"/>
      <c r="D24" s="29" t="n"/>
      <c r="E24" s="29" t="n"/>
      <c r="F24" s="29" t="n"/>
      <c r="G24" s="29" t="n"/>
      <c r="H24" s="29" t="n"/>
      <c r="I24" s="49" t="n"/>
      <c r="J24" s="29" t="n"/>
      <c r="K24" s="51" t="n"/>
      <c r="L24" s="29" t="n"/>
    </row>
    <row r="25" ht="54" customHeight="1">
      <c r="A25" s="29" t="n"/>
      <c r="B25" s="29" t="n"/>
      <c r="C25" s="29" t="n"/>
      <c r="D25" s="29" t="n"/>
      <c r="E25" s="29" t="n"/>
      <c r="F25" s="29" t="n"/>
      <c r="G25" s="29" t="n"/>
      <c r="H25" s="29" t="n"/>
      <c r="I25" s="49" t="n"/>
      <c r="J25" s="29" t="n"/>
      <c r="K25" s="51" t="n"/>
      <c r="L25" s="29" t="n"/>
    </row>
    <row r="26" ht="54" customHeight="1">
      <c r="A26" s="29" t="n"/>
      <c r="B26" s="29" t="n"/>
      <c r="C26" s="29" t="n"/>
      <c r="D26" s="29" t="n"/>
      <c r="E26" s="29" t="n"/>
      <c r="F26" s="29" t="n"/>
      <c r="G26" s="29" t="n"/>
      <c r="H26" s="29" t="n"/>
      <c r="I26" s="49" t="n"/>
      <c r="J26" s="29" t="n"/>
      <c r="K26" s="51" t="n"/>
      <c r="L26" s="29" t="n"/>
    </row>
    <row r="27" ht="54" customHeight="1">
      <c r="A27" s="29" t="n"/>
      <c r="B27" s="29" t="n"/>
      <c r="C27" s="29" t="n"/>
      <c r="D27" s="29" t="n"/>
      <c r="E27" s="29" t="n"/>
      <c r="F27" s="29" t="n"/>
      <c r="G27" s="29" t="n"/>
      <c r="H27" s="29" t="n"/>
      <c r="I27" s="49" t="n"/>
      <c r="J27" s="29" t="n"/>
      <c r="K27" s="51" t="n"/>
      <c r="L27" s="29" t="n"/>
    </row>
    <row r="28" ht="54" customHeight="1">
      <c r="A28" s="29" t="n"/>
      <c r="B28" s="29" t="n"/>
      <c r="C28" s="29" t="n"/>
      <c r="D28" s="29" t="n"/>
      <c r="E28" s="29" t="n"/>
      <c r="F28" s="29" t="n"/>
      <c r="G28" s="29" t="n"/>
      <c r="H28" s="29" t="n"/>
      <c r="I28" s="49" t="n"/>
      <c r="J28" s="29" t="n"/>
      <c r="K28" s="51" t="n"/>
      <c r="L28" s="29" t="n"/>
    </row>
    <row r="29" ht="54" customHeight="1">
      <c r="A29" s="29" t="n"/>
      <c r="B29" s="29" t="n"/>
      <c r="C29" s="29" t="n"/>
      <c r="D29" s="29" t="n"/>
      <c r="E29" s="29" t="n"/>
      <c r="F29" s="29" t="n"/>
      <c r="G29" s="29" t="n"/>
      <c r="H29" s="29" t="n"/>
      <c r="I29" s="49" t="n"/>
      <c r="J29" s="29" t="n"/>
      <c r="K29" s="51" t="n"/>
      <c r="L29" s="29" t="n"/>
    </row>
    <row r="30" ht="54" customHeight="1">
      <c r="A30" s="29" t="n"/>
      <c r="B30" s="29" t="n"/>
      <c r="C30" s="29" t="n"/>
      <c r="D30" s="29" t="n"/>
      <c r="E30" s="29" t="n"/>
      <c r="F30" s="29" t="n"/>
      <c r="G30" s="29" t="n"/>
      <c r="H30" s="29" t="n"/>
      <c r="I30" s="49" t="n"/>
      <c r="J30" s="29" t="n"/>
      <c r="K30" s="51" t="n"/>
      <c r="L30" s="29" t="n"/>
    </row>
    <row r="31" ht="54" customHeight="1">
      <c r="A31" s="29" t="n"/>
      <c r="B31" s="29" t="n"/>
      <c r="C31" s="29" t="n"/>
      <c r="D31" s="29" t="n"/>
      <c r="E31" s="29" t="n"/>
      <c r="F31" s="29" t="n"/>
      <c r="G31" s="29" t="n"/>
      <c r="H31" s="29" t="n"/>
      <c r="I31" s="49" t="n"/>
      <c r="J31" s="29" t="n"/>
      <c r="K31" s="51" t="n"/>
      <c r="L31" s="29" t="n"/>
    </row>
    <row r="32" ht="54" customHeight="1">
      <c r="A32" s="29" t="n"/>
      <c r="B32" s="29" t="n"/>
      <c r="C32" s="29" t="n"/>
      <c r="D32" s="29" t="n"/>
      <c r="E32" s="29" t="n"/>
      <c r="F32" s="29" t="n"/>
      <c r="G32" s="29" t="n"/>
      <c r="H32" s="29" t="n"/>
      <c r="I32" s="49" t="n"/>
      <c r="J32" s="29" t="n"/>
      <c r="K32" s="51" t="n"/>
      <c r="L32" s="29" t="n"/>
    </row>
    <row r="33" ht="54" customHeight="1">
      <c r="A33" s="29" t="n"/>
      <c r="B33" s="29" t="n"/>
      <c r="C33" s="29" t="n"/>
      <c r="D33" s="29" t="n"/>
      <c r="E33" s="29" t="n"/>
      <c r="F33" s="29" t="n"/>
      <c r="G33" s="29" t="n"/>
      <c r="H33" s="29" t="n"/>
      <c r="I33" s="49" t="n"/>
      <c r="J33" s="29" t="n"/>
      <c r="K33" s="51" t="n"/>
      <c r="L33" s="29" t="n"/>
    </row>
    <row r="34" ht="54" customHeight="1">
      <c r="A34" s="29" t="n"/>
      <c r="B34" s="29" t="n"/>
      <c r="C34" s="29" t="n"/>
      <c r="D34" s="29" t="n"/>
      <c r="E34" s="29" t="n"/>
      <c r="F34" s="29" t="n"/>
      <c r="G34" s="29" t="n"/>
      <c r="H34" s="29" t="n"/>
      <c r="I34" s="49" t="n"/>
      <c r="J34" s="29" t="n"/>
      <c r="K34" s="51" t="n"/>
      <c r="L34" s="29" t="n"/>
    </row>
    <row r="35" ht="54" customHeight="1">
      <c r="A35" s="29" t="n"/>
      <c r="B35" s="29" t="n"/>
      <c r="C35" s="29" t="n"/>
      <c r="D35" s="29" t="n"/>
      <c r="E35" s="29" t="n"/>
      <c r="F35" s="29" t="n"/>
      <c r="G35" s="29" t="n"/>
      <c r="H35" s="29" t="n"/>
      <c r="I35" s="49" t="n"/>
      <c r="J35" s="29" t="n"/>
      <c r="K35" s="51" t="n"/>
      <c r="L35" s="29" t="n"/>
    </row>
    <row r="36" ht="54" customHeight="1">
      <c r="A36" s="29" t="n"/>
      <c r="B36" s="29" t="n"/>
      <c r="C36" s="29" t="n"/>
      <c r="D36" s="29" t="n"/>
      <c r="E36" s="29" t="n"/>
      <c r="F36" s="29" t="n"/>
      <c r="G36" s="29" t="n"/>
      <c r="H36" s="29" t="n"/>
      <c r="I36" s="49" t="n"/>
      <c r="J36" s="29" t="n"/>
      <c r="K36" s="51" t="n"/>
      <c r="L36" s="29" t="n"/>
    </row>
    <row r="37" ht="54" customHeight="1">
      <c r="A37" s="29" t="n"/>
      <c r="B37" s="29" t="n"/>
      <c r="C37" s="29" t="n"/>
      <c r="D37" s="29" t="n"/>
      <c r="E37" s="29" t="n"/>
      <c r="F37" s="29" t="n"/>
      <c r="G37" s="29" t="n"/>
      <c r="H37" s="29" t="n"/>
      <c r="I37" s="49" t="n"/>
      <c r="J37" s="29" t="n"/>
      <c r="K37" s="51" t="n"/>
      <c r="L37" s="29" t="n"/>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G8:G37">
    <cfRule type="expression" priority="6" dxfId="1">
      <formula>AND($A8&lt;&gt;"",ISBLANK(G8))</formula>
    </cfRule>
  </conditionalFormatting>
  <conditionalFormatting sqref="H8:H37">
    <cfRule type="expression" priority="7" dxfId="1">
      <formula>AND($A8&lt;&gt;"",ISBLANK(H8))</formula>
    </cfRule>
  </conditionalFormatting>
  <conditionalFormatting sqref="I8:I37">
    <cfRule type="expression" priority="8" dxfId="1">
      <formula>AND($A8&lt;&gt;"",ISBLANK(I8))</formula>
    </cfRule>
  </conditionalFormatting>
  <conditionalFormatting sqref="J8:J37">
    <cfRule type="expression" priority="9" dxfId="1">
      <formula>AND($A8&lt;&gt;"",ISBLANK(J8))</formula>
    </cfRule>
  </conditionalFormatting>
  <conditionalFormatting sqref="K8:K37">
    <cfRule type="expression" priority="10" dxfId="1">
      <formula>AND($A8&lt;&gt;"",ISBLANK(K8))</formula>
    </cfRule>
  </conditionalFormatting>
  <conditionalFormatting sqref="L8:L37">
    <cfRule type="expression" priority="11" dxfId="1">
      <formula>AND($A8&lt;&gt;"",ISBLANK(L8))</formula>
    </cfRule>
  </conditionalFormatting>
  <dataValidations count="1">
    <dataValidation sqref="L8:L3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58" customWidth="1" min="4" max="4"/>
    <col width="28" customWidth="1" min="5" max="5"/>
    <col width="20" customWidth="1" min="6" max="6"/>
    <col width="28" customWidth="1" min="7" max="7"/>
    <col width="28" customWidth="1" min="8" max="8"/>
  </cols>
  <sheetData>
    <row r="1" ht="30" customHeight="1">
      <c r="A1" s="2" t="n"/>
      <c r="B1" s="2" t="n"/>
      <c r="C1" s="2" t="n"/>
      <c r="D1" s="2" t="n"/>
      <c r="E1" s="2" t="n"/>
      <c r="F1" s="2" t="n"/>
      <c r="G1" s="2" t="n"/>
      <c r="H1" s="2" t="n"/>
    </row>
    <row r="2" ht="30" customHeight="1">
      <c r="A2" s="19" t="inlineStr">
        <is>
          <t>Corteqs · Yerel terimler sözlüğü</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 · ; ile</t>
        </is>
      </c>
      <c r="F5" s="22" t="inlineStr">
        <is>
          <t>Zorunlu · tarih</t>
        </is>
      </c>
      <c r="G5" s="22" t="inlineStr">
        <is>
          <t>Zorunlu</t>
        </is>
      </c>
      <c r="H5" s="22" t="inlineStr">
        <is>
          <t>Zorunlu</t>
        </is>
      </c>
    </row>
    <row r="6" ht="44" customHeight="1">
      <c r="A6" s="25" t="inlineStr">
        <is>
          <t>Terim kimliği</t>
        </is>
      </c>
      <c r="B6" s="25" t="inlineStr">
        <is>
          <t>Şehir kimliği</t>
        </is>
      </c>
      <c r="C6" s="25" t="inlineStr">
        <is>
          <t>Yerel terim</t>
        </is>
      </c>
      <c r="D6" s="25" t="inlineStr">
        <is>
          <t>Türkçe açıklama</t>
        </is>
      </c>
      <c r="E6" s="25" t="inlineStr">
        <is>
          <t>Kaynak kimlikleri</t>
        </is>
      </c>
      <c r="F6" s="25" t="inlineStr">
        <is>
          <t>Terim kontrol tarihi</t>
        </is>
      </c>
      <c r="G6" s="25" t="inlineStr">
        <is>
          <t>Sıra</t>
        </is>
      </c>
      <c r="H6" s="25" t="inlineStr">
        <is>
          <t>Editör durumu</t>
        </is>
      </c>
    </row>
    <row r="7" ht="32" customHeight="1">
      <c r="A7" s="28" t="inlineStr">
        <is>
          <t>term_id</t>
        </is>
      </c>
      <c r="B7" s="28" t="inlineStr">
        <is>
          <t>city_id</t>
        </is>
      </c>
      <c r="C7" s="28" t="inlineStr">
        <is>
          <t>term</t>
        </is>
      </c>
      <c r="D7" s="28" t="inlineStr">
        <is>
          <t>definition</t>
        </is>
      </c>
      <c r="E7" s="28" t="inlineStr">
        <is>
          <t>source_ids</t>
        </is>
      </c>
      <c r="F7" s="28" t="inlineStr">
        <is>
          <t>reviewed_on</t>
        </is>
      </c>
      <c r="G7" s="28" t="inlineStr">
        <is>
          <t>order</t>
        </is>
      </c>
      <c r="H7" s="28" t="inlineStr">
        <is>
          <t>editorial_status</t>
        </is>
      </c>
    </row>
    <row r="8" ht="54" customHeight="1">
      <c r="A8" s="29" t="inlineStr">
        <is>
          <t>eindhoven:term:001</t>
        </is>
      </c>
      <c r="B8" s="29" t="inlineStr">
        <is>
          <t>eindhoven</t>
        </is>
      </c>
      <c r="C8" s="29" t="inlineStr">
        <is>
          <t>30%-regeling (expatregeling)</t>
        </is>
      </c>
      <c r="D8" s="29" t="inlineStr">
        <is>
          <t>Yurt dışından gelen nitelikli çalışanın taşınma ve yaşam masraflarını telafi eden vergi avantajıdır; işveren maaşın bir yüzdesini vergisiz öder ya da gerçek masrafları iade eder. Eskiden 'yüzde 30 kuralı' (30% ruling) diye bilinirdi, en çok 5 yıl uygulanır, Belastingdienst'ten beschikking (onay kararı) alınması gerekir ve 2024'ten sonra hak kazananlar için oran 1 Ocak 2027'de %30'dan %27'ye iner.</t>
        </is>
      </c>
      <c r="E8" s="29" t="inlineStr">
        <is>
          <t>eindhoven:kaynak:090</t>
        </is>
      </c>
      <c r="F8" s="49" t="n">
        <v>46317</v>
      </c>
      <c r="G8" s="51" t="n">
        <v>1</v>
      </c>
      <c r="H8" s="29" t="inlineStr">
        <is>
          <t>Taslak</t>
        </is>
      </c>
    </row>
    <row r="9" ht="54" customHeight="1">
      <c r="A9" s="29" t="inlineStr">
        <is>
          <t>eindhoven:term:002</t>
        </is>
      </c>
      <c r="B9" s="29" t="inlineStr">
        <is>
          <t>eindhoven</t>
        </is>
      </c>
      <c r="C9" s="29" t="inlineStr">
        <is>
          <t>afvalstoffenheffing</t>
        </is>
      </c>
      <c r="D9" s="29" t="inlineStr">
        <is>
          <t>Belediyenin çöpün (huisvuil) toplanması ve işlenmesi masraflarını karşılamak için aldığı çöp vergisidir. Yıllık gemeentelijke belastingen (belediye vergileri) faturasında yer alır; katılmıyorsan bezwaar (itiraz) edebilir, ödeyemiyorsan kwijtschelding (vergi silme) isteyebilirsin.</t>
        </is>
      </c>
      <c r="E9" s="29" t="inlineStr">
        <is>
          <t>eindhoven:kaynak:082</t>
        </is>
      </c>
      <c r="F9" s="49" t="n">
        <v>46317</v>
      </c>
      <c r="G9" s="51" t="n">
        <v>2</v>
      </c>
      <c r="H9" s="29" t="inlineStr">
        <is>
          <t>Taslak</t>
        </is>
      </c>
    </row>
    <row r="10" ht="54" customHeight="1">
      <c r="A10" s="29" t="inlineStr">
        <is>
          <t>eindhoven:term:003</t>
        </is>
      </c>
      <c r="B10" s="29" t="inlineStr">
        <is>
          <t>eindhoven</t>
        </is>
      </c>
      <c r="C10" s="29" t="inlineStr">
        <is>
          <t>apostille</t>
        </is>
      </c>
      <c r="D10" s="29" t="inlineStr">
        <is>
          <t>Bazı Türkiye belgelerinin Hollanda'da geçerli olması için Türk makamlarının yaptığı onaydır; legalisatie'nin basitleştirilmiş biçimidir. Diploma ile mesleki ve eğitim sertifikalarının mutlaka apostille ile onaylanması gerekir.</t>
        </is>
      </c>
      <c r="E10" s="29" t="inlineStr">
        <is>
          <t>eindhoven:kaynak:013</t>
        </is>
      </c>
      <c r="F10" s="49" t="n">
        <v>46317</v>
      </c>
      <c r="G10" s="51" t="n">
        <v>3</v>
      </c>
      <c r="H10" s="29" t="inlineStr">
        <is>
          <t>Taslak</t>
        </is>
      </c>
    </row>
    <row r="11" ht="54" customHeight="1">
      <c r="A11" s="29" t="inlineStr">
        <is>
          <t>eindhoven:term:004</t>
        </is>
      </c>
      <c r="B11" s="29" t="inlineStr">
        <is>
          <t>eindhoven</t>
        </is>
      </c>
      <c r="C11" s="29" t="inlineStr">
        <is>
          <t>arbeidsovereenkomst</t>
        </is>
      </c>
      <c r="D11" s="29" t="inlineStr">
        <is>
          <t>Çalışan ile işveren arasındaki iş sözleşmesidir ve çalışma koşullarını (arbeidsvoorwaarden) içerir. Yazılı olarak anlaşılmamış olsa bile bir kişi işveren için 3 ay boyunca her hafta ya da ayda en az 20 saat çalışıyorsa genellikle sözleşme var sayılır ve asgari ücret, işten çıkarma gibi iş hukuku kuralları geçerli olur.</t>
        </is>
      </c>
      <c r="E11" s="29" t="inlineStr">
        <is>
          <t>eindhoven:kaynak:124</t>
        </is>
      </c>
      <c r="F11" s="49" t="n">
        <v>46317</v>
      </c>
      <c r="G11" s="51" t="n">
        <v>4</v>
      </c>
      <c r="H11" s="29" t="inlineStr">
        <is>
          <t>Taslak</t>
        </is>
      </c>
    </row>
    <row r="12" ht="54" customHeight="1">
      <c r="A12" s="29" t="inlineStr">
        <is>
          <t>eindhoven:term:005</t>
        </is>
      </c>
      <c r="B12" s="29" t="inlineStr">
        <is>
          <t>eindhoven</t>
        </is>
      </c>
      <c r="C12" s="29" t="inlineStr">
        <is>
          <t>Belastingdienst</t>
        </is>
      </c>
      <c r="D12" s="29" t="inlineStr">
        <is>
          <t>Hollanda vergi idaresidir (Dutch Tax Authority). Gelir vergisi beyanı (aangifte), kira yardımı gibi toeslagen destekleri ve expat düzenlemesinin onayı bu kurumdan geçer; KVK'ya kayıt olduğunda bilgilerin ona aktarılır.</t>
        </is>
      </c>
      <c r="E12" s="29" t="inlineStr">
        <is>
          <t>eindhoven:kaynak:008;eindhoven:kaynak:087;eindhoven:kaynak:205;eindhoven:kaynak:128</t>
        </is>
      </c>
      <c r="F12" s="49" t="n">
        <v>46317</v>
      </c>
      <c r="G12" s="51" t="n">
        <v>5</v>
      </c>
      <c r="H12" s="29" t="inlineStr">
        <is>
          <t>Taslak</t>
        </is>
      </c>
    </row>
    <row r="13" ht="54" customHeight="1">
      <c r="A13" s="29" t="inlineStr">
        <is>
          <t>eindhoven:term:006</t>
        </is>
      </c>
      <c r="B13" s="29" t="inlineStr">
        <is>
          <t>eindhoven</t>
        </is>
      </c>
      <c r="C13" s="29" t="inlineStr">
        <is>
          <t>BRP</t>
        </is>
      </c>
      <c r="D13" s="29" t="inlineStr">
        <is>
          <t>Basisregistratie Personen: Hollanda'da yaşayan herkesin adı, BSN'si, oturduğu yer ve uyruğu gibi kişisel verilerinin tutulduğu devlet kayıt sistemidir. Her belediyenin kendi BRP'si vardır; 6 aylık dönemde 4 aydan uzun kalacaksan buraya kayıtlı olman gerekir, adres değiştirince ya da ülkeden ayrılınca belediyeye bildirirsin.</t>
        </is>
      </c>
      <c r="E13" s="29" t="inlineStr">
        <is>
          <t>eindhoven:kaynak:048;eindhoven:kaynak:047</t>
        </is>
      </c>
      <c r="F13" s="49" t="n">
        <v>46317</v>
      </c>
      <c r="G13" s="51" t="n">
        <v>6</v>
      </c>
      <c r="H13" s="29" t="inlineStr">
        <is>
          <t>Taslak</t>
        </is>
      </c>
    </row>
    <row r="14" ht="54" customHeight="1">
      <c r="A14" s="29" t="inlineStr">
        <is>
          <t>eindhoven:term:007</t>
        </is>
      </c>
      <c r="B14" s="29" t="inlineStr">
        <is>
          <t>eindhoven</t>
        </is>
      </c>
      <c r="C14" s="29" t="inlineStr">
        <is>
          <t>BSN</t>
        </is>
      </c>
      <c r="D14" s="29" t="inlineStr">
        <is>
          <t>Burgerservicenummer (vatandaş hizmet numarası): Hollanda'da yaşayan herkese verilen, 8 ya da 9 haneli benzersiz kişisel numaradır. Devlet kurumlarıyla yazışmada, sigorta, banka hesabı, maaş alma, çocuğu okula yazdırma ve yardım başvurularında gerekir; ilk kez belediyenin nüfus kaydına (BRP) yazılınca verilir.</t>
        </is>
      </c>
      <c r="E14" s="29" t="inlineStr">
        <is>
          <t>eindhoven:kaynak:048</t>
        </is>
      </c>
      <c r="F14" s="49" t="n">
        <v>46317</v>
      </c>
      <c r="G14" s="51" t="n">
        <v>7</v>
      </c>
      <c r="H14" s="29" t="inlineStr">
        <is>
          <t>Taslak</t>
        </is>
      </c>
    </row>
    <row r="15" ht="54" customHeight="1">
      <c r="A15" s="29" t="inlineStr">
        <is>
          <t>eindhoven:term:008</t>
        </is>
      </c>
      <c r="B15" s="29" t="inlineStr">
        <is>
          <t>eindhoven</t>
        </is>
      </c>
      <c r="C15" s="29" t="inlineStr">
        <is>
          <t>CAK</t>
        </is>
      </c>
      <c r="D15" s="29" t="inlineStr">
        <is>
          <t>Sağlık sigortası yaptırmayanlara mektup gönderen ve ceza uygulayan kurumdur. Sigortan yoksa CAK'tan mektup gelir ve poliçeyi kendin yaptırman için 3 ay süre verilir; yaptırmazsan para cezası kesilir, 2 cezadan sonra CAK seni bir sigortacıya kendisi kaydeder ve primi gelirinden keser.</t>
        </is>
      </c>
      <c r="E15" s="29" t="inlineStr">
        <is>
          <t>eindhoven:kaynak:208</t>
        </is>
      </c>
      <c r="F15" s="49" t="n">
        <v>46317</v>
      </c>
      <c r="G15" s="51" t="n">
        <v>8</v>
      </c>
      <c r="H15" s="29" t="inlineStr">
        <is>
          <t>Taslak</t>
        </is>
      </c>
    </row>
    <row r="16" ht="54" customHeight="1">
      <c r="A16" s="29" t="inlineStr">
        <is>
          <t>eindhoven:term:009</t>
        </is>
      </c>
      <c r="B16" s="29" t="inlineStr">
        <is>
          <t>eindhoven</t>
        </is>
      </c>
      <c r="C16" s="29" t="inlineStr">
        <is>
          <t>DigiD</t>
        </is>
      </c>
      <c r="D16" s="29" t="inlineStr">
        <is>
          <t>Dijital kimlik: devlet kurumlarına, okullara, sağlık kuruluşlarına ve emeklilik fonuna online girişte kendini kanıtladığın hesaptır. Başvurmak için BRP'de kayıtlı olman, BSN'inin bulunması ve bir cep telefonunun olması gerekir.</t>
        </is>
      </c>
      <c r="E16" s="29" t="inlineStr">
        <is>
          <t>eindhoven:kaynak:049</t>
        </is>
      </c>
      <c r="F16" s="49" t="n">
        <v>46317</v>
      </c>
      <c r="G16" s="51" t="n">
        <v>9</v>
      </c>
      <c r="H16" s="29" t="inlineStr">
        <is>
          <t>Taslak</t>
        </is>
      </c>
    </row>
    <row r="17" ht="54" customHeight="1">
      <c r="A17" s="29" t="inlineStr">
        <is>
          <t>eindhoven:term:010</t>
        </is>
      </c>
      <c r="B17" s="29" t="inlineStr">
        <is>
          <t>eindhoven</t>
        </is>
      </c>
      <c r="C17" s="29" t="inlineStr">
        <is>
          <t>DUO</t>
        </is>
      </c>
      <c r="D17" s="29" t="inlineStr">
        <is>
          <t>Dienst Uitvoering Onderwijs (eğitim hizmetleri uygulama kurumu): inburgering yükümlülüğünü yürüten kurumdur; yükümlüysen uyum mektubu buradan gelir. Hastalık gibi ağır bir nedenle sınava giremiyorsan muafiyet (waiver) başvurusu da DUO sitesinden yapılır.</t>
        </is>
      </c>
      <c r="E17" s="29" t="inlineStr">
        <is>
          <t>eindhoven:kaynak:035;eindhoven:kaynak:174;eindhoven:kaynak:034</t>
        </is>
      </c>
      <c r="F17" s="49" t="n">
        <v>46317</v>
      </c>
      <c r="G17" s="51" t="n">
        <v>10</v>
      </c>
      <c r="H17" s="29" t="inlineStr">
        <is>
          <t>Taslak</t>
        </is>
      </c>
    </row>
    <row r="18" ht="54" customHeight="1">
      <c r="A18" s="29" t="inlineStr">
        <is>
          <t>eindhoven:term:011</t>
        </is>
      </c>
      <c r="B18" s="29" t="inlineStr">
        <is>
          <t>eindhoven</t>
        </is>
      </c>
      <c r="C18" s="29" t="inlineStr">
        <is>
          <t>eigen risico</t>
        </is>
      </c>
      <c r="D18" s="29" t="inlineStr">
        <is>
          <t>Sağlık sigortasında yıllık zorunlu katkıdır: 18 yaş ve üstüysen temel paketteki bakım için ilk 385 euroyu (2026) kendin ödersin, sonrasını sigortacı karşılar. Aile hekimi (huisarts) ziyareti ile 18 yaş altı çocukların bakımı bu katkıya tabi değildir.</t>
        </is>
      </c>
      <c r="E18" s="29" t="inlineStr">
        <is>
          <t>eindhoven:kaynak:101;eindhoven:kaynak:208</t>
        </is>
      </c>
      <c r="F18" s="49" t="n">
        <v>46317</v>
      </c>
      <c r="G18" s="51" t="n">
        <v>11</v>
      </c>
      <c r="H18" s="29" t="inlineStr">
        <is>
          <t>Taslak</t>
        </is>
      </c>
    </row>
    <row r="19" ht="54" customHeight="1">
      <c r="A19" s="29" t="inlineStr">
        <is>
          <t>eindhoven:term:012</t>
        </is>
      </c>
      <c r="B19" s="29" t="inlineStr">
        <is>
          <t>eindhoven</t>
        </is>
      </c>
      <c r="C19" s="29" t="inlineStr">
        <is>
          <t>gemeente</t>
        </is>
      </c>
      <c r="D19" s="29" t="inlineStr">
        <is>
          <t>Belediye. Hollanda'ya gelen herkes yaşadığı yerin belediyesine 5 gün içinde kayıt yaptırmalıdır; BSN, BRP kaydı ve adres değişikliği belediye üzerinden yürür.</t>
        </is>
      </c>
      <c r="E19" s="29" t="inlineStr">
        <is>
          <t>eindhoven:kaynak:047;eindhoven:kaynak:048</t>
        </is>
      </c>
      <c r="F19" s="49" t="n">
        <v>46317</v>
      </c>
      <c r="G19" s="51" t="n">
        <v>12</v>
      </c>
      <c r="H19" s="29" t="inlineStr">
        <is>
          <t>Taslak</t>
        </is>
      </c>
    </row>
    <row r="20" ht="54" customHeight="1">
      <c r="A20" s="29" t="inlineStr">
        <is>
          <t>eindhoven:term:013</t>
        </is>
      </c>
      <c r="B20" s="29" t="inlineStr">
        <is>
          <t>eindhoven</t>
        </is>
      </c>
      <c r="C20" s="29" t="inlineStr">
        <is>
          <t>GFT</t>
        </is>
      </c>
      <c r="D20" s="29" t="inlineStr">
        <is>
          <t>GFT/E (Groente-, Fruit- en Tuinafval en Etensresten): sebze, meyve ve bahçe atığı ile yemek artıklarıdır. Meyve kabuğu gibi organik atık ve en çok 30 cm uzunluğundaki yeşil atık bu gruba girer; müstakil evlerde yeşil konteynere, apartmanlarda yer altı konteynerine atılır.</t>
        </is>
      </c>
      <c r="E20" s="29" t="inlineStr">
        <is>
          <t>eindhoven:kaynak:169</t>
        </is>
      </c>
      <c r="F20" s="49" t="n">
        <v>46317</v>
      </c>
      <c r="G20" s="51" t="n">
        <v>13</v>
      </c>
      <c r="H20" s="29" t="inlineStr">
        <is>
          <t>Taslak</t>
        </is>
      </c>
    </row>
    <row r="21" ht="54" customHeight="1">
      <c r="A21" s="29" t="inlineStr">
        <is>
          <t>eindhoven:term:014</t>
        </is>
      </c>
      <c r="B21" s="29" t="inlineStr">
        <is>
          <t>eindhoven</t>
        </is>
      </c>
      <c r="C21" s="29" t="inlineStr">
        <is>
          <t>GVVA</t>
        </is>
      </c>
      <c r="D21" s="29" t="inlineStr">
        <is>
          <t>Gecombineerde vergunning verblijf en arbeid: oturum izni ile çalışma iznini tek belgede birleştiren 'tek izin' (single permit). Hollanda'da maaşlı çalışmak isteyen kişi için gerekir; AEA ve İsviçre vatandaşlarının çalışma izni almasına gerek yoktur.</t>
        </is>
      </c>
      <c r="E21" s="29" t="inlineStr">
        <is>
          <t>eindhoven:kaynak:031;eindhoven:kaynak:033</t>
        </is>
      </c>
      <c r="F21" s="49" t="n">
        <v>46317</v>
      </c>
      <c r="G21" s="51" t="n">
        <v>14</v>
      </c>
      <c r="H21" s="29" t="inlineStr">
        <is>
          <t>Taslak</t>
        </is>
      </c>
    </row>
    <row r="22" ht="54" customHeight="1">
      <c r="A22" s="29" t="inlineStr">
        <is>
          <t>eindhoven:term:015</t>
        </is>
      </c>
      <c r="B22" s="29" t="inlineStr">
        <is>
          <t>eindhoven</t>
        </is>
      </c>
      <c r="C22" s="29" t="inlineStr">
        <is>
          <t>hondenbelasting</t>
        </is>
      </c>
      <c r="D22" s="29" t="inlineStr">
        <is>
          <t>Eindhoven'de köpek sahiplerinin ödediği belediye vergisidir. Bir ya da daha fazla köpeğin varsa belediyeye bildirmen ve vergi ödemen gerekir; kayıt DigiD ile digitale belastingbalie (dijital vergi masası) üzerinden yapılır.</t>
        </is>
      </c>
      <c r="E22" s="29" t="inlineStr">
        <is>
          <t>eindhoven:kaynak:177</t>
        </is>
      </c>
      <c r="F22" s="49" t="n">
        <v>46317</v>
      </c>
      <c r="G22" s="51" t="n">
        <v>15</v>
      </c>
      <c r="H22" s="29" t="inlineStr">
        <is>
          <t>Taslak</t>
        </is>
      </c>
    </row>
    <row r="23" ht="54" customHeight="1">
      <c r="A23" s="29" t="inlineStr">
        <is>
          <t>eindhoven:term:016</t>
        </is>
      </c>
      <c r="B23" s="29" t="inlineStr">
        <is>
          <t>eindhoven</t>
        </is>
      </c>
      <c r="C23" s="29" t="inlineStr">
        <is>
          <t>huisarts</t>
        </is>
      </c>
      <c r="D23" s="29" t="inlineStr">
        <is>
          <t>Aile hekimi (GP); sağlık sisteminin ilk durağıdır. Kayıt olmak zorunlu değil ama önerilir: ihtiyaç anında doktorun olur, akşam-gece-hafta sonu huisartsenpost'a başvurabilirsin ve sağlık geçmişin tıbbi dosyada tutulur.</t>
        </is>
      </c>
      <c r="E23" s="29" t="inlineStr">
        <is>
          <t>eindhoven:kaynak:105</t>
        </is>
      </c>
      <c r="F23" s="49" t="n">
        <v>46317</v>
      </c>
      <c r="G23" s="51" t="n">
        <v>16</v>
      </c>
      <c r="H23" s="29" t="inlineStr">
        <is>
          <t>Taslak</t>
        </is>
      </c>
    </row>
    <row r="24" ht="54" customHeight="1">
      <c r="A24" s="29" t="inlineStr">
        <is>
          <t>eindhoven:term:017</t>
        </is>
      </c>
      <c r="B24" s="29" t="inlineStr">
        <is>
          <t>eindhoven</t>
        </is>
      </c>
      <c r="C24" s="29" t="inlineStr">
        <is>
          <t>huisartsenpost</t>
        </is>
      </c>
      <c r="D24" s="29" t="inlineStr">
        <is>
          <t>Mesai dışında, ertesi iş gününe kadar bekleyemeyecek acil sağlık sorunları için nöbetçi aile hekimi hizmetidir; Eindhoven bölgesinde Huisartsenposten Oost-Brabant verir. Hafta içi 17.00-08.00 arası, hafta sonu ve resmî tatillerde 24 saat açıktır ve önce telefonla aranır; telefona çıkan doktor asistanı yönlendirir.</t>
        </is>
      </c>
      <c r="E24" s="29" t="inlineStr">
        <is>
          <t>eindhoven:kaynak:107</t>
        </is>
      </c>
      <c r="F24" s="49" t="n">
        <v>46317</v>
      </c>
      <c r="G24" s="51" t="n">
        <v>17</v>
      </c>
      <c r="H24" s="29" t="inlineStr">
        <is>
          <t>Taslak</t>
        </is>
      </c>
    </row>
    <row r="25" ht="54" customHeight="1">
      <c r="A25" s="29" t="inlineStr">
        <is>
          <t>eindhoven:term:018</t>
        </is>
      </c>
      <c r="B25" s="29" t="inlineStr">
        <is>
          <t>eindhoven</t>
        </is>
      </c>
      <c r="C25" s="29" t="inlineStr">
        <is>
          <t>Huurcommissie</t>
        </is>
      </c>
      <c r="D25" s="29" t="inlineStr">
        <is>
          <t>Kiracı ile ev sahibi arasındaki kira bedeli, bakım ve servis gideri anlaşmazlıklarına bakan ulusal, bağımsız ve mahkeme dışı çözüm kurumudur. Sosyal konutta kira bedeline itiraz edersen bir uzman konutun puanını hesaplar; çoğu başvuru bireyler için 25 euroya mal olur.</t>
        </is>
      </c>
      <c r="E25" s="29" t="inlineStr">
        <is>
          <t>eindhoven:kaynak:205;eindhoven:kaynak:061</t>
        </is>
      </c>
      <c r="F25" s="49" t="n">
        <v>46317</v>
      </c>
      <c r="G25" s="51" t="n">
        <v>18</v>
      </c>
      <c r="H25" s="29" t="inlineStr">
        <is>
          <t>Taslak</t>
        </is>
      </c>
    </row>
    <row r="26" ht="54" customHeight="1">
      <c r="A26" s="29" t="inlineStr">
        <is>
          <t>eindhoven:term:019</t>
        </is>
      </c>
      <c r="B26" s="29" t="inlineStr">
        <is>
          <t>eindhoven</t>
        </is>
      </c>
      <c r="C26" s="29" t="inlineStr">
        <is>
          <t>huurtoeslag</t>
        </is>
      </c>
      <c r="D26" s="29" t="inlineStr">
        <is>
          <t>Kira masrafına devletin yaptığı katkıdır (kira yardımı). Bağımsız bir konutu kiralamış olman, senin ve birlikte oturduğun kişilerin gelir ve varlığının çok yüksek olmaması ve hepinizin o adreste belediyeye kayıtlı olması gerekir; başvuru vergi idaresine yapılır.</t>
        </is>
      </c>
      <c r="E26" s="29" t="inlineStr">
        <is>
          <t>eindhoven:kaynak:203;eindhoven:kaynak:205</t>
        </is>
      </c>
      <c r="F26" s="49" t="n">
        <v>46317</v>
      </c>
      <c r="G26" s="51" t="n">
        <v>19</v>
      </c>
      <c r="H26" s="29" t="inlineStr">
        <is>
          <t>Taslak</t>
        </is>
      </c>
    </row>
    <row r="27" ht="54" customHeight="1">
      <c r="A27" s="29" t="inlineStr">
        <is>
          <t>eindhoven:term:020</t>
        </is>
      </c>
      <c r="B27" s="29" t="inlineStr">
        <is>
          <t>eindhoven</t>
        </is>
      </c>
      <c r="C27" s="29" t="inlineStr">
        <is>
          <t>inburgering</t>
        </is>
      </c>
      <c r="D27" s="29" t="inlineStr">
        <is>
          <t>Hollanda'ya taşınan bazı kişilerin Felemenkçe dil ve toplum dersleri alıp sınava girmek zorunda olduğu uyum sürecidir (inburgeringsplicht); yükümlüysen uyum için 3 yılın vardır. Kalıcı gibi daha güvenli oturum izinleri için çoğu zaman inburgering diploması istenir.</t>
        </is>
      </c>
      <c r="E27" s="29" t="inlineStr">
        <is>
          <t>eindhoven:kaynak:035;eindhoven:kaynak:034</t>
        </is>
      </c>
      <c r="F27" s="49" t="n">
        <v>46317</v>
      </c>
      <c r="G27" s="51" t="n">
        <v>20</v>
      </c>
      <c r="H27" s="29" t="inlineStr">
        <is>
          <t>Taslak</t>
        </is>
      </c>
    </row>
    <row r="28" ht="54" customHeight="1">
      <c r="A28" s="29" t="inlineStr">
        <is>
          <t>eindhoven:term:021</t>
        </is>
      </c>
      <c r="B28" s="29" t="inlineStr">
        <is>
          <t>eindhoven</t>
        </is>
      </c>
      <c r="C28" s="29" t="inlineStr">
        <is>
          <t>IND</t>
        </is>
      </c>
      <c r="D28" s="29" t="inlineStr">
        <is>
          <t>Immigratie- en Naturalisatiedienst: oturum izni ve vatandaşlık işlerine bakan göç idaresidir. Hollanda'da 3 aydan uzun kalacak yabancılar oturum izni (verblijfsvergunning) için buranın gişelerine başvurur.</t>
        </is>
      </c>
      <c r="E28" s="29" t="inlineStr">
        <is>
          <t>eindhoven:kaynak:037</t>
        </is>
      </c>
      <c r="F28" s="49" t="n">
        <v>46317</v>
      </c>
      <c r="G28" s="51" t="n">
        <v>21</v>
      </c>
      <c r="H28" s="29" t="inlineStr">
        <is>
          <t>Taslak</t>
        </is>
      </c>
    </row>
    <row r="29" ht="54" customHeight="1">
      <c r="A29" s="29" t="inlineStr">
        <is>
          <t>eindhoven:term:022</t>
        </is>
      </c>
      <c r="B29" s="29" t="inlineStr">
        <is>
          <t>eindhoven</t>
        </is>
      </c>
      <c r="C29" s="29" t="inlineStr">
        <is>
          <t>Inwonersplein</t>
        </is>
      </c>
      <c r="D29" s="29" t="inlineStr">
        <is>
          <t>Eindhoven belediyesinin vatandaşlara hizmet verdiği gişedir. Yurt dışından gelenler varıştan sonra 5 gün içinde randevu alıp kaydı burada şahsen yaptırır; partner ve çocukların da birlikte gelmesi gerekir.</t>
        </is>
      </c>
      <c r="E29" s="29" t="inlineStr">
        <is>
          <t>eindhoven:kaynak:038</t>
        </is>
      </c>
      <c r="F29" s="49" t="n">
        <v>46317</v>
      </c>
      <c r="G29" s="51" t="n">
        <v>22</v>
      </c>
      <c r="H29" s="29" t="inlineStr">
        <is>
          <t>Taslak</t>
        </is>
      </c>
    </row>
    <row r="30" ht="54" customHeight="1">
      <c r="A30" s="29" t="inlineStr">
        <is>
          <t>eindhoven:term:023</t>
        </is>
      </c>
      <c r="B30" s="29" t="inlineStr">
        <is>
          <t>eindhoven</t>
        </is>
      </c>
      <c r="C30" s="29" t="inlineStr">
        <is>
          <t>jaarafrekening</t>
        </is>
      </c>
      <c r="D30" s="29" t="inlineStr">
        <is>
          <t>Enerji sağlayıcısının yılda bir kez gönderdiği yıllık hesaptır; taşınır ya da sağlayıcı değiştirirsen bunun yerine eindafrekening (son hesap) gelir. Aylık ödediğin tahmini tutarlar (termijnbedrag) gerçek tüketimle karşılaştırılır: fazla ödediysen para iade edilir, eksik ödediysen farkı tamamlarsın.</t>
        </is>
      </c>
      <c r="E30" s="29" t="inlineStr">
        <is>
          <t>eindhoven:kaynak:071</t>
        </is>
      </c>
      <c r="F30" s="49" t="n">
        <v>46317</v>
      </c>
      <c r="G30" s="51" t="n">
        <v>23</v>
      </c>
      <c r="H30" s="29" t="inlineStr">
        <is>
          <t>Taslak</t>
        </is>
      </c>
    </row>
    <row r="31" ht="54" customHeight="1">
      <c r="A31" s="29" t="inlineStr">
        <is>
          <t>eindhoven:term:024</t>
        </is>
      </c>
      <c r="B31" s="29" t="inlineStr">
        <is>
          <t>eindhoven</t>
        </is>
      </c>
      <c r="C31" s="29" t="inlineStr">
        <is>
          <t>kennismigrant</t>
        </is>
      </c>
      <c r="D31" s="29" t="inlineStr">
        <is>
          <t>Highly skilled migrant: IND'nin tanınmış sponsoru (recognized sponsor) olan bir işverenle iş sözleşmesi bulunan nitelikli yabancı çalışan için oturum izni. Başvuruyu işveren yapar; izin hazır olunca IND sana ya da sponsora mektup gönderir ve Türk vatandaşları için bazı durumlarda kurallar daha esnektir.</t>
        </is>
      </c>
      <c r="E31" s="29" t="inlineStr">
        <is>
          <t>eindhoven:kaynak:001</t>
        </is>
      </c>
      <c r="F31" s="49" t="n">
        <v>46317</v>
      </c>
      <c r="G31" s="51" t="n">
        <v>24</v>
      </c>
      <c r="H31" s="29" t="inlineStr">
        <is>
          <t>Taslak</t>
        </is>
      </c>
    </row>
    <row r="32" ht="54" customHeight="1">
      <c r="A32" s="29" t="inlineStr">
        <is>
          <t>eindhoven:term:025</t>
        </is>
      </c>
      <c r="B32" s="29" t="inlineStr">
        <is>
          <t>eindhoven</t>
        </is>
      </c>
      <c r="C32" s="29" t="inlineStr">
        <is>
          <t>kinderbijslag</t>
        </is>
      </c>
      <c r="D32" s="29" t="inlineStr">
        <is>
          <t>Çocuk parası (child benefit); SVB (Sociale Verzekeringsbank) verir. Çocuğu belediyeye bildirdikten sonra SVB'den gelen mektupta başvurunun nasıl yapılacağı yazar; kinderbijslag'ı kendi adına alan ebeveyn kindgebonden budget hakkına da sahip olabilir.</t>
        </is>
      </c>
      <c r="E32" s="29" t="inlineStr">
        <is>
          <t>eindhoven:kaynak:149;eindhoven:kaynak:139;eindhoven:kaynak:140</t>
        </is>
      </c>
      <c r="F32" s="49" t="n">
        <v>46317</v>
      </c>
      <c r="G32" s="51" t="n">
        <v>25</v>
      </c>
      <c r="H32" s="29" t="inlineStr">
        <is>
          <t>Taslak</t>
        </is>
      </c>
    </row>
    <row r="33" ht="54" customHeight="1">
      <c r="A33" s="29" t="inlineStr">
        <is>
          <t>eindhoven:term:026</t>
        </is>
      </c>
      <c r="B33" s="29" t="inlineStr">
        <is>
          <t>eindhoven</t>
        </is>
      </c>
      <c r="C33" s="29" t="inlineStr">
        <is>
          <t>kinderopvangtoeslag</t>
        </is>
      </c>
      <c r="D33" s="29" t="inlineStr">
        <is>
          <t>Çocuğun kreşe ya da okul sonrası bakıma (buitenschoolse opvang, BSO) gitmesinin masrafına devletin katkısıdır. Otomatik gelmez, Mijn toeslagen (Dienst Toeslagen'deki kişisel sayfan) üzerinden kendin başvurursun; ücretli çalışıyor ya da bir eğitim veya uyum programına katılıyor olman gerekir, gönüllü çalışma yetmez.</t>
        </is>
      </c>
      <c r="E33" s="29" t="inlineStr">
        <is>
          <t>eindhoven:kaynak:134;eindhoven:kaynak:136;eindhoven:kaynak:135</t>
        </is>
      </c>
      <c r="F33" s="49" t="n">
        <v>46317</v>
      </c>
      <c r="G33" s="51" t="n">
        <v>26</v>
      </c>
      <c r="H33" s="29" t="inlineStr">
        <is>
          <t>Taslak</t>
        </is>
      </c>
    </row>
    <row r="34" ht="54" customHeight="1">
      <c r="A34" s="29" t="inlineStr">
        <is>
          <t>eindhoven:term:027</t>
        </is>
      </c>
      <c r="B34" s="29" t="inlineStr">
        <is>
          <t>eindhoven</t>
        </is>
      </c>
      <c r="C34" s="29" t="inlineStr">
        <is>
          <t>kindgebonden budget</t>
        </is>
      </c>
      <c r="D34" s="29" t="inlineStr">
        <is>
          <t>18 yaşından küçük çocukların masraflarına devletin katkısıdır; kinderbijslag'a ek olarak verilir ve tutarı gelire, çocuk sayısına ve yaşlarına göre değişir. Hakkın varsa Dienst Toeslagen sana kendiliğinden haber verir, haber gelmediyse toeslagen.nl'den başvurabilirsin.</t>
        </is>
      </c>
      <c r="E34" s="29" t="inlineStr">
        <is>
          <t>eindhoven:kaynak:139</t>
        </is>
      </c>
      <c r="F34" s="49" t="n">
        <v>46317</v>
      </c>
      <c r="G34" s="51" t="n">
        <v>27</v>
      </c>
      <c r="H34" s="29" t="inlineStr">
        <is>
          <t>Taslak</t>
        </is>
      </c>
    </row>
    <row r="35" ht="54" customHeight="1">
      <c r="A35" s="29" t="inlineStr">
        <is>
          <t>eindhoven:term:028</t>
        </is>
      </c>
      <c r="B35" s="29" t="inlineStr">
        <is>
          <t>eindhoven</t>
        </is>
      </c>
      <c r="C35" s="29" t="inlineStr">
        <is>
          <t>KVK</t>
        </is>
      </c>
      <c r="D35" s="29" t="inlineStr">
        <is>
          <t>Hollanda Ticaret Odası (Netherlands Chamber of Commerce). Şirket ya da işletme kuracaksan işletmeni genellikle burada Business Register'a (ticaret sicili) kaydettirirsin; KVK bilgilerini vergi idaresine de iletir, ayrıca kayıt gerekmeyebilir.</t>
        </is>
      </c>
      <c r="E35" s="29" t="inlineStr">
        <is>
          <t>eindhoven:kaynak:127;eindhoven:kaynak:128</t>
        </is>
      </c>
      <c r="F35" s="49" t="n">
        <v>46317</v>
      </c>
      <c r="G35" s="51" t="n">
        <v>28</v>
      </c>
      <c r="H35" s="29" t="inlineStr">
        <is>
          <t>Taslak</t>
        </is>
      </c>
    </row>
    <row r="36" ht="54" customHeight="1">
      <c r="A36" s="29" t="inlineStr">
        <is>
          <t>eindhoven:term:029</t>
        </is>
      </c>
      <c r="B36" s="29" t="inlineStr">
        <is>
          <t>eindhoven</t>
        </is>
      </c>
      <c r="C36" s="29" t="inlineStr">
        <is>
          <t>kwalificatieplicht</t>
        </is>
      </c>
      <c r="D36" s="29" t="inlineStr">
        <is>
          <t>16-17 yaşındaki gençlerin okula devam zorunluluğudur: startkwalificatie'si (en az havo diploması ya da mbo niveau 2) olmayanlar 18. doğum günlerine kadar okula gitmek zorundadır. Bu sürede leerplicht (zorunlu eğitim) kuralları aynen geçerlidir.</t>
        </is>
      </c>
      <c r="E36" s="29" t="inlineStr">
        <is>
          <t>eindhoven:kaynak:142</t>
        </is>
      </c>
      <c r="F36" s="49" t="n">
        <v>46317</v>
      </c>
      <c r="G36" s="51" t="n">
        <v>29</v>
      </c>
      <c r="H36" s="29" t="inlineStr">
        <is>
          <t>Taslak</t>
        </is>
      </c>
    </row>
    <row r="37" ht="54" customHeight="1">
      <c r="A37" s="29" t="inlineStr">
        <is>
          <t>eindhoven:term:030</t>
        </is>
      </c>
      <c r="B37" s="29" t="inlineStr">
        <is>
          <t>eindhoven</t>
        </is>
      </c>
      <c r="C37" s="29" t="inlineStr">
        <is>
          <t>kwijtschelding</t>
        </is>
      </c>
      <c r="D37" s="29" t="inlineStr">
        <is>
          <t>Belediye vergisi (gemeentelijke belasting) ödemeye gücü olmadığını gösteren kişinin vergiyi hiç ya da kısmen ödememesi anlamına gelen vergi silme talebidir. Belediye gelirini, giderlerini ve varlığını dikkate alır; bazı durumlarda digitale belastingbalie üzerinden başvurulabilir.</t>
        </is>
      </c>
      <c r="E37" s="29" t="inlineStr">
        <is>
          <t>eindhoven:kaynak:086</t>
        </is>
      </c>
      <c r="F37" s="49" t="n">
        <v>46317</v>
      </c>
      <c r="G37" s="51" t="n">
        <v>30</v>
      </c>
      <c r="H37" s="29" t="inlineStr">
        <is>
          <t>Taslak</t>
        </is>
      </c>
    </row>
    <row r="38" ht="54" customHeight="1">
      <c r="A38" s="29" t="inlineStr">
        <is>
          <t>eindhoven:term:031</t>
        </is>
      </c>
      <c r="B38" s="29" t="inlineStr">
        <is>
          <t>eindhoven</t>
        </is>
      </c>
      <c r="C38" s="29" t="inlineStr">
        <is>
          <t>leerplicht</t>
        </is>
      </c>
      <c r="D38" s="29" t="inlineStr">
        <is>
          <t>Zorunlu eğitimdir: çocuk 5 yaşına girdikten sonraki ayın 1. günü başlar, çocuğun 16 yaşına girdiği okul yılının sonunda biter. Çocuğu bir okula yazdırmak ve devam etmesini sağlamak ebeveynin görevidir; 12 yaşından sonra çocuk da kendi okuluna gitmekten sorumludur.</t>
        </is>
      </c>
      <c r="E38" s="29" t="inlineStr">
        <is>
          <t>eindhoven:kaynak:142</t>
        </is>
      </c>
      <c r="F38" s="49" t="n">
        <v>46317</v>
      </c>
      <c r="G38" s="51" t="n">
        <v>31</v>
      </c>
      <c r="H38" s="29" t="inlineStr">
        <is>
          <t>Taslak</t>
        </is>
      </c>
    </row>
    <row r="39" ht="54" customHeight="1">
      <c r="A39" s="29" t="inlineStr">
        <is>
          <t>eindhoven:term:032</t>
        </is>
      </c>
      <c r="B39" s="29" t="inlineStr">
        <is>
          <t>eindhoven</t>
        </is>
      </c>
      <c r="C39" s="29" t="inlineStr">
        <is>
          <t>legalisatie</t>
        </is>
      </c>
      <c r="D39" s="29" t="inlineStr">
        <is>
          <t>Başka bir ülkeden gelen resmî belgenin (doğum, evlilik, bekârlık belgesi gibi) Hollanda'da kullanılabilmesi için doğru kurumca düzenlenip düzenlenmediğinin kontrol edilip damga ya da etiketle onaylanmasıdır. Çok zaman alabildiği için erken başlamak gerekir; IND, bekârlık belgesini yalnızca 6 aydan eski değilse kabul eder.</t>
        </is>
      </c>
      <c r="E39" s="29" t="inlineStr">
        <is>
          <t>eindhoven:kaynak:012</t>
        </is>
      </c>
      <c r="F39" s="49" t="n">
        <v>46317</v>
      </c>
      <c r="G39" s="51" t="n">
        <v>32</v>
      </c>
      <c r="H39" s="29" t="inlineStr">
        <is>
          <t>Taslak</t>
        </is>
      </c>
    </row>
    <row r="40" ht="54" customHeight="1">
      <c r="A40" s="29" t="inlineStr">
        <is>
          <t>eindhoven:term:033</t>
        </is>
      </c>
      <c r="B40" s="29" t="inlineStr">
        <is>
          <t>eindhoven</t>
        </is>
      </c>
      <c r="C40" s="29" t="inlineStr">
        <is>
          <t>MijnOverheid</t>
        </is>
      </c>
      <c r="D40" s="29" t="inlineStr">
        <is>
          <t>Devletin senin hakkında tuttuğu bilgileri gösterdiği kişisel portaldır; DigiD ile giriş yapılır. İçindeki Berichtenbox (mesaj kutusu), kurumlardan gelen resmî mesajları okuduğun yerdir, örneğin vergi idaresinin ödeyeceğin vergiyi bildiren mesajı.</t>
        </is>
      </c>
      <c r="E40" s="29" t="inlineStr">
        <is>
          <t>eindhoven:kaynak:049</t>
        </is>
      </c>
      <c r="F40" s="49" t="n">
        <v>46317</v>
      </c>
      <c r="G40" s="51" t="n">
        <v>33</v>
      </c>
      <c r="H40" s="29" t="inlineStr">
        <is>
          <t>Taslak</t>
        </is>
      </c>
    </row>
    <row r="41" ht="54" customHeight="1">
      <c r="A41" s="29" t="inlineStr">
        <is>
          <t>eindhoven:term:034</t>
        </is>
      </c>
      <c r="B41" s="29" t="inlineStr">
        <is>
          <t>eindhoven</t>
        </is>
      </c>
      <c r="C41" s="29" t="inlineStr">
        <is>
          <t>milieupas</t>
        </is>
      </c>
      <c r="D41" s="29" t="inlineStr">
        <is>
          <t>Cure milieupas, milieustraat (atık getirme merkezi) girişinde gösterilen karttır; kart olmadan girilemez. Eindhoven sakinleri için iki milieustraat da yılda 12 kez ücretsizdir.</t>
        </is>
      </c>
      <c r="E41" s="29" t="inlineStr">
        <is>
          <t>eindhoven:kaynak:219</t>
        </is>
      </c>
      <c r="F41" s="49" t="n">
        <v>46317</v>
      </c>
      <c r="G41" s="51" t="n">
        <v>34</v>
      </c>
      <c r="H41" s="29" t="inlineStr">
        <is>
          <t>Taslak</t>
        </is>
      </c>
    </row>
    <row r="42" ht="54" customHeight="1">
      <c r="A42" s="29" t="inlineStr">
        <is>
          <t>eindhoven:term:035</t>
        </is>
      </c>
      <c r="B42" s="29" t="inlineStr">
        <is>
          <t>eindhoven</t>
        </is>
      </c>
      <c r="C42" s="29" t="inlineStr">
        <is>
          <t>milieustraat</t>
        </is>
      </c>
      <c r="D42" s="29" t="inlineStr">
        <is>
          <t>Belediyenin büyük eşya (grofvuil) ve kimyasal atığı getirdiğin atık merkezidir. Ziyaret başına en fazla 2 m3 atık getirebilirsin; girişte milieupas gerekir.</t>
        </is>
      </c>
      <c r="E42" s="29" t="inlineStr">
        <is>
          <t>eindhoven:kaynak:219</t>
        </is>
      </c>
      <c r="F42" s="49" t="n">
        <v>46317</v>
      </c>
      <c r="G42" s="51" t="n">
        <v>35</v>
      </c>
      <c r="H42" s="29" t="inlineStr">
        <is>
          <t>Taslak</t>
        </is>
      </c>
    </row>
    <row r="43" ht="54" customHeight="1">
      <c r="A43" s="29" t="inlineStr">
        <is>
          <t>eindhoven:term:036</t>
        </is>
      </c>
      <c r="B43" s="29" t="inlineStr">
        <is>
          <t>eindhoven</t>
        </is>
      </c>
      <c r="C43" s="29" t="inlineStr">
        <is>
          <t>minimumloon</t>
        </is>
      </c>
      <c r="D43" s="29" t="inlineStr">
        <is>
          <t>Yasal asgari ücrettir: 1 Ocak 2024'ten beri saatlik belirlenir ve 15 yaş ve üzerindeki herkese en az geçerli saatlik asgari ücret ödenmelidir. 21 yaş ve üzerinde tek oran vardır, 21 yaş altında oran yaşa göre değişir.</t>
        </is>
      </c>
      <c r="E43" s="29" t="inlineStr">
        <is>
          <t>eindhoven:kaynak:118</t>
        </is>
      </c>
      <c r="F43" s="49" t="n">
        <v>46317</v>
      </c>
      <c r="G43" s="51" t="n">
        <v>36</v>
      </c>
      <c r="H43" s="29" t="inlineStr">
        <is>
          <t>Taslak</t>
        </is>
      </c>
    </row>
    <row r="44" ht="54" customHeight="1">
      <c r="A44" s="29" t="inlineStr">
        <is>
          <t>eindhoven:term:037</t>
        </is>
      </c>
      <c r="B44" s="29" t="inlineStr">
        <is>
          <t>eindhoven</t>
        </is>
      </c>
      <c r="C44" s="29" t="inlineStr">
        <is>
          <t>MVV</t>
        </is>
      </c>
      <c r="D44" s="29" t="inlineStr">
        <is>
          <t>Machtiging tot voorlopig verblijf: Hollanda'da 90 günden uzun kalacak kişilerin pasaportuna yapıştırılan giriş vizesidir (D tipi vize etiketi). MVV ile Hollanda'ya gelip oturum iznini teslim alırsın; yalnızca senin adına düzenlenir.</t>
        </is>
      </c>
      <c r="E44" s="29" t="inlineStr">
        <is>
          <t>eindhoven:kaynak:020</t>
        </is>
      </c>
      <c r="F44" s="49" t="n">
        <v>46317</v>
      </c>
      <c r="G44" s="51" t="n">
        <v>37</v>
      </c>
      <c r="H44" s="29" t="inlineStr">
        <is>
          <t>Taslak</t>
        </is>
      </c>
    </row>
    <row r="45" ht="54" customHeight="1">
      <c r="A45" s="29" t="inlineStr">
        <is>
          <t>eindhoven:term:038</t>
        </is>
      </c>
      <c r="B45" s="29" t="inlineStr">
        <is>
          <t>eindhoven</t>
        </is>
      </c>
      <c r="C45" s="29" t="inlineStr">
        <is>
          <t>naturapolis (combinatiepolis)</t>
        </is>
      </c>
      <c r="D45" s="29" t="inlineStr">
        <is>
          <t>Naturapolis, sigortacının anlaşmalı sağlık kuruluşlarındaki bakımı doğrudan karşıladığı poliçe türüdür; masrafı peşin ödemezsin ama doktorun ya da hastanenin sigortacınla sözleşmesi yoksa masrafın bir kısmını kendin ödersin. Combinatiepolis'te ise sözleşmesiz sağlayıcıda masrafı önce sen ödeyip sonra kısmen veya tamamen sigortacıdan geri istersin.</t>
        </is>
      </c>
      <c r="E45" s="29" t="inlineStr">
        <is>
          <t>eindhoven:kaynak:208</t>
        </is>
      </c>
      <c r="F45" s="49" t="n">
        <v>46317</v>
      </c>
      <c r="G45" s="51" t="n">
        <v>38</v>
      </c>
      <c r="H45" s="29" t="inlineStr">
        <is>
          <t>Taslak</t>
        </is>
      </c>
    </row>
    <row r="46" ht="54" customHeight="1">
      <c r="A46" s="29" t="inlineStr">
        <is>
          <t>eindhoven:term:039</t>
        </is>
      </c>
      <c r="B46" s="29" t="inlineStr">
        <is>
          <t>eindhoven</t>
        </is>
      </c>
      <c r="C46" s="29" t="inlineStr">
        <is>
          <t>opzegtermijn</t>
        </is>
      </c>
      <c r="D46" s="29" t="inlineStr">
        <is>
          <t>İhbar süresi: işveren sözleşmeyi sona erdirmek istediğinde önceden bildirmesi gereken süredir; işten çıkarıldığın bildirilen günden sonraki gün başlar ve son çalışma gününde biter, bu sürede maaşın ödenmeye devam eder. Süre sözleşmede ya da CAO'da (toplu iş sözleşmesi) yazar, yazmıyorsa yasal süre (wettelijke opzegtermijn) geçerlidir.</t>
        </is>
      </c>
      <c r="E46" s="29" t="inlineStr">
        <is>
          <t>eindhoven:kaynak:122</t>
        </is>
      </c>
      <c r="F46" s="49" t="n">
        <v>46317</v>
      </c>
      <c r="G46" s="51" t="n">
        <v>39</v>
      </c>
      <c r="H46" s="29" t="inlineStr">
        <is>
          <t>Taslak</t>
        </is>
      </c>
    </row>
    <row r="47" ht="54" customHeight="1">
      <c r="A47" s="29" t="inlineStr">
        <is>
          <t>eindhoven:term:040</t>
        </is>
      </c>
      <c r="B47" s="29" t="inlineStr">
        <is>
          <t>eindhoven</t>
        </is>
      </c>
      <c r="C47" s="29" t="inlineStr">
        <is>
          <t>overdrachtsbelasting</t>
        </is>
      </c>
      <c r="D47" s="29" t="inlineStr">
        <is>
          <t>Ev satın alırken ödenen devir vergisidir. Evde kendisi uzun süre oturacak alıcı için oran %2'dir (starter muafiyeti yoksa); ana konut olarak kullanılmayan evde 2026'dan itibaren %8, diğer taşınmazlarda %10,4 uygulanır.</t>
        </is>
      </c>
      <c r="E47" s="29" t="inlineStr">
        <is>
          <t>eindhoven:kaynak:064</t>
        </is>
      </c>
      <c r="F47" s="49" t="n">
        <v>46317</v>
      </c>
      <c r="G47" s="51" t="n">
        <v>40</v>
      </c>
      <c r="H47" s="29" t="inlineStr">
        <is>
          <t>Taslak</t>
        </is>
      </c>
    </row>
    <row r="48" ht="54" customHeight="1">
      <c r="A48" s="29" t="inlineStr">
        <is>
          <t>eindhoven:term:041</t>
        </is>
      </c>
      <c r="B48" s="29" t="inlineStr">
        <is>
          <t>eindhoven</t>
        </is>
      </c>
      <c r="C48" s="29" t="inlineStr">
        <is>
          <t>OVpay (OV-chipkaart)</t>
        </is>
      </c>
      <c r="D48" s="29" t="inlineStr">
        <is>
          <t>Toplu taşımada temassız banka kartı, kredi kartı, telefon ya da akıllı saatle giriş-çıkış (check in / check out) yapma yöntemidir; OV-chipkaart'ın yerine geçen yeni ödeme biçimidir. İkinci mevkide, indirimsiz ve abonmansız yolculukta OVpay fiyatları OV-chipkaart fiyatlarıyla aynıdır.</t>
        </is>
      </c>
      <c r="E48" s="29" t="inlineStr">
        <is>
          <t>eindhoven:kaynak:159</t>
        </is>
      </c>
      <c r="F48" s="49" t="n">
        <v>46317</v>
      </c>
      <c r="G48" s="51" t="n">
        <v>41</v>
      </c>
      <c r="H48" s="29" t="inlineStr">
        <is>
          <t>Taslak</t>
        </is>
      </c>
    </row>
    <row r="49" ht="54" customHeight="1">
      <c r="A49" s="29" t="inlineStr">
        <is>
          <t>eindhoven:term:042</t>
        </is>
      </c>
      <c r="B49" s="29" t="inlineStr">
        <is>
          <t>eindhoven</t>
        </is>
      </c>
      <c r="C49" s="29" t="inlineStr">
        <is>
          <t>OZB</t>
        </is>
      </c>
      <c r="D49" s="29" t="inlineStr">
        <is>
          <t>Onroerendezaakbelasting (taşınmaz vergisi): belediyenin taşınmazın değeri olan WOZ-waarde üzerinden aldığı vergidir. WOZ, Wet waardering onroerende zaken anlamına gelir ve OZB, bu değerin belirli bir yüzdesidir (OZB-tarief).</t>
        </is>
      </c>
      <c r="E49" s="29" t="inlineStr">
        <is>
          <t>eindhoven:kaynak:084</t>
        </is>
      </c>
      <c r="F49" s="49" t="n">
        <v>46317</v>
      </c>
      <c r="G49" s="51" t="n">
        <v>42</v>
      </c>
      <c r="H49" s="29" t="inlineStr">
        <is>
          <t>Taslak</t>
        </is>
      </c>
    </row>
    <row r="50" ht="54" customHeight="1">
      <c r="A50" s="29" t="inlineStr">
        <is>
          <t>eindhoven:term:043</t>
        </is>
      </c>
      <c r="B50" s="29" t="inlineStr">
        <is>
          <t>eindhoven</t>
        </is>
      </c>
      <c r="C50" s="29" t="inlineStr">
        <is>
          <t>proeftijd (proefperiode)</t>
        </is>
      </c>
      <c r="D50" s="29" t="inlineStr">
        <is>
          <t>Deneme süresi: iş sözleşmesine yazılırsa iki tarafın da gerekçe göstermeden sözleşmeyi hemen sona erdirebildiği ve opzegtermijn'in (ihbar süresi) uygulanmadığı dönemdir. Sözleşmede ya da CAO'da yazılı olması gerekir, 6 ay veya daha kısa sözleşmelerde olmaz ve en çok 2 ay sürer.</t>
        </is>
      </c>
      <c r="E50" s="29" t="inlineStr">
        <is>
          <t>eindhoven:kaynak:123;eindhoven:kaynak:212</t>
        </is>
      </c>
      <c r="F50" s="49" t="n">
        <v>46317</v>
      </c>
      <c r="G50" s="51" t="n">
        <v>43</v>
      </c>
      <c r="H50" s="29" t="inlineStr">
        <is>
          <t>Taslak</t>
        </is>
      </c>
    </row>
    <row r="51" ht="54" customHeight="1">
      <c r="A51" s="29" t="inlineStr">
        <is>
          <t>eindhoven:term:044</t>
        </is>
      </c>
      <c r="B51" s="29" t="inlineStr">
        <is>
          <t>eindhoven</t>
        </is>
      </c>
      <c r="C51" s="29" t="inlineStr">
        <is>
          <t>RNI</t>
        </is>
      </c>
      <c r="D51" s="29" t="inlineStr">
        <is>
          <t>Registratie Niet-Ingezetenen: Hollanda'da 4 aydan kısa kalacaklar için 'yerleşik olmayan' kayıt sistemidir. Eindhoven'in de aralarında olduğu 19 belediyede yapılır; BSN randevuda verilir, geçici değildir ve sonradan BRP'ye geçsen de aynı kalır.</t>
        </is>
      </c>
      <c r="E51" s="29" t="inlineStr">
        <is>
          <t>eindhoven:kaynak:047</t>
        </is>
      </c>
      <c r="F51" s="49" t="n">
        <v>46317</v>
      </c>
      <c r="G51" s="51" t="n">
        <v>44</v>
      </c>
      <c r="H51" s="29" t="inlineStr">
        <is>
          <t>Taslak</t>
        </is>
      </c>
    </row>
    <row r="52" ht="54" customHeight="1">
      <c r="A52" s="29" t="inlineStr">
        <is>
          <t>eindhoven:term:045</t>
        </is>
      </c>
      <c r="B52" s="29" t="inlineStr">
        <is>
          <t>eindhoven</t>
        </is>
      </c>
      <c r="C52" s="29" t="inlineStr">
        <is>
          <t>schooladvies</t>
        </is>
      </c>
      <c r="D52" s="29" t="inlineStr">
        <is>
          <t>Ortaokula geçişte gereken okul tavsiyesidir: 8. sınıfta (groep 8) önce okul geçici bir tavsiye verir, çocuk doorstroomtoets sınavına girer ve sonunda kesin tavsiye çıkar. Çocuk bu tavsiyeyle ortaokula başvurur.</t>
        </is>
      </c>
      <c r="E52" s="29" t="inlineStr">
        <is>
          <t>eindhoven:kaynak:218</t>
        </is>
      </c>
      <c r="F52" s="49" t="n">
        <v>46317</v>
      </c>
      <c r="G52" s="51" t="n">
        <v>45</v>
      </c>
      <c r="H52" s="29" t="inlineStr">
        <is>
          <t>Taslak</t>
        </is>
      </c>
    </row>
    <row r="53" ht="54" customHeight="1">
      <c r="A53" s="29" t="inlineStr">
        <is>
          <t>eindhoven:term:046</t>
        </is>
      </c>
      <c r="B53" s="29" t="inlineStr">
        <is>
          <t>eindhoven</t>
        </is>
      </c>
      <c r="C53" s="29" t="inlineStr">
        <is>
          <t>sociale huurwoning</t>
        </is>
      </c>
      <c r="D53" s="29" t="inlineStr">
        <is>
          <t>Başlangıç aylık kirası belirli bir sınırın altında kalan konuttur; Hollanda'daki kiralık konutların yaklaşık %75'i konut birliklerine (woningcorporatie) aittir. 2026'da başlayan sözleşmelerde sınır 932,93 euro, boş sosyal konutların %92,5'i tek kişilik hanede 51.537 euroya kadar gelirli kişilere verilir.</t>
        </is>
      </c>
      <c r="E53" s="29" t="inlineStr">
        <is>
          <t>eindhoven:kaynak:205;eindhoven:kaynak:056</t>
        </is>
      </c>
      <c r="F53" s="49" t="n">
        <v>46317</v>
      </c>
      <c r="G53" s="51" t="n">
        <v>46</v>
      </c>
      <c r="H53" s="29" t="inlineStr">
        <is>
          <t>Taslak</t>
        </is>
      </c>
    </row>
    <row r="54" ht="54" customHeight="1">
      <c r="A54" s="29" t="inlineStr">
        <is>
          <t>eindhoven:term:047</t>
        </is>
      </c>
      <c r="B54" s="29" t="inlineStr">
        <is>
          <t>eindhoven</t>
        </is>
      </c>
      <c r="C54" s="29" t="inlineStr">
        <is>
          <t>startersvrijstelling</t>
        </is>
      </c>
      <c r="D54" s="29" t="inlineStr">
        <is>
          <t>18-35 yaş arasındaki kişilerin, kendisi uzun süre oturacağı evi diğer şartları da sağlayarak satın alırken overdrachtsbelasting ödememesini sağlayan muafiyettir.</t>
        </is>
      </c>
      <c r="E54" s="29" t="inlineStr">
        <is>
          <t>eindhoven:kaynak:065</t>
        </is>
      </c>
      <c r="F54" s="49" t="n">
        <v>46317</v>
      </c>
      <c r="G54" s="51" t="n">
        <v>47</v>
      </c>
      <c r="H54" s="29" t="inlineStr">
        <is>
          <t>Taslak</t>
        </is>
      </c>
    </row>
    <row r="55" ht="54" customHeight="1">
      <c r="A55" s="29" t="inlineStr">
        <is>
          <t>eindhoven:term:048</t>
        </is>
      </c>
      <c r="B55" s="29" t="inlineStr">
        <is>
          <t>eindhoven</t>
        </is>
      </c>
      <c r="C55" s="29" t="inlineStr">
        <is>
          <t>toeslagen</t>
        </is>
      </c>
      <c r="D55" s="29" t="inlineStr">
        <is>
          <t>Devletin sağlık sigortası, çocuk, kira ve kreş masraflarına verdiği gelire bağlı destekler (zorgtoeslag, huurtoeslag, kinderopvangtoeslag, kindgebonden budget); Dienst Toeslagen yürütür. Toeslag, beklenen gelirine dayalı bir avanstır (voorschot), gelirin değişirse kendin bildirmen gerekir.</t>
        </is>
      </c>
      <c r="E55" s="29" t="inlineStr">
        <is>
          <t>eindhoven:kaynak:093;eindhoven:kaynak:103</t>
        </is>
      </c>
      <c r="F55" s="49" t="n">
        <v>46317</v>
      </c>
      <c r="G55" s="51" t="n">
        <v>48</v>
      </c>
      <c r="H55" s="29" t="inlineStr">
        <is>
          <t>Taslak</t>
        </is>
      </c>
    </row>
    <row r="56" ht="54" customHeight="1">
      <c r="A56" s="29" t="inlineStr">
        <is>
          <t>eindhoven:term:049</t>
        </is>
      </c>
      <c r="B56" s="29" t="inlineStr">
        <is>
          <t>eindhoven</t>
        </is>
      </c>
      <c r="C56" s="29" t="inlineStr">
        <is>
          <t>transitievergoeding</t>
        </is>
      </c>
      <c r="D56" s="29" t="inlineStr">
        <is>
          <t>İşveren girişimiyle sona eren iş ilişkisinde ödenen tek seferlik işten çıkarma tazminatıdır; son hesaba (eindafrekening) dahil edilir ve tutarı çalışma süresine bağlıdır.</t>
        </is>
      </c>
      <c r="E56" s="29" t="inlineStr">
        <is>
          <t>eindhoven:kaynak:122</t>
        </is>
      </c>
      <c r="F56" s="49" t="n">
        <v>46317</v>
      </c>
      <c r="G56" s="51" t="n">
        <v>49</v>
      </c>
      <c r="H56" s="29" t="inlineStr">
        <is>
          <t>Taslak</t>
        </is>
      </c>
    </row>
    <row r="57" ht="54" customHeight="1">
      <c r="A57" s="29" t="inlineStr">
        <is>
          <t>eindhoven:term:050</t>
        </is>
      </c>
      <c r="B57" s="29" t="inlineStr">
        <is>
          <t>eindhoven</t>
        </is>
      </c>
      <c r="C57" s="29" t="inlineStr">
        <is>
          <t>uittreksel (BRP uittreksel)</t>
        </is>
      </c>
      <c r="D57" s="29" t="inlineStr">
        <is>
          <t>Belediyenin BRP'den verdiği, o belediyede kayıtlı bir sakin olduğunu kanıtlayan belgedir. Doğum, evlilik ya da ölüm kanıtı gerekiyorsa bunun yerine akte kopyası (afschrift) veya uluslararası uittreksel burgerlijke stand istenir.</t>
        </is>
      </c>
      <c r="E57" s="29" t="inlineStr">
        <is>
          <t>eindhoven:kaynak:042</t>
        </is>
      </c>
      <c r="F57" s="49" t="n">
        <v>46317</v>
      </c>
      <c r="G57" s="51" t="n">
        <v>50</v>
      </c>
      <c r="H57" s="29" t="inlineStr">
        <is>
          <t>Taslak</t>
        </is>
      </c>
    </row>
    <row r="58" ht="54" customHeight="1">
      <c r="A58" s="29" t="inlineStr">
        <is>
          <t>eindhoven:term:051</t>
        </is>
      </c>
      <c r="B58" s="29" t="inlineStr">
        <is>
          <t>eindhoven</t>
        </is>
      </c>
      <c r="C58" s="29" t="inlineStr">
        <is>
          <t>urgentie</t>
        </is>
      </c>
      <c r="D58" s="29" t="inlineStr">
        <is>
          <t>Evde kalmanı imkânsız kılan acil bir durumda (noodsituatie) sosyal konut atamasında öncelik hakkıdır. Eindhoven bölgesindeki dokuz belediye için (Best, Eindhoven, Geldrop-Mierlo, Helmond, Nuenen, Oirschot, Son en Breugel, Veldhoven, Waalre) tek bir urgentie düzenlemesi geçerlidir.</t>
        </is>
      </c>
      <c r="E58" s="29" t="inlineStr">
        <is>
          <t>eindhoven:kaynak:056</t>
        </is>
      </c>
      <c r="F58" s="49" t="n">
        <v>46317</v>
      </c>
      <c r="G58" s="51" t="n">
        <v>51</v>
      </c>
      <c r="H58" s="29" t="inlineStr">
        <is>
          <t>Taslak</t>
        </is>
      </c>
    </row>
    <row r="59" ht="54" customHeight="1">
      <c r="A59" s="29" t="inlineStr">
        <is>
          <t>eindhoven:term:052</t>
        </is>
      </c>
      <c r="B59" s="29" t="inlineStr">
        <is>
          <t>eindhoven</t>
        </is>
      </c>
      <c r="C59" s="29" t="inlineStr">
        <is>
          <t>UWV</t>
        </is>
      </c>
      <c r="D59" s="29" t="inlineStr">
        <is>
          <t>Uitvoeringsinstituut Werknemersverzekeringen (Çalışan Sigortaları Uygulama Kurumu). İşsizlik ödeneği (WW), çalışma izni (TWV) ve yasal izinler gibi işleri yürütür; Mijn UWV'ye girerek işsizlik ödeneğin hakkında güncel bilgiye ulaşırsın.</t>
        </is>
      </c>
      <c r="E59" s="29" t="inlineStr">
        <is>
          <t>eindhoven:kaynak:126;eindhoven:kaynak:033;eindhoven:kaynak:119</t>
        </is>
      </c>
      <c r="F59" s="49" t="n">
        <v>46317</v>
      </c>
      <c r="G59" s="51" t="n">
        <v>52</v>
      </c>
      <c r="H59" s="29" t="inlineStr">
        <is>
          <t>Taslak</t>
        </is>
      </c>
    </row>
    <row r="60" ht="54" customHeight="1">
      <c r="A60" s="29" t="inlineStr">
        <is>
          <t>eindhoven:term:053</t>
        </is>
      </c>
      <c r="B60" s="29" t="inlineStr">
        <is>
          <t>eindhoven</t>
        </is>
      </c>
      <c r="C60" s="29" t="inlineStr">
        <is>
          <t>vakantiegeld</t>
        </is>
      </c>
      <c r="D60" s="29" t="inlineStr">
        <is>
          <t>Tatil harçlığı (holiday allowance): her yıl ödenmesi zorunlu olan, önceki yılın brüt yıllık maaşının en az %8'i tutarındaki ödemedir. Toplu iş sözleşmesi (CAO) farklı bir düzenleme içerebilir, ama yasadaki zorunlu miktarın altına inemez.</t>
        </is>
      </c>
      <c r="E60" s="29" t="inlineStr">
        <is>
          <t>eindhoven:kaynak:125</t>
        </is>
      </c>
      <c r="F60" s="49" t="n">
        <v>46317</v>
      </c>
      <c r="G60" s="51" t="n">
        <v>53</v>
      </c>
      <c r="H60" s="29" t="inlineStr">
        <is>
          <t>Taslak</t>
        </is>
      </c>
    </row>
    <row r="61" ht="54" customHeight="1">
      <c r="A61" s="29" t="inlineStr">
        <is>
          <t>eindhoven:term:054</t>
        </is>
      </c>
      <c r="B61" s="29" t="inlineStr">
        <is>
          <t>eindhoven</t>
        </is>
      </c>
      <c r="C61" s="29" t="inlineStr">
        <is>
          <t>verblijfsvergunning</t>
        </is>
      </c>
      <c r="D61" s="29" t="inlineStr">
        <is>
          <t>Oturum izni: Hollanda'da 3 aydan uzun kalacak yabancıların IND gişelerinden başvurduğu izindir. Hollanda'dan kalıcı olarak ayrılırken oturum kartı IND'ye geri gönderilir, çünkü kart Hollanda devletinin malıdır.</t>
        </is>
      </c>
      <c r="E61" s="29" t="inlineStr">
        <is>
          <t>eindhoven:kaynak:037;eindhoven:kaynak:047</t>
        </is>
      </c>
      <c r="F61" s="49" t="n">
        <v>46317</v>
      </c>
      <c r="G61" s="51" t="n">
        <v>54</v>
      </c>
      <c r="H61" s="29" t="inlineStr">
        <is>
          <t>Taslak</t>
        </is>
      </c>
    </row>
    <row r="62" ht="54" customHeight="1">
      <c r="A62" s="29" t="inlineStr">
        <is>
          <t>eindhoven:term:055</t>
        </is>
      </c>
      <c r="B62" s="29" t="inlineStr">
        <is>
          <t>eindhoven</t>
        </is>
      </c>
      <c r="C62" s="29" t="inlineStr">
        <is>
          <t>verzuim</t>
        </is>
      </c>
      <c r="D62" s="29" t="inlineStr">
        <is>
          <t>Okul devamsızlığıdır. Hastalık gibi nedenler geoorloofd verzuim (izinli devamsızlık) sayılır; ebeveyn okul müdürünün izni olmadan çocuğu tatil dönemi dışında tatile götürürse luxe verzuim olur ve Leerplichtambtenaar (devam görevlisi) soruşturma açabilir.</t>
        </is>
      </c>
      <c r="E62" s="29" t="inlineStr">
        <is>
          <t>eindhoven:kaynak:142</t>
        </is>
      </c>
      <c r="F62" s="49" t="n">
        <v>46317</v>
      </c>
      <c r="G62" s="51" t="n">
        <v>55</v>
      </c>
      <c r="H62" s="29" t="inlineStr">
        <is>
          <t>Taslak</t>
        </is>
      </c>
    </row>
    <row r="63" ht="54" customHeight="1">
      <c r="A63" s="29" t="inlineStr">
        <is>
          <t>eindhoven:term:056</t>
        </is>
      </c>
      <c r="B63" s="29" t="inlineStr">
        <is>
          <t>eindhoven</t>
        </is>
      </c>
      <c r="C63" s="29" t="inlineStr">
        <is>
          <t>waarborgsom</t>
        </is>
      </c>
      <c r="D63" s="29" t="inlineStr">
        <is>
          <t>Depozito (borg): ev sahibinin kira sonunda ödenmemiş kira ya da hasar için güvence olarak isteyebileceği tutardır. 1 Temmuz 2023'ten sonra yapılan sözleşmelerde en fazla 2 aylık kale huur (sade kira) olabilir; öncesinde 3 aya kadar çıkabilirdi.</t>
        </is>
      </c>
      <c r="E63" s="29" t="inlineStr">
        <is>
          <t>eindhoven:kaynak:062</t>
        </is>
      </c>
      <c r="F63" s="49" t="n">
        <v>46317</v>
      </c>
      <c r="G63" s="51" t="n">
        <v>56</v>
      </c>
      <c r="H63" s="29" t="inlineStr">
        <is>
          <t>Taslak</t>
        </is>
      </c>
    </row>
    <row r="64" ht="54" customHeight="1">
      <c r="A64" s="29" t="inlineStr">
        <is>
          <t>eindhoven:term:057</t>
        </is>
      </c>
      <c r="B64" s="29" t="inlineStr">
        <is>
          <t>eindhoven</t>
        </is>
      </c>
      <c r="C64" s="29" t="inlineStr">
        <is>
          <t>Wooniezie</t>
        </is>
      </c>
      <c r="D64" s="29" t="inlineStr">
        <is>
          <t>Eindhoven ve Helmond bölgesinde sosyal kiralık konutlara başvurduğun ortak kayıt sistemidir. Konut arayan (woningzoekende) olarak ücretsiz kaydolursun; 18 yaş ve üstü olmalı, Hollanda'da yaşama hakkın bulunmalı (Hollanda pasaportu ya da geçerli oturum izni) ve kaydı her yıl yenilemelisin.</t>
        </is>
      </c>
      <c r="E64" s="29" t="inlineStr">
        <is>
          <t>eindhoven:kaynak:057;eindhoven:kaynak:215</t>
        </is>
      </c>
      <c r="F64" s="49" t="n">
        <v>46317</v>
      </c>
      <c r="G64" s="51" t="n">
        <v>57</v>
      </c>
      <c r="H64" s="29" t="inlineStr">
        <is>
          <t>Taslak</t>
        </is>
      </c>
    </row>
    <row r="65" ht="54" customHeight="1">
      <c r="A65" s="29" t="inlineStr">
        <is>
          <t>eindhoven:term:058</t>
        </is>
      </c>
      <c r="B65" s="29" t="inlineStr">
        <is>
          <t>eindhoven</t>
        </is>
      </c>
      <c r="C65" s="29" t="inlineStr">
        <is>
          <t>WW</t>
        </is>
      </c>
      <c r="D65" s="29" t="inlineStr">
        <is>
          <t>İşsizlik ödeneğidir ve UWV verir. Hak için genellikle son 36 haftanın en az 26 haftasında çalışmış, haftada ortalama en az 10 saat çalışıp haftada 5 saat veya fazlasını kaybetmiş ve hemen işe hazır olmak gerekir; ödenek 3 aydan 2 yıla kadar sürebilir.</t>
        </is>
      </c>
      <c r="E65" s="29" t="inlineStr">
        <is>
          <t>eindhoven:kaynak:120;eindhoven:kaynak:119</t>
        </is>
      </c>
      <c r="F65" s="49" t="n">
        <v>46317</v>
      </c>
      <c r="G65" s="51" t="n">
        <v>58</v>
      </c>
      <c r="H65" s="29" t="inlineStr">
        <is>
          <t>Taslak</t>
        </is>
      </c>
    </row>
    <row r="66" ht="54" customHeight="1">
      <c r="A66" s="29" t="inlineStr">
        <is>
          <t>eindhoven:term:059</t>
        </is>
      </c>
      <c r="B66" s="29" t="inlineStr">
        <is>
          <t>eindhoven</t>
        </is>
      </c>
      <c r="C66" s="29" t="inlineStr">
        <is>
          <t>zorgtoeslag</t>
        </is>
      </c>
      <c r="D66" s="29" t="inlineStr">
        <is>
          <t>Düşük gelirliler için sağlık sigortası primine ve zorunlu eigen risico'ya verilen devlet katkısıdır (sağlık yardımı). 18 yaş ve üstü olmak, Hollanda sağlık sigortasına sahip olmak ve geliri sınırı aşmamak gerekir; 2026'da yıllık gelir en çok 40.857 euro, partnerle birlikte en çok 51.142 euro olabilir.</t>
        </is>
      </c>
      <c r="E66" s="29" t="inlineStr">
        <is>
          <t>eindhoven:kaynak:103;eindhoven:kaynak:104</t>
        </is>
      </c>
      <c r="F66" s="49" t="n">
        <v>46317</v>
      </c>
      <c r="G66" s="51" t="n">
        <v>59</v>
      </c>
      <c r="H66" s="29" t="inlineStr">
        <is>
          <t>Taslak</t>
        </is>
      </c>
    </row>
    <row r="67" ht="54" customHeight="1">
      <c r="A67" s="29" t="inlineStr">
        <is>
          <t>eindhoven:term:060</t>
        </is>
      </c>
      <c r="B67" s="29" t="inlineStr">
        <is>
          <t>eindhoven</t>
        </is>
      </c>
      <c r="C67" s="29" t="inlineStr">
        <is>
          <t>zorgverzekering (basisverzekering)</t>
        </is>
      </c>
      <c r="D67" s="29" t="inlineStr">
        <is>
          <t>Temel sağlık sigortası: Hollanda'da yaşayan ya da çalışan herkes için zorunludur ve aile hekimi, hastane, psikiyatrist ve eczane masraflarını kapsar. Çocuğunu da kaydettirmen gerekir (4 aylıktan itibaren), 18 yaş altı çocuklar prim ödemez; ek sigorta (aanvullende verzekering) isteğe bağlıdır.</t>
        </is>
      </c>
      <c r="E67" s="29" t="inlineStr">
        <is>
          <t>eindhoven:kaynak:014</t>
        </is>
      </c>
      <c r="F67" s="49" t="n">
        <v>46317</v>
      </c>
      <c r="G67" s="51" t="n">
        <v>60</v>
      </c>
      <c r="H67" s="29" t="inlineStr">
        <is>
          <t>Taslak</t>
        </is>
      </c>
    </row>
    <row r="68" ht="54" customHeight="1">
      <c r="A68" s="29" t="n"/>
      <c r="B68" s="29" t="n"/>
      <c r="C68" s="29" t="n"/>
      <c r="D68" s="29" t="n"/>
      <c r="E68" s="29" t="n"/>
      <c r="F68" s="49" t="n"/>
      <c r="G68" s="51" t="n"/>
      <c r="H68" s="29" t="n"/>
    </row>
    <row r="69" ht="54" customHeight="1">
      <c r="A69" s="29" t="n"/>
      <c r="B69" s="29" t="n"/>
      <c r="C69" s="29" t="n"/>
      <c r="D69" s="29" t="n"/>
      <c r="E69" s="29" t="n"/>
      <c r="F69" s="49" t="n"/>
      <c r="G69" s="51" t="n"/>
      <c r="H69" s="29" t="n"/>
    </row>
    <row r="70" ht="54" customHeight="1">
      <c r="A70" s="29" t="n"/>
      <c r="B70" s="29" t="n"/>
      <c r="C70" s="29" t="n"/>
      <c r="D70" s="29" t="n"/>
      <c r="E70" s="29" t="n"/>
      <c r="F70" s="49" t="n"/>
      <c r="G70" s="51" t="n"/>
      <c r="H70" s="29" t="n"/>
    </row>
    <row r="71" ht="54" customHeight="1">
      <c r="A71" s="29" t="n"/>
      <c r="B71" s="29" t="n"/>
      <c r="C71" s="29" t="n"/>
      <c r="D71" s="29" t="n"/>
      <c r="E71" s="29" t="n"/>
      <c r="F71" s="49" t="n"/>
      <c r="G71" s="51" t="n"/>
      <c r="H71" s="29" t="n"/>
    </row>
    <row r="72" ht="54" customHeight="1">
      <c r="A72" s="29" t="n"/>
      <c r="B72" s="29" t="n"/>
      <c r="C72" s="29" t="n"/>
      <c r="D72" s="29" t="n"/>
      <c r="E72" s="29" t="n"/>
      <c r="F72" s="49" t="n"/>
      <c r="G72" s="51" t="n"/>
      <c r="H72" s="29" t="n"/>
    </row>
    <row r="73" ht="54" customHeight="1">
      <c r="A73" s="29" t="n"/>
      <c r="B73" s="29" t="n"/>
      <c r="C73" s="29" t="n"/>
      <c r="D73" s="29" t="n"/>
      <c r="E73" s="29" t="n"/>
      <c r="F73" s="49" t="n"/>
      <c r="G73" s="51" t="n"/>
      <c r="H73" s="29" t="n"/>
    </row>
    <row r="74" ht="54" customHeight="1">
      <c r="A74" s="29" t="n"/>
      <c r="B74" s="29" t="n"/>
      <c r="C74" s="29" t="n"/>
      <c r="D74" s="29" t="n"/>
      <c r="E74" s="29" t="n"/>
      <c r="F74" s="49" t="n"/>
      <c r="G74" s="51" t="n"/>
      <c r="H74" s="29" t="n"/>
    </row>
    <row r="75" ht="54" customHeight="1">
      <c r="A75" s="29" t="n"/>
      <c r="B75" s="29" t="n"/>
      <c r="C75" s="29" t="n"/>
      <c r="D75" s="29" t="n"/>
      <c r="E75" s="29" t="n"/>
      <c r="F75" s="49" t="n"/>
      <c r="G75" s="51" t="n"/>
      <c r="H75" s="29" t="n"/>
    </row>
    <row r="76" ht="54" customHeight="1">
      <c r="A76" s="29" t="n"/>
      <c r="B76" s="29" t="n"/>
      <c r="C76" s="29" t="n"/>
      <c r="D76" s="29" t="n"/>
      <c r="E76" s="29" t="n"/>
      <c r="F76" s="49" t="n"/>
      <c r="G76" s="51" t="n"/>
      <c r="H76" s="29" t="n"/>
    </row>
    <row r="77" ht="54" customHeight="1">
      <c r="A77" s="29" t="n"/>
      <c r="B77" s="29" t="n"/>
      <c r="C77" s="29" t="n"/>
      <c r="D77" s="29" t="n"/>
      <c r="E77" s="29" t="n"/>
      <c r="F77" s="49" t="n"/>
      <c r="G77" s="51" t="n"/>
      <c r="H77" s="29" t="n"/>
    </row>
    <row r="78" ht="54" customHeight="1">
      <c r="A78" s="29" t="n"/>
      <c r="B78" s="29" t="n"/>
      <c r="C78" s="29" t="n"/>
      <c r="D78" s="29" t="n"/>
      <c r="E78" s="29" t="n"/>
      <c r="F78" s="49" t="n"/>
      <c r="G78" s="51" t="n"/>
      <c r="H78" s="29" t="n"/>
    </row>
    <row r="79" ht="54" customHeight="1">
      <c r="A79" s="29" t="n"/>
      <c r="B79" s="29" t="n"/>
      <c r="C79" s="29" t="n"/>
      <c r="D79" s="29" t="n"/>
      <c r="E79" s="29" t="n"/>
      <c r="F79" s="49" t="n"/>
      <c r="G79" s="51" t="n"/>
      <c r="H79" s="29" t="n"/>
    </row>
    <row r="80" ht="54" customHeight="1">
      <c r="A80" s="29" t="n"/>
      <c r="B80" s="29" t="n"/>
      <c r="C80" s="29" t="n"/>
      <c r="D80" s="29" t="n"/>
      <c r="E80" s="29" t="n"/>
      <c r="F80" s="49" t="n"/>
      <c r="G80" s="51" t="n"/>
      <c r="H80" s="29" t="n"/>
    </row>
    <row r="81" ht="54" customHeight="1">
      <c r="A81" s="29" t="n"/>
      <c r="B81" s="29" t="n"/>
      <c r="C81" s="29" t="n"/>
      <c r="D81" s="29" t="n"/>
      <c r="E81" s="29" t="n"/>
      <c r="F81" s="49" t="n"/>
      <c r="G81" s="51" t="n"/>
      <c r="H81" s="29" t="n"/>
    </row>
    <row r="82" ht="54" customHeight="1">
      <c r="A82" s="29" t="n"/>
      <c r="B82" s="29" t="n"/>
      <c r="C82" s="29" t="n"/>
      <c r="D82" s="29" t="n"/>
      <c r="E82" s="29" t="n"/>
      <c r="F82" s="49" t="n"/>
      <c r="G82" s="51" t="n"/>
      <c r="H82" s="29" t="n"/>
    </row>
    <row r="83" ht="54" customHeight="1">
      <c r="A83" s="29" t="n"/>
      <c r="B83" s="29" t="n"/>
      <c r="C83" s="29" t="n"/>
      <c r="D83" s="29" t="n"/>
      <c r="E83" s="29" t="n"/>
      <c r="F83" s="49" t="n"/>
      <c r="G83" s="51" t="n"/>
      <c r="H83" s="29" t="n"/>
    </row>
    <row r="84" ht="54" customHeight="1">
      <c r="A84" s="29" t="n"/>
      <c r="B84" s="29" t="n"/>
      <c r="C84" s="29" t="n"/>
      <c r="D84" s="29" t="n"/>
      <c r="E84" s="29" t="n"/>
      <c r="F84" s="49" t="n"/>
      <c r="G84" s="51" t="n"/>
      <c r="H84" s="29" t="n"/>
    </row>
    <row r="85" ht="54" customHeight="1">
      <c r="A85" s="29" t="n"/>
      <c r="B85" s="29" t="n"/>
      <c r="C85" s="29" t="n"/>
      <c r="D85" s="29" t="n"/>
      <c r="E85" s="29" t="n"/>
      <c r="F85" s="49" t="n"/>
      <c r="G85" s="51" t="n"/>
      <c r="H85" s="29" t="n"/>
    </row>
    <row r="86" ht="54" customHeight="1">
      <c r="A86" s="29" t="n"/>
      <c r="B86" s="29" t="n"/>
      <c r="C86" s="29" t="n"/>
      <c r="D86" s="29" t="n"/>
      <c r="E86" s="29" t="n"/>
      <c r="F86" s="49" t="n"/>
      <c r="G86" s="51" t="n"/>
      <c r="H86" s="29" t="n"/>
    </row>
    <row r="87" ht="54" customHeight="1">
      <c r="A87" s="29" t="n"/>
      <c r="B87" s="29" t="n"/>
      <c r="C87" s="29" t="n"/>
      <c r="D87" s="29" t="n"/>
      <c r="E87" s="29" t="n"/>
      <c r="F87" s="49" t="n"/>
      <c r="G87" s="51" t="n"/>
      <c r="H87" s="29" t="n"/>
    </row>
    <row r="88" ht="54" customHeight="1">
      <c r="A88" s="29" t="n"/>
      <c r="B88" s="29" t="n"/>
      <c r="C88" s="29" t="n"/>
      <c r="D88" s="29" t="n"/>
      <c r="E88" s="29" t="n"/>
      <c r="F88" s="49" t="n"/>
      <c r="G88" s="51" t="n"/>
      <c r="H88" s="29" t="n"/>
    </row>
    <row r="89" ht="54" customHeight="1">
      <c r="A89" s="29" t="n"/>
      <c r="B89" s="29" t="n"/>
      <c r="C89" s="29" t="n"/>
      <c r="D89" s="29" t="n"/>
      <c r="E89" s="29" t="n"/>
      <c r="F89" s="49" t="n"/>
      <c r="G89" s="51" t="n"/>
      <c r="H89" s="29" t="n"/>
    </row>
    <row r="90" ht="54" customHeight="1">
      <c r="A90" s="29" t="n"/>
      <c r="B90" s="29" t="n"/>
      <c r="C90" s="29" t="n"/>
      <c r="D90" s="29" t="n"/>
      <c r="E90" s="29" t="n"/>
      <c r="F90" s="49" t="n"/>
      <c r="G90" s="51" t="n"/>
      <c r="H90" s="29" t="n"/>
    </row>
    <row r="91" ht="54" customHeight="1">
      <c r="A91" s="29" t="n"/>
      <c r="B91" s="29" t="n"/>
      <c r="C91" s="29" t="n"/>
      <c r="D91" s="29" t="n"/>
      <c r="E91" s="29" t="n"/>
      <c r="F91" s="49" t="n"/>
      <c r="G91" s="51" t="n"/>
      <c r="H91" s="29" t="n"/>
    </row>
    <row r="92" ht="54" customHeight="1">
      <c r="A92" s="29" t="n"/>
      <c r="B92" s="29" t="n"/>
      <c r="C92" s="29" t="n"/>
      <c r="D92" s="29" t="n"/>
      <c r="E92" s="29" t="n"/>
      <c r="F92" s="49" t="n"/>
      <c r="G92" s="51" t="n"/>
      <c r="H92" s="29" t="n"/>
    </row>
    <row r="93" ht="54" customHeight="1">
      <c r="A93" s="29" t="n"/>
      <c r="B93" s="29" t="n"/>
      <c r="C93" s="29" t="n"/>
      <c r="D93" s="29" t="n"/>
      <c r="E93" s="29" t="n"/>
      <c r="F93" s="49" t="n"/>
      <c r="G93" s="51" t="n"/>
      <c r="H93" s="29" t="n"/>
    </row>
    <row r="94" ht="54" customHeight="1">
      <c r="A94" s="29" t="n"/>
      <c r="B94" s="29" t="n"/>
      <c r="C94" s="29" t="n"/>
      <c r="D94" s="29" t="n"/>
      <c r="E94" s="29" t="n"/>
      <c r="F94" s="49" t="n"/>
      <c r="G94" s="51" t="n"/>
      <c r="H94" s="29" t="n"/>
    </row>
    <row r="95" ht="54" customHeight="1">
      <c r="A95" s="29" t="n"/>
      <c r="B95" s="29" t="n"/>
      <c r="C95" s="29" t="n"/>
      <c r="D95" s="29" t="n"/>
      <c r="E95" s="29" t="n"/>
      <c r="F95" s="49" t="n"/>
      <c r="G95" s="51" t="n"/>
      <c r="H95" s="29" t="n"/>
    </row>
    <row r="96" ht="54" customHeight="1">
      <c r="A96" s="29" t="n"/>
      <c r="B96" s="29" t="n"/>
      <c r="C96" s="29" t="n"/>
      <c r="D96" s="29" t="n"/>
      <c r="E96" s="29" t="n"/>
      <c r="F96" s="49" t="n"/>
      <c r="G96" s="51" t="n"/>
      <c r="H96" s="29" t="n"/>
    </row>
    <row r="97" ht="54" customHeight="1">
      <c r="A97" s="29" t="n"/>
      <c r="B97" s="29" t="n"/>
      <c r="C97" s="29" t="n"/>
      <c r="D97" s="29" t="n"/>
      <c r="E97" s="29" t="n"/>
      <c r="F97" s="49" t="n"/>
      <c r="G97" s="51" t="n"/>
      <c r="H97" s="29" t="n"/>
    </row>
    <row r="98" ht="54" customHeight="1">
      <c r="A98" s="29" t="n"/>
      <c r="B98" s="29" t="n"/>
      <c r="C98" s="29" t="n"/>
      <c r="D98" s="29" t="n"/>
      <c r="E98" s="29" t="n"/>
      <c r="F98" s="49" t="n"/>
      <c r="G98" s="51" t="n"/>
      <c r="H98" s="29" t="n"/>
    </row>
    <row r="99" ht="54" customHeight="1">
      <c r="A99" s="29" t="n"/>
      <c r="B99" s="29" t="n"/>
      <c r="C99" s="29" t="n"/>
      <c r="D99" s="29" t="n"/>
      <c r="E99" s="29" t="n"/>
      <c r="F99" s="49" t="n"/>
      <c r="G99" s="51" t="n"/>
      <c r="H99" s="29" t="n"/>
    </row>
    <row r="100" ht="54" customHeight="1">
      <c r="A100" s="29" t="n"/>
      <c r="B100" s="29" t="n"/>
      <c r="C100" s="29" t="n"/>
      <c r="D100" s="29" t="n"/>
      <c r="E100" s="29" t="n"/>
      <c r="F100" s="49" t="n"/>
      <c r="G100" s="51" t="n"/>
      <c r="H100" s="29" t="n"/>
    </row>
    <row r="101" ht="54" customHeight="1">
      <c r="A101" s="29" t="n"/>
      <c r="B101" s="29" t="n"/>
      <c r="C101" s="29" t="n"/>
      <c r="D101" s="29" t="n"/>
      <c r="E101" s="29" t="n"/>
      <c r="F101" s="49" t="n"/>
      <c r="G101" s="51" t="n"/>
      <c r="H101" s="29" t="n"/>
    </row>
    <row r="102" ht="54" customHeight="1">
      <c r="A102" s="29" t="n"/>
      <c r="B102" s="29" t="n"/>
      <c r="C102" s="29" t="n"/>
      <c r="D102" s="29" t="n"/>
      <c r="E102" s="29" t="n"/>
      <c r="F102" s="49" t="n"/>
      <c r="G102" s="51" t="n"/>
      <c r="H102" s="29" t="n"/>
    </row>
    <row r="103" ht="54" customHeight="1">
      <c r="A103" s="29" t="n"/>
      <c r="B103" s="29" t="n"/>
      <c r="C103" s="29" t="n"/>
      <c r="D103" s="29" t="n"/>
      <c r="E103" s="29" t="n"/>
      <c r="F103" s="49" t="n"/>
      <c r="G103" s="51" t="n"/>
      <c r="H103" s="29" t="n"/>
    </row>
    <row r="104" ht="54" customHeight="1">
      <c r="A104" s="29" t="n"/>
      <c r="B104" s="29" t="n"/>
      <c r="C104" s="29" t="n"/>
      <c r="D104" s="29" t="n"/>
      <c r="E104" s="29" t="n"/>
      <c r="F104" s="49" t="n"/>
      <c r="G104" s="51" t="n"/>
      <c r="H104" s="29" t="n"/>
    </row>
    <row r="105" ht="54" customHeight="1">
      <c r="A105" s="29" t="n"/>
      <c r="B105" s="29" t="n"/>
      <c r="C105" s="29" t="n"/>
      <c r="D105" s="29" t="n"/>
      <c r="E105" s="29" t="n"/>
      <c r="F105" s="49" t="n"/>
      <c r="G105" s="51" t="n"/>
      <c r="H105" s="29" t="n"/>
    </row>
    <row r="106" ht="54" customHeight="1">
      <c r="A106" s="29" t="n"/>
      <c r="B106" s="29" t="n"/>
      <c r="C106" s="29" t="n"/>
      <c r="D106" s="29" t="n"/>
      <c r="E106" s="29" t="n"/>
      <c r="F106" s="49" t="n"/>
      <c r="G106" s="51" t="n"/>
      <c r="H106" s="29" t="n"/>
    </row>
    <row r="107" ht="54" customHeight="1">
      <c r="A107" s="29" t="n"/>
      <c r="B107" s="29" t="n"/>
      <c r="C107" s="29" t="n"/>
      <c r="D107" s="29" t="n"/>
      <c r="E107" s="29" t="n"/>
      <c r="F107" s="49" t="n"/>
      <c r="G107" s="51" t="n"/>
      <c r="H107" s="29" t="n"/>
    </row>
  </sheetData>
  <mergeCells count="1">
    <mergeCell ref="A3:H3"/>
  </mergeCells>
  <conditionalFormatting sqref="A8:A107">
    <cfRule type="expression" priority="1" dxfId="1">
      <formula>AND($A8&lt;&gt;"",ISBLANK(A8))</formula>
    </cfRule>
  </conditionalFormatting>
  <conditionalFormatting sqref="B8:B107">
    <cfRule type="expression" priority="2" dxfId="1">
      <formula>AND($A8&lt;&gt;"",ISBLANK(B8))</formula>
    </cfRule>
  </conditionalFormatting>
  <conditionalFormatting sqref="C8:C107">
    <cfRule type="expression" priority="3" dxfId="1">
      <formula>AND($A8&lt;&gt;"",ISBLANK(C8))</formula>
    </cfRule>
  </conditionalFormatting>
  <conditionalFormatting sqref="D8:D107">
    <cfRule type="expression" priority="4" dxfId="1">
      <formula>AND($A8&lt;&gt;"",ISBLANK(D8))</formula>
    </cfRule>
  </conditionalFormatting>
  <conditionalFormatting sqref="E8:E107">
    <cfRule type="expression" priority="5" dxfId="1">
      <formula>AND($A8&lt;&gt;"",ISBLANK(E8))</formula>
    </cfRule>
  </conditionalFormatting>
  <conditionalFormatting sqref="F8:F107">
    <cfRule type="expression" priority="6" dxfId="1">
      <formula>AND($A8&lt;&gt;"",ISBLANK(F8))</formula>
    </cfRule>
  </conditionalFormatting>
  <conditionalFormatting sqref="G8:G107">
    <cfRule type="expression" priority="7" dxfId="1">
      <formula>AND($A8&lt;&gt;"",ISBLANK(G8))</formula>
    </cfRule>
  </conditionalFormatting>
  <conditionalFormatting sqref="H8:H107">
    <cfRule type="expression" priority="8" dxfId="1">
      <formula>AND($A8&lt;&gt;"",ISBLANK(H8))</formula>
    </cfRule>
  </conditionalFormatting>
  <dataValidations count="1">
    <dataValidation sqref="H8:H1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s>
  <sheetData>
    <row r="1" ht="30" customHeight="1">
      <c r="A1" s="2" t="n"/>
      <c r="B1" s="2" t="n"/>
      <c r="C1" s="2" t="n"/>
      <c r="D1" s="2" t="n"/>
      <c r="E1" s="2" t="n"/>
      <c r="F1" s="2" t="n"/>
      <c r="G1" s="2" t="n"/>
    </row>
    <row r="2" ht="30" customHeight="1">
      <c r="A2" s="19" t="inlineStr">
        <is>
          <t>Corteqs · Yerleşim yol haritası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Adım kimliği</t>
        </is>
      </c>
      <c r="B6" s="25" t="inlineStr">
        <is>
          <t>Şehir kimliği</t>
        </is>
      </c>
      <c r="C6" s="25" t="inlineStr">
        <is>
          <t>İçerik kimliği</t>
        </is>
      </c>
      <c r="D6" s="25" t="inlineStr">
        <is>
          <t>Adım başlığı</t>
        </is>
      </c>
      <c r="E6" s="25" t="inlineStr">
        <is>
          <t>Ne zaman</t>
        </is>
      </c>
      <c r="F6" s="25" t="inlineStr">
        <is>
          <t>Adım açıklaması</t>
        </is>
      </c>
      <c r="G6" s="25" t="inlineStr">
        <is>
          <t>Sıra</t>
        </is>
      </c>
    </row>
    <row r="7" ht="32" customHeight="1">
      <c r="A7" s="28" t="inlineStr">
        <is>
          <t>step_id</t>
        </is>
      </c>
      <c r="B7" s="28" t="inlineStr">
        <is>
          <t>city_id</t>
        </is>
      </c>
      <c r="C7" s="28" t="inlineStr">
        <is>
          <t>entry_id</t>
        </is>
      </c>
      <c r="D7" s="28" t="inlineStr">
        <is>
          <t>title</t>
        </is>
      </c>
      <c r="E7" s="28" t="inlineStr">
        <is>
          <t>when</t>
        </is>
      </c>
      <c r="F7" s="28" t="inlineStr">
        <is>
          <t>description</t>
        </is>
      </c>
      <c r="G7" s="28" t="inlineStr">
        <is>
          <t>order</t>
        </is>
      </c>
    </row>
    <row r="8" ht="54" customHeight="1">
      <c r="A8" s="29" t="inlineStr">
        <is>
          <t>eindhoven:step:1</t>
        </is>
      </c>
      <c r="B8" s="29" t="inlineStr">
        <is>
          <t>eindhoven</t>
        </is>
      </c>
      <c r="C8" s="29" t="inlineStr">
        <is>
          <t>eindhoven:belge-apostil-ceviri-hazirligi</t>
        </is>
      </c>
      <c r="D8" s="29" t="inlineStr">
        <is>
          <t>Belgelerinizi apostil ve çeviri için hazırlayın</t>
        </is>
      </c>
      <c r="E8" s="29" t="inlineStr">
        <is>
          <t>Taşınmadan çok önce</t>
        </is>
      </c>
      <c r="F8" s="29" t="inlineStr">
        <is>
          <t>Doğum, evlilik ve boşanma için çok dilli nüfus örneği alın; çeviri ve legalizasyon gerekmez. Diplomalara apostil yaptırın. Diğer Türkçe belgeleri yeminli tercümana çevirtin; Türkiye'de çevrilirse aslı ve çeviri, Hollanda'da yalnız aslı apostillenir.</t>
        </is>
      </c>
      <c r="G8" s="51" t="n">
        <v>1</v>
      </c>
    </row>
    <row r="9" ht="54" customHeight="1">
      <c r="A9" s="29" t="inlineStr">
        <is>
          <t>eindhoven:step:2</t>
        </is>
      </c>
      <c r="B9" s="29" t="inlineStr">
        <is>
          <t>eindhoven</t>
        </is>
      </c>
      <c r="C9" s="29" t="inlineStr">
        <is>
          <t>eindhoven:izin-turleri-basvuruyu-kim-yapar</t>
        </is>
      </c>
      <c r="D9" s="29" t="inlineStr">
        <is>
          <t>İzin türünüzü ve başvuruyu yapacak kişiyi netleştirin</t>
        </is>
      </c>
      <c r="E9" s="29" t="inlineStr">
        <is>
          <t>Taşınmadan önce</t>
        </is>
      </c>
      <c r="F9" s="29" t="inlineStr">
        <is>
          <t>İşvereninizin IND tanınmış sponsor listesinde olup olmadığına bakın; izin türünüze göre başvuruyu işverenin, facilitator'ın veya sizin yapacağınızı öğrenin.</t>
        </is>
      </c>
      <c r="G9" s="51" t="n">
        <v>2</v>
      </c>
    </row>
    <row r="10" ht="54" customHeight="1">
      <c r="A10" s="29" t="inlineStr">
        <is>
          <t>eindhoven:step:3</t>
        </is>
      </c>
      <c r="B10" s="29" t="inlineStr">
        <is>
          <t>eindhoven</t>
        </is>
      </c>
      <c r="C10" s="29" t="inlineStr">
        <is>
          <t>eindhoven:ev-arama-kira-turleri</t>
        </is>
      </c>
      <c r="D10" s="29" t="inlineStr">
        <is>
          <t>Kalacak yeri arayın</t>
        </is>
      </c>
      <c r="E10" s="29" t="inlineStr">
        <is>
          <t>Taşınmadan önce</t>
        </is>
      </c>
      <c r="F10" s="29" t="inlineStr">
        <is>
          <t>Mümkünse taşınmadan yaklaşık bir ay önce bölgeye gelip ev bakın; olmuyorsa ilk dönem için kısa süreli konaklama ayarlayın. Ağustos/Eylül ve Ocak/Şubat aylarında ev bulmak daha zordur.</t>
        </is>
      </c>
      <c r="G10" s="51" t="n">
        <v>3</v>
      </c>
    </row>
    <row r="11" ht="54" customHeight="1">
      <c r="A11" s="29" t="inlineStr">
        <is>
          <t>eindhoven:step:4</t>
        </is>
      </c>
      <c r="B11" s="29" t="inlineStr">
        <is>
          <t>eindhoven</t>
        </is>
      </c>
      <c r="C11" s="29" t="inlineStr">
        <is>
          <t>eindhoven:ev-esyasi-ve-arac-getirme</t>
        </is>
      </c>
      <c r="D11" s="29" t="inlineStr">
        <is>
          <t>Eşya, araç ve evcil hayvan kurallarını öğrenin</t>
        </is>
      </c>
      <c r="E11" s="29" t="inlineStr">
        <is>
          <t>Taşınmadan önce</t>
        </is>
      </c>
      <c r="F11" s="29" t="inlineStr">
        <is>
          <t>AB dışından geliyorsanız taşınma eşyası muafiyeti için Gümrük'e başvurun. BRP kaydından sonra yabancı plakalı araçla sürüş yasaktır; hayvanınız için mikroçip ve kuduz aşısını zamanında yaptırın.</t>
        </is>
      </c>
      <c r="G11" s="51" t="n">
        <v>4</v>
      </c>
    </row>
    <row r="12" ht="54" customHeight="1">
      <c r="A12" s="29" t="inlineStr">
        <is>
          <t>eindhoven:step:5</t>
        </is>
      </c>
      <c r="B12" s="29" t="inlineStr">
        <is>
          <t>eindhoven</t>
        </is>
      </c>
      <c r="C12" s="29" t="inlineStr">
        <is>
          <t>eindhoven:hec-south-randevu-alma</t>
        </is>
      </c>
      <c r="D12" s="29" t="inlineStr">
        <is>
          <t>HEC'ten e-postayla randevu isteyin</t>
        </is>
      </c>
      <c r="E12" s="29" t="inlineStr">
        <is>
          <t>Aktif kira sözleşmesi olunca</t>
        </is>
      </c>
      <c r="F12" s="29" t="inlineStr">
        <is>
          <t>Adınızı, V numaranızı veya doğum tarihinizi ve istediğiniz hizmeti HEC'e e-postayla yazın. Belediye kaydı için randevuyu Hollanda'ya varıştan sonra 5 gün içinde almanız gerekir.</t>
        </is>
      </c>
      <c r="G12" s="51" t="n">
        <v>5</v>
      </c>
    </row>
    <row r="13" ht="54" customHeight="1">
      <c r="A13" s="29" t="inlineStr">
        <is>
          <t>eindhoven:step:6</t>
        </is>
      </c>
      <c r="B13" s="29" t="inlineStr">
        <is>
          <t>eindhoven</t>
        </is>
      </c>
      <c r="C13" s="29" t="inlineStr">
        <is>
          <t>eindhoven:izin-karti-hec-teslim-alma</t>
        </is>
      </c>
      <c r="D13" s="29" t="inlineStr">
        <is>
          <t>BSN'nizi ve oturum izninizi HEC'ten alın</t>
        </is>
      </c>
      <c r="E13" s="29" t="inlineStr">
        <is>
          <t>Varıştan sonraki ilk günler</t>
        </is>
      </c>
      <c r="F13" s="29" t="inlineStr">
        <is>
          <t>Randevuya pasaport, adres kanıtı ve doğum belgenizle gidin. Eindhoven'da oturuyorsanız BSN'nizi randevuda alırsınız; izin kartını IND mektubunuza göre teslim alırsınız.</t>
        </is>
      </c>
      <c r="G13" s="51" t="n">
        <v>6</v>
      </c>
    </row>
    <row r="14" ht="54" customHeight="1">
      <c r="A14" s="29" t="inlineStr">
        <is>
          <t>eindhoven:step:7</t>
        </is>
      </c>
      <c r="B14" s="29" t="inlineStr">
        <is>
          <t>eindhoven</t>
        </is>
      </c>
      <c r="C14" s="29" t="inlineStr">
        <is>
          <t>eindhoven:banka-hesabi-belgeleri</t>
        </is>
      </c>
      <c r="D14" s="29" t="inlineStr">
        <is>
          <t>Banka hesabı açın</t>
        </is>
      </c>
      <c r="E14" s="29" t="inlineStr">
        <is>
          <t>BSN'yi aldıktan sonra</t>
        </is>
      </c>
      <c r="F14" s="29" t="inlineStr">
        <is>
          <t>Pasaport, adres kanıtı, işveren mektubu ve BSN ile hesap açın. BSN'siz geçici hesap açan bir bankayı seçtiyseniz BSN'yi süre dolmadan bankaya iletin.</t>
        </is>
      </c>
      <c r="G14" s="51" t="n">
        <v>7</v>
      </c>
    </row>
    <row r="15" ht="54" customHeight="1">
      <c r="A15" s="29" t="inlineStr">
        <is>
          <t>eindhoven:step:8</t>
        </is>
      </c>
      <c r="B15" s="29" t="inlineStr">
        <is>
          <t>eindhoven</t>
        </is>
      </c>
      <c r="C15" s="29" t="inlineStr">
        <is>
          <t>eindhoven:saglik-sigortasi-ne-zaman</t>
        </is>
      </c>
      <c r="D15" s="29" t="inlineStr">
        <is>
          <t>Zorunlu sağlık sigortanızı yaptırın</t>
        </is>
      </c>
      <c r="E15" s="29" t="inlineStr">
        <is>
          <t>Varıştan en geç 4 ay içinde</t>
        </is>
      </c>
      <c r="F15" s="29" t="inlineStr">
        <is>
          <t>Varıştan en geç 4 ay içinde Hollandalı bir sigortacıdan temel sağlık sigortası yaptırın; kapsam varış gününden başlar, geç kalırsanız aradaki masraflar karşılanmaz. Bebekleri doğumdan sonra 4 ay içinde kaydettirin; düşük gelirde zorgtoeslag'a bakın.</t>
        </is>
      </c>
      <c r="G15" s="51" t="n">
        <v>8</v>
      </c>
    </row>
    <row r="16" ht="54" customHeight="1">
      <c r="A16" s="29" t="inlineStr">
        <is>
          <t>eindhoven:step:9</t>
        </is>
      </c>
      <c r="B16" s="29" t="inlineStr">
        <is>
          <t>eindhoven</t>
        </is>
      </c>
      <c r="C16" s="29" t="inlineStr">
        <is>
          <t>eindhoven:expat-scheme-basvuru-takvimi</t>
        </is>
      </c>
      <c r="D16" s="29" t="inlineStr">
        <is>
          <t>%30 vergi kolaylığına başvurun</t>
        </is>
      </c>
      <c r="E16" s="29" t="inlineStr">
        <is>
          <t>İşe başlamadan sonra 4 ay içinde</t>
        </is>
      </c>
      <c r="F16" s="29" t="inlineStr">
        <is>
          <t>Şartları sağlıyorsanız formu işvereninizle doldurup Belastingdienst'e gönderin. Onay gelmeden işveren kolaylığı uygulayamaz.</t>
        </is>
      </c>
      <c r="G16" s="51" t="n">
        <v>9</v>
      </c>
    </row>
    <row r="17" ht="54" customHeight="1">
      <c r="A17" s="29" t="inlineStr">
        <is>
          <t>eindhoven:step:10</t>
        </is>
      </c>
      <c r="B17" s="29" t="inlineStr">
        <is>
          <t>eindhoven</t>
        </is>
      </c>
      <c r="C17" s="29" t="inlineStr">
        <is>
          <t>eindhoven:eindhoven-yeni-gelen-belediye-bilgileri</t>
        </is>
      </c>
      <c r="D17" s="29" t="inlineStr">
        <is>
          <t>Belediye hizmetlerine alışın</t>
        </is>
      </c>
      <c r="E17" s="29" t="inlineStr">
        <is>
          <t>Yerleştikten sonra</t>
        </is>
      </c>
      <c r="F17" s="29" t="inlineStr">
        <is>
          <t>Atık takvimi için Cure Afvalbeheer'e bakın, milieupas edinin, köpeğiniz varsa belediyeye bildirin. Belediyeye 14 040 numarasından ulaşırsınız.</t>
        </is>
      </c>
      <c r="G17" s="51" t="n">
        <v>10</v>
      </c>
    </row>
    <row r="18" ht="54" customHeight="1">
      <c r="A18" s="29" t="n"/>
      <c r="B18" s="29" t="n"/>
      <c r="C18" s="29" t="n"/>
      <c r="D18" s="29" t="n"/>
      <c r="E18" s="29" t="n"/>
      <c r="F18" s="29" t="n"/>
      <c r="G18" s="51" t="n"/>
    </row>
    <row r="19" ht="54" customHeight="1">
      <c r="A19" s="29" t="n"/>
      <c r="B19" s="29" t="n"/>
      <c r="C19" s="29" t="n"/>
      <c r="D19" s="29" t="n"/>
      <c r="E19" s="29" t="n"/>
      <c r="F19" s="29" t="n"/>
      <c r="G19" s="51" t="n"/>
    </row>
    <row r="20" ht="54" customHeight="1">
      <c r="A20" s="29" t="n"/>
      <c r="B20" s="29" t="n"/>
      <c r="C20" s="29" t="n"/>
      <c r="D20" s="29" t="n"/>
      <c r="E20" s="29" t="n"/>
      <c r="F20" s="29" t="n"/>
      <c r="G20" s="51" t="n"/>
    </row>
    <row r="21" ht="54" customHeight="1">
      <c r="A21" s="29" t="n"/>
      <c r="B21" s="29" t="n"/>
      <c r="C21" s="29" t="n"/>
      <c r="D21" s="29" t="n"/>
      <c r="E21" s="29" t="n"/>
      <c r="F21" s="29" t="n"/>
      <c r="G21" s="51" t="n"/>
    </row>
    <row r="22" ht="54" customHeight="1">
      <c r="A22" s="29" t="n"/>
      <c r="B22" s="29" t="n"/>
      <c r="C22" s="29" t="n"/>
      <c r="D22" s="29" t="n"/>
      <c r="E22" s="29" t="n"/>
      <c r="F22" s="29" t="n"/>
      <c r="G22" s="51" t="n"/>
    </row>
    <row r="23" ht="54" customHeight="1">
      <c r="A23" s="29" t="n"/>
      <c r="B23" s="29" t="n"/>
      <c r="C23" s="29" t="n"/>
      <c r="D23" s="29" t="n"/>
      <c r="E23" s="29" t="n"/>
      <c r="F23" s="29" t="n"/>
      <c r="G23" s="51" t="n"/>
    </row>
    <row r="24" ht="54" customHeight="1">
      <c r="A24" s="29" t="n"/>
      <c r="B24" s="29" t="n"/>
      <c r="C24" s="29" t="n"/>
      <c r="D24" s="29" t="n"/>
      <c r="E24" s="29" t="n"/>
      <c r="F24" s="29" t="n"/>
      <c r="G24" s="51" t="n"/>
    </row>
    <row r="25" ht="54" customHeight="1">
      <c r="A25" s="29" t="n"/>
      <c r="B25" s="29" t="n"/>
      <c r="C25" s="29" t="n"/>
      <c r="D25" s="29" t="n"/>
      <c r="E25" s="29" t="n"/>
      <c r="F25" s="29" t="n"/>
      <c r="G25" s="51" t="n"/>
    </row>
    <row r="26" ht="54" customHeight="1">
      <c r="A26" s="29" t="n"/>
      <c r="B26" s="29" t="n"/>
      <c r="C26" s="29" t="n"/>
      <c r="D26" s="29" t="n"/>
      <c r="E26" s="29" t="n"/>
      <c r="F26" s="29" t="n"/>
      <c r="G26" s="51" t="n"/>
    </row>
    <row r="27" ht="54" customHeight="1">
      <c r="A27" s="29" t="n"/>
      <c r="B27" s="29" t="n"/>
      <c r="C27" s="29" t="n"/>
      <c r="D27" s="29" t="n"/>
      <c r="E27" s="29" t="n"/>
      <c r="F27" s="29" t="n"/>
      <c r="G27" s="51" t="n"/>
    </row>
    <row r="28" ht="54" customHeight="1">
      <c r="A28" s="29" t="n"/>
      <c r="B28" s="29" t="n"/>
      <c r="C28" s="29" t="n"/>
      <c r="D28" s="29" t="n"/>
      <c r="E28" s="29" t="n"/>
      <c r="F28" s="29" t="n"/>
      <c r="G28" s="51" t="n"/>
    </row>
    <row r="29" ht="54" customHeight="1">
      <c r="A29" s="29" t="n"/>
      <c r="B29" s="29" t="n"/>
      <c r="C29" s="29" t="n"/>
      <c r="D29" s="29" t="n"/>
      <c r="E29" s="29" t="n"/>
      <c r="F29" s="29" t="n"/>
      <c r="G29" s="51" t="n"/>
    </row>
    <row r="30" ht="54" customHeight="1">
      <c r="A30" s="29" t="n"/>
      <c r="B30" s="29" t="n"/>
      <c r="C30" s="29" t="n"/>
      <c r="D30" s="29" t="n"/>
      <c r="E30" s="29" t="n"/>
      <c r="F30" s="29" t="n"/>
      <c r="G30" s="51" t="n"/>
    </row>
    <row r="31" ht="54" customHeight="1">
      <c r="A31" s="29" t="n"/>
      <c r="B31" s="29" t="n"/>
      <c r="C31" s="29" t="n"/>
      <c r="D31" s="29" t="n"/>
      <c r="E31" s="29" t="n"/>
      <c r="F31" s="29" t="n"/>
      <c r="G31" s="51" t="n"/>
    </row>
    <row r="32" ht="54" customHeight="1">
      <c r="A32" s="29" t="n"/>
      <c r="B32" s="29" t="n"/>
      <c r="C32" s="29" t="n"/>
      <c r="D32" s="29" t="n"/>
      <c r="E32" s="29" t="n"/>
      <c r="F32" s="29" t="n"/>
      <c r="G32" s="51" t="n"/>
    </row>
    <row r="33" ht="54" customHeight="1">
      <c r="A33" s="29" t="n"/>
      <c r="B33" s="29" t="n"/>
      <c r="C33" s="29" t="n"/>
      <c r="D33" s="29" t="n"/>
      <c r="E33" s="29" t="n"/>
      <c r="F33" s="29" t="n"/>
      <c r="G33" s="51" t="n"/>
    </row>
    <row r="34" ht="54" customHeight="1">
      <c r="A34" s="29" t="n"/>
      <c r="B34" s="29" t="n"/>
      <c r="C34" s="29" t="n"/>
      <c r="D34" s="29" t="n"/>
      <c r="E34" s="29" t="n"/>
      <c r="F34" s="29" t="n"/>
      <c r="G34" s="51" t="n"/>
    </row>
    <row r="35" ht="54" customHeight="1">
      <c r="A35" s="29" t="n"/>
      <c r="B35" s="29" t="n"/>
      <c r="C35" s="29" t="n"/>
      <c r="D35" s="29" t="n"/>
      <c r="E35" s="29" t="n"/>
      <c r="F35" s="29" t="n"/>
      <c r="G35" s="51" t="n"/>
    </row>
    <row r="36" ht="54" customHeight="1">
      <c r="A36" s="29" t="n"/>
      <c r="B36" s="29" t="n"/>
      <c r="C36" s="29" t="n"/>
      <c r="D36" s="29" t="n"/>
      <c r="E36" s="29" t="n"/>
      <c r="F36" s="29" t="n"/>
      <c r="G36" s="51" t="n"/>
    </row>
    <row r="37" ht="54" customHeight="1">
      <c r="A37" s="29" t="n"/>
      <c r="B37" s="29" t="n"/>
      <c r="C37" s="29" t="n"/>
      <c r="D37" s="29" t="n"/>
      <c r="E37" s="29" t="n"/>
      <c r="F37" s="29" t="n"/>
      <c r="G37" s="51" t="n"/>
    </row>
    <row r="38" ht="54" customHeight="1">
      <c r="A38" s="29" t="n"/>
      <c r="B38" s="29" t="n"/>
      <c r="C38" s="29" t="n"/>
      <c r="D38" s="29" t="n"/>
      <c r="E38" s="29" t="n"/>
      <c r="F38" s="29" t="n"/>
      <c r="G38" s="51" t="n"/>
    </row>
    <row r="39" ht="54" customHeight="1">
      <c r="A39" s="29" t="n"/>
      <c r="B39" s="29" t="n"/>
      <c r="C39" s="29" t="n"/>
      <c r="D39" s="29" t="n"/>
      <c r="E39" s="29" t="n"/>
      <c r="F39" s="29" t="n"/>
      <c r="G39" s="51" t="n"/>
    </row>
    <row r="40" ht="54" customHeight="1">
      <c r="A40" s="29" t="n"/>
      <c r="B40" s="29" t="n"/>
      <c r="C40" s="29" t="n"/>
      <c r="D40" s="29" t="n"/>
      <c r="E40" s="29" t="n"/>
      <c r="F40" s="29" t="n"/>
      <c r="G40" s="51" t="n"/>
    </row>
    <row r="41" ht="54" customHeight="1">
      <c r="A41" s="29" t="n"/>
      <c r="B41" s="29" t="n"/>
      <c r="C41" s="29" t="n"/>
      <c r="D41" s="29" t="n"/>
      <c r="E41" s="29" t="n"/>
      <c r="F41" s="29" t="n"/>
      <c r="G41" s="51" t="n"/>
    </row>
    <row r="42" ht="54" customHeight="1">
      <c r="A42" s="29" t="n"/>
      <c r="B42" s="29" t="n"/>
      <c r="C42" s="29" t="n"/>
      <c r="D42" s="29" t="n"/>
      <c r="E42" s="29" t="n"/>
      <c r="F42" s="29" t="n"/>
      <c r="G42" s="51" t="n"/>
    </row>
    <row r="43" ht="54" customHeight="1">
      <c r="A43" s="29" t="n"/>
      <c r="B43" s="29" t="n"/>
      <c r="C43" s="29" t="n"/>
      <c r="D43" s="29" t="n"/>
      <c r="E43" s="29" t="n"/>
      <c r="F43" s="29" t="n"/>
      <c r="G43" s="51" t="n"/>
    </row>
    <row r="44" ht="54" customHeight="1">
      <c r="A44" s="29" t="n"/>
      <c r="B44" s="29" t="n"/>
      <c r="C44" s="29" t="n"/>
      <c r="D44" s="29" t="n"/>
      <c r="E44" s="29" t="n"/>
      <c r="F44" s="29" t="n"/>
      <c r="G44" s="51" t="n"/>
    </row>
    <row r="45" ht="54" customHeight="1">
      <c r="A45" s="29" t="n"/>
      <c r="B45" s="29" t="n"/>
      <c r="C45" s="29" t="n"/>
      <c r="D45" s="29" t="n"/>
      <c r="E45" s="29" t="n"/>
      <c r="F45" s="29" t="n"/>
      <c r="G45" s="51" t="n"/>
    </row>
    <row r="46" ht="54" customHeight="1">
      <c r="A46" s="29" t="n"/>
      <c r="B46" s="29" t="n"/>
      <c r="C46" s="29" t="n"/>
      <c r="D46" s="29" t="n"/>
      <c r="E46" s="29" t="n"/>
      <c r="F46" s="29" t="n"/>
      <c r="G46" s="51" t="n"/>
    </row>
    <row r="47" ht="54" customHeight="1">
      <c r="A47" s="29" t="n"/>
      <c r="B47" s="29" t="n"/>
      <c r="C47" s="29" t="n"/>
      <c r="D47" s="29" t="n"/>
      <c r="E47" s="29" t="n"/>
      <c r="F47" s="29" t="n"/>
      <c r="G47" s="51" t="n"/>
    </row>
  </sheetData>
  <mergeCells count="1">
    <mergeCell ref="A3:G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E8:E47">
    <cfRule type="expression" priority="5" dxfId="1">
      <formula>AND($A8&lt;&gt;"",ISBLANK(E8))</formula>
    </cfRule>
  </conditionalFormatting>
  <conditionalFormatting sqref="F8:F47">
    <cfRule type="expression" priority="6" dxfId="1">
      <formula>AND($A8&lt;&gt;"",ISBLANK(F8))</formula>
    </cfRule>
  </conditionalFormatting>
  <conditionalFormatting sqref="G8:G4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5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48" customWidth="1" min="5" max="5"/>
    <col width="20" customWidth="1" min="6" max="6"/>
    <col width="28" customWidth="1" min="7" max="7"/>
    <col width="58" customWidth="1" min="8" max="8"/>
    <col width="28" customWidth="1" min="9" max="9"/>
    <col width="28" customWidth="1" min="10" max="10"/>
    <col width="28" customWidth="1" min="11" max="11"/>
  </cols>
  <sheetData>
    <row r="1" ht="30" customHeight="1">
      <c r="A1" s="2" t="n"/>
      <c r="B1" s="2" t="n"/>
      <c r="C1" s="2" t="n"/>
      <c r="D1" s="2" t="n"/>
      <c r="E1" s="2" t="n"/>
      <c r="F1" s="2" t="n"/>
      <c r="G1" s="2" t="n"/>
      <c r="H1" s="2" t="n"/>
      <c r="I1" s="2" t="n"/>
      <c r="J1" s="2" t="n"/>
      <c r="K1" s="2" t="n"/>
    </row>
    <row r="2" ht="30" customHeight="1">
      <c r="A2" s="19" t="inlineStr">
        <is>
          <t>Corteqs · Birincil bilgi kaynakları</t>
        </is>
      </c>
      <c r="B2" s="2" t="n"/>
      <c r="C2" s="2" t="n"/>
      <c r="D2" s="2" t="n"/>
      <c r="E2" s="2" t="n"/>
      <c r="F2" s="2" t="n"/>
      <c r="G2" s="2" t="n"/>
      <c r="H2" s="2" t="n"/>
      <c r="I2" s="2" t="n"/>
      <c r="J2" s="2" t="n"/>
      <c r="K2" s="2" t="n"/>
    </row>
    <row r="3" ht="36" customHeight="1">
      <c r="A3" s="20" t="inlineStr">
        <is>
          <t>Türkçe başlığı okuyun; veriyi 8. satırdan yazın. 7. satırdaki alan adını ve sayfa adını değiştirmeyin.</t>
        </is>
      </c>
      <c r="I3" s="2" t="n"/>
      <c r="J3" s="2" t="n"/>
      <c r="K3" s="2" t="n"/>
    </row>
    <row r="4" ht="30" customHeight="1">
      <c r="A4" s="21" t="n"/>
      <c r="B4" s="21" t="n"/>
      <c r="C4" s="21" t="n"/>
      <c r="D4" s="21" t="n"/>
      <c r="E4" s="21" t="n"/>
      <c r="F4" s="21" t="n"/>
      <c r="G4" s="21" t="n"/>
      <c r="H4" s="21" t="n"/>
      <c r="I4" s="21" t="n"/>
      <c r="J4" s="21" t="n"/>
      <c r="K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İsteğe bağlı</t>
        </is>
      </c>
      <c r="H5" s="22" t="inlineStr">
        <is>
          <t>İsteğe bağlı</t>
        </is>
      </c>
      <c r="I5" s="22" t="inlineStr">
        <is>
          <t>Zorunlu</t>
        </is>
      </c>
      <c r="J5" s="22" t="inlineStr">
        <is>
          <t>İsteğe bağlı</t>
        </is>
      </c>
      <c r="K5" s="22" t="inlineStr">
        <is>
          <t>İsteğe bağlı</t>
        </is>
      </c>
    </row>
    <row r="6" ht="44" customHeight="1">
      <c r="A6" s="25" t="inlineStr">
        <is>
          <t>Kaynak kimliği</t>
        </is>
      </c>
      <c r="B6" s="25" t="inlineStr">
        <is>
          <t>Şehir kimliği</t>
        </is>
      </c>
      <c r="C6" s="25" t="inlineStr">
        <is>
          <t>Kaynak başlığı</t>
        </is>
      </c>
      <c r="D6" s="25" t="inlineStr">
        <is>
          <t>Yayıncı / kurum</t>
        </is>
      </c>
      <c r="E6" s="25" t="inlineStr">
        <is>
          <t>Kaynak bağlantısı</t>
        </is>
      </c>
      <c r="F6" s="25" t="inlineStr">
        <is>
          <t>Kaynak kontrol tarihi</t>
        </is>
      </c>
      <c r="G6" s="25" t="inlineStr">
        <is>
          <t>Araştırma konusu</t>
        </is>
      </c>
      <c r="H6" s="25" t="inlineStr">
        <is>
          <t>Türkçe araştırma notu</t>
        </is>
      </c>
      <c r="I6" s="25" t="inlineStr">
        <is>
          <t>Kaynak notu incelendi</t>
        </is>
      </c>
      <c r="J6" s="25" t="inlineStr">
        <is>
          <t>Varsa kaynak kanıt dosyası</t>
        </is>
      </c>
      <c r="K6" s="25" t="inlineStr">
        <is>
          <t>Varsa kanıt SHA-256</t>
        </is>
      </c>
    </row>
    <row r="7" ht="32" customHeight="1">
      <c r="A7" s="28" t="inlineStr">
        <is>
          <t>source_id</t>
        </is>
      </c>
      <c r="B7" s="28" t="inlineStr">
        <is>
          <t>city_id</t>
        </is>
      </c>
      <c r="C7" s="28" t="inlineStr">
        <is>
          <t>title</t>
        </is>
      </c>
      <c r="D7" s="28" t="inlineStr">
        <is>
          <t>publisher</t>
        </is>
      </c>
      <c r="E7" s="28" t="inlineStr">
        <is>
          <t>url</t>
        </is>
      </c>
      <c r="F7" s="28" t="inlineStr">
        <is>
          <t>checked_on</t>
        </is>
      </c>
      <c r="G7" s="28" t="inlineStr">
        <is>
          <t>topic</t>
        </is>
      </c>
      <c r="H7" s="28" t="inlineStr">
        <is>
          <t>summary</t>
        </is>
      </c>
      <c r="I7" s="28" t="inlineStr">
        <is>
          <t>verified</t>
        </is>
      </c>
      <c r="J7" s="28" t="inlineStr">
        <is>
          <t>snapshot_file</t>
        </is>
      </c>
      <c r="K7" s="28" t="inlineStr">
        <is>
          <t>snapshot_sha256</t>
        </is>
      </c>
    </row>
    <row r="8" ht="54" customHeight="1">
      <c r="A8" s="29" t="inlineStr">
        <is>
          <t>eindhoven:kaynak:001</t>
        </is>
      </c>
      <c r="B8" s="29" t="inlineStr">
        <is>
          <t>eindhoven</t>
        </is>
      </c>
      <c r="C8" s="29" t="inlineStr">
        <is>
          <t>Residence and work permits that can be collected from Holland Expat Center South | Holland Expat Center South</t>
        </is>
      </c>
      <c r="D8" s="29" t="inlineStr">
        <is>
          <t>Holland Expat Center South</t>
        </is>
      </c>
      <c r="E8" s="29" t="inlineStr">
        <is>
          <t>https://www.hollandexpatcenter.com/internationals-guide/formalities/residence-and-work-permits-that-can-be-collected-from-holland</t>
        </is>
      </c>
      <c r="F8" s="49" t="n">
        <v>46317</v>
      </c>
      <c r="G8" s="29" t="inlineStr">
        <is>
          <t>eindhoven:planlama</t>
        </is>
      </c>
      <c r="H8" s="29" t="inlineStr">
        <is>
          <t>Taşınmadan önce izin kartını HEC'ten teslim alma ve ilk hafta planı</t>
        </is>
      </c>
      <c r="I8" s="29" t="inlineStr">
        <is>
          <t>Evet</t>
        </is>
      </c>
      <c r="J8" s="29" t="inlineStr">
        <is>
          <t>Lisans kanıtları/kaynaklar/377ebae1967fb667eab8232bf28c62c31c8b0e5591dbc6071769f1d68278bb64.html</t>
        </is>
      </c>
      <c r="K8" s="29" t="inlineStr">
        <is>
          <t>377ebae1967fb667eab8232bf28c62c31c8b0e5591dbc6071769f1d68278bb64</t>
        </is>
      </c>
    </row>
    <row r="9" ht="54" customHeight="1">
      <c r="A9" s="29" t="inlineStr">
        <is>
          <t>eindhoven:kaynak:002</t>
        </is>
      </c>
      <c r="B9" s="29" t="inlineStr">
        <is>
          <t>eindhoven</t>
        </is>
      </c>
      <c r="C9" s="29" t="inlineStr">
        <is>
          <t>Appointment at the Expat Center | Holland Expat Center South</t>
        </is>
      </c>
      <c r="D9" s="29" t="inlineStr">
        <is>
          <t>Holland Expat Center South</t>
        </is>
      </c>
      <c r="E9" s="29" t="inlineStr">
        <is>
          <t>https://www.hollandexpatcenter.com/appointment-at-the-expat-center</t>
        </is>
      </c>
      <c r="F9" s="49" t="n">
        <v>46317</v>
      </c>
      <c r="G9" s="29" t="inlineStr">
        <is>
          <t>eindhoven:planlama</t>
        </is>
      </c>
      <c r="H9" s="29" t="inlineStr">
        <is>
          <t>HEC randevusu: ilk hafta işlemleri için plan</t>
        </is>
      </c>
      <c r="I9" s="29" t="inlineStr">
        <is>
          <t>Evet</t>
        </is>
      </c>
      <c r="J9" s="29" t="inlineStr">
        <is>
          <t>Lisans kanıtları/kaynaklar/39bbf63261183c99e9f7372e4723f4cc0d51951ee69bc2b7db2bde56c4c9153b.html</t>
        </is>
      </c>
      <c r="K9" s="29" t="inlineStr">
        <is>
          <t>39bbf63261183c99e9f7372e4723f4cc0d51951ee69bc2b7db2bde56c4c9153b</t>
        </is>
      </c>
    </row>
    <row r="10" ht="54" customHeight="1">
      <c r="A10" s="29" t="inlineStr">
        <is>
          <t>eindhoven:kaynak:003</t>
        </is>
      </c>
      <c r="B10" s="29" t="inlineStr">
        <is>
          <t>eindhoven</t>
        </is>
      </c>
      <c r="C10" s="29" t="inlineStr">
        <is>
          <t>Participating municipalities | Holland Expat Center South</t>
        </is>
      </c>
      <c r="D10" s="29" t="inlineStr">
        <is>
          <t>Holland Expat Center South</t>
        </is>
      </c>
      <c r="E10" s="29" t="inlineStr">
        <is>
          <t>https://www.hollandexpatcenter.com/internationals-guide/formalities/participating-municipalities</t>
        </is>
      </c>
      <c r="F10" s="49" t="n">
        <v>46317</v>
      </c>
      <c r="G10" s="29" t="inlineStr">
        <is>
          <t>eindhoven:planlama</t>
        </is>
      </c>
      <c r="H10" s="29" t="inlineStr">
        <is>
          <t>HEC'in hizmet verdiği belediyeler; Eindhoven kapsamı</t>
        </is>
      </c>
      <c r="I10" s="29" t="inlineStr">
        <is>
          <t>Evet</t>
        </is>
      </c>
      <c r="J10" s="29" t="inlineStr">
        <is>
          <t>Lisans kanıtları/kaynaklar/03672ef3c97cf44778f2485cb5a9afe69e7f586b10d4d9761fa5ccd482ff6d94.html</t>
        </is>
      </c>
      <c r="K10" s="29" t="inlineStr">
        <is>
          <t>03672ef3c97cf44778f2485cb5a9afe69e7f586b10d4d9761fa5ccd482ff6d94</t>
        </is>
      </c>
    </row>
    <row r="11" ht="54" customHeight="1">
      <c r="A11" s="29" t="inlineStr">
        <is>
          <t>eindhoven:kaynak:004</t>
        </is>
      </c>
      <c r="B11" s="29" t="inlineStr">
        <is>
          <t>eindhoven</t>
        </is>
      </c>
      <c r="C11" s="29" t="inlineStr">
        <is>
          <t>Importing goods, cars and pets | Holland Expat Center South</t>
        </is>
      </c>
      <c r="D11" s="29" t="inlineStr">
        <is>
          <t>Holland Expat Center South</t>
        </is>
      </c>
      <c r="E11" s="29" t="inlineStr">
        <is>
          <t>https://www.hollandexpatcenter.com/internationals-guide/formalities/importing-goods-cars-and-pets</t>
        </is>
      </c>
      <c r="F11" s="49" t="n">
        <v>46317</v>
      </c>
      <c r="G11" s="29" t="inlineStr">
        <is>
          <t>eindhoven:planlama</t>
        </is>
      </c>
      <c r="H11" s="29" t="inlineStr">
        <is>
          <t>Taşınma öncesi eşya, araç, evcil hayvan getirme kuralları</t>
        </is>
      </c>
      <c r="I11" s="29" t="inlineStr">
        <is>
          <t>Evet</t>
        </is>
      </c>
      <c r="J11" s="29" t="inlineStr">
        <is>
          <t>Lisans kanıtları/kaynaklar/50848cf1cef6410408fa462d4d8383b2fdff002e9470f721e9f93c0a3b3daf68.html</t>
        </is>
      </c>
      <c r="K11" s="29" t="inlineStr">
        <is>
          <t>50848cf1cef6410408fa462d4d8383b2fdff002e9470f721e9f93c0a3b3daf68</t>
        </is>
      </c>
    </row>
    <row r="12" ht="54" customHeight="1">
      <c r="A12" s="29" t="inlineStr">
        <is>
          <t>eindhoven:kaynak:005</t>
        </is>
      </c>
      <c r="B12" s="29" t="inlineStr">
        <is>
          <t>eindhoven</t>
        </is>
      </c>
      <c r="C12" s="29" t="inlineStr">
        <is>
          <t>Mandatory health insurance | Holland Expat Center South</t>
        </is>
      </c>
      <c r="D12" s="29" t="inlineStr">
        <is>
          <t>Holland Expat Center South</t>
        </is>
      </c>
      <c r="E12" s="29" t="inlineStr">
        <is>
          <t>https://www.hollandexpatcenter.com/internationals-guide/banking-finance-and-insurance/mandatory-health-insurance</t>
        </is>
      </c>
      <c r="F12" s="49" t="n">
        <v>46317</v>
      </c>
      <c r="G12" s="29" t="inlineStr">
        <is>
          <t>eindhoven:planlama</t>
        </is>
      </c>
      <c r="H12" s="29" t="inlineStr">
        <is>
          <t>Varışta zorunlu sağlık sigortası hazırlığı</t>
        </is>
      </c>
      <c r="I12" s="29" t="inlineStr">
        <is>
          <t>Evet</t>
        </is>
      </c>
      <c r="J12" s="29" t="inlineStr">
        <is>
          <t>Lisans kanıtları/kaynaklar/ba19380dae975716d1488dbfc4804d15e4df04ff632bd91fb21439764049f143.html</t>
        </is>
      </c>
      <c r="K12" s="29" t="inlineStr">
        <is>
          <t>ba19380dae975716d1488dbfc4804d15e4df04ff632bd91fb21439764049f143</t>
        </is>
      </c>
    </row>
    <row r="13" ht="54" customHeight="1">
      <c r="A13" s="29" t="inlineStr">
        <is>
          <t>eindhoven:kaynak:006</t>
        </is>
      </c>
      <c r="B13" s="29" t="inlineStr">
        <is>
          <t>eindhoven</t>
        </is>
      </c>
      <c r="C13" s="29" t="inlineStr">
        <is>
          <t>Banking | Holland Expat Center South</t>
        </is>
      </c>
      <c r="D13" s="29" t="inlineStr">
        <is>
          <t>Holland Expat Center South</t>
        </is>
      </c>
      <c r="E13" s="29" t="inlineStr">
        <is>
          <t>https://www.hollandexpatcenter.com/internationals-guide/banking-finance-and-insurance/banking</t>
        </is>
      </c>
      <c r="F13" s="49" t="n">
        <v>46317</v>
      </c>
      <c r="G13" s="29" t="inlineStr">
        <is>
          <t>eindhoven:planlama</t>
        </is>
      </c>
      <c r="H13" s="29" t="inlineStr">
        <is>
          <t>İlk hafta banka hesabı açma hazırlığı</t>
        </is>
      </c>
      <c r="I13" s="29" t="inlineStr">
        <is>
          <t>Evet</t>
        </is>
      </c>
      <c r="J13" s="29" t="inlineStr">
        <is>
          <t>Lisans kanıtları/kaynaklar/81d7c9d22d9a063b2e04d6e574ddda37080bbee2e2f57a28c252053976b9bf45.html</t>
        </is>
      </c>
      <c r="K13" s="29" t="inlineStr">
        <is>
          <t>81d7c9d22d9a063b2e04d6e574ddda37080bbee2e2f57a28c252053976b9bf45</t>
        </is>
      </c>
    </row>
    <row r="14" ht="54" customHeight="1">
      <c r="A14" s="29" t="inlineStr">
        <is>
          <t>eindhoven:kaynak:007</t>
        </is>
      </c>
      <c r="B14" s="29" t="inlineStr">
        <is>
          <t>eindhoven</t>
        </is>
      </c>
      <c r="C14" s="29" t="inlineStr">
        <is>
          <t>Renting and buying | Holland Expat Center South</t>
        </is>
      </c>
      <c r="D14" s="29" t="inlineStr">
        <is>
          <t>Holland Expat Center South</t>
        </is>
      </c>
      <c r="E14" s="29" t="inlineStr">
        <is>
          <t>https://www.hollandexpatcenter.com/internationals-guide/housing/renting-and-buying</t>
        </is>
      </c>
      <c r="F14" s="49" t="n">
        <v>46317</v>
      </c>
      <c r="G14" s="29" t="inlineStr">
        <is>
          <t>eindhoven:planlama</t>
        </is>
      </c>
      <c r="H14" s="29" t="inlineStr">
        <is>
          <t>Konut arama ve kira planlaması, maliyet beklentisi</t>
        </is>
      </c>
      <c r="I14" s="29" t="inlineStr">
        <is>
          <t>Evet</t>
        </is>
      </c>
      <c r="J14" s="29" t="inlineStr">
        <is>
          <t>Lisans kanıtları/kaynaklar/3232ad1938112101b1956a04606c5ac8645eb2945d5f9c29a39072472ed10283.html</t>
        </is>
      </c>
      <c r="K14" s="29" t="inlineStr">
        <is>
          <t>3232ad1938112101b1956a04606c5ac8645eb2945d5f9c29a39072472ed10283</t>
        </is>
      </c>
    </row>
    <row r="15" ht="54" customHeight="1">
      <c r="A15" s="29" t="inlineStr">
        <is>
          <t>eindhoven:kaynak:008</t>
        </is>
      </c>
      <c r="B15" s="29" t="inlineStr">
        <is>
          <t>eindhoven</t>
        </is>
      </c>
      <c r="C15" s="29" t="inlineStr">
        <is>
          <t>The Expat Scheme (30% ruling) | Holland Expat Center South</t>
        </is>
      </c>
      <c r="D15" s="29" t="inlineStr">
        <is>
          <t>Holland Expat Center South</t>
        </is>
      </c>
      <c r="E15" s="29" t="inlineStr">
        <is>
          <t>https://www.hollandexpatcenter.com/internationals-guide/taxation-benefits-and-pension/the-expat-scheme-30-ruling</t>
        </is>
      </c>
      <c r="F15" s="49" t="n">
        <v>46317</v>
      </c>
      <c r="G15" s="29" t="inlineStr">
        <is>
          <t>eindhoven:planlama</t>
        </is>
      </c>
      <c r="H15" s="29" t="inlineStr">
        <is>
          <t>%30 vergi kolaylığı: maaş ve maliyet planı</t>
        </is>
      </c>
      <c r="I15" s="29" t="inlineStr">
        <is>
          <t>Evet</t>
        </is>
      </c>
      <c r="J15" s="29" t="inlineStr">
        <is>
          <t>Lisans kanıtları/kaynaklar/2479bb064371b86202379bbb98a29e3836a60cff231a753df204c0621726c385.html</t>
        </is>
      </c>
      <c r="K15" s="29" t="inlineStr">
        <is>
          <t>2479bb064371b86202379bbb98a29e3836a60cff231a753df204c0621726c385</t>
        </is>
      </c>
    </row>
    <row r="16" ht="54" customHeight="1">
      <c r="A16" s="29" t="inlineStr">
        <is>
          <t>eindhoven:kaynak:009</t>
        </is>
      </c>
      <c r="B16" s="29" t="inlineStr">
        <is>
          <t>eindhoven</t>
        </is>
      </c>
      <c r="C16" s="29" t="inlineStr">
        <is>
          <t>Can I apply for the Expat Scheme (30% facility)? | Tax Administration</t>
        </is>
      </c>
      <c r="D16" s="29" t="inlineStr">
        <is>
          <t>Belastingdienst</t>
        </is>
      </c>
      <c r="E16" s="29" t="inlineStr">
        <is>
          <t>https://www.belastingdienst.nl/wps/wcm/connect/en/individuals/content/coming-to-work-in-the-netherlands-30-percent-facility</t>
        </is>
      </c>
      <c r="F16" s="49" t="n">
        <v>46317</v>
      </c>
      <c r="G16" s="29" t="inlineStr">
        <is>
          <t>eindhoven:planlama</t>
        </is>
      </c>
      <c r="H16" s="29" t="inlineStr">
        <is>
          <t>%30 kolaylığı resmî koşulları</t>
        </is>
      </c>
      <c r="I16" s="29" t="inlineStr">
        <is>
          <t>Evet</t>
        </is>
      </c>
      <c r="J16" s="29" t="inlineStr">
        <is>
          <t>Lisans kanıtları/kaynaklar/95f6e1b99ae31fb62c12420c4c4605799ff1d0f049208539b90cf366b97c3b2e.html</t>
        </is>
      </c>
      <c r="K16" s="29" t="inlineStr">
        <is>
          <t>95f6e1b99ae31fb62c12420c4c4605799ff1d0f049208539b90cf366b97c3b2e</t>
        </is>
      </c>
    </row>
    <row r="17" ht="54" customHeight="1">
      <c r="A17" s="29" t="inlineStr">
        <is>
          <t>eindhoven:kaynak:010</t>
        </is>
      </c>
      <c r="B17" s="29" t="inlineStr">
        <is>
          <t>eindhoven</t>
        </is>
      </c>
      <c r="C17" s="29" t="inlineStr">
        <is>
          <t>Welkom in Eindhoven | Gemeente Eindhoven</t>
        </is>
      </c>
      <c r="D17" s="29" t="inlineStr">
        <is>
          <t>Gemeente Eindhoven</t>
        </is>
      </c>
      <c r="E17" s="29" t="inlineStr">
        <is>
          <t>https://www.eindhoven.nl/stad-en-wonen/verhuizen-concept/welkom-in-eindhoven</t>
        </is>
      </c>
      <c r="F17" s="49" t="n">
        <v>46317</v>
      </c>
      <c r="G17" s="29" t="inlineStr">
        <is>
          <t>eindhoven:planlama</t>
        </is>
      </c>
      <c r="H17" s="29" t="inlineStr">
        <is>
          <t>Eindhoven'a yeni gelenler için ilk hafta rehberi</t>
        </is>
      </c>
      <c r="I17" s="29" t="inlineStr">
        <is>
          <t>Evet</t>
        </is>
      </c>
      <c r="J17" s="29" t="inlineStr">
        <is>
          <t>Lisans kanıtları/kaynaklar/aa5d2bbac7e9bf560d432e65134abb3ec4fab1d50c41b493889e4d5fee8b2759.html</t>
        </is>
      </c>
      <c r="K17" s="29" t="inlineStr">
        <is>
          <t>aa5d2bbac7e9bf560d432e65134abb3ec4fab1d50c41b493889e4d5fee8b2759</t>
        </is>
      </c>
    </row>
    <row r="18" ht="54" customHeight="1">
      <c r="A18" s="29" t="inlineStr">
        <is>
          <t>eindhoven:kaynak:011</t>
        </is>
      </c>
      <c r="B18" s="29" t="inlineStr">
        <is>
          <t>eindhoven</t>
        </is>
      </c>
      <c r="C18" s="29" t="inlineStr">
        <is>
          <t>Holland Expat Center South | Gemeente Eindhoven</t>
        </is>
      </c>
      <c r="D18" s="29" t="inlineStr">
        <is>
          <t>Gemeente Eindhoven</t>
        </is>
      </c>
      <c r="E18" s="29" t="inlineStr">
        <is>
          <t>https://www.eindhoven.nl/stad-en-wonen/verhuizen/holland-expat-center-south</t>
        </is>
      </c>
      <c r="F18" s="49" t="n">
        <v>46317</v>
      </c>
      <c r="G18" s="29" t="inlineStr">
        <is>
          <t>eindhoven:planlama</t>
        </is>
      </c>
      <c r="H18" s="29" t="inlineStr">
        <is>
          <t>Belediyenin HEC South tanıtımı ve hizmetleri</t>
        </is>
      </c>
      <c r="I18" s="29" t="inlineStr">
        <is>
          <t>Evet</t>
        </is>
      </c>
      <c r="J18" s="29" t="inlineStr">
        <is>
          <t>Lisans kanıtları/kaynaklar/60a29e5686c2ab0201e818a081ce9e8692fbba96521f6915aca9e629acf6ae5a.html</t>
        </is>
      </c>
      <c r="K18" s="29" t="inlineStr">
        <is>
          <t>60a29e5686c2ab0201e818a081ce9e8692fbba96521f6915aca9e629acf6ae5a</t>
        </is>
      </c>
    </row>
    <row r="19" ht="54" customHeight="1">
      <c r="A19" s="29" t="inlineStr">
        <is>
          <t>eindhoven:kaynak:012</t>
        </is>
      </c>
      <c r="B19" s="29" t="inlineStr">
        <is>
          <t>eindhoven</t>
        </is>
      </c>
      <c r="C19" s="29" t="inlineStr">
        <is>
          <t>Translation and legalisation of documents | IND</t>
        </is>
      </c>
      <c r="D19" s="29" t="inlineStr">
        <is>
          <t>IND</t>
        </is>
      </c>
      <c r="E19" s="29" t="inlineStr">
        <is>
          <t>https://ind.nl/en/translation-and-legalisation-of-documents</t>
        </is>
      </c>
      <c r="F19" s="49" t="n">
        <v>46317</v>
      </c>
      <c r="G19" s="29" t="inlineStr">
        <is>
          <t>eindhoven:planlama</t>
        </is>
      </c>
      <c r="H19" s="29" t="inlineStr">
        <is>
          <t>Belge hazırlığı: çeviri, apostil/legalizasyon</t>
        </is>
      </c>
      <c r="I19" s="29" t="inlineStr">
        <is>
          <t>Evet</t>
        </is>
      </c>
      <c r="J19" s="29" t="inlineStr">
        <is>
          <t>Lisans kanıtları/kaynaklar/39b320677d6fd3f2a9240e210e0007531645fc5bf0b77f3c30fdad412244c776.html</t>
        </is>
      </c>
      <c r="K19" s="29" t="inlineStr">
        <is>
          <t>39b320677d6fd3f2a9240e210e0007531645fc5bf0b77f3c30fdad412244c776</t>
        </is>
      </c>
    </row>
    <row r="20" ht="54" customHeight="1">
      <c r="A20" s="29" t="inlineStr">
        <is>
          <t>eindhoven:kaynak:013</t>
        </is>
      </c>
      <c r="B20" s="29" t="inlineStr">
        <is>
          <t>eindhoven</t>
        </is>
      </c>
      <c r="C20" s="29" t="inlineStr">
        <is>
          <t>Legalisation of documents from Türkiye for use in the Netherlands | NetherlandsWorldwide</t>
        </is>
      </c>
      <c r="D20" s="29" t="inlineStr">
        <is>
          <t>Netherlands Worldwide (Dışişleri)</t>
        </is>
      </c>
      <c r="E20" s="29" t="inlineStr">
        <is>
          <t>https://www.netherlandsworldwide.nl/legalisation/foreign-documents/turkiye</t>
        </is>
      </c>
      <c r="F20" s="49" t="n">
        <v>46317</v>
      </c>
      <c r="G20" s="29" t="inlineStr">
        <is>
          <t>eindhoven:planlama</t>
        </is>
      </c>
      <c r="H20" s="29" t="inlineStr">
        <is>
          <t>Türkiye'den belgeler için apostil/legalizasyon (doğum belgesi vb.)</t>
        </is>
      </c>
      <c r="I20" s="29" t="inlineStr">
        <is>
          <t>Evet</t>
        </is>
      </c>
      <c r="J20" s="29" t="inlineStr">
        <is>
          <t>Lisans kanıtları/kaynaklar/ad19fcf0128d403e7a99db77387f23da7831741631d8369141014fb9f99210fc.html</t>
        </is>
      </c>
      <c r="K20" s="29" t="inlineStr">
        <is>
          <t>ad19fcf0128d403e7a99db77387f23da7831741631d8369141014fb9f99210fc</t>
        </is>
      </c>
    </row>
    <row r="21" ht="54" customHeight="1">
      <c r="A21" s="29" t="inlineStr">
        <is>
          <t>eindhoven:kaynak:014</t>
        </is>
      </c>
      <c r="B21" s="29" t="inlineStr">
        <is>
          <t>eindhoven</t>
        </is>
      </c>
      <c r="C21" s="29" t="inlineStr">
        <is>
          <t>Taking out compulsory health insurance | Government.nl</t>
        </is>
      </c>
      <c r="D21" s="29" t="inlineStr">
        <is>
          <t>Government of the Netherlands</t>
        </is>
      </c>
      <c r="E21" s="29" t="inlineStr">
        <is>
          <t>https://www.government.nl/themes/family-health-and-care/health-insurance/standard-health-insurance/taking-out-compulsory-health-insurance</t>
        </is>
      </c>
      <c r="F21" s="49" t="n">
        <v>46317</v>
      </c>
      <c r="G21" s="29" t="inlineStr">
        <is>
          <t>eindhoven:planlama</t>
        </is>
      </c>
      <c r="H21" s="29" t="inlineStr">
        <is>
          <t>Sağlık sigortası zorunluluğu ve süre</t>
        </is>
      </c>
      <c r="I21" s="29" t="inlineStr">
        <is>
          <t>Evet</t>
        </is>
      </c>
      <c r="J21" s="29" t="inlineStr">
        <is>
          <t>Lisans kanıtları/kaynaklar/935ea741ef2800b769780d6b00ff7c2e5db20b4556c668efe3e55aa978f93ffc.html</t>
        </is>
      </c>
      <c r="K21" s="29" t="inlineStr">
        <is>
          <t>935ea741ef2800b769780d6b00ff7c2e5db20b4556c668efe3e55aa978f93ffc</t>
        </is>
      </c>
    </row>
    <row r="22" ht="54" customHeight="1">
      <c r="A22" s="29" t="inlineStr">
        <is>
          <t>eindhoven:kaynak:015</t>
        </is>
      </c>
      <c r="B22" s="29" t="inlineStr">
        <is>
          <t>eindhoven</t>
        </is>
      </c>
      <c r="C22" s="29" t="inlineStr">
        <is>
          <t>I am coming to live or work in the Netherlands. When do I need to take out compulsory health insurance? | Government.nl</t>
        </is>
      </c>
      <c r="D22" s="29" t="inlineStr">
        <is>
          <t>Government of the Netherlands</t>
        </is>
      </c>
      <c r="E22" s="29" t="inlineStr">
        <is>
          <t>https://www.government.nl/documents/question-and-answer/health-insurance/when-do-i-need-to-take-out-health-insurance-if-i-come-to-live-in-the-netherlands</t>
        </is>
      </c>
      <c r="F22" s="49" t="n">
        <v>46317</v>
      </c>
      <c r="G22" s="29" t="inlineStr">
        <is>
          <t>eindhoven:planlama</t>
        </is>
      </c>
      <c r="H22" s="29" t="inlineStr">
        <is>
          <t>Taşınınca sigorta ne zaman yaptırılmalı (4 ay kuralı)</t>
        </is>
      </c>
      <c r="I22" s="29" t="inlineStr">
        <is>
          <t>Evet</t>
        </is>
      </c>
      <c r="J22" s="29" t="inlineStr">
        <is>
          <t>Lisans kanıtları/kaynaklar/22a78747f567c76b7dd567ad970044a8bf84e121854386c0c33133bae74b25ab.html</t>
        </is>
      </c>
      <c r="K22" s="29" t="inlineStr">
        <is>
          <t>22a78747f567c76b7dd567ad970044a8bf84e121854386c0c33133bae74b25ab</t>
        </is>
      </c>
    </row>
    <row r="23" ht="54" customHeight="1">
      <c r="A23" s="29" t="inlineStr">
        <is>
          <t>eindhoven:kaynak:016</t>
        </is>
      </c>
      <c r="B23" s="29" t="inlineStr">
        <is>
          <t>eindhoven</t>
        </is>
      </c>
      <c r="C23" s="29" t="inlineStr">
        <is>
          <t>Consumer prices; CPI 2025=100, index and rates of change | CBS</t>
        </is>
      </c>
      <c r="D23" s="29" t="inlineStr">
        <is>
          <t>CBS</t>
        </is>
      </c>
      <c r="E23" s="29" t="inlineStr">
        <is>
          <t>https://www.cbs.nl/en-gb/figures/detail/86141ENG</t>
        </is>
      </c>
      <c r="F23" s="49" t="n">
        <v>46317</v>
      </c>
      <c r="G23" s="29" t="inlineStr">
        <is>
          <t>eindhoven:planlama</t>
        </is>
      </c>
      <c r="H23" s="29" t="inlineStr">
        <is>
          <t>Yaşam maliyeti: resmî fiyat endeksi ve enflasyon</t>
        </is>
      </c>
      <c r="I23" s="29" t="inlineStr">
        <is>
          <t>Evet</t>
        </is>
      </c>
      <c r="J23" s="29" t="inlineStr">
        <is>
          <t>Lisans kanıtları/kaynaklar/d62bed86a3738246db8b19c528ddc5b951bc0403e8d139b57148960e91571133.html</t>
        </is>
      </c>
      <c r="K23" s="29" t="inlineStr">
        <is>
          <t>d62bed86a3738246db8b19c528ddc5b951bc0403e8d139b57148960e91571133</t>
        </is>
      </c>
    </row>
    <row r="24" ht="54" customHeight="1">
      <c r="A24" s="29" t="inlineStr">
        <is>
          <t>eindhoven:kaynak:017</t>
        </is>
      </c>
      <c r="B24" s="29" t="inlineStr">
        <is>
          <t>eindhoven</t>
        </is>
      </c>
      <c r="C24" s="29" t="inlineStr">
        <is>
          <t>Huishoudelijke uitgaven - Nibud</t>
        </is>
      </c>
      <c r="D24" s="29" t="inlineStr">
        <is>
          <t>Nibud</t>
        </is>
      </c>
      <c r="E24" s="29" t="inlineStr">
        <is>
          <t>https://www.nibud.nl/onderwerpen/uitgaven/huishoudelijke-uitgaven/</t>
        </is>
      </c>
      <c r="F24" s="49" t="n">
        <v>46317</v>
      </c>
      <c r="G24" s="29" t="inlineStr">
        <is>
          <t>eindhoven:planlama</t>
        </is>
      </c>
      <c r="H24" s="29" t="inlineStr">
        <is>
          <t>Hane giderleri: aylık yaşam maliyeti göstergeleri</t>
        </is>
      </c>
      <c r="I24" s="29" t="inlineStr">
        <is>
          <t>Evet</t>
        </is>
      </c>
      <c r="J24" s="29" t="inlineStr">
        <is>
          <t>Lisans kanıtları/kaynaklar/9b6ff71142642fbea0952f07a6d64338adc3d7177e1659c6f219502fddfd5fbb.html</t>
        </is>
      </c>
      <c r="K24" s="29" t="inlineStr">
        <is>
          <t>9b6ff71142642fbea0952f07a6d64338adc3d7177e1659c6f219502fddfd5fbb</t>
        </is>
      </c>
    </row>
    <row r="25" ht="54" customHeight="1">
      <c r="A25" s="29" t="inlineStr">
        <is>
          <t>eindhoven:kaynak:018</t>
        </is>
      </c>
      <c r="B25" s="29" t="inlineStr">
        <is>
          <t>eindhoven</t>
        </is>
      </c>
      <c r="C25" s="29" t="inlineStr">
        <is>
          <t>Referentiebegrotingen - Nibud</t>
        </is>
      </c>
      <c r="D25" s="29" t="inlineStr">
        <is>
          <t>Nibud</t>
        </is>
      </c>
      <c r="E25" s="29" t="inlineStr">
        <is>
          <t>https://www.nibud.nl/samenwerken/cijfers-en-rekentools/referentiebegrotingen/</t>
        </is>
      </c>
      <c r="F25" s="49" t="n">
        <v>46317</v>
      </c>
      <c r="G25" s="29" t="inlineStr">
        <is>
          <t>eindhoven:planlama</t>
        </is>
      </c>
      <c r="H25" s="29" t="inlineStr">
        <is>
          <t>Asgari ve ortalama referans bütçeler (yaşam maliyeti)</t>
        </is>
      </c>
      <c r="I25" s="29" t="inlineStr">
        <is>
          <t>Evet</t>
        </is>
      </c>
      <c r="J25" s="29" t="inlineStr">
        <is>
          <t>Lisans kanıtları/kaynaklar/3805e8ea8ac2b4fcbd7d5b8b0e310b5bf96af1124c899dff6f5d29d55efb3ede.html</t>
        </is>
      </c>
      <c r="K25" s="29" t="inlineStr">
        <is>
          <t>3805e8ea8ac2b4fcbd7d5b8b0e310b5bf96af1124c899dff6f5d29d55efb3ede</t>
        </is>
      </c>
    </row>
    <row r="26" ht="54" customHeight="1">
      <c r="A26" s="29" t="inlineStr">
        <is>
          <t>eindhoven:kaynak:019</t>
        </is>
      </c>
      <c r="B26" s="29" t="inlineStr">
        <is>
          <t>eindhoven</t>
        </is>
      </c>
      <c r="C26" s="29" t="inlineStr">
        <is>
          <t>Highly skilled migrant | IND</t>
        </is>
      </c>
      <c r="D26" s="29" t="inlineStr">
        <is>
          <t>IND</t>
        </is>
      </c>
      <c r="E26" s="29" t="inlineStr">
        <is>
          <t>https://ind.nl/en/residence-permits/work/highly-skilled-migrant</t>
        </is>
      </c>
      <c r="F26" s="49" t="n">
        <v>46317</v>
      </c>
      <c r="G26" s="29" t="inlineStr">
        <is>
          <t>eindhoven:oturum</t>
        </is>
      </c>
      <c r="H26" s="29" t="inlineStr">
        <is>
          <t>Kennismigrant izni koşulları ve başvuru</t>
        </is>
      </c>
      <c r="I26" s="29" t="inlineStr">
        <is>
          <t>Evet</t>
        </is>
      </c>
      <c r="J26" s="29" t="inlineStr">
        <is>
          <t>Lisans kanıtları/kaynaklar/44c4a6d7fbe72fb84fec05b2a77a03f72a412089cfc161511a866cabab881921.html</t>
        </is>
      </c>
      <c r="K26" s="29" t="inlineStr">
        <is>
          <t>44c4a6d7fbe72fb84fec05b2a77a03f72a412089cfc161511a866cabab881921</t>
        </is>
      </c>
    </row>
    <row r="27" ht="54" customHeight="1">
      <c r="A27" s="29" t="inlineStr">
        <is>
          <t>eindhoven:kaynak:020</t>
        </is>
      </c>
      <c r="B27" s="29" t="inlineStr">
        <is>
          <t>eindhoven</t>
        </is>
      </c>
      <c r="C27" s="29" t="inlineStr">
        <is>
          <t>Provisional residence permit (MVV) | IND</t>
        </is>
      </c>
      <c r="D27" s="29" t="inlineStr">
        <is>
          <t>IND</t>
        </is>
      </c>
      <c r="E27" s="29" t="inlineStr">
        <is>
          <t>https://ind.nl/en/provisional-residence-permit-mvv</t>
        </is>
      </c>
      <c r="F27" s="49" t="n">
        <v>46317</v>
      </c>
      <c r="G27" s="29" t="inlineStr">
        <is>
          <t>eindhoven:oturum</t>
        </is>
      </c>
      <c r="H27" s="29" t="inlineStr">
        <is>
          <t>MVV nedir, kimlere gerekli</t>
        </is>
      </c>
      <c r="I27" s="29" t="inlineStr">
        <is>
          <t>Evet</t>
        </is>
      </c>
      <c r="J27" s="29" t="inlineStr">
        <is>
          <t>Lisans kanıtları/kaynaklar/4bc8a3859c1036993b19a4da5bfd4bb8807db54a3a23960d2a7fca70d4a5f6be.html</t>
        </is>
      </c>
      <c r="K27" s="29" t="inlineStr">
        <is>
          <t>4bc8a3859c1036993b19a4da5bfd4bb8807db54a3a23960d2a7fca70d4a5f6be</t>
        </is>
      </c>
    </row>
    <row r="28" ht="54" customHeight="1">
      <c r="A28" s="29" t="inlineStr">
        <is>
          <t>eindhoven:kaynak:021</t>
        </is>
      </c>
      <c r="B28" s="29" t="inlineStr">
        <is>
          <t>eindhoven</t>
        </is>
      </c>
      <c r="C28" s="29" t="inlineStr">
        <is>
          <t>Apply for MVV and residence permit from abroad | IND</t>
        </is>
      </c>
      <c r="D28" s="29" t="inlineStr">
        <is>
          <t>IND</t>
        </is>
      </c>
      <c r="E28" s="29" t="inlineStr">
        <is>
          <t>https://ind.nl/en/apply-for-mvv-and-residence-permit-from-abroad</t>
        </is>
      </c>
      <c r="F28" s="49" t="n">
        <v>46317</v>
      </c>
      <c r="G28" s="29" t="inlineStr">
        <is>
          <t>eindhoven:oturum</t>
        </is>
      </c>
      <c r="H28" s="29" t="inlineStr">
        <is>
          <t>TEV prosedürü: yurt dışından MVV ve oturum başvurusu</t>
        </is>
      </c>
      <c r="I28" s="29" t="inlineStr">
        <is>
          <t>Evet</t>
        </is>
      </c>
      <c r="J28" s="29" t="inlineStr">
        <is>
          <t>Lisans kanıtları/kaynaklar/e52048d1a60537ed09b74af1df267c506552f929da978e3df7ffbf1c3177db17.html</t>
        </is>
      </c>
      <c r="K28" s="29" t="inlineStr">
        <is>
          <t>e52048d1a60537ed09b74af1df267c506552f929da978e3df7ffbf1c3177db17</t>
        </is>
      </c>
    </row>
    <row r="29" ht="54" customHeight="1">
      <c r="A29" s="29" t="inlineStr">
        <is>
          <t>eindhoven:kaynak:022</t>
        </is>
      </c>
      <c r="B29" s="29" t="inlineStr">
        <is>
          <t>eindhoven</t>
        </is>
      </c>
      <c r="C29" s="29" t="inlineStr">
        <is>
          <t>MVV exemptions | IND</t>
        </is>
      </c>
      <c r="D29" s="29" t="inlineStr">
        <is>
          <t>IND</t>
        </is>
      </c>
      <c r="E29" s="29" t="inlineStr">
        <is>
          <t>https://ind.nl/en/mvv-exemptions</t>
        </is>
      </c>
      <c r="F29" s="49" t="n">
        <v>46317</v>
      </c>
      <c r="G29" s="29" t="inlineStr">
        <is>
          <t>eindhoven:oturum</t>
        </is>
      </c>
      <c r="H29" s="29" t="inlineStr">
        <is>
          <t>MVV muafiyetleri (hangi uyruklar gerekmez)</t>
        </is>
      </c>
      <c r="I29" s="29" t="inlineStr">
        <is>
          <t>Evet</t>
        </is>
      </c>
      <c r="J29" s="29" t="inlineStr">
        <is>
          <t>Lisans kanıtları/kaynaklar/974670aafd9fb200b23bb6ba03bde97697ec4ac81e5861f881295c1ac22f7ce3.html</t>
        </is>
      </c>
      <c r="K29" s="29" t="inlineStr">
        <is>
          <t>974670aafd9fb200b23bb6ba03bde97697ec4ac81e5861f881295c1ac22f7ce3</t>
        </is>
      </c>
    </row>
    <row r="30" ht="54" customHeight="1">
      <c r="A30" s="29" t="inlineStr">
        <is>
          <t>eindhoven:kaynak:023</t>
        </is>
      </c>
      <c r="B30" s="29" t="inlineStr">
        <is>
          <t>eindhoven</t>
        </is>
      </c>
      <c r="C30" s="29" t="inlineStr">
        <is>
          <t>Turkish citizens and living in the Netherlands | IND</t>
        </is>
      </c>
      <c r="D30" s="29" t="inlineStr">
        <is>
          <t>IND</t>
        </is>
      </c>
      <c r="E30" s="29" t="inlineStr">
        <is>
          <t>https://ind.nl/en/turkish-citizens-and-living-in-the-netherlands</t>
        </is>
      </c>
      <c r="F30" s="49" t="n">
        <v>46317</v>
      </c>
      <c r="G30" s="29" t="inlineStr">
        <is>
          <t>eindhoven:oturum</t>
        </is>
      </c>
      <c r="H30" s="29" t="inlineStr">
        <is>
          <t>AB-Türkiye Ortaklık Anlaşması: Türk vatandaşlarına özel kurallar</t>
        </is>
      </c>
      <c r="I30" s="29" t="inlineStr">
        <is>
          <t>Evet</t>
        </is>
      </c>
      <c r="J30" s="29" t="inlineStr">
        <is>
          <t>Lisans kanıtları/kaynaklar/eece4e6a7d48cc3bd442aea04435526118a7f41834324ffca4ca8304fe8164a6.html</t>
        </is>
      </c>
      <c r="K30" s="29" t="inlineStr">
        <is>
          <t>eece4e6a7d48cc3bd442aea04435526118a7f41834324ffca4ca8304fe8164a6</t>
        </is>
      </c>
    </row>
    <row r="31" ht="54" customHeight="1">
      <c r="A31" s="29" t="inlineStr">
        <is>
          <t>eindhoven:kaynak:024</t>
        </is>
      </c>
      <c r="B31" s="29" t="inlineStr">
        <is>
          <t>eindhoven</t>
        </is>
      </c>
      <c r="C31" s="29" t="inlineStr">
        <is>
          <t>Turkish people need an integration diploma for permanent residence | IND</t>
        </is>
      </c>
      <c r="D31" s="29" t="inlineStr">
        <is>
          <t>IND</t>
        </is>
      </c>
      <c r="E31" s="29" t="inlineStr">
        <is>
          <t>https://ind.nl/en/news/turkish-people-need-an-integration-diploma-for-permanent-residence</t>
        </is>
      </c>
      <c r="F31" s="49" t="n">
        <v>46317</v>
      </c>
      <c r="G31" s="29" t="inlineStr">
        <is>
          <t>eindhoven:oturum</t>
        </is>
      </c>
      <c r="H31" s="29" t="inlineStr">
        <is>
          <t>Türk vatandaşları için kalıcı oturumda inburgering şartı</t>
        </is>
      </c>
      <c r="I31" s="29" t="inlineStr">
        <is>
          <t>Evet</t>
        </is>
      </c>
      <c r="J31" s="29" t="inlineStr">
        <is>
          <t>Lisans kanıtları/kaynaklar/7d26e607b2671d3ee857a991e00dcb0450e4f0f4a359e6a63346209d1d9e8698.html</t>
        </is>
      </c>
      <c r="K31" s="29" t="inlineStr">
        <is>
          <t>7d26e607b2671d3ee857a991e00dcb0450e4f0f4a359e6a63346209d1d9e8698</t>
        </is>
      </c>
    </row>
    <row r="32" ht="54" customHeight="1">
      <c r="A32" s="29" t="inlineStr">
        <is>
          <t>eindhoven:kaynak:025</t>
        </is>
      </c>
      <c r="B32" s="29" t="inlineStr">
        <is>
          <t>eindhoven</t>
        </is>
      </c>
      <c r="C32" s="29" t="inlineStr">
        <is>
          <t>Staying in the Netherlands as an EU, EEA or Swiss citizen | IND</t>
        </is>
      </c>
      <c r="D32" s="29" t="inlineStr">
        <is>
          <t>IND</t>
        </is>
      </c>
      <c r="E32" s="29" t="inlineStr">
        <is>
          <t>https://ind.nl/en/residence-permits/eu-eea-or-swiss-citizens/staying-in-the-netherlands-as-an-eu-eea-or-swiss-citizen</t>
        </is>
      </c>
      <c r="F32" s="49" t="n">
        <v>46317</v>
      </c>
      <c r="G32" s="29" t="inlineStr">
        <is>
          <t>eindhoven:oturum</t>
        </is>
      </c>
      <c r="H32" s="29" t="inlineStr">
        <is>
          <t>AB vatandaşı veya AB'li eş için kalış hakkı</t>
        </is>
      </c>
      <c r="I32" s="29" t="inlineStr">
        <is>
          <t>Evet</t>
        </is>
      </c>
      <c r="J32" s="29" t="inlineStr">
        <is>
          <t>Lisans kanıtları/kaynaklar/a1c898c8cadb8fad41809bdcbfff05ed2a0aaf345c5751cec71f3e18f047d5c1.html</t>
        </is>
      </c>
      <c r="K32" s="29" t="inlineStr">
        <is>
          <t>a1c898c8cadb8fad41809bdcbfff05ed2a0aaf345c5751cec71f3e18f047d5c1</t>
        </is>
      </c>
    </row>
    <row r="33" ht="54" customHeight="1">
      <c r="A33" s="29" t="inlineStr">
        <is>
          <t>eindhoven:kaynak:026</t>
        </is>
      </c>
      <c r="B33" s="29" t="inlineStr">
        <is>
          <t>eindhoven</t>
        </is>
      </c>
      <c r="C33" s="29" t="inlineStr">
        <is>
          <t>Student residence permit for university or higher professional education | IND</t>
        </is>
      </c>
      <c r="D33" s="29" t="inlineStr">
        <is>
          <t>IND</t>
        </is>
      </c>
      <c r="E33" s="29" t="inlineStr">
        <is>
          <t>https://ind.nl/en/residence-permits/study/student-residence-permit-for-university-or-higher-professional-education</t>
        </is>
      </c>
      <c r="F33" s="49" t="n">
        <v>46317</v>
      </c>
      <c r="G33" s="29" t="inlineStr">
        <is>
          <t>eindhoven:oturum</t>
        </is>
      </c>
      <c r="H33" s="29" t="inlineStr">
        <is>
          <t>Öğrenci oturum izni</t>
        </is>
      </c>
      <c r="I33" s="29" t="inlineStr">
        <is>
          <t>Evet</t>
        </is>
      </c>
      <c r="J33" s="29" t="inlineStr">
        <is>
          <t>Lisans kanıtları/kaynaklar/ba4198676282ac17b2d616f645747f36d610e2f6463cfddbf08c02506dab980d.html</t>
        </is>
      </c>
      <c r="K33" s="29" t="inlineStr">
        <is>
          <t>ba4198676282ac17b2d616f645747f36d610e2f6463cfddbf08c02506dab980d</t>
        </is>
      </c>
    </row>
    <row r="34" ht="54" customHeight="1">
      <c r="A34" s="29" t="inlineStr">
        <is>
          <t>eindhoven:kaynak:027</t>
        </is>
      </c>
      <c r="B34" s="29" t="inlineStr">
        <is>
          <t>eindhoven</t>
        </is>
      </c>
      <c r="C34" s="29" t="inlineStr">
        <is>
          <t>Residence permit for orientation year | IND</t>
        </is>
      </c>
      <c r="D34" s="29" t="inlineStr">
        <is>
          <t>IND</t>
        </is>
      </c>
      <c r="E34" s="29" t="inlineStr">
        <is>
          <t>https://ind.nl/en/residence-permits/work/residence-permit-for-orientation-year</t>
        </is>
      </c>
      <c r="F34" s="49" t="n">
        <v>46317</v>
      </c>
      <c r="G34" s="29" t="inlineStr">
        <is>
          <t>eindhoven:oturum</t>
        </is>
      </c>
      <c r="H34" s="29" t="inlineStr">
        <is>
          <t>Arama yılı (zoekjaar) izni</t>
        </is>
      </c>
      <c r="I34" s="29" t="inlineStr">
        <is>
          <t>Evet</t>
        </is>
      </c>
      <c r="J34" s="29" t="inlineStr">
        <is>
          <t>Lisans kanıtları/kaynaklar/248a100dad58d7f836a2454c825f683aab7356399e54a2d97b1e54818e45fd33.html</t>
        </is>
      </c>
      <c r="K34" s="29" t="inlineStr">
        <is>
          <t>248a100dad58d7f836a2454c825f683aab7356399e54a2d97b1e54818e45fd33</t>
        </is>
      </c>
    </row>
    <row r="35" ht="54" customHeight="1">
      <c r="A35" s="29" t="inlineStr">
        <is>
          <t>eindhoven:kaynak:028</t>
        </is>
      </c>
      <c r="B35" s="29" t="inlineStr">
        <is>
          <t>eindhoven</t>
        </is>
      </c>
      <c r="C35" s="29" t="inlineStr">
        <is>
          <t>Residence permit for partner | IND</t>
        </is>
      </c>
      <c r="D35" s="29" t="inlineStr">
        <is>
          <t>IND</t>
        </is>
      </c>
      <c r="E35" s="29" t="inlineStr">
        <is>
          <t>https://ind.nl/en/residence-permits/family-and-partner/residence-permit-for-partner</t>
        </is>
      </c>
      <c r="F35" s="49" t="n">
        <v>46317</v>
      </c>
      <c r="G35" s="29" t="inlineStr">
        <is>
          <t>eindhoven:oturum</t>
        </is>
      </c>
      <c r="H35" s="29" t="inlineStr">
        <is>
          <t>Aile birleşimi: partner oturum izni</t>
        </is>
      </c>
      <c r="I35" s="29" t="inlineStr">
        <is>
          <t>Evet</t>
        </is>
      </c>
      <c r="J35" s="29" t="inlineStr">
        <is>
          <t>Lisans kanıtları/kaynaklar/b84c7131e6cf5eb3181490ea0e265e0e589dfa559f27d2e33f66bc41a9d35517.html</t>
        </is>
      </c>
      <c r="K35" s="29" t="inlineStr">
        <is>
          <t>b84c7131e6cf5eb3181490ea0e265e0e589dfa559f27d2e33f66bc41a9d35517</t>
        </is>
      </c>
    </row>
    <row r="36" ht="54" customHeight="1">
      <c r="A36" s="29" t="inlineStr">
        <is>
          <t>eindhoven:kaynak:029</t>
        </is>
      </c>
      <c r="B36" s="29" t="inlineStr">
        <is>
          <t>eindhoven</t>
        </is>
      </c>
      <c r="C36" s="29" t="inlineStr">
        <is>
          <t>Verification against EU law for Union citizen family members | IND</t>
        </is>
      </c>
      <c r="D36" s="29" t="inlineStr">
        <is>
          <t>IND</t>
        </is>
      </c>
      <c r="E36" s="29" t="inlineStr">
        <is>
          <t>https://ind.nl/en/residence-permits/family-and-partner/verification-against-eu-law-for-union-citizen-family-members</t>
        </is>
      </c>
      <c r="F36" s="49" t="n">
        <v>46317</v>
      </c>
      <c r="G36" s="29" t="inlineStr">
        <is>
          <t>eindhoven:oturum</t>
        </is>
      </c>
      <c r="H36" s="29" t="inlineStr">
        <is>
          <t>AB vatandaşı aile üyesi doğrulaması</t>
        </is>
      </c>
      <c r="I36" s="29" t="inlineStr">
        <is>
          <t>Evet</t>
        </is>
      </c>
      <c r="J36" s="29" t="inlineStr">
        <is>
          <t>Lisans kanıtları/kaynaklar/d2e05269e5c4e789135bfcd8d75700ac78c0bff62e2bedb93a4904e7e7eea9b8.html</t>
        </is>
      </c>
      <c r="K36" s="29" t="inlineStr">
        <is>
          <t>d2e05269e5c4e789135bfcd8d75700ac78c0bff62e2bedb93a4904e7e7eea9b8</t>
        </is>
      </c>
    </row>
    <row r="37" ht="54" customHeight="1">
      <c r="A37" s="29" t="inlineStr">
        <is>
          <t>eindhoven:kaynak:030</t>
        </is>
      </c>
      <c r="B37" s="29" t="inlineStr">
        <is>
          <t>eindhoven</t>
        </is>
      </c>
      <c r="C37" s="29" t="inlineStr">
        <is>
          <t>Residence permit self-employed person | IND</t>
        </is>
      </c>
      <c r="D37" s="29" t="inlineStr">
        <is>
          <t>IND</t>
        </is>
      </c>
      <c r="E37" s="29" t="inlineStr">
        <is>
          <t>https://ind.nl/en/residence-permits/work/residence-permit-self-employed-person</t>
        </is>
      </c>
      <c r="F37" s="49" t="n">
        <v>46317</v>
      </c>
      <c r="G37" s="29" t="inlineStr">
        <is>
          <t>eindhoven:oturum</t>
        </is>
      </c>
      <c r="H37" s="29" t="inlineStr">
        <is>
          <t>Serbest meslek izni (Türk vatandaşları için Ortaklık Anlaşması dahil)</t>
        </is>
      </c>
      <c r="I37" s="29" t="inlineStr">
        <is>
          <t>Evet</t>
        </is>
      </c>
      <c r="J37" s="29" t="inlineStr">
        <is>
          <t>Lisans kanıtları/kaynaklar/39f95727d5cf7f2be56660ab7ea93276ef779e7170def5d0a0ac0d7fc6711497.html</t>
        </is>
      </c>
      <c r="K37" s="29" t="inlineStr">
        <is>
          <t>39f95727d5cf7f2be56660ab7ea93276ef779e7170def5d0a0ac0d7fc6711497</t>
        </is>
      </c>
    </row>
    <row r="38" ht="54" customHeight="1">
      <c r="A38" s="29" t="inlineStr">
        <is>
          <t>eindhoven:kaynak:031</t>
        </is>
      </c>
      <c r="B38" s="29" t="inlineStr">
        <is>
          <t>eindhoven</t>
        </is>
      </c>
      <c r="C38" s="29" t="inlineStr">
        <is>
          <t>Single Permit: GVVA | IND</t>
        </is>
      </c>
      <c r="D38" s="29" t="inlineStr">
        <is>
          <t>IND</t>
        </is>
      </c>
      <c r="E38" s="29" t="inlineStr">
        <is>
          <t>https://ind.nl/en/residence-permits/work/single-permit-gvva</t>
        </is>
      </c>
      <c r="F38" s="49" t="n">
        <v>46317</v>
      </c>
      <c r="G38" s="29" t="inlineStr">
        <is>
          <t>eindhoven:oturum</t>
        </is>
      </c>
      <c r="H38" s="29" t="inlineStr">
        <is>
          <t>Tek izin: birleşik oturum ve çalışma izni</t>
        </is>
      </c>
      <c r="I38" s="29" t="inlineStr">
        <is>
          <t>Evet</t>
        </is>
      </c>
      <c r="J38" s="29" t="inlineStr">
        <is>
          <t>Lisans kanıtları/kaynaklar/62b4aede7613f5f0329ed8acc1f3e3fbb4dd34d14c57396fa77004b982a33c0c.html</t>
        </is>
      </c>
      <c r="K38" s="29" t="inlineStr">
        <is>
          <t>62b4aede7613f5f0329ed8acc1f3e3fbb4dd34d14c57396fa77004b982a33c0c</t>
        </is>
      </c>
    </row>
    <row r="39" ht="54" customHeight="1">
      <c r="A39" s="29" t="inlineStr">
        <is>
          <t>eindhoven:kaynak:032</t>
        </is>
      </c>
      <c r="B39" s="29" t="inlineStr">
        <is>
          <t>eindhoven</t>
        </is>
      </c>
      <c r="C39" s="29" t="inlineStr">
        <is>
          <t>Tewerkstellingsvergunning aanvragen | UWV</t>
        </is>
      </c>
      <c r="D39" s="29" t="inlineStr">
        <is>
          <t>UWV</t>
        </is>
      </c>
      <c r="E39" s="29" t="inlineStr">
        <is>
          <t>https://www.uwv.nl/nl/werkvergunning/twv-aanvragen</t>
        </is>
      </c>
      <c r="F39" s="49" t="n">
        <v>46317</v>
      </c>
      <c r="G39" s="29" t="inlineStr">
        <is>
          <t>eindhoven:oturum</t>
        </is>
      </c>
      <c r="H39" s="29" t="inlineStr">
        <is>
          <t>TWV çalışma izni başvurusu</t>
        </is>
      </c>
      <c r="I39" s="29" t="inlineStr">
        <is>
          <t>Evet</t>
        </is>
      </c>
      <c r="J39" s="29" t="inlineStr">
        <is>
          <t>Lisans kanıtları/kaynaklar/21c4b1a5db68add694456b3b398b7b8a9f65d0d04c294fb42cf3133864bcc3da.html</t>
        </is>
      </c>
      <c r="K39" s="29" t="inlineStr">
        <is>
          <t>21c4b1a5db68add694456b3b398b7b8a9f65d0d04c294fb42cf3133864bcc3da</t>
        </is>
      </c>
    </row>
    <row r="40" ht="54" customHeight="1">
      <c r="A40" s="29" t="inlineStr">
        <is>
          <t>eindhoven:kaynak:033</t>
        </is>
      </c>
      <c r="B40" s="29" t="inlineStr">
        <is>
          <t>eindhoven</t>
        </is>
      </c>
      <c r="C40" s="29" t="inlineStr">
        <is>
          <t>What permits do foreign workers need? | Government.nl</t>
        </is>
      </c>
      <c r="D40" s="29" t="inlineStr">
        <is>
          <t>Government of the Netherlands</t>
        </is>
      </c>
      <c r="E40" s="29" t="inlineStr">
        <is>
          <t>https://www.government.nl/documents/question-and-answer/foreign-citizens-working-in-the-netherlands/what-permits-do-foreign-workers-need</t>
        </is>
      </c>
      <c r="F40" s="49" t="n">
        <v>46317</v>
      </c>
      <c r="G40" s="29" t="inlineStr">
        <is>
          <t>eindhoven:oturum</t>
        </is>
      </c>
      <c r="H40" s="29" t="inlineStr">
        <is>
          <t>Yabancı çalışanlar için TWV ve GVVA farkı</t>
        </is>
      </c>
      <c r="I40" s="29" t="inlineStr">
        <is>
          <t>Evet</t>
        </is>
      </c>
      <c r="J40" s="29" t="inlineStr">
        <is>
          <t>Lisans kanıtları/kaynaklar/7a1ce71315e3468712d4dc580ff3eca5c9c0ad0c8a2acb4192778dc97097af75.html</t>
        </is>
      </c>
      <c r="K40" s="29" t="inlineStr">
        <is>
          <t>7a1ce71315e3468712d4dc580ff3eca5c9c0ad0c8a2acb4192778dc97097af75</t>
        </is>
      </c>
    </row>
    <row r="41" ht="54" customHeight="1">
      <c r="A41" s="29" t="inlineStr">
        <is>
          <t>eindhoven:kaynak:034</t>
        </is>
      </c>
      <c r="B41" s="29" t="inlineStr">
        <is>
          <t>eindhoven</t>
        </is>
      </c>
      <c r="C41" s="29" t="inlineStr">
        <is>
          <t>Applying for a waiver for the civic integration obligation | Government.nl</t>
        </is>
      </c>
      <c r="D41" s="29" t="inlineStr">
        <is>
          <t>Government of the Netherlands</t>
        </is>
      </c>
      <c r="E41" s="29" t="inlineStr">
        <is>
          <t>https://www.government.nl/themes/migration-and-travel/integration-in-the-netherlands/civic-integration-in-the-netherlands/applying-for-an-exemption-from-the-integration-obligation</t>
        </is>
      </c>
      <c r="F41" s="49" t="n">
        <v>46317</v>
      </c>
      <c r="G41" s="29" t="inlineStr">
        <is>
          <t>eindhoven:oturum</t>
        </is>
      </c>
      <c r="H41" s="29" t="inlineStr">
        <is>
          <t>İnburgering muafiyeti başvurusu</t>
        </is>
      </c>
      <c r="I41" s="29" t="inlineStr">
        <is>
          <t>Evet</t>
        </is>
      </c>
      <c r="J41" s="29" t="inlineStr">
        <is>
          <t>Lisans kanıtları/kaynaklar/8293fb4f57411abdcda1927d48c9dc959e079d8a57a70066f6bd2d3fcdc416da.html</t>
        </is>
      </c>
      <c r="K41" s="29" t="inlineStr">
        <is>
          <t>8293fb4f57411abdcda1927d48c9dc959e079d8a57a70066f6bd2d3fcdc416da</t>
        </is>
      </c>
    </row>
    <row r="42" ht="54" customHeight="1">
      <c r="A42" s="29" t="inlineStr">
        <is>
          <t>eindhoven:kaynak:035</t>
        </is>
      </c>
      <c r="B42" s="29" t="inlineStr">
        <is>
          <t>eindhoven</t>
        </is>
      </c>
      <c r="C42" s="29" t="inlineStr">
        <is>
          <t>Civic integration for more secure residence permit | IND</t>
        </is>
      </c>
      <c r="D42" s="29" t="inlineStr">
        <is>
          <t>IND</t>
        </is>
      </c>
      <c r="E42" s="29" t="inlineStr">
        <is>
          <t>https://ind.nl/en/living-in-the-netherlands-with-a-residence-permit/civic-integration-for-more-secure-residence-permit</t>
        </is>
      </c>
      <c r="F42" s="49" t="n">
        <v>46317</v>
      </c>
      <c r="G42" s="29" t="inlineStr">
        <is>
          <t>eindhoven:oturum</t>
        </is>
      </c>
      <c r="H42" s="29" t="inlineStr">
        <is>
          <t>Güçlü oturum için inburgering şartı ve muafiyetler</t>
        </is>
      </c>
      <c r="I42" s="29" t="inlineStr">
        <is>
          <t>Evet</t>
        </is>
      </c>
      <c r="J42" s="29" t="inlineStr">
        <is>
          <t>Lisans kanıtları/kaynaklar/35b1464a58aad86167e881ca018fa9be5b4df834f0f8fcb7e5ef66a081cbf292.html</t>
        </is>
      </c>
      <c r="K42" s="29" t="inlineStr">
        <is>
          <t>35b1464a58aad86167e881ca018fa9be5b4df834f0f8fcb7e5ef66a081cbf292</t>
        </is>
      </c>
    </row>
    <row r="43" ht="54" customHeight="1">
      <c r="A43" s="29" t="inlineStr">
        <is>
          <t>eindhoven:kaynak:036</t>
        </is>
      </c>
      <c r="B43" s="29" t="inlineStr">
        <is>
          <t>eindhoven</t>
        </is>
      </c>
      <c r="C43" s="29" t="inlineStr">
        <is>
          <t>Permanent residence permit | IND</t>
        </is>
      </c>
      <c r="D43" s="29" t="inlineStr">
        <is>
          <t>IND</t>
        </is>
      </c>
      <c r="E43" s="29" t="inlineStr">
        <is>
          <t>https://ind.nl/en/replace-extend-renew-and-change/permanent-residency/permanent-residence-permit</t>
        </is>
      </c>
      <c r="F43" s="49" t="n">
        <v>46317</v>
      </c>
      <c r="G43" s="29" t="inlineStr">
        <is>
          <t>eindhoven:oturum</t>
        </is>
      </c>
      <c r="H43" s="29" t="inlineStr">
        <is>
          <t>Kalıcı oturum izni</t>
        </is>
      </c>
      <c r="I43" s="29" t="inlineStr">
        <is>
          <t>Evet</t>
        </is>
      </c>
      <c r="J43" s="29" t="inlineStr">
        <is>
          <t>Lisans kanıtları/kaynaklar/53ef7a45c98c3f29e21ac070bf1091fc75d3c61824f7bb074aa57d75a482efac.html</t>
        </is>
      </c>
      <c r="K43" s="29" t="inlineStr">
        <is>
          <t>53ef7a45c98c3f29e21ac070bf1091fc75d3c61824f7bb074aa57d75a482efac</t>
        </is>
      </c>
    </row>
    <row r="44" ht="54" customHeight="1">
      <c r="A44" s="29" t="inlineStr">
        <is>
          <t>eindhoven:kaynak:037</t>
        </is>
      </c>
      <c r="B44" s="29" t="inlineStr">
        <is>
          <t>eindhoven</t>
        </is>
      </c>
      <c r="C44" s="29" t="inlineStr">
        <is>
          <t>Verblijfsvergunning | Gemeente Eindhoven</t>
        </is>
      </c>
      <c r="D44" s="29" t="inlineStr">
        <is>
          <t>Gemeente Eindhoven</t>
        </is>
      </c>
      <c r="E44" s="29" t="inlineStr">
        <is>
          <t>https://www.eindhoven.nl/stad-en-wonen/uittreksels-en-documenten/verblijfsvergunning</t>
        </is>
      </c>
      <c r="F44" s="49" t="n">
        <v>46317</v>
      </c>
      <c r="G44" s="29" t="inlineStr">
        <is>
          <t>eindhoven:oturum</t>
        </is>
      </c>
      <c r="H44" s="29" t="inlineStr">
        <is>
          <t>Eindhoven'da oturum belgesi ile ilgili belediye işlemleri</t>
        </is>
      </c>
      <c r="I44" s="29" t="inlineStr">
        <is>
          <t>Evet</t>
        </is>
      </c>
      <c r="J44" s="29" t="inlineStr">
        <is>
          <t>Lisans kanıtları/kaynaklar/495d430e8b61674007f4f347323ca0b6aac7ff5d3c239851bf3d45fb307b8d86.html</t>
        </is>
      </c>
      <c r="K44" s="29" t="inlineStr">
        <is>
          <t>495d430e8b61674007f4f347323ca0b6aac7ff5d3c239851bf3d45fb307b8d86</t>
        </is>
      </c>
    </row>
    <row r="45" ht="54" customHeight="1">
      <c r="A45" s="29" t="inlineStr">
        <is>
          <t>eindhoven:kaynak:038</t>
        </is>
      </c>
      <c r="B45" s="29" t="inlineStr">
        <is>
          <t>eindhoven</t>
        </is>
      </c>
      <c r="C45" s="29" t="inlineStr">
        <is>
          <t>Verhuizen vanuit het buitenland | Gemeente Eindhoven</t>
        </is>
      </c>
      <c r="D45" s="29" t="inlineStr">
        <is>
          <t>Gemeente Eindhoven</t>
        </is>
      </c>
      <c r="E45" s="29" t="inlineStr">
        <is>
          <t>https://www.eindhoven.nl/stad-en-wonen/verhuizen-concept/verhuizen-vanuit-het-buitenland</t>
        </is>
      </c>
      <c r="F45" s="49" t="n">
        <v>46317</v>
      </c>
      <c r="G45" s="29" t="inlineStr">
        <is>
          <t>eindhoven:resmi</t>
        </is>
      </c>
      <c r="H45" s="29" t="inlineStr">
        <is>
          <t>Yurt dışından Eindhoven'a kayıt (inschrijving) süreci</t>
        </is>
      </c>
      <c r="I45" s="29" t="inlineStr">
        <is>
          <t>Evet</t>
        </is>
      </c>
      <c r="J45" s="29" t="inlineStr">
        <is>
          <t>Lisans kanıtları/kaynaklar/26270cd573ab821c2cd46d99a075db74a095f9c7d4d31379c6fab7920c9574b1.html</t>
        </is>
      </c>
      <c r="K45" s="29" t="inlineStr">
        <is>
          <t>26270cd573ab821c2cd46d99a075db74a095f9c7d4d31379c6fab7920c9574b1</t>
        </is>
      </c>
    </row>
    <row r="46" ht="54" customHeight="1">
      <c r="A46" s="29" t="inlineStr">
        <is>
          <t>eindhoven:kaynak:039</t>
        </is>
      </c>
      <c r="B46" s="29" t="inlineStr">
        <is>
          <t>eindhoven</t>
        </is>
      </c>
      <c r="C46" s="29" t="inlineStr">
        <is>
          <t>Verhuizen binnen of naar Eindhoven | Gemeente Eindhoven</t>
        </is>
      </c>
      <c r="D46" s="29" t="inlineStr">
        <is>
          <t>Gemeente Eindhoven</t>
        </is>
      </c>
      <c r="E46" s="29" t="inlineStr">
        <is>
          <t>https://www.eindhoven.nl/stad-en-wonen/verhuizen-concept/verhuizen-binnen-of-naar-eindhoven</t>
        </is>
      </c>
      <c r="F46" s="49" t="n">
        <v>46317</v>
      </c>
      <c r="G46" s="29" t="inlineStr">
        <is>
          <t>eindhoven:resmi</t>
        </is>
      </c>
      <c r="H46" s="29" t="inlineStr">
        <is>
          <t>Adres değişikliği bildirimi</t>
        </is>
      </c>
      <c r="I46" s="29" t="inlineStr">
        <is>
          <t>Evet</t>
        </is>
      </c>
      <c r="J46" s="29" t="inlineStr">
        <is>
          <t>Lisans kanıtları/kaynaklar/ce78ce207c6cc9d795d7bbbfd3dd034e5cccf281ab2a0dc2c7472647c07d8473.html</t>
        </is>
      </c>
      <c r="K46" s="29" t="inlineStr">
        <is>
          <t>ce78ce207c6cc9d795d7bbbfd3dd034e5cccf281ab2a0dc2c7472647c07d8473</t>
        </is>
      </c>
    </row>
    <row r="47" ht="54" customHeight="1">
      <c r="A47" s="29" t="inlineStr">
        <is>
          <t>eindhoven:kaynak:040</t>
        </is>
      </c>
      <c r="B47" s="29" t="inlineStr">
        <is>
          <t>eindhoven</t>
        </is>
      </c>
      <c r="C47" s="29" t="inlineStr">
        <is>
          <t>Verhuizen? Dit moet je doen | Gemeente Eindhoven</t>
        </is>
      </c>
      <c r="D47" s="29" t="inlineStr">
        <is>
          <t>Gemeente Eindhoven</t>
        </is>
      </c>
      <c r="E47" s="29" t="inlineStr">
        <is>
          <t>https://www.eindhoven.nl/verhuizen-dit-moet-je-doen</t>
        </is>
      </c>
      <c r="F47" s="49" t="n">
        <v>46317</v>
      </c>
      <c r="G47" s="29" t="inlineStr">
        <is>
          <t>eindhoven:resmi</t>
        </is>
      </c>
      <c r="H47" s="29" t="inlineStr">
        <is>
          <t>Taşınma bildirimi ve randevu sihirbazı</t>
        </is>
      </c>
      <c r="I47" s="29" t="inlineStr">
        <is>
          <t>Evet</t>
        </is>
      </c>
      <c r="J47" s="29" t="inlineStr">
        <is>
          <t>Lisans kanıtları/kaynaklar/b7d1f7efceaf36931a963a6035ab51990e9c75fc0d33f45d6551d40838bbb7a5.html</t>
        </is>
      </c>
      <c r="K47" s="29" t="inlineStr">
        <is>
          <t>b7d1f7efceaf36931a963a6035ab51990e9c75fc0d33f45d6551d40838bbb7a5</t>
        </is>
      </c>
    </row>
    <row r="48" ht="54" customHeight="1">
      <c r="A48" s="29" t="inlineStr">
        <is>
          <t>eindhoven:kaynak:041</t>
        </is>
      </c>
      <c r="B48" s="29" t="inlineStr">
        <is>
          <t>eindhoven</t>
        </is>
      </c>
      <c r="C48" s="29" t="inlineStr">
        <is>
          <t>Burgerservicenummer (BSN) | Gemeente Eindhoven</t>
        </is>
      </c>
      <c r="D48" s="29" t="inlineStr">
        <is>
          <t>Gemeente Eindhoven</t>
        </is>
      </c>
      <c r="E48" s="29" t="inlineStr">
        <is>
          <t>https://www.eindhoven.nl/stad-en-wonen/uittreksels-en-documenten/burgerservicenummer-bsn</t>
        </is>
      </c>
      <c r="F48" s="49" t="n">
        <v>46317</v>
      </c>
      <c r="G48" s="29" t="inlineStr">
        <is>
          <t>eindhoven:resmi</t>
        </is>
      </c>
      <c r="H48" s="29" t="inlineStr">
        <is>
          <t>BSN'nin Eindhoven'da alınması</t>
        </is>
      </c>
      <c r="I48" s="29" t="inlineStr">
        <is>
          <t>Evet</t>
        </is>
      </c>
      <c r="J48" s="29" t="inlineStr">
        <is>
          <t>Lisans kanıtları/kaynaklar/d2ef80f7c0279d2a7ac3541ee792c6d645b6842b43abfef4c26520341b03eec2.html</t>
        </is>
      </c>
      <c r="K48" s="29" t="inlineStr">
        <is>
          <t>d2ef80f7c0279d2a7ac3541ee792c6d645b6842b43abfef4c26520341b03eec2</t>
        </is>
      </c>
    </row>
    <row r="49" ht="54" customHeight="1">
      <c r="A49" s="29" t="inlineStr">
        <is>
          <t>eindhoven:kaynak:042</t>
        </is>
      </c>
      <c r="B49" s="29" t="inlineStr">
        <is>
          <t>eindhoven</t>
        </is>
      </c>
      <c r="C49" s="29" t="inlineStr">
        <is>
          <t>Uittreksel Basisregistratie Personen (BRP) | Gemeente Eindhoven</t>
        </is>
      </c>
      <c r="D49" s="29" t="inlineStr">
        <is>
          <t>Gemeente Eindhoven</t>
        </is>
      </c>
      <c r="E49" s="29" t="inlineStr">
        <is>
          <t>https://www.eindhoven.nl/stad-en-wonen/uittreksels-en-documenten/uittreksel-basisregistratie-personen-brp</t>
        </is>
      </c>
      <c r="F49" s="49" t="n">
        <v>46317</v>
      </c>
      <c r="G49" s="29" t="inlineStr">
        <is>
          <t>eindhoven:resmi</t>
        </is>
      </c>
      <c r="H49" s="29" t="inlineStr">
        <is>
          <t>BRP kayıt örneği alma</t>
        </is>
      </c>
      <c r="I49" s="29" t="inlineStr">
        <is>
          <t>Evet</t>
        </is>
      </c>
      <c r="J49" s="29" t="inlineStr">
        <is>
          <t>Lisans kanıtları/kaynaklar/916d765c0d16d3cfaeecbbe9cf51a2fb02ccd85d8f24812d4e008cc43b8050ca.html</t>
        </is>
      </c>
      <c r="K49" s="29" t="inlineStr">
        <is>
          <t>916d765c0d16d3cfaeecbbe9cf51a2fb02ccd85d8f24812d4e008cc43b8050ca</t>
        </is>
      </c>
    </row>
    <row r="50" ht="54" customHeight="1">
      <c r="A50" s="29" t="inlineStr">
        <is>
          <t>eindhoven:kaynak:043</t>
        </is>
      </c>
      <c r="B50" s="29" t="inlineStr">
        <is>
          <t>eindhoven</t>
        </is>
      </c>
      <c r="C50" s="29" t="inlineStr">
        <is>
          <t>Hoe maak of annuleer ik een afspraak | Gemeente Eindhoven</t>
        </is>
      </c>
      <c r="D50" s="29" t="inlineStr">
        <is>
          <t>Gemeente Eindhoven</t>
        </is>
      </c>
      <c r="E50" s="29" t="inlineStr">
        <is>
          <t>https://www.eindhoven.nl/bestuur-en-beleid/contact/contact-met-de-gemeente/hoe-maak-of-annuleer-ik-een-afspraak</t>
        </is>
      </c>
      <c r="F50" s="49" t="n">
        <v>46317</v>
      </c>
      <c r="G50" s="29" t="inlineStr">
        <is>
          <t>eindhoven:resmi</t>
        </is>
      </c>
      <c r="H50" s="29" t="inlineStr">
        <is>
          <t>Belediyeden randevu alma ve iptal</t>
        </is>
      </c>
      <c r="I50" s="29" t="inlineStr">
        <is>
          <t>Evet</t>
        </is>
      </c>
      <c r="J50" s="29" t="inlineStr">
        <is>
          <t>Lisans kanıtları/kaynaklar/842dfef3dd4c0e6db169890526776937b520afad90359299319b631bc4949764.html</t>
        </is>
      </c>
      <c r="K50" s="29" t="inlineStr">
        <is>
          <t>842dfef3dd4c0e6db169890526776937b520afad90359299319b631bc4949764</t>
        </is>
      </c>
    </row>
    <row r="51" ht="54" customHeight="1">
      <c r="A51" s="29" t="inlineStr">
        <is>
          <t>eindhoven:kaynak:044</t>
        </is>
      </c>
      <c r="B51" s="29" t="inlineStr">
        <is>
          <t>eindhoven</t>
        </is>
      </c>
      <c r="C51" s="29" t="inlineStr">
        <is>
          <t>Geboorteaangifte | Gemeente Eindhoven</t>
        </is>
      </c>
      <c r="D51" s="29" t="inlineStr">
        <is>
          <t>Gemeente Eindhoven</t>
        </is>
      </c>
      <c r="E51" s="29" t="inlineStr">
        <is>
          <t>https://www.eindhoven.nl/stad-en-wonen/levensgebeurtenissen/geboorteaangifte</t>
        </is>
      </c>
      <c r="F51" s="49" t="n">
        <v>46317</v>
      </c>
      <c r="G51" s="29" t="inlineStr">
        <is>
          <t>eindhoven:resmi</t>
        </is>
      </c>
      <c r="H51" s="29" t="inlineStr">
        <is>
          <t>Hollanda'da doğum bildirimi</t>
        </is>
      </c>
      <c r="I51" s="29" t="inlineStr">
        <is>
          <t>Evet</t>
        </is>
      </c>
      <c r="J51" s="29" t="inlineStr">
        <is>
          <t>Lisans kanıtları/kaynaklar/f119576ce8a821a4707f02f50bb3a75dfe986e1bc6df96b7fef18933767a0ea1.html</t>
        </is>
      </c>
      <c r="K51" s="29" t="inlineStr">
        <is>
          <t>f119576ce8a821a4707f02f50bb3a75dfe986e1bc6df96b7fef18933767a0ea1</t>
        </is>
      </c>
    </row>
    <row r="52" ht="54" customHeight="1">
      <c r="A52" s="29" t="inlineStr">
        <is>
          <t>eindhoven:kaynak:045</t>
        </is>
      </c>
      <c r="B52" s="29" t="inlineStr">
        <is>
          <t>eindhoven</t>
        </is>
      </c>
      <c r="C52" s="29" t="inlineStr">
        <is>
          <t>Akte of uittreksel Burgerlijke Stand (BS) | Gemeente Eindhoven</t>
        </is>
      </c>
      <c r="D52" s="29" t="inlineStr">
        <is>
          <t>Gemeente Eindhoven</t>
        </is>
      </c>
      <c r="E52" s="29" t="inlineStr">
        <is>
          <t>https://www.eindhoven.nl/stad-en-wonen/uittreksels-en-documenten/akte-of-uittreksel-burgerlijke-stand-bs</t>
        </is>
      </c>
      <c r="F52" s="49" t="n">
        <v>46317</v>
      </c>
      <c r="G52" s="29" t="inlineStr">
        <is>
          <t>eindhoven:resmi</t>
        </is>
      </c>
      <c r="H52" s="29" t="inlineStr">
        <is>
          <t>Nüfus (BS) akt/özeti alma</t>
        </is>
      </c>
      <c r="I52" s="29" t="inlineStr">
        <is>
          <t>Evet</t>
        </is>
      </c>
      <c r="J52" s="29" t="inlineStr">
        <is>
          <t>Lisans kanıtları/kaynaklar/175ae63d4d4fb4f5e2f20bf8b1f947f36a25e6a7a66dc46c75e1ef4500847c1e.html</t>
        </is>
      </c>
      <c r="K52" s="29" t="inlineStr">
        <is>
          <t>175ae63d4d4fb4f5e2f20bf8b1f947f36a25e6a7a66dc46c75e1ef4500847c1e</t>
        </is>
      </c>
    </row>
    <row r="53" ht="54" customHeight="1">
      <c r="A53" s="29" t="inlineStr">
        <is>
          <t>eindhoven:kaynak:046</t>
        </is>
      </c>
      <c r="B53" s="29" t="inlineStr">
        <is>
          <t>eindhoven</t>
        </is>
      </c>
      <c r="C53" s="29" t="inlineStr">
        <is>
          <t>Trouwen in het buitenland | Gemeente Eindhoven</t>
        </is>
      </c>
      <c r="D53" s="29" t="inlineStr">
        <is>
          <t>Gemeente Eindhoven</t>
        </is>
      </c>
      <c r="E53" s="29" t="inlineStr">
        <is>
          <t>https://www.eindhoven.nl/stad-en-wonen/levensgebeurtenissen/trouwen-en-geregistreerd-partnerschap/trouwen-in-het-buitenland</t>
        </is>
      </c>
      <c r="F53" s="49" t="n">
        <v>46317</v>
      </c>
      <c r="G53" s="29" t="inlineStr">
        <is>
          <t>eindhoven:resmi</t>
        </is>
      </c>
      <c r="H53" s="29" t="inlineStr">
        <is>
          <t>Yurt dışında yapılan evliliğin Hollanda'da tanınması</t>
        </is>
      </c>
      <c r="I53" s="29" t="inlineStr">
        <is>
          <t>Evet</t>
        </is>
      </c>
      <c r="J53" s="29" t="inlineStr">
        <is>
          <t>Lisans kanıtları/kaynaklar/a48a37a4845649fb604748b661e794799e52a2d7fdf87677b32043de76edf020.html</t>
        </is>
      </c>
      <c r="K53" s="29" t="inlineStr">
        <is>
          <t>a48a37a4845649fb604748b661e794799e52a2d7fdf87677b32043de76edf020</t>
        </is>
      </c>
    </row>
    <row r="54" ht="54" customHeight="1">
      <c r="A54" s="29" t="inlineStr">
        <is>
          <t>eindhoven:kaynak:047</t>
        </is>
      </c>
      <c r="B54" s="29" t="inlineStr">
        <is>
          <t>eindhoven</t>
        </is>
      </c>
      <c r="C54" s="29" t="inlineStr">
        <is>
          <t>Registration at the municipality | Holland Expat Center South</t>
        </is>
      </c>
      <c r="D54" s="29" t="inlineStr">
        <is>
          <t>Holland Expat Center South</t>
        </is>
      </c>
      <c r="E54" s="29" t="inlineStr">
        <is>
          <t>https://www.hollandexpatcenter.com/internationals-guide/formalities/registration-at-the-municipality</t>
        </is>
      </c>
      <c r="F54" s="49" t="n">
        <v>46317</v>
      </c>
      <c r="G54" s="29" t="inlineStr">
        <is>
          <t>eindhoven:resmi</t>
        </is>
      </c>
      <c r="H54" s="29" t="inlineStr">
        <is>
          <t>Belediye kaydı adımları ve gerekli belgeler</t>
        </is>
      </c>
      <c r="I54" s="29" t="inlineStr">
        <is>
          <t>Evet</t>
        </is>
      </c>
      <c r="J54" s="29" t="inlineStr">
        <is>
          <t>Lisans kanıtları/kaynaklar/b2689bb0650c6076a9773f982cd09892015f327968acf499aabdcc3fd151ec0f.html</t>
        </is>
      </c>
      <c r="K54" s="29" t="inlineStr">
        <is>
          <t>b2689bb0650c6076a9773f982cd09892015f327968acf499aabdcc3fd151ec0f</t>
        </is>
      </c>
    </row>
    <row r="55" ht="54" customHeight="1">
      <c r="A55" s="29" t="inlineStr">
        <is>
          <t>eindhoven:kaynak:048</t>
        </is>
      </c>
      <c r="B55" s="29" t="inlineStr">
        <is>
          <t>eindhoven</t>
        </is>
      </c>
      <c r="C55" s="29" t="inlineStr">
        <is>
          <t>BSN, BRP and RNI explained | Holland Expat Center South</t>
        </is>
      </c>
      <c r="D55" s="29" t="inlineStr">
        <is>
          <t>Holland Expat Center South</t>
        </is>
      </c>
      <c r="E55" s="29" t="inlineStr">
        <is>
          <t>https://www.hollandexpatcenter.com/internationals-guide/formalities/bsn-brp-and-rni-explained</t>
        </is>
      </c>
      <c r="F55" s="49" t="n">
        <v>46317</v>
      </c>
      <c r="G55" s="29" t="inlineStr">
        <is>
          <t>eindhoven:resmi</t>
        </is>
      </c>
      <c r="H55" s="29" t="inlineStr">
        <is>
          <t>BSN, BRP, RNI farkları</t>
        </is>
      </c>
      <c r="I55" s="29" t="inlineStr">
        <is>
          <t>Evet</t>
        </is>
      </c>
      <c r="J55" s="29" t="inlineStr">
        <is>
          <t>Lisans kanıtları/kaynaklar/1e0a07a98199826ebbdf9694c2c714a1453d5fefab80e636e59a002d5d70e2ea.html</t>
        </is>
      </c>
      <c r="K55" s="29" t="inlineStr">
        <is>
          <t>1e0a07a98199826ebbdf9694c2c714a1453d5fefab80e636e59a002d5d70e2ea</t>
        </is>
      </c>
    </row>
    <row r="56" ht="54" customHeight="1">
      <c r="A56" s="29" t="inlineStr">
        <is>
          <t>eindhoven:kaynak:049</t>
        </is>
      </c>
      <c r="B56" s="29" t="inlineStr">
        <is>
          <t>eindhoven</t>
        </is>
      </c>
      <c r="C56" s="29" t="inlineStr">
        <is>
          <t>DigiD and MijnOverheid | Holland Expat Center South</t>
        </is>
      </c>
      <c r="D56" s="29" t="inlineStr">
        <is>
          <t>Holland Expat Center South</t>
        </is>
      </c>
      <c r="E56" s="29" t="inlineStr">
        <is>
          <t>https://www.hollandexpatcenter.com/internationals-guide/formalities/digid-and-mijnoverheid</t>
        </is>
      </c>
      <c r="F56" s="49" t="n">
        <v>46317</v>
      </c>
      <c r="G56" s="29" t="inlineStr">
        <is>
          <t>eindhoven:resmi</t>
        </is>
      </c>
      <c r="H56" s="29" t="inlineStr">
        <is>
          <t>DigiD ve MijnOverheid kullanımı</t>
        </is>
      </c>
      <c r="I56" s="29" t="inlineStr">
        <is>
          <t>Evet</t>
        </is>
      </c>
      <c r="J56" s="29" t="inlineStr">
        <is>
          <t>Lisans kanıtları/kaynaklar/335f29fd3d9cea54b051d524271b95ed43976722db297828f2d2e0cf12a0041a.html</t>
        </is>
      </c>
      <c r="K56" s="29" t="inlineStr">
        <is>
          <t>335f29fd3d9cea54b051d524271b95ed43976722db297828f2d2e0cf12a0041a</t>
        </is>
      </c>
    </row>
    <row r="57" ht="54" customHeight="1">
      <c r="A57" s="29" t="inlineStr">
        <is>
          <t>eindhoven:kaynak:050</t>
        </is>
      </c>
      <c r="B57" s="29" t="inlineStr">
        <is>
          <t>eindhoven</t>
        </is>
      </c>
      <c r="C57" s="29" t="inlineStr">
        <is>
          <t>Apply for a DigiD | DigiD</t>
        </is>
      </c>
      <c r="D57" s="29" t="inlineStr">
        <is>
          <t>DigiD (Logius)</t>
        </is>
      </c>
      <c r="E57" s="29" t="inlineStr">
        <is>
          <t>https://www.digid.nl/en/apply-and-activate/apply-digid</t>
        </is>
      </c>
      <c r="F57" s="49" t="n">
        <v>46317</v>
      </c>
      <c r="G57" s="29" t="inlineStr">
        <is>
          <t>eindhoven:resmi</t>
        </is>
      </c>
      <c r="H57" s="29" t="inlineStr">
        <is>
          <t>DigiD başvurusu</t>
        </is>
      </c>
      <c r="I57" s="29" t="inlineStr">
        <is>
          <t>Evet</t>
        </is>
      </c>
      <c r="J57" s="29" t="inlineStr">
        <is>
          <t>Lisans kanıtları/kaynaklar/d96d3bdf13791eb0d2b26f76f0ad434d17afbc01dcc42b1f98bd80e0261672d7.html</t>
        </is>
      </c>
      <c r="K57" s="29" t="inlineStr">
        <is>
          <t>d96d3bdf13791eb0d2b26f76f0ad434d17afbc01dcc42b1f98bd80e0261672d7</t>
        </is>
      </c>
    </row>
    <row r="58" ht="54" customHeight="1">
      <c r="A58" s="29" t="inlineStr">
        <is>
          <t>eindhoven:kaynak:051</t>
        </is>
      </c>
      <c r="B58" s="29" t="inlineStr">
        <is>
          <t>eindhoven</t>
        </is>
      </c>
      <c r="C58" s="29" t="inlineStr">
        <is>
          <t>Citizen service number (BSN) | Government.nl</t>
        </is>
      </c>
      <c r="D58" s="29" t="inlineStr">
        <is>
          <t>Government of the Netherlands</t>
        </is>
      </c>
      <c r="E58" s="29" t="inlineStr">
        <is>
          <t>https://www.government.nl/themes/government-and-democracy/personal-data/citizen-service-number-bsn</t>
        </is>
      </c>
      <c r="F58" s="49" t="n">
        <v>46317</v>
      </c>
      <c r="G58" s="29" t="inlineStr">
        <is>
          <t>eindhoven:resmi</t>
        </is>
      </c>
      <c r="H58" s="29" t="inlineStr">
        <is>
          <t>BSN nedir, kim verir</t>
        </is>
      </c>
      <c r="I58" s="29" t="inlineStr">
        <is>
          <t>Evet</t>
        </is>
      </c>
      <c r="J58" s="29" t="inlineStr">
        <is>
          <t>Lisans kanıtları/kaynaklar/124ea929f02b7e64c52ec6c0f0ed30b740d72a945dce7f8c24e3f50b45adf3e0.html</t>
        </is>
      </c>
      <c r="K58" s="29" t="inlineStr">
        <is>
          <t>124ea929f02b7e64c52ec6c0f0ed30b740d72a945dce7f8c24e3f50b45adf3e0</t>
        </is>
      </c>
    </row>
    <row r="59" ht="54" customHeight="1">
      <c r="A59" s="29" t="inlineStr">
        <is>
          <t>eindhoven:kaynak:052</t>
        </is>
      </c>
      <c r="B59" s="29" t="inlineStr">
        <is>
          <t>eindhoven</t>
        </is>
      </c>
      <c r="C59" s="29" t="inlineStr">
        <is>
          <t>T.C. Dışişleri Bakanlığı - Rotterdam Başkonsolosluğu - Bilgi Notları</t>
        </is>
      </c>
      <c r="D59" s="29" t="inlineStr">
        <is>
          <t>T.C. Rotterdam Başkonsolosluğu</t>
        </is>
      </c>
      <c r="E59" s="29" t="inlineStr">
        <is>
          <t>https://rotterdam-bk.mfa.gov.tr/Mission/ShowInfoNote/417052</t>
        </is>
      </c>
      <c r="F59" s="49" t="n">
        <v>46317</v>
      </c>
      <c r="G59" s="29" t="inlineStr">
        <is>
          <t>eindhoven:resmi</t>
        </is>
      </c>
      <c r="H59" s="29" t="inlineStr">
        <is>
          <t>Türk konsolosluğuna adres beyanı</t>
        </is>
      </c>
      <c r="I59" s="29" t="inlineStr">
        <is>
          <t>Evet</t>
        </is>
      </c>
      <c r="J59" s="29" t="inlineStr">
        <is>
          <t>Lisans kanıtları/kaynaklar/6829bb3037a1bccaf43c2aaa8a3858736bdb18a7530d6c98d3eabbd246b8f7ff.html</t>
        </is>
      </c>
      <c r="K59" s="29" t="inlineStr">
        <is>
          <t>6829bb3037a1bccaf43c2aaa8a3858736bdb18a7530d6c98d3eabbd246b8f7ff</t>
        </is>
      </c>
    </row>
    <row r="60" ht="54" customHeight="1">
      <c r="A60" s="29" t="inlineStr">
        <is>
          <t>eindhoven:kaynak:053</t>
        </is>
      </c>
      <c r="B60" s="29" t="inlineStr">
        <is>
          <t>eindhoven</t>
        </is>
      </c>
      <c r="C60" s="29" t="inlineStr">
        <is>
          <t>T.C. Dışişleri Bakanlığı - Rotterdam Başkonsolosluğu - Bilgi Notları</t>
        </is>
      </c>
      <c r="D60" s="29" t="inlineStr">
        <is>
          <t>T.C. Rotterdam Başkonsolosluğu</t>
        </is>
      </c>
      <c r="E60" s="29" t="inlineStr">
        <is>
          <t>https://rotterdam-bk.mfa.gov.tr/Mission/ShowInfoNote/417054</t>
        </is>
      </c>
      <c r="F60" s="49" t="n">
        <v>46317</v>
      </c>
      <c r="G60" s="29" t="inlineStr">
        <is>
          <t>eindhoven:resmi</t>
        </is>
      </c>
      <c r="H60" s="29" t="inlineStr">
        <is>
          <t>Konsolosluk işlemleri genel rehberi</t>
        </is>
      </c>
      <c r="I60" s="29" t="inlineStr">
        <is>
          <t>Evet</t>
        </is>
      </c>
      <c r="J60" s="29" t="inlineStr">
        <is>
          <t>Lisans kanıtları/kaynaklar/3feec5892c28d30d599ba1ec861972e0972a7dd0875d7ac739352ecd9586448a.html</t>
        </is>
      </c>
      <c r="K60" s="29" t="inlineStr">
        <is>
          <t>3feec5892c28d30d599ba1ec861972e0972a7dd0875d7ac739352ecd9586448a</t>
        </is>
      </c>
    </row>
    <row r="61" ht="54" customHeight="1">
      <c r="A61" s="29" t="inlineStr">
        <is>
          <t>eindhoven:kaynak:054</t>
        </is>
      </c>
      <c r="B61" s="29" t="inlineStr">
        <is>
          <t>eindhoven</t>
        </is>
      </c>
      <c r="C61" s="29" t="inlineStr">
        <is>
          <t>T.C. Dışişleri Bakanlığı - Rotterdam Başkonsolosluğu - Bilgi Notları</t>
        </is>
      </c>
      <c r="D61" s="29" t="inlineStr">
        <is>
          <t>T.C. Rotterdam Başkonsolosluğu</t>
        </is>
      </c>
      <c r="E61" s="29" t="inlineStr">
        <is>
          <t>https://rotterdam-bk.mfa.gov.tr/Mission/ShowInfoNote/417060</t>
        </is>
      </c>
      <c r="F61" s="49" t="n">
        <v>46317</v>
      </c>
      <c r="G61" s="29" t="inlineStr">
        <is>
          <t>eindhoven:resmi</t>
        </is>
      </c>
      <c r="H61" s="29" t="inlineStr">
        <is>
          <t>Konsolosluk harç ve ödeme yöntemleri</t>
        </is>
      </c>
      <c r="I61" s="29" t="inlineStr">
        <is>
          <t>Evet</t>
        </is>
      </c>
      <c r="J61" s="29" t="inlineStr">
        <is>
          <t>Lisans kanıtları/kaynaklar/b900ac24d0af02823fa010405fb5584388e1164ce0aa81e9c7d3bb86357bf7d7.html</t>
        </is>
      </c>
      <c r="K61" s="29" t="inlineStr">
        <is>
          <t>b900ac24d0af02823fa010405fb5584388e1164ce0aa81e9c7d3bb86357bf7d7</t>
        </is>
      </c>
    </row>
    <row r="62" ht="54" customHeight="1">
      <c r="A62" s="29" t="inlineStr">
        <is>
          <t>eindhoven:kaynak:055</t>
        </is>
      </c>
      <c r="B62" s="29" t="inlineStr">
        <is>
          <t>eindhoven</t>
        </is>
      </c>
      <c r="C62" s="29" t="inlineStr">
        <is>
          <t>T.C. Dışişleri Bakanlığı - Rotterdam Başkonsolosluğu - Bilgi Notları</t>
        </is>
      </c>
      <c r="D62" s="29" t="inlineStr">
        <is>
          <t>T.C. Rotterdam Başkonsolosluğu</t>
        </is>
      </c>
      <c r="E62" s="29" t="inlineStr">
        <is>
          <t>https://rotterdam-bk.mfa.gov.tr/Mission/ShowInfoNote/417062</t>
        </is>
      </c>
      <c r="F62" s="49" t="n">
        <v>46317</v>
      </c>
      <c r="G62" s="29" t="inlineStr">
        <is>
          <t>eindhoven:resmi</t>
        </is>
      </c>
      <c r="H62" s="29" t="inlineStr">
        <is>
          <t>Hollanda belgelerinin Türk nüfusuna tescili (boşanma kararı)</t>
        </is>
      </c>
      <c r="I62" s="29" t="inlineStr">
        <is>
          <t>Evet</t>
        </is>
      </c>
      <c r="J62" s="29" t="inlineStr">
        <is>
          <t>Lisans kanıtları/kaynaklar/ccc412ef7a27c2eaad41690eeb4ead05da4675de944fe59f041bede95ab743d3.html</t>
        </is>
      </c>
      <c r="K62" s="29" t="inlineStr">
        <is>
          <t>ccc412ef7a27c2eaad41690eeb4ead05da4675de944fe59f041bede95ab743d3</t>
        </is>
      </c>
    </row>
    <row r="63" ht="54" customHeight="1">
      <c r="A63" s="29" t="inlineStr">
        <is>
          <t>eindhoven:kaynak:056</t>
        </is>
      </c>
      <c r="B63" s="29" t="inlineStr">
        <is>
          <t>eindhoven</t>
        </is>
      </c>
      <c r="C63" s="29" t="inlineStr">
        <is>
          <t>Woning huren in Eindhoven | Gemeente Eindhoven</t>
        </is>
      </c>
      <c r="D63" s="29" t="inlineStr">
        <is>
          <t>Gemeente Eindhoven</t>
        </is>
      </c>
      <c r="E63" s="29" t="inlineStr">
        <is>
          <t>https://www.eindhoven.nl/stad-en-wonen/wonen/huren-en-verhuren-in-eindhoven/woning-huren-in-eindhoven</t>
        </is>
      </c>
      <c r="F63" s="49" t="n">
        <v>46317</v>
      </c>
      <c r="G63" s="29" t="inlineStr">
        <is>
          <t>eindhoven:ev</t>
        </is>
      </c>
      <c r="H63" s="29" t="inlineStr">
        <is>
          <t>Eindhoven'da kiralık konut arama yolları ve sosyal konuta giriş; kiracı kartının ana şehir kaynağı</t>
        </is>
      </c>
      <c r="I63" s="29" t="inlineStr">
        <is>
          <t>Evet</t>
        </is>
      </c>
      <c r="J63" s="29" t="inlineStr">
        <is>
          <t>Lisans kanıtları/kaynaklar/271f45d9cc5d7f46fe3d0f16162d43b19eff2e8681f561c50b3ecf27819d84b4.html</t>
        </is>
      </c>
      <c r="K63" s="29" t="inlineStr">
        <is>
          <t>271f45d9cc5d7f46fe3d0f16162d43b19eff2e8681f561c50b3ecf27819d84b4</t>
        </is>
      </c>
    </row>
    <row r="64" ht="54" customHeight="1">
      <c r="A64" s="29" t="inlineStr">
        <is>
          <t>eindhoven:kaynak:057</t>
        </is>
      </c>
      <c r="B64" s="29" t="inlineStr">
        <is>
          <t>eindhoven</t>
        </is>
      </c>
      <c r="C64" s="29" t="inlineStr">
        <is>
          <t>Inschrijven</t>
        </is>
      </c>
      <c r="D64" s="29" t="inlineStr">
        <is>
          <t>Wooniezie</t>
        </is>
      </c>
      <c r="E64" s="29" t="inlineStr">
        <is>
          <t>https://www.wooniezie.nl/inschrijven-2/inschrijven</t>
        </is>
      </c>
      <c r="F64" s="49" t="n">
        <v>46317</v>
      </c>
      <c r="G64" s="29" t="inlineStr">
        <is>
          <t>eindhoven:ev</t>
        </is>
      </c>
      <c r="H64" s="29" t="inlineStr">
        <is>
          <t>Wooniezie sosyal konut kaydı: şartlar, ücretsiz kayıt, yıllık yenileme</t>
        </is>
      </c>
      <c r="I64" s="29" t="inlineStr">
        <is>
          <t>Evet</t>
        </is>
      </c>
      <c r="J64" s="29" t="inlineStr">
        <is>
          <t>Lisans kanıtları/kaynaklar/ef889671a4b113a4b70354b12a756b1a6cc83797d0310552e5230df50c0bfe3c.html</t>
        </is>
      </c>
      <c r="K64" s="29" t="inlineStr">
        <is>
          <t>ef889671a4b113a4b70354b12a756b1a6cc83797d0310552e5230df50c0bfe3c</t>
        </is>
      </c>
    </row>
    <row r="65" ht="54" customHeight="1">
      <c r="A65" s="29" t="inlineStr">
        <is>
          <t>eindhoven:kaynak:058</t>
        </is>
      </c>
      <c r="B65" s="29" t="inlineStr">
        <is>
          <t>eindhoven</t>
        </is>
      </c>
      <c r="C65" s="29" t="inlineStr">
        <is>
          <t>Trudo | Ik zoek een huurwoning</t>
        </is>
      </c>
      <c r="D65" s="29" t="inlineStr">
        <is>
          <t>Trudo</t>
        </is>
      </c>
      <c r="E65" s="29" t="inlineStr">
        <is>
          <t>https://www.trudo.nl/ik-zoek/huurwoning</t>
        </is>
      </c>
      <c r="F65" s="49" t="n">
        <v>46317</v>
      </c>
      <c r="G65" s="29" t="inlineStr">
        <is>
          <t>eindhoven:ev</t>
        </is>
      </c>
      <c r="H65" s="29" t="inlineStr">
        <is>
          <t>Eindhoven konut şirketi Trudo'nun kiralık konut arama ve öncelik (urgentie) bilgisi</t>
        </is>
      </c>
      <c r="I65" s="29" t="inlineStr">
        <is>
          <t>Evet</t>
        </is>
      </c>
      <c r="J65" s="29" t="inlineStr">
        <is>
          <t>Lisans kanıtları/kaynaklar/ccfe21ad82e8b2a4f92e4e61710f3c74b6f7a911ee387193016bc9f80690ba42.html</t>
        </is>
      </c>
      <c r="K65" s="29" t="inlineStr">
        <is>
          <t>ccfe21ad82e8b2a4f92e4e61710f3c74b6f7a911ee387193016bc9f80690ba42</t>
        </is>
      </c>
    </row>
    <row r="66" ht="54" customHeight="1">
      <c r="A66" s="29" t="inlineStr">
        <is>
          <t>eindhoven:kaynak:059</t>
        </is>
      </c>
      <c r="B66" s="29" t="inlineStr">
        <is>
          <t>eindhoven</t>
        </is>
      </c>
      <c r="C66" s="29" t="inlineStr">
        <is>
          <t>Huurprijs beoordelen | Huurcommissie</t>
        </is>
      </c>
      <c r="D66" s="29" t="inlineStr">
        <is>
          <t>Huurcommissie</t>
        </is>
      </c>
      <c r="E66" s="29" t="inlineStr">
        <is>
          <t>https://www.huurcommissie.nl/onderwerpen/huurprijs-punten-vrije-sector-huurder</t>
        </is>
      </c>
      <c r="F66" s="49" t="n">
        <v>46317</v>
      </c>
      <c r="G66" s="29" t="inlineStr">
        <is>
          <t>eindhoven:ev</t>
        </is>
      </c>
      <c r="H66" s="29" t="inlineStr">
        <is>
          <t>Serbest sektör kirasının ilk 6 ayda Huurcommissie'ye denetlettirilmesi; kira itirazı kartı</t>
        </is>
      </c>
      <c r="I66" s="29" t="inlineStr">
        <is>
          <t>Evet</t>
        </is>
      </c>
      <c r="J66" s="29" t="inlineStr">
        <is>
          <t>Lisans kanıtları/kaynaklar/7ff9dad7affdc1af5059789aa3b294dc85238e6c2139096ee853f993e21252c3.html</t>
        </is>
      </c>
      <c r="K66" s="29" t="inlineStr">
        <is>
          <t>7ff9dad7affdc1af5059789aa3b294dc85238e6c2139096ee853f993e21252c3</t>
        </is>
      </c>
    </row>
    <row r="67" ht="54" customHeight="1">
      <c r="A67" s="29" t="inlineStr">
        <is>
          <t>eindhoven:kaynak:060</t>
        </is>
      </c>
      <c r="B67" s="29" t="inlineStr">
        <is>
          <t>eindhoven</t>
        </is>
      </c>
      <c r="C67" s="29" t="inlineStr">
        <is>
          <t>Huurprijs en huurverlaging | Huurcommissie</t>
        </is>
      </c>
      <c r="D67" s="29" t="inlineStr">
        <is>
          <t>Huurcommissie</t>
        </is>
      </c>
      <c r="E67" s="29" t="inlineStr">
        <is>
          <t>https://www.huurcommissie.nl/onderwerpen/huurder-sociale--en-middensector/huurprijs-punten-sociale-middensector-huurder</t>
        </is>
      </c>
      <c r="F67" s="49" t="n">
        <v>46317</v>
      </c>
      <c r="G67" s="29" t="inlineStr">
        <is>
          <t>eindhoven:ev</t>
        </is>
      </c>
      <c r="H67" s="29" t="inlineStr">
        <is>
          <t>Sosyal ve orta segment kirada puan sistemi ve kira indirimi talebi</t>
        </is>
      </c>
      <c r="I67" s="29" t="inlineStr">
        <is>
          <t>Evet</t>
        </is>
      </c>
      <c r="J67" s="29" t="inlineStr">
        <is>
          <t>Lisans kanıtları/kaynaklar/30364472718dd38073948b70fc78609cf116e48c2b8bc2f26a5c9e89b493c42c.html</t>
        </is>
      </c>
      <c r="K67" s="29" t="inlineStr">
        <is>
          <t>30364472718dd38073948b70fc78609cf116e48c2b8bc2f26a5c9e89b493c42c</t>
        </is>
      </c>
    </row>
    <row r="68" ht="54" customHeight="1">
      <c r="A68" s="29" t="inlineStr">
        <is>
          <t>eindhoven:kaynak:061</t>
        </is>
      </c>
      <c r="B68" s="29" t="inlineStr">
        <is>
          <t>eindhoven</t>
        </is>
      </c>
      <c r="C68" s="29" t="inlineStr">
        <is>
          <t>Huurprijscheck en puntentelling | Huurcommissie</t>
        </is>
      </c>
      <c r="D68" s="29" t="inlineStr">
        <is>
          <t>Huurcommissie</t>
        </is>
      </c>
      <c r="E68" s="29" t="inlineStr">
        <is>
          <t>https://checkjeprijs.huurcommissie.nl/en/onderwerpen/huurprijs-en-punten/huurprijscheck-en-puntentelling</t>
        </is>
      </c>
      <c r="F68" s="49" t="n">
        <v>46317</v>
      </c>
      <c r="G68" s="29" t="inlineStr">
        <is>
          <t>eindhoven:ev</t>
        </is>
      </c>
      <c r="H68" s="29" t="inlineStr">
        <is>
          <t>Puan sistemi (woningwaarderingsstelsel) ve azami kira hesabı; İngilizce açıklama</t>
        </is>
      </c>
      <c r="I68" s="29" t="inlineStr">
        <is>
          <t>Evet</t>
        </is>
      </c>
      <c r="J68" s="29" t="inlineStr">
        <is>
          <t>Lisans kanıtları/kaynaklar/49f012ed363d37f8f608bf79acc0afa955d2db2bd0ebf88438197672ba14ec5c.html</t>
        </is>
      </c>
      <c r="K68" s="29" t="inlineStr">
        <is>
          <t>49f012ed363d37f8f608bf79acc0afa955d2db2bd0ebf88438197672ba14ec5c</t>
        </is>
      </c>
    </row>
    <row r="69" ht="54" customHeight="1">
      <c r="A69" s="29" t="inlineStr">
        <is>
          <t>eindhoven:kaynak:062</t>
        </is>
      </c>
      <c r="B69" s="29" t="inlineStr">
        <is>
          <t>eindhoven</t>
        </is>
      </c>
      <c r="C69" s="29" t="inlineStr">
        <is>
          <t>Mag mijn verhuurder een waarborgsom vragen als ik een woning wil huren? | Rijksoverheid.nl</t>
        </is>
      </c>
      <c r="D69" s="29" t="inlineStr">
        <is>
          <t>Rijksoverheid</t>
        </is>
      </c>
      <c r="E69" s="29" t="inlineStr">
        <is>
          <t>https://www.rijksoverheid.nl/vraag-en-antwoord/woning-huren/woning-huren-waarborgsom</t>
        </is>
      </c>
      <c r="F69" s="49" t="n">
        <v>46317</v>
      </c>
      <c r="G69" s="29" t="inlineStr">
        <is>
          <t>eindhoven:ev</t>
        </is>
      </c>
      <c r="H69" s="29" t="inlineStr">
        <is>
          <t>Depozito en en fazla 2 aylık temel kira sınırı, iade süresi</t>
        </is>
      </c>
      <c r="I69" s="29" t="inlineStr">
        <is>
          <t>Evet</t>
        </is>
      </c>
      <c r="J69" s="29" t="inlineStr">
        <is>
          <t>Lisans kanıtları/kaynaklar/2538eb135284fb47044e6bd86fd6fbd8ebb9af1d760e909be3b6c9a38ca0b18a.html</t>
        </is>
      </c>
      <c r="K69" s="29" t="inlineStr">
        <is>
          <t>2538eb135284fb47044e6bd86fd6fbd8ebb9af1d760e909be3b6c9a38ca0b18a</t>
        </is>
      </c>
    </row>
    <row r="70" ht="54" customHeight="1">
      <c r="A70" s="29" t="inlineStr">
        <is>
          <t>eindhoven:kaynak:063</t>
        </is>
      </c>
      <c r="B70" s="29" t="inlineStr">
        <is>
          <t>eindhoven</t>
        </is>
      </c>
      <c r="C70" s="29" t="inlineStr">
        <is>
          <t>Huurtoeslag | Dienst Toeslagen</t>
        </is>
      </c>
      <c r="D70" s="29" t="inlineStr">
        <is>
          <t>Dienst Toeslagen</t>
        </is>
      </c>
      <c r="E70" s="29" t="inlineStr">
        <is>
          <t>https://www.belastingdienst.nl/wps/wcm/connect/nl/huurtoeslag/huurtoeslag</t>
        </is>
      </c>
      <c r="F70" s="49" t="n">
        <v>46317</v>
      </c>
      <c r="G70" s="29" t="inlineStr">
        <is>
          <t>eindhoven:ev</t>
        </is>
      </c>
      <c r="H70" s="29" t="inlineStr">
        <is>
          <t>Kira desteği (huurtoeslag) şartları ve başvurusu</t>
        </is>
      </c>
      <c r="I70" s="29" t="inlineStr">
        <is>
          <t>Evet</t>
        </is>
      </c>
      <c r="J70" s="29" t="inlineStr">
        <is>
          <t>Lisans kanıtları/kaynaklar/9c27df8d149acbf3902dfc86e9bcaabc1b36afbfbc971c60131c14b3bb13e9db.html</t>
        </is>
      </c>
      <c r="K70" s="29" t="inlineStr">
        <is>
          <t>9c27df8d149acbf3902dfc86e9bcaabc1b36afbfbc971c60131c14b3bb13e9db</t>
        </is>
      </c>
    </row>
    <row r="71" ht="54" customHeight="1">
      <c r="A71" s="29" t="inlineStr">
        <is>
          <t>eindhoven:kaynak:064</t>
        </is>
      </c>
      <c r="B71" s="29" t="inlineStr">
        <is>
          <t>eindhoven</t>
        </is>
      </c>
      <c r="C71" s="29" t="inlineStr">
        <is>
          <t>Het tarief van de overdrachtsbelasting | Belastingdienst</t>
        </is>
      </c>
      <c r="D71" s="29" t="inlineStr">
        <is>
          <t>Belastingdienst</t>
        </is>
      </c>
      <c r="E71" s="29" t="inlineStr">
        <is>
          <t>https://www.belastingdienst.nl/wps/wcm/connect/bldcontentnl/belastingdienst/prive/woning/overdrachtsbelasting/tarieven_overdrachtsbelasting/het_tarief_van_de_overdrachtbelasting</t>
        </is>
      </c>
      <c r="F71" s="49" t="n">
        <v>46317</v>
      </c>
      <c r="G71" s="29" t="inlineStr">
        <is>
          <t>eindhoven:ev</t>
        </is>
      </c>
      <c r="H71" s="29" t="inlineStr">
        <is>
          <t>Ev alımında devir vergisi oranı (%2, %8)</t>
        </is>
      </c>
      <c r="I71" s="29" t="inlineStr">
        <is>
          <t>Evet</t>
        </is>
      </c>
      <c r="J71" s="29" t="inlineStr">
        <is>
          <t>Lisans kanıtları/kaynaklar/3cabfa1f1289bff0b47ae821298843ab62ab39f269f432acf4caad9bdeaa3bff.html</t>
        </is>
      </c>
      <c r="K71" s="29" t="inlineStr">
        <is>
          <t>3cabfa1f1289bff0b47ae821298843ab62ab39f269f432acf4caad9bdeaa3bff</t>
        </is>
      </c>
    </row>
    <row r="72" ht="54" customHeight="1">
      <c r="A72" s="29" t="inlineStr">
        <is>
          <t>eindhoven:kaynak:065</t>
        </is>
      </c>
      <c r="B72" s="29" t="inlineStr">
        <is>
          <t>eindhoven</t>
        </is>
      </c>
      <c r="C72" s="29" t="inlineStr">
        <is>
          <t>Wanneer kunt u de startersvrijstelling krijgen (overdrachtsbelasting)? | Belastingdienst</t>
        </is>
      </c>
      <c r="D72" s="29" t="inlineStr">
        <is>
          <t>Belastingdienst</t>
        </is>
      </c>
      <c r="E72" s="29" t="inlineStr">
        <is>
          <t>https://www.belastingdienst.nl/wps/wcm/connect/bldcontentnl/belastingdienst/prive/woning/overdrachtsbelasting/startersvrijstelling/</t>
        </is>
      </c>
      <c r="F72" s="49" t="n">
        <v>46317</v>
      </c>
      <c r="G72" s="29" t="inlineStr">
        <is>
          <t>eindhoven:ev</t>
        </is>
      </c>
      <c r="H72" s="29" t="inlineStr">
        <is>
          <t>35 yaş altı ilk ev alıcısı devir vergisi muafiyeti</t>
        </is>
      </c>
      <c r="I72" s="29" t="inlineStr">
        <is>
          <t>Evet</t>
        </is>
      </c>
      <c r="J72" s="29" t="inlineStr">
        <is>
          <t>Lisans kanıtları/kaynaklar/32d5209942b17e6358258cfbe6876da5601654dc618d9a076cb21cddf58afc8a.html</t>
        </is>
      </c>
      <c r="K72" s="29" t="inlineStr">
        <is>
          <t>32d5209942b17e6358258cfbe6876da5601654dc618d9a076cb21cddf58afc8a</t>
        </is>
      </c>
    </row>
    <row r="73" ht="54" customHeight="1">
      <c r="A73" s="29" t="inlineStr">
        <is>
          <t>eindhoven:kaynak:066</t>
        </is>
      </c>
      <c r="B73" s="29" t="inlineStr">
        <is>
          <t>eindhoven</t>
        </is>
      </c>
      <c r="C73" s="29" t="inlineStr">
        <is>
          <t>Woningsplitsing | Gemeente Eindhoven</t>
        </is>
      </c>
      <c r="D73" s="29" t="inlineStr">
        <is>
          <t>Gemeente Eindhoven</t>
        </is>
      </c>
      <c r="E73" s="29" t="inlineStr">
        <is>
          <t>https://www.eindhoven.nl/stad-en-wonen/wonen/woningsplitsing</t>
        </is>
      </c>
      <c r="F73" s="49" t="n">
        <v>46317</v>
      </c>
      <c r="G73" s="29" t="inlineStr">
        <is>
          <t>eindhoven:ev</t>
        </is>
      </c>
      <c r="H73" s="29" t="inlineStr">
        <is>
          <t>Eindhoven'da konut bölme izni ve kapalı mahalleler</t>
        </is>
      </c>
      <c r="I73" s="29" t="inlineStr">
        <is>
          <t>Evet</t>
        </is>
      </c>
      <c r="J73" s="29" t="inlineStr">
        <is>
          <t>Lisans kanıtları/kaynaklar/d2c14d7b8c82391b4bfbb7397ae0041df078a4cb286aa344d51d68d038be274f.html</t>
        </is>
      </c>
      <c r="K73" s="29" t="inlineStr">
        <is>
          <t>d2c14d7b8c82391b4bfbb7397ae0041df078a4cb286aa344d51d68d038be274f</t>
        </is>
      </c>
    </row>
    <row r="74" ht="54" customHeight="1">
      <c r="A74" s="29" t="inlineStr">
        <is>
          <t>eindhoven:kaynak:067</t>
        </is>
      </c>
      <c r="B74" s="29" t="inlineStr">
        <is>
          <t>eindhoven</t>
        </is>
      </c>
      <c r="C74" s="29" t="inlineStr">
        <is>
          <t>Kamerverhuur | Gemeente Eindhoven</t>
        </is>
      </c>
      <c r="D74" s="29" t="inlineStr">
        <is>
          <t>Gemeente Eindhoven</t>
        </is>
      </c>
      <c r="E74" s="29" t="inlineStr">
        <is>
          <t>https://www.eindhoven.nl/stad-en-wonen/wonen/huren-en-verhuren-in-eindhoven/kamerverhuur</t>
        </is>
      </c>
      <c r="F74" s="49" t="n">
        <v>46317</v>
      </c>
      <c r="G74" s="29" t="inlineStr">
        <is>
          <t>eindhoven:ev</t>
        </is>
      </c>
      <c r="H74" s="29" t="inlineStr">
        <is>
          <t>Oda kiralama izni, 2026 kuralları ve 30 metre kuralı</t>
        </is>
      </c>
      <c r="I74" s="29" t="inlineStr">
        <is>
          <t>Evet</t>
        </is>
      </c>
      <c r="J74" s="29" t="inlineStr">
        <is>
          <t>Lisans kanıtları/kaynaklar/3d885da584de8ef3060cca35b203976fe741d65adadc5f311ab6ad14efa6e814.html</t>
        </is>
      </c>
      <c r="K74" s="29" t="inlineStr">
        <is>
          <t>3d885da584de8ef3060cca35b203976fe741d65adadc5f311ab6ad14efa6e814</t>
        </is>
      </c>
    </row>
    <row r="75" ht="54" customHeight="1">
      <c r="A75" s="29" t="inlineStr">
        <is>
          <t>eindhoven:kaynak:068</t>
        </is>
      </c>
      <c r="B75" s="29" t="inlineStr">
        <is>
          <t>eindhoven</t>
        </is>
      </c>
      <c r="C75" s="29" t="inlineStr">
        <is>
          <t>Meldpunt Goed Verhuurderschap | Gemeente Eindhoven</t>
        </is>
      </c>
      <c r="D75" s="29" t="inlineStr">
        <is>
          <t>Gemeente Eindhoven</t>
        </is>
      </c>
      <c r="E75" s="29" t="inlineStr">
        <is>
          <t>https://www.eindhoven.nl/stad-en-wonen/wonen/huren-en-verhuren-in-eindhoven/meldpunt-goed-verhuurderschap</t>
        </is>
      </c>
      <c r="F75" s="49" t="n">
        <v>46317</v>
      </c>
      <c r="G75" s="29" t="inlineStr">
        <is>
          <t>eindhoven:ev</t>
        </is>
      </c>
      <c r="H75" s="29" t="inlineStr">
        <is>
          <t>Kötü ev sahibi davranışını Eindhoven belediyesine bildirme (ayrımcılık, yüksek depozito)</t>
        </is>
      </c>
      <c r="I75" s="29" t="inlineStr">
        <is>
          <t>Evet</t>
        </is>
      </c>
      <c r="J75" s="29" t="inlineStr">
        <is>
          <t>Lisans kanıtları/kaynaklar/062cdb0c3e41dcfabd72bb04f7dfbc9346e91661bbb65731e1a322bbe3f11e99.html</t>
        </is>
      </c>
      <c r="K75" s="29" t="inlineStr">
        <is>
          <t>062cdb0c3e41dcfabd72bb04f7dfbc9346e91661bbb65731e1a322bbe3f11e99</t>
        </is>
      </c>
    </row>
    <row r="76" ht="54" customHeight="1">
      <c r="A76" s="29" t="inlineStr">
        <is>
          <t>eindhoven:kaynak:069</t>
        </is>
      </c>
      <c r="B76" s="29" t="inlineStr">
        <is>
          <t>eindhoven</t>
        </is>
      </c>
      <c r="C76" s="29" t="inlineStr">
        <is>
          <t>Tips bij een energieleverancier kiezen | ACM ConsuWijzer</t>
        </is>
      </c>
      <c r="D76" s="29" t="inlineStr">
        <is>
          <t>ACM ConsuWijzer</t>
        </is>
      </c>
      <c r="E76" s="29" t="inlineStr">
        <is>
          <t>https://consument.acm.nl/elektriciteit-en-gas/overstappen-vergelijken-en-verhuizen/tips-bij-het-kiezen-van-een-energieleverancier</t>
        </is>
      </c>
      <c r="F76" s="49" t="n">
        <v>46317</v>
      </c>
      <c r="G76" s="29" t="inlineStr">
        <is>
          <t>eindhoven:fatura</t>
        </is>
      </c>
      <c r="H76" s="29" t="inlineStr">
        <is>
          <t>Enerji sağlayıcı seçimi: sabit, değişken ve dinamik sözleşme</t>
        </is>
      </c>
      <c r="I76" s="29" t="inlineStr">
        <is>
          <t>Evet</t>
        </is>
      </c>
      <c r="J76" s="29" t="inlineStr">
        <is>
          <t>Lisans kanıtları/kaynaklar/b9cf503f85a36c3b88666c6ead2a6acfd8f615e56675e26798df478b5b741579.html</t>
        </is>
      </c>
      <c r="K76" s="29" t="inlineStr">
        <is>
          <t>b9cf503f85a36c3b88666c6ead2a6acfd8f615e56675e26798df478b5b741579</t>
        </is>
      </c>
    </row>
    <row r="77" ht="54" customHeight="1">
      <c r="A77" s="29" t="inlineStr">
        <is>
          <t>eindhoven:kaynak:070</t>
        </is>
      </c>
      <c r="B77" s="29" t="inlineStr">
        <is>
          <t>eindhoven</t>
        </is>
      </c>
      <c r="C77" s="29" t="inlineStr">
        <is>
          <t>Energiecontract opzeggen: alles over opzegvergoeding en opzegtermijn | ACM ConsuWijzer</t>
        </is>
      </c>
      <c r="D77" s="29" t="inlineStr">
        <is>
          <t>ACM ConsuWijzer</t>
        </is>
      </c>
      <c r="E77" s="29" t="inlineStr">
        <is>
          <t>https://consument.acm.nl/elektriciteit-en-gas/overstappen-vergelijken-en-verhuizen/energiecontract-opzeggen-alles-over-opzegvergoeding-en-opzegtermijn</t>
        </is>
      </c>
      <c r="F77" s="49" t="n">
        <v>46317</v>
      </c>
      <c r="G77" s="29" t="inlineStr">
        <is>
          <t>eindhoven:fatura</t>
        </is>
      </c>
      <c r="H77" s="29" t="inlineStr">
        <is>
          <t>Enerji sözleşmesi iptali, fesih bedeli ve ihbar süresi; geçiş kartı</t>
        </is>
      </c>
      <c r="I77" s="29" t="inlineStr">
        <is>
          <t>Evet</t>
        </is>
      </c>
      <c r="J77" s="29" t="inlineStr">
        <is>
          <t>Lisans kanıtları/kaynaklar/26ae849a5a4cc96381e8258f687d9fec9d3a01363e42f702fcda0892eb57f40a.html</t>
        </is>
      </c>
      <c r="K77" s="29" t="inlineStr">
        <is>
          <t>26ae849a5a4cc96381e8258f687d9fec9d3a01363e42f702fcda0892eb57f40a</t>
        </is>
      </c>
    </row>
    <row r="78" ht="54" customHeight="1">
      <c r="A78" s="29" t="inlineStr">
        <is>
          <t>eindhoven:kaynak:071</t>
        </is>
      </c>
      <c r="B78" s="29" t="inlineStr">
        <is>
          <t>eindhoven</t>
        </is>
      </c>
      <c r="C78" s="29" t="inlineStr">
        <is>
          <t>De energierekening | ACM ConsuWijzer</t>
        </is>
      </c>
      <c r="D78" s="29" t="inlineStr">
        <is>
          <t>ACM ConsuWijzer</t>
        </is>
      </c>
      <c r="E78" s="29" t="inlineStr">
        <is>
          <t>https://consument.acm.nl/elektriciteit-en-gas/wat-betaal-ik-voor-mijn-energie/de-energierekening</t>
        </is>
      </c>
      <c r="F78" s="49" t="n">
        <v>46317</v>
      </c>
      <c r="G78" s="29" t="inlineStr">
        <is>
          <t>eindhoven:fatura</t>
        </is>
      </c>
      <c r="H78" s="29" t="inlineStr">
        <is>
          <t>Enerji faturasının kalemleri: sabit ücret, vergiler, şebeke bedeli</t>
        </is>
      </c>
      <c r="I78" s="29" t="inlineStr">
        <is>
          <t>Evet</t>
        </is>
      </c>
      <c r="J78" s="29" t="inlineStr">
        <is>
          <t>Lisans kanıtları/kaynaklar/a7e07834a10f389580de80b39adb82515cac58107513ed8ed2cf446ce8a045b6.html</t>
        </is>
      </c>
      <c r="K78" s="29" t="inlineStr">
        <is>
          <t>a7e07834a10f389580de80b39adb82515cac58107513ed8ed2cf446ce8a045b6</t>
        </is>
      </c>
    </row>
    <row r="79" ht="54" customHeight="1">
      <c r="A79" s="29" t="inlineStr">
        <is>
          <t>eindhoven:kaynak:072</t>
        </is>
      </c>
      <c r="B79" s="29" t="inlineStr">
        <is>
          <t>eindhoven</t>
        </is>
      </c>
      <c r="C79" s="29" t="inlineStr">
        <is>
          <t>Mijn energieleverancier verhoogt de tarieven | ACM ConsuWijzer</t>
        </is>
      </c>
      <c r="D79" s="29" t="inlineStr">
        <is>
          <t>ACM ConsuWijzer</t>
        </is>
      </c>
      <c r="E79" s="29" t="inlineStr">
        <is>
          <t>https://consument.acm.nl/elektriciteit-en-gas/energieleverancier-verhoogt-tarieven</t>
        </is>
      </c>
      <c r="F79" s="49" t="n">
        <v>46317</v>
      </c>
      <c r="G79" s="29" t="inlineStr">
        <is>
          <t>eindhoven:fatura</t>
        </is>
      </c>
      <c r="H79" s="29" t="inlineStr">
        <is>
          <t>Sağlayıcı tarife artırınca tüketici hakları</t>
        </is>
      </c>
      <c r="I79" s="29" t="inlineStr">
        <is>
          <t>Evet</t>
        </is>
      </c>
      <c r="J79" s="29" t="inlineStr">
        <is>
          <t>Lisans kanıtları/kaynaklar/1c2435efb264db93c0752b2de22d865ce84c8f0211383d7e6ae7f445b234f046.html</t>
        </is>
      </c>
      <c r="K79" s="29" t="inlineStr">
        <is>
          <t>1c2435efb264db93c0752b2de22d865ce84c8f0211383d7e6ae7f445b234f046</t>
        </is>
      </c>
    </row>
    <row r="80" ht="54" customHeight="1">
      <c r="A80" s="29" t="inlineStr">
        <is>
          <t>eindhoven:kaynak:073</t>
        </is>
      </c>
      <c r="B80" s="29" t="inlineStr">
        <is>
          <t>eindhoven</t>
        </is>
      </c>
      <c r="C80" s="29" t="inlineStr">
        <is>
          <t>Meterstanden doorgeven aan uw energieleverancier | Enexis Netbeheer</t>
        </is>
      </c>
      <c r="D80" s="29" t="inlineStr">
        <is>
          <t>Enexis Netbeheer</t>
        </is>
      </c>
      <c r="E80" s="29" t="inlineStr">
        <is>
          <t>https://www.enexis.nl/meter-en-meterkast/meter/meterstanden/meterstanden-doorgeven-aan-energieleverancier</t>
        </is>
      </c>
      <c r="F80" s="49" t="n">
        <v>46317</v>
      </c>
      <c r="G80" s="29" t="inlineStr">
        <is>
          <t>eindhoven:fatura</t>
        </is>
      </c>
      <c r="H80" s="29" t="inlineStr">
        <is>
          <t>Taşınmada sayaç okuma bildirimi, akıllı sayaç farkı</t>
        </is>
      </c>
      <c r="I80" s="29" t="inlineStr">
        <is>
          <t>Evet</t>
        </is>
      </c>
      <c r="J80" s="29" t="inlineStr">
        <is>
          <t>Lisans kanıtları/kaynaklar/e1f98ffda35a63707f6d06c91977290c72c637898ada434704b4bee2d6816e4b.html</t>
        </is>
      </c>
      <c r="K80" s="29" t="inlineStr">
        <is>
          <t>e1f98ffda35a63707f6d06c91977290c72c637898ada434704b4bee2d6816e4b</t>
        </is>
      </c>
    </row>
    <row r="81" ht="54" customHeight="1">
      <c r="A81" s="29" t="inlineStr">
        <is>
          <t>eindhoven:kaynak:074</t>
        </is>
      </c>
      <c r="B81" s="29" t="inlineStr">
        <is>
          <t>eindhoven</t>
        </is>
      </c>
      <c r="C81" s="29" t="inlineStr">
        <is>
          <t>Nieuwe gas- of elektriciteitsaansluiting aanvragen | Enexis Netbeheer</t>
        </is>
      </c>
      <c r="D81" s="29" t="inlineStr">
        <is>
          <t>Enexis Netbeheer</t>
        </is>
      </c>
      <c r="E81" s="29" t="inlineStr">
        <is>
          <t>https://www.enexis.nl/aansluitingen/nieuwe-aansluiting</t>
        </is>
      </c>
      <c r="F81" s="49" t="n">
        <v>46317</v>
      </c>
      <c r="G81" s="29" t="inlineStr">
        <is>
          <t>eindhoven:fatura</t>
        </is>
      </c>
      <c r="H81" s="29" t="inlineStr">
        <is>
          <t>Şebeke işletmecisi Enexis'ten yeni elektrik/gaz bağlantısı talebi</t>
        </is>
      </c>
      <c r="I81" s="29" t="inlineStr">
        <is>
          <t>Evet</t>
        </is>
      </c>
      <c r="J81" s="29" t="inlineStr">
        <is>
          <t>Lisans kanıtları/kaynaklar/a3ccecd99e301c2f27624a1dca9174006f0242831338cb0b384ba6959e982378.html</t>
        </is>
      </c>
      <c r="K81" s="29" t="inlineStr">
        <is>
          <t>a3ccecd99e301c2f27624a1dca9174006f0242831338cb0b384ba6959e982378</t>
        </is>
      </c>
    </row>
    <row r="82" ht="54" customHeight="1">
      <c r="A82" s="29" t="inlineStr">
        <is>
          <t>eindhoven:kaynak:075</t>
        </is>
      </c>
      <c r="B82" s="29" t="inlineStr">
        <is>
          <t>eindhoven</t>
        </is>
      </c>
      <c r="C82" s="29" t="inlineStr">
        <is>
          <t>Uw verhuizing en drinkwater goed geregeld: duidelijke uitleg voor elke situatie | Brabant Water | bewust. natuurlijk.</t>
        </is>
      </c>
      <c r="D82" s="29" t="inlineStr">
        <is>
          <t>Brabant Water</t>
        </is>
      </c>
      <c r="E82" s="29" t="inlineStr">
        <is>
          <t>https://www.brabantwater.nl/verhuizing-doorgeven/uitleg-per-verhuissituatie</t>
        </is>
      </c>
      <c r="F82" s="49" t="n">
        <v>46317</v>
      </c>
      <c r="G82" s="29" t="inlineStr">
        <is>
          <t>eindhoven:fatura</t>
        </is>
      </c>
      <c r="H82" s="29" t="inlineStr">
        <is>
          <t>Taşınırken su aboneliği: farklı taşınma durumları</t>
        </is>
      </c>
      <c r="I82" s="29" t="inlineStr">
        <is>
          <t>Evet</t>
        </is>
      </c>
      <c r="J82" s="29" t="inlineStr">
        <is>
          <t>Lisans kanıtları/kaynaklar/92f5be10e4b60288de3e34b5ef833795b29a790f111a2655b61b49d78c435657.html</t>
        </is>
      </c>
      <c r="K82" s="29" t="inlineStr">
        <is>
          <t>92f5be10e4b60288de3e34b5ef833795b29a790f111a2655b61b49d78c435657</t>
        </is>
      </c>
    </row>
    <row r="83" ht="54" customHeight="1">
      <c r="A83" s="29" t="inlineStr">
        <is>
          <t>eindhoven:kaynak:076</t>
        </is>
      </c>
      <c r="B83" s="29" t="inlineStr">
        <is>
          <t>eindhoven</t>
        </is>
      </c>
      <c r="C83" s="29" t="inlineStr">
        <is>
          <t>Aanmelden als nieuwe klant | Brabant Water | bewust. natuurlijk.</t>
        </is>
      </c>
      <c r="D83" s="29" t="inlineStr">
        <is>
          <t>Brabant Water</t>
        </is>
      </c>
      <c r="E83" s="29" t="inlineStr">
        <is>
          <t>https://www.brabantwater.nl/klantenservice/verhuizing-doorgeven/aanmelden</t>
        </is>
      </c>
      <c r="F83" s="49" t="n">
        <v>46317</v>
      </c>
      <c r="G83" s="29" t="inlineStr">
        <is>
          <t>eindhoven:fatura</t>
        </is>
      </c>
      <c r="H83" s="29" t="inlineStr">
        <is>
          <t>Brabant Water'a yeni müşteri kaydı adımları</t>
        </is>
      </c>
      <c r="I83" s="29" t="inlineStr">
        <is>
          <t>Evet</t>
        </is>
      </c>
      <c r="J83" s="29" t="inlineStr">
        <is>
          <t>Lisans kanıtları/kaynaklar/d14bf557af8e863696ff13a823892df3938f2b76572e6dd35d189703b902b8b6.html</t>
        </is>
      </c>
      <c r="K83" s="29" t="inlineStr">
        <is>
          <t>d14bf557af8e863696ff13a823892df3938f2b76572e6dd35d189703b902b8b6</t>
        </is>
      </c>
    </row>
    <row r="84" ht="54" customHeight="1">
      <c r="A84" s="29" t="inlineStr">
        <is>
          <t>eindhoven:kaynak:077</t>
        </is>
      </c>
      <c r="B84" s="29" t="inlineStr">
        <is>
          <t>eindhoven</t>
        </is>
      </c>
      <c r="C84" s="29" t="inlineStr">
        <is>
          <t>Drinkwatertarieven | Brabant Water | bewust. natuurlijk.</t>
        </is>
      </c>
      <c r="D84" s="29" t="inlineStr">
        <is>
          <t>Brabant Water</t>
        </is>
      </c>
      <c r="E84" s="29" t="inlineStr">
        <is>
          <t>https://www.brabantwater.nl/rekening-en-betalen/tarieven</t>
        </is>
      </c>
      <c r="F84" s="49" t="n">
        <v>46317</v>
      </c>
      <c r="G84" s="29" t="inlineStr">
        <is>
          <t>eindhoven:fatura</t>
        </is>
      </c>
      <c r="H84" s="29" t="inlineStr">
        <is>
          <t>Su birim fiyatı ve yıllık sabit ücret</t>
        </is>
      </c>
      <c r="I84" s="29" t="inlineStr">
        <is>
          <t>Evet</t>
        </is>
      </c>
      <c r="J84" s="29" t="inlineStr">
        <is>
          <t>Lisans kanıtları/kaynaklar/a93c81aea8701228646ff6741b50c2d713e0647aad66a6cdf250ae32f4b9712f.html</t>
        </is>
      </c>
      <c r="K84" s="29" t="inlineStr">
        <is>
          <t>a93c81aea8701228646ff6741b50c2d713e0647aad66a6cdf250ae32f4b9712f</t>
        </is>
      </c>
    </row>
    <row r="85" ht="54" customHeight="1">
      <c r="A85" s="29" t="inlineStr">
        <is>
          <t>eindhoven:kaynak:078</t>
        </is>
      </c>
      <c r="B85" s="29" t="inlineStr">
        <is>
          <t>eindhoven</t>
        </is>
      </c>
      <c r="C85" s="29" t="inlineStr">
        <is>
          <t>Telecomabonnement opzeggen | ACM ConsuWijzer</t>
        </is>
      </c>
      <c r="D85" s="29" t="inlineStr">
        <is>
          <t>ACM ConsuWijzer</t>
        </is>
      </c>
      <c r="E85" s="29" t="inlineStr">
        <is>
          <t>https://www.consuwijzer.nl/telefoon-internet-en-tv/abonnementen/wanneer-opzeggen</t>
        </is>
      </c>
      <c r="F85" s="49" t="n">
        <v>46317</v>
      </c>
      <c r="G85" s="29" t="inlineStr">
        <is>
          <t>eindhoven:fatura</t>
        </is>
      </c>
      <c r="H85" s="29" t="inlineStr">
        <is>
          <t>İnternet/telefon aboneliği iptali, ihbar süresi, otomatik uzatma</t>
        </is>
      </c>
      <c r="I85" s="29" t="inlineStr">
        <is>
          <t>Evet</t>
        </is>
      </c>
      <c r="J85" s="29" t="inlineStr">
        <is>
          <t>Lisans kanıtları/kaynaklar/1c3094cd0ea73b602b6b3c3dd8a89d5495cf7f2341c16f16965d0138ac8d3c12.html</t>
        </is>
      </c>
      <c r="K85" s="29" t="inlineStr">
        <is>
          <t>1c3094cd0ea73b602b6b3c3dd8a89d5495cf7f2341c16f16965d0138ac8d3c12</t>
        </is>
      </c>
    </row>
    <row r="86" ht="54" customHeight="1">
      <c r="A86" s="29" t="inlineStr">
        <is>
          <t>eindhoven:kaynak:079</t>
        </is>
      </c>
      <c r="B86" s="29" t="inlineStr">
        <is>
          <t>eindhoven</t>
        </is>
      </c>
      <c r="C86" s="29" t="inlineStr">
        <is>
          <t>Een telecomaanbieder kiezen voor vast internet en bellen | ACM ConsuWijzer</t>
        </is>
      </c>
      <c r="D86" s="29" t="inlineStr">
        <is>
          <t>ACM ConsuWijzer</t>
        </is>
      </c>
      <c r="E86" s="29" t="inlineStr">
        <is>
          <t>https://www.consuwijzer.nl/telecom-post/contracten-voorwaarden/overstappen-telecom</t>
        </is>
      </c>
      <c r="F86" s="49" t="n">
        <v>46317</v>
      </c>
      <c r="G86" s="29" t="inlineStr">
        <is>
          <t>eindhoven:fatura</t>
        </is>
      </c>
      <c r="H86" s="29" t="inlineStr">
        <is>
          <t>İnternet sağlayıcı seçimi ve geçiş hakkı</t>
        </is>
      </c>
      <c r="I86" s="29" t="inlineStr">
        <is>
          <t>Evet</t>
        </is>
      </c>
      <c r="J86" s="29" t="inlineStr">
        <is>
          <t>Lisans kanıtları/kaynaklar/2d41d407a6548fed1ac335092c31d112fccea2c1ea06e87d7fda2070492a3326.html</t>
        </is>
      </c>
      <c r="K86" s="29" t="inlineStr">
        <is>
          <t>2d41d407a6548fed1ac335092c31d112fccea2c1ea06e87d7fda2070492a3326</t>
        </is>
      </c>
    </row>
    <row r="87" ht="54" customHeight="1">
      <c r="A87" s="29" t="inlineStr">
        <is>
          <t>eindhoven:kaynak:080</t>
        </is>
      </c>
      <c r="B87" s="29" t="inlineStr">
        <is>
          <t>eindhoven</t>
        </is>
      </c>
      <c r="C87" s="29" t="inlineStr">
        <is>
          <t>Telecomaanbieder wijzigt voorwaarden | ACM ConsuWijzer</t>
        </is>
      </c>
      <c r="D87" s="29" t="inlineStr">
        <is>
          <t>ACM ConsuWijzer</t>
        </is>
      </c>
      <c r="E87" s="29" t="inlineStr">
        <is>
          <t>https://www.consuwijzer.nl/telecom-post/contracten-voorwaarden/aanbieder-telefonie-internet-televisie-verandert-prijzen-of-algemene-voorwaarden</t>
        </is>
      </c>
      <c r="F87" s="49" t="n">
        <v>46317</v>
      </c>
      <c r="G87" s="29" t="inlineStr">
        <is>
          <t>eindhoven:fatura</t>
        </is>
      </c>
      <c r="H87" s="29" t="inlineStr">
        <is>
          <t>İnternet sağlayıcı fiyat/koşul değiştirirse ücretsiz iptal hakkı</t>
        </is>
      </c>
      <c r="I87" s="29" t="inlineStr">
        <is>
          <t>Evet</t>
        </is>
      </c>
      <c r="J87" s="29" t="inlineStr">
        <is>
          <t>Lisans kanıtları/kaynaklar/b4a825b151ea3dc18e653c4ffb1cb48e19d7d9e6be95579890b0f8a52365bf57.html</t>
        </is>
      </c>
      <c r="K87" s="29" t="inlineStr">
        <is>
          <t>b4a825b151ea3dc18e653c4ffb1cb48e19d7d9e6be95579890b0f8a52365bf57</t>
        </is>
      </c>
    </row>
    <row r="88" ht="54" customHeight="1">
      <c r="A88" s="29" t="inlineStr">
        <is>
          <t>eindhoven:kaynak:081</t>
        </is>
      </c>
      <c r="B88" s="29" t="inlineStr">
        <is>
          <t>eindhoven</t>
        </is>
      </c>
      <c r="C88" s="29" t="inlineStr">
        <is>
          <t>Hoe krijg ik ondersteuning bij een hoge energierekening? | Rijksoverheid.nl</t>
        </is>
      </c>
      <c r="D88" s="29" t="inlineStr">
        <is>
          <t>Rijksoverheid</t>
        </is>
      </c>
      <c r="E88" s="29" t="inlineStr">
        <is>
          <t>https://www.rijksoverheid.nl/vraag-en-antwoord/koopkracht/hoe-krijg-ik-ondersteuning-bij-een-hoge-energierekening</t>
        </is>
      </c>
      <c r="F88" s="49" t="n">
        <v>46317</v>
      </c>
      <c r="G88" s="29" t="inlineStr">
        <is>
          <t>eindhoven:fatura</t>
        </is>
      </c>
      <c r="H88" s="29" t="inlineStr">
        <is>
          <t>Enerji faturası desteği: Noodfonds Energie ve belediye yardımı</t>
        </is>
      </c>
      <c r="I88" s="29" t="inlineStr">
        <is>
          <t>Evet</t>
        </is>
      </c>
      <c r="J88" s="29" t="inlineStr">
        <is>
          <t>Lisans kanıtları/kaynaklar/541501a2b5bec41432387beccb61923f842d44a775c8816efd317516ecf1a5d9.html</t>
        </is>
      </c>
      <c r="K88" s="29" t="inlineStr">
        <is>
          <t>541501a2b5bec41432387beccb61923f842d44a775c8816efd317516ecf1a5d9</t>
        </is>
      </c>
    </row>
    <row r="89" ht="54" customHeight="1">
      <c r="A89" s="29" t="inlineStr">
        <is>
          <t>eindhoven:kaynak:082</t>
        </is>
      </c>
      <c r="B89" s="29" t="inlineStr">
        <is>
          <t>eindhoven</t>
        </is>
      </c>
      <c r="C89" s="29" t="inlineStr">
        <is>
          <t>Afvalstoffenheffing | Gemeente Eindhoven</t>
        </is>
      </c>
      <c r="D89" s="29" t="inlineStr">
        <is>
          <t>Gemeente Eindhoven</t>
        </is>
      </c>
      <c r="E89" s="29" t="inlineStr">
        <is>
          <t>https://www.eindhoven.nl/stad-en-wonen/wonen/belastingen-inwoners/afvalstoffenheffing</t>
        </is>
      </c>
      <c r="F89" s="49" t="n">
        <v>46317</v>
      </c>
      <c r="G89" s="29" t="inlineStr">
        <is>
          <t>eindhoven:fatura</t>
        </is>
      </c>
      <c r="H89" s="29" t="inlineStr">
        <is>
          <t>Eindhoven çöp vergisi tutarları (hane büyüklüğüne göre)</t>
        </is>
      </c>
      <c r="I89" s="29" t="inlineStr">
        <is>
          <t>Evet</t>
        </is>
      </c>
      <c r="J89" s="29" t="inlineStr">
        <is>
          <t>Lisans kanıtları/kaynaklar/d37f47a41f41974537ceed2ca366a0e7e12df213680da0ac304aa3a15db9c4ef.html</t>
        </is>
      </c>
      <c r="K89" s="29" t="inlineStr">
        <is>
          <t>d37f47a41f41974537ceed2ca366a0e7e12df213680da0ac304aa3a15db9c4ef</t>
        </is>
      </c>
    </row>
    <row r="90" ht="54" customHeight="1">
      <c r="A90" s="29" t="inlineStr">
        <is>
          <t>eindhoven:kaynak:083</t>
        </is>
      </c>
      <c r="B90" s="29" t="inlineStr">
        <is>
          <t>eindhoven</t>
        </is>
      </c>
      <c r="C90" s="29" t="inlineStr">
        <is>
          <t>Rioolheffing | Gemeente Eindhoven</t>
        </is>
      </c>
      <c r="D90" s="29" t="inlineStr">
        <is>
          <t>Gemeente Eindhoven</t>
        </is>
      </c>
      <c r="E90" s="29" t="inlineStr">
        <is>
          <t>https://www.eindhoven.nl/stad-en-wonen/wonen/belastingen-inwoners/rioolheffing</t>
        </is>
      </c>
      <c r="F90" s="49" t="n">
        <v>46317</v>
      </c>
      <c r="G90" s="29" t="inlineStr">
        <is>
          <t>eindhoven:fatura</t>
        </is>
      </c>
      <c r="H90" s="29" t="inlineStr">
        <is>
          <t>Eindhoven kanalizasyon vergisi</t>
        </is>
      </c>
      <c r="I90" s="29" t="inlineStr">
        <is>
          <t>Evet</t>
        </is>
      </c>
      <c r="J90" s="29" t="inlineStr">
        <is>
          <t>Lisans kanıtları/kaynaklar/cb7439b699096155215ddbc09ab15e1cfbbd898ec907e4aeeec84b341d748d32.html</t>
        </is>
      </c>
      <c r="K90" s="29" t="inlineStr">
        <is>
          <t>cb7439b699096155215ddbc09ab15e1cfbbd898ec907e4aeeec84b341d748d32</t>
        </is>
      </c>
    </row>
    <row r="91" ht="54" customHeight="1">
      <c r="A91" s="29" t="inlineStr">
        <is>
          <t>eindhoven:kaynak:084</t>
        </is>
      </c>
      <c r="B91" s="29" t="inlineStr">
        <is>
          <t>eindhoven</t>
        </is>
      </c>
      <c r="C91" s="29" t="inlineStr">
        <is>
          <t>Onroerendezaakbelasting (OZB) | Gemeente Eindhoven</t>
        </is>
      </c>
      <c r="D91" s="29" t="inlineStr">
        <is>
          <t>Gemeente Eindhoven</t>
        </is>
      </c>
      <c r="E91" s="29" t="inlineStr">
        <is>
          <t>https://www.eindhoven.nl/stad-en-wonen/wonen/belastingen-inwoners/onroerendezaakbelasting-ozb</t>
        </is>
      </c>
      <c r="F91" s="49" t="n">
        <v>46317</v>
      </c>
      <c r="G91" s="29" t="inlineStr">
        <is>
          <t>eindhoven:fatura</t>
        </is>
      </c>
      <c r="H91" s="29" t="inlineStr">
        <is>
          <t>Eindhoven emlak vergisi (OZB) oranları</t>
        </is>
      </c>
      <c r="I91" s="29" t="inlineStr">
        <is>
          <t>Evet</t>
        </is>
      </c>
      <c r="J91" s="29" t="inlineStr">
        <is>
          <t>Lisans kanıtları/kaynaklar/ff1b6c70c4c3611648de4548064a62b2980e543923ddc8feb4b9c25959d722cd.html</t>
        </is>
      </c>
      <c r="K91" s="29" t="inlineStr">
        <is>
          <t>ff1b6c70c4c3611648de4548064a62b2980e543923ddc8feb4b9c25959d722cd</t>
        </is>
      </c>
    </row>
    <row r="92" ht="54" customHeight="1">
      <c r="A92" s="29" t="inlineStr">
        <is>
          <t>eindhoven:kaynak:085</t>
        </is>
      </c>
      <c r="B92" s="29" t="inlineStr">
        <is>
          <t>eindhoven</t>
        </is>
      </c>
      <c r="C92" s="29" t="inlineStr">
        <is>
          <t>Taxes | Eindhoven</t>
        </is>
      </c>
      <c r="D92" s="29" t="inlineStr">
        <is>
          <t>Gemeente Eindhoven</t>
        </is>
      </c>
      <c r="E92" s="29" t="inlineStr">
        <is>
          <t>https://english.eindhoven.nl/en/list-of-municipal-products/taxes</t>
        </is>
      </c>
      <c r="F92" s="49" t="n">
        <v>46317</v>
      </c>
      <c r="G92" s="29" t="inlineStr">
        <is>
          <t>eindhoven:fatura</t>
        </is>
      </c>
      <c r="H92" s="29" t="inlineStr">
        <is>
          <t>Belediye vergilerine İngilizce genel bakış: çöp, köpek, emlak vergisi</t>
        </is>
      </c>
      <c r="I92" s="29" t="inlineStr">
        <is>
          <t>Evet</t>
        </is>
      </c>
      <c r="J92" s="29" t="inlineStr">
        <is>
          <t>Lisans kanıtları/kaynaklar/4e88302ca24aa5ffd0c9f50860d46e2eab470f19985281ee45262d9bb040668d.html</t>
        </is>
      </c>
      <c r="K92" s="29" t="inlineStr">
        <is>
          <t>4e88302ca24aa5ffd0c9f50860d46e2eab470f19985281ee45262d9bb040668d</t>
        </is>
      </c>
    </row>
    <row r="93" ht="54" customHeight="1">
      <c r="A93" s="29" t="inlineStr">
        <is>
          <t>eindhoven:kaynak:086</t>
        </is>
      </c>
      <c r="B93" s="29" t="inlineStr">
        <is>
          <t>eindhoven</t>
        </is>
      </c>
      <c r="C93" s="29" t="inlineStr">
        <is>
          <t>Kwijtschelding gemeentelijke belastingen | Gemeente Eindhoven</t>
        </is>
      </c>
      <c r="D93" s="29" t="inlineStr">
        <is>
          <t>Gemeente Eindhoven</t>
        </is>
      </c>
      <c r="E93" s="29" t="inlineStr">
        <is>
          <t>https://www.eindhoven.nl/stad-en-wonen/wonen/belastingen-inwoners/kwijtschelding-gemeentelijke-belastingen</t>
        </is>
      </c>
      <c r="F93" s="49" t="n">
        <v>46317</v>
      </c>
      <c r="G93" s="29" t="inlineStr">
        <is>
          <t>eindhoven:fatura</t>
        </is>
      </c>
      <c r="H93" s="29" t="inlineStr">
        <is>
          <t>Düşük gelirlilerin belediye vergisi silme başvurusu</t>
        </is>
      </c>
      <c r="I93" s="29" t="inlineStr">
        <is>
          <t>Evet</t>
        </is>
      </c>
      <c r="J93" s="29" t="inlineStr">
        <is>
          <t>Lisans kanıtları/kaynaklar/dab3628ee846cb7141f8daf1cda5892d8782bfdf6ddfbc33e05bdd22b6f67e7c.html</t>
        </is>
      </c>
      <c r="K93" s="29" t="inlineStr">
        <is>
          <t>dab3628ee846cb7141f8daf1cda5892d8782bfdf6ddfbc33e05bdd22b6f67e7c</t>
        </is>
      </c>
    </row>
    <row r="94" ht="54" customHeight="1">
      <c r="A94" s="29" t="inlineStr">
        <is>
          <t>eindhoven:kaynak:087</t>
        </is>
      </c>
      <c r="B94" s="29" t="inlineStr">
        <is>
          <t>eindhoven</t>
        </is>
      </c>
      <c r="C94" s="29" t="inlineStr">
        <is>
          <t>Belastingaangifte | Belastingdienst</t>
        </is>
      </c>
      <c r="D94" s="29" t="inlineStr">
        <is>
          <t>Belastingdienst</t>
        </is>
      </c>
      <c r="E94" s="29" t="inlineStr">
        <is>
          <t>https://www.belastingdienst.nl/wps/wcm/connect/nl/belastingaangifte/belastingaangifte</t>
        </is>
      </c>
      <c r="F94" s="49" t="n">
        <v>46317</v>
      </c>
      <c r="G94" s="29" t="inlineStr">
        <is>
          <t>eindhoven:para</t>
        </is>
      </c>
      <c r="H94" s="29" t="inlineStr">
        <is>
          <t>Gelir vergisi beyanı: hazırlık, süreler, özel durumlar</t>
        </is>
      </c>
      <c r="I94" s="29" t="inlineStr">
        <is>
          <t>Evet</t>
        </is>
      </c>
      <c r="J94" s="29" t="inlineStr">
        <is>
          <t>Lisans kanıtları/kaynaklar/5febf3e96842e72af5c448a2413fd8b6138cbc97f766f1ed79b1f9228622578a.html</t>
        </is>
      </c>
      <c r="K94" s="29" t="inlineStr">
        <is>
          <t>5febf3e96842e72af5c448a2413fd8b6138cbc97f766f1ed79b1f9228622578a</t>
        </is>
      </c>
    </row>
    <row r="95" ht="54" customHeight="1">
      <c r="A95" s="29" t="inlineStr">
        <is>
          <t>eindhoven:kaynak:088</t>
        </is>
      </c>
      <c r="B95" s="29" t="inlineStr">
        <is>
          <t>eindhoven</t>
        </is>
      </c>
      <c r="C95" s="29" t="inlineStr">
        <is>
          <t>Filing a tax return for the year of emigration or immigration | Tax Administration</t>
        </is>
      </c>
      <c r="D95" s="29" t="inlineStr">
        <is>
          <t>Belastingdienst</t>
        </is>
      </c>
      <c r="E95" s="29" t="inlineStr">
        <is>
          <t>https://www.belastingdienst.nl/wps/wcm/connect/en/individuals/content/partly-living-outside-the-netherlands-m-tax-return</t>
        </is>
      </c>
      <c r="F95" s="49" t="n">
        <v>46317</v>
      </c>
      <c r="G95" s="29" t="inlineStr">
        <is>
          <t>eindhoven:para</t>
        </is>
      </c>
      <c r="H95" s="29" t="inlineStr">
        <is>
          <t>Hollanda'ya taşınılan yılın M-formu beyanı (İngilizce)</t>
        </is>
      </c>
      <c r="I95" s="29" t="inlineStr">
        <is>
          <t>Evet</t>
        </is>
      </c>
      <c r="J95" s="29" t="inlineStr">
        <is>
          <t>Lisans kanıtları/kaynaklar/4c4264fc8de00523834a7e4158d9ee5bbde7c8cae76b82cb012e7bec59a6af04.html</t>
        </is>
      </c>
      <c r="K95" s="29" t="inlineStr">
        <is>
          <t>4c4264fc8de00523834a7e4158d9ee5bbde7c8cae76b82cb012e7bec59a6af04</t>
        </is>
      </c>
    </row>
    <row r="96" ht="54" customHeight="1">
      <c r="A96" s="29" t="inlineStr">
        <is>
          <t>eindhoven:kaynak:089</t>
        </is>
      </c>
      <c r="B96" s="29" t="inlineStr">
        <is>
          <t>eindhoven</t>
        </is>
      </c>
      <c r="C96" s="29" t="inlineStr">
        <is>
          <t>Belastingschijven en tarieven | Belastingdienst</t>
        </is>
      </c>
      <c r="D96" s="29" t="inlineStr">
        <is>
          <t>Belastingdienst</t>
        </is>
      </c>
      <c r="E96" s="29" t="inlineStr">
        <is>
          <t>https://www.belastingdienst.nl/wps/wcm/connect/nl/werk-en-inkomen/content/hoeveel-inkomstenbelasting-betalen</t>
        </is>
      </c>
      <c r="F96" s="49" t="n">
        <v>46317</v>
      </c>
      <c r="G96" s="29" t="inlineStr">
        <is>
          <t>eindhoven:para</t>
        </is>
      </c>
      <c r="H96" s="29" t="inlineStr">
        <is>
          <t>Gelir vergisi dilimleri ve oranları (box 1)</t>
        </is>
      </c>
      <c r="I96" s="29" t="inlineStr">
        <is>
          <t>Evet</t>
        </is>
      </c>
      <c r="J96" s="29" t="inlineStr">
        <is>
          <t>Lisans kanıtları/kaynaklar/4cd16f31055dab0c6282ed4382cf94951ab1ef7ea676f61e74fa9d5bb09d9a0d.html</t>
        </is>
      </c>
      <c r="K96" s="29" t="inlineStr">
        <is>
          <t>4cd16f31055dab0c6282ed4382cf94951ab1ef7ea676f61e74fa9d5bb09d9a0d</t>
        </is>
      </c>
    </row>
    <row r="97" ht="54" customHeight="1">
      <c r="A97" s="29" t="inlineStr">
        <is>
          <t>eindhoven:kaynak:090</t>
        </is>
      </c>
      <c r="B97" s="29" t="inlineStr">
        <is>
          <t>eindhoven</t>
        </is>
      </c>
      <c r="C97" s="29" t="inlineStr">
        <is>
          <t>The expat scheme (30% ruling) for foreign employees in the Netherlands | Business.gov.nl</t>
        </is>
      </c>
      <c r="D97" s="29" t="inlineStr">
        <is>
          <t>Business.gov.nl (RVO)</t>
        </is>
      </c>
      <c r="E97" s="29" t="inlineStr">
        <is>
          <t>https://business.gov.nl/staff/employing-staff/the-expat-scheme-30-percent-ruling-in-the-netherlands/</t>
        </is>
      </c>
      <c r="F97" s="49" t="n">
        <v>46317</v>
      </c>
      <c r="G97" s="29" t="inlineStr">
        <is>
          <t>eindhoven:para</t>
        </is>
      </c>
      <c r="H97" s="29" t="inlineStr">
        <is>
          <t>%30 kuralı işveren ve çalışan gereklilikleri, 2027 değişikliği</t>
        </is>
      </c>
      <c r="I97" s="29" t="inlineStr">
        <is>
          <t>Evet</t>
        </is>
      </c>
      <c r="J97" s="29" t="inlineStr">
        <is>
          <t>Lisans kanıtları/kaynaklar/3a4551d41aeb8c5d2ae5716fa0d4cf47f1ff1a896db959ce0b43217379c7d563.html</t>
        </is>
      </c>
      <c r="K97" s="29" t="inlineStr">
        <is>
          <t>3a4551d41aeb8c5d2ae5716fa0d4cf47f1ff1a896db959ce0b43217379c7d563</t>
        </is>
      </c>
    </row>
    <row r="98" ht="54" customHeight="1">
      <c r="A98" s="29" t="inlineStr">
        <is>
          <t>eindhoven:kaynak:091</t>
        </is>
      </c>
      <c r="B98" s="29" t="inlineStr">
        <is>
          <t>eindhoven</t>
        </is>
      </c>
      <c r="C98" s="29" t="inlineStr">
        <is>
          <t>Dubbele belasting voorkomen | Rijksoverheid.nl</t>
        </is>
      </c>
      <c r="D98" s="29" t="inlineStr">
        <is>
          <t>Rijksoverheid</t>
        </is>
      </c>
      <c r="E98" s="29" t="inlineStr">
        <is>
          <t>https://www.rijksoverheid.nl/onderwerpen/inkomstenbelasting/voorkomen-dubbele-belasting</t>
        </is>
      </c>
      <c r="F98" s="49" t="n">
        <v>46317</v>
      </c>
      <c r="G98" s="29" t="inlineStr">
        <is>
          <t>eindhoven:para</t>
        </is>
      </c>
      <c r="H98" s="29" t="inlineStr">
        <is>
          <t>Çifte vergilendirmeyi önleme mantığı ve karşılıklı anlaşma usulü</t>
        </is>
      </c>
      <c r="I98" s="29" t="inlineStr">
        <is>
          <t>Evet</t>
        </is>
      </c>
      <c r="J98" s="29" t="inlineStr">
        <is>
          <t>Lisans kanıtları/kaynaklar/d2f1745f5ff9fc63d9559e3ad7a317d8d4a2ed6e6202ff2631e48c06169e74db.html</t>
        </is>
      </c>
      <c r="K98" s="29" t="inlineStr">
        <is>
          <t>d2f1745f5ff9fc63d9559e3ad7a317d8d4a2ed6e6202ff2631e48c06169e74db</t>
        </is>
      </c>
    </row>
    <row r="99" ht="54" customHeight="1">
      <c r="A99" s="29" t="inlineStr">
        <is>
          <t>eindhoven:kaynak:092</t>
        </is>
      </c>
      <c r="B99" s="29" t="inlineStr">
        <is>
          <t>eindhoven</t>
        </is>
      </c>
      <c r="C99" s="29" t="inlineStr">
        <is>
          <t>wetten.nl - Regeling - Overeenkomst tussen het Koninkrijk der Nederlanden en de Republiek Turkije tot het vermijden van dubbele belasting en het voorkomen van het ontgaan van belas</t>
        </is>
      </c>
      <c r="D99" s="29" t="inlineStr">
        <is>
          <t>Overheid.nl (wetten.nl)</t>
        </is>
      </c>
      <c r="E99" s="29" t="inlineStr">
        <is>
          <t>https://wetten.overheid.nl/BWBV0002810</t>
        </is>
      </c>
      <c r="F99" s="49" t="n">
        <v>46317</v>
      </c>
      <c r="G99" s="29" t="inlineStr">
        <is>
          <t>eindhoven:para</t>
        </is>
      </c>
      <c r="H99" s="29" t="inlineStr">
        <is>
          <t>Türkiye-Hollanda çifte vergilendirme anlaşmasının resmî metni</t>
        </is>
      </c>
      <c r="I99" s="29" t="inlineStr">
        <is>
          <t>Evet</t>
        </is>
      </c>
      <c r="J99" s="29" t="inlineStr">
        <is>
          <t>Lisans kanıtları/kaynaklar/a05c7afeea49ce353842f0e6684a398a02da150989604f3e626af615ae89734a.html</t>
        </is>
      </c>
      <c r="K99" s="29" t="inlineStr">
        <is>
          <t>a05c7afeea49ce353842f0e6684a398a02da150989604f3e626af615ae89734a</t>
        </is>
      </c>
    </row>
    <row r="100" ht="54" customHeight="1">
      <c r="A100" s="29" t="inlineStr">
        <is>
          <t>eindhoven:kaynak:093</t>
        </is>
      </c>
      <c r="B100" s="29" t="inlineStr">
        <is>
          <t>eindhoven</t>
        </is>
      </c>
      <c r="C100" s="29" t="inlineStr">
        <is>
          <t>Toeslagen | Dienst Toeslagen</t>
        </is>
      </c>
      <c r="D100" s="29" t="inlineStr">
        <is>
          <t>Dienst Toeslagen</t>
        </is>
      </c>
      <c r="E100" s="29" t="inlineStr">
        <is>
          <t>https://www.belastingdienst.nl/wps/wcm/connect/nl/toeslagen/toeslagen</t>
        </is>
      </c>
      <c r="F100" s="49" t="n">
        <v>46317</v>
      </c>
      <c r="G100" s="29" t="inlineStr">
        <is>
          <t>eindhoven:para</t>
        </is>
      </c>
      <c r="H100" s="29" t="inlineStr">
        <is>
          <t>Toeslagen genel bakış: dört destek türü ve başvuru</t>
        </is>
      </c>
      <c r="I100" s="29" t="inlineStr">
        <is>
          <t>Evet</t>
        </is>
      </c>
      <c r="J100" s="29" t="inlineStr">
        <is>
          <t>Lisans kanıtları/kaynaklar/a864d9e85e2e92cfbd8dfd78b56deb7f8284bf9fada0c89ade99bcebf16d41b9.html</t>
        </is>
      </c>
      <c r="K100" s="29" t="inlineStr">
        <is>
          <t>a864d9e85e2e92cfbd8dfd78b56deb7f8284bf9fada0c89ade99bcebf16d41b9</t>
        </is>
      </c>
    </row>
    <row r="101" ht="54" customHeight="1">
      <c r="A101" s="29" t="inlineStr">
        <is>
          <t>eindhoven:kaynak:094</t>
        </is>
      </c>
      <c r="B101" s="29" t="inlineStr">
        <is>
          <t>eindhoven</t>
        </is>
      </c>
      <c r="C101" s="29" t="inlineStr">
        <is>
          <t>Zorgtoeslag | Dienst Toeslagen</t>
        </is>
      </c>
      <c r="D101" s="29" t="inlineStr">
        <is>
          <t>Dienst Toeslagen</t>
        </is>
      </c>
      <c r="E101" s="29" t="inlineStr">
        <is>
          <t>https://www.belastingdienst.nl/wps/wcm/connect/nl/zorgtoeslag/zorgtoeslag</t>
        </is>
      </c>
      <c r="F101" s="49" t="n">
        <v>46317</v>
      </c>
      <c r="G101" s="29" t="inlineStr">
        <is>
          <t>eindhoven:para</t>
        </is>
      </c>
      <c r="H101" s="29" t="inlineStr">
        <is>
          <t>Sağlık sigortası desteği şartları</t>
        </is>
      </c>
      <c r="I101" s="29" t="inlineStr">
        <is>
          <t>Evet</t>
        </is>
      </c>
      <c r="J101" s="29" t="inlineStr">
        <is>
          <t>Lisans kanıtları/kaynaklar/e47f5311650b25a30a750227661d95dbd15f7068ab662879953af5b7ae581fa0.html</t>
        </is>
      </c>
      <c r="K101" s="29" t="inlineStr">
        <is>
          <t>e47f5311650b25a30a750227661d95dbd15f7068ab662879953af5b7ae581fa0</t>
        </is>
      </c>
    </row>
    <row r="102" ht="54" customHeight="1">
      <c r="A102" s="29" t="inlineStr">
        <is>
          <t>eindhoven:kaynak:095</t>
        </is>
      </c>
      <c r="B102" s="29" t="inlineStr">
        <is>
          <t>eindhoven</t>
        </is>
      </c>
      <c r="C102" s="29" t="inlineStr">
        <is>
          <t>Kinderopvangtoeslag | Dienst Toeslagen</t>
        </is>
      </c>
      <c r="D102" s="29" t="inlineStr">
        <is>
          <t>Dienst Toeslagen</t>
        </is>
      </c>
      <c r="E102" s="29" t="inlineStr">
        <is>
          <t>https://www.belastingdienst.nl/wps/wcm/connect/nl/kinderopvangtoeslag/kinderopvangtoeslag</t>
        </is>
      </c>
      <c r="F102" s="49" t="n">
        <v>46317</v>
      </c>
      <c r="G102" s="29" t="inlineStr">
        <is>
          <t>eindhoven:para</t>
        </is>
      </c>
      <c r="H102" s="29" t="inlineStr">
        <is>
          <t>Kreş desteği şartları ve başvuru süresi</t>
        </is>
      </c>
      <c r="I102" s="29" t="inlineStr">
        <is>
          <t>Evet</t>
        </is>
      </c>
      <c r="J102" s="29" t="inlineStr">
        <is>
          <t>Lisans kanıtları/kaynaklar/9483b9c86b1fc37a57632a6f396cbc6281b3bc8fa853392126a0b2f73a7a6512.html</t>
        </is>
      </c>
      <c r="K102" s="29" t="inlineStr">
        <is>
          <t>9483b9c86b1fc37a57632a6f396cbc6281b3bc8fa853392126a0b2f73a7a6512</t>
        </is>
      </c>
    </row>
    <row r="103" ht="54" customHeight="1">
      <c r="A103" s="29" t="inlineStr">
        <is>
          <t>eindhoven:kaynak:096</t>
        </is>
      </c>
      <c r="B103" s="29" t="inlineStr">
        <is>
          <t>eindhoven</t>
        </is>
      </c>
      <c r="C103" s="29" t="inlineStr">
        <is>
          <t>Kinderbijslag | Rijksoverheid.nl</t>
        </is>
      </c>
      <c r="D103" s="29" t="inlineStr">
        <is>
          <t>Rijksoverheid</t>
        </is>
      </c>
      <c r="E103" s="29" t="inlineStr">
        <is>
          <t>https://www.rijksoverheid.nl/themas/belastingen-uitkeringen-en-toeslagen/kinderbijslag</t>
        </is>
      </c>
      <c r="F103" s="49" t="n">
        <v>46317</v>
      </c>
      <c r="G103" s="29" t="inlineStr">
        <is>
          <t>eindhoven:para</t>
        </is>
      </c>
      <c r="H103" s="29" t="inlineStr">
        <is>
          <t>Çocuk parası (kinderbijslag) ve SVB başvurusu</t>
        </is>
      </c>
      <c r="I103" s="29" t="inlineStr">
        <is>
          <t>Evet</t>
        </is>
      </c>
      <c r="J103" s="29" t="inlineStr">
        <is>
          <t>Lisans kanıtları/kaynaklar/9a10f2daa8469b2fcbf424fc9d3442159a9455ceafa22c68aebe16db47814e9d.html</t>
        </is>
      </c>
      <c r="K103" s="29" t="inlineStr">
        <is>
          <t>9a10f2daa8469b2fcbf424fc9d3442159a9455ceafa22c68aebe16db47814e9d</t>
        </is>
      </c>
    </row>
    <row r="104" ht="54" customHeight="1">
      <c r="A104" s="29" t="inlineStr">
        <is>
          <t>eindhoven:kaynak:097</t>
        </is>
      </c>
      <c r="B104" s="29" t="inlineStr">
        <is>
          <t>eindhoven</t>
        </is>
      </c>
      <c r="C104" s="29" t="inlineStr">
        <is>
          <t>Private Insurances | Holland Expat Center South</t>
        </is>
      </c>
      <c r="D104" s="29" t="inlineStr">
        <is>
          <t>Holland Expat Center South</t>
        </is>
      </c>
      <c r="E104" s="29" t="inlineStr">
        <is>
          <t>https://www.hollandexpatcenter.com/internationals-guide/banking-finance-and-insurance/private-insurances</t>
        </is>
      </c>
      <c r="F104" s="49" t="n">
        <v>46317</v>
      </c>
      <c r="G104" s="29" t="inlineStr">
        <is>
          <t>eindhoven:para</t>
        </is>
      </c>
      <c r="H104" s="29" t="inlineStr">
        <is>
          <t>Önerilen/zorunlu özel sigortalar (sorumluluk, ev eşyası, opstal)</t>
        </is>
      </c>
      <c r="I104" s="29" t="inlineStr">
        <is>
          <t>Evet</t>
        </is>
      </c>
      <c r="J104" s="29" t="inlineStr">
        <is>
          <t>Lisans kanıtları/kaynaklar/93930c52d5b1158dc8f9b1c4c0ada5014c0521706ed168443e167e0add59d154.html</t>
        </is>
      </c>
      <c r="K104" s="29" t="inlineStr">
        <is>
          <t>93930c52d5b1158dc8f9b1c4c0ada5014c0521706ed168443e167e0add59d154</t>
        </is>
      </c>
    </row>
    <row r="105" ht="54" customHeight="1">
      <c r="A105" s="29" t="inlineStr">
        <is>
          <t>eindhoven:kaynak:098</t>
        </is>
      </c>
      <c r="B105" s="29" t="inlineStr">
        <is>
          <t>eindhoven</t>
        </is>
      </c>
      <c r="C105" s="29" t="inlineStr">
        <is>
          <t>Wanneer betaal ik een eigen risico voor mijn zorg? | Rijksoverheid.nl</t>
        </is>
      </c>
      <c r="D105" s="29" t="inlineStr">
        <is>
          <t>Rijksoverheid</t>
        </is>
      </c>
      <c r="E105" s="29" t="inlineStr">
        <is>
          <t>https://www.rijksoverheid.nl/vraag-en-antwoord/zorgverzekering/eigen-risico-zorgverzekering</t>
        </is>
      </c>
      <c r="F105" s="49" t="n">
        <v>46317</v>
      </c>
      <c r="G105" s="29" t="inlineStr">
        <is>
          <t>eindhoven:para</t>
        </is>
      </c>
      <c r="H105" s="29" t="inlineStr">
        <is>
          <t>Sağlık sigortası zorunlu eigen risico tutarı ve kapsamı</t>
        </is>
      </c>
      <c r="I105" s="29" t="inlineStr">
        <is>
          <t>Evet</t>
        </is>
      </c>
      <c r="J105" s="29" t="inlineStr">
        <is>
          <t>Lisans kanıtları/kaynaklar/6edf163e95b45f27eb77af1c43214026433d528491e1d933cdfe6ce973b4945c.html</t>
        </is>
      </c>
      <c r="K105" s="29" t="inlineStr">
        <is>
          <t>6edf163e95b45f27eb77af1c43214026433d528491e1d933cdfe6ce973b4945c</t>
        </is>
      </c>
    </row>
    <row r="106" ht="54" customHeight="1">
      <c r="A106" s="29" t="inlineStr">
        <is>
          <t>eindhoven:kaynak:099</t>
        </is>
      </c>
      <c r="B106" s="29" t="inlineStr">
        <is>
          <t>eindhoven</t>
        </is>
      </c>
      <c r="C106" s="29" t="inlineStr">
        <is>
          <t>Hulp bij schulden | Gemeente Eindhoven</t>
        </is>
      </c>
      <c r="D106" s="29" t="inlineStr">
        <is>
          <t>Gemeente Eindhoven</t>
        </is>
      </c>
      <c r="E106" s="29" t="inlineStr">
        <is>
          <t>https://www.eindhoven.nl/inkomen-zorg-en-onderwijs/inkomen/hulp-bij-geldzorgen/hulp-bij-schulden</t>
        </is>
      </c>
      <c r="F106" s="49" t="n">
        <v>46317</v>
      </c>
      <c r="G106" s="29" t="inlineStr">
        <is>
          <t>eindhoven:para</t>
        </is>
      </c>
      <c r="H106" s="29" t="inlineStr">
        <is>
          <t>Eindhoven belediyesi borç yardımı: WIJeindhoven, borç düzenleme, bütçe koçluğu</t>
        </is>
      </c>
      <c r="I106" s="29" t="inlineStr">
        <is>
          <t>Evet</t>
        </is>
      </c>
      <c r="J106" s="29" t="inlineStr">
        <is>
          <t>Lisans kanıtları/kaynaklar/0a17c2809e9681d64b11fd53c5b3d0bbfa9f5e7a32caa6c2d3ed1bdf142a8b66.html</t>
        </is>
      </c>
      <c r="K106" s="29" t="inlineStr">
        <is>
          <t>0a17c2809e9681d64b11fd53c5b3d0bbfa9f5e7a32caa6c2d3ed1bdf142a8b66</t>
        </is>
      </c>
    </row>
    <row r="107" ht="54" customHeight="1">
      <c r="A107" s="29" t="inlineStr">
        <is>
          <t>eindhoven:kaynak:100</t>
        </is>
      </c>
      <c r="B107" s="29" t="inlineStr">
        <is>
          <t>eindhoven</t>
        </is>
      </c>
      <c r="C107" s="29" t="inlineStr">
        <is>
          <t>Inkomensondersteuning | Gemeente Eindhoven</t>
        </is>
      </c>
      <c r="D107" s="29" t="inlineStr">
        <is>
          <t>Gemeente Eindhoven</t>
        </is>
      </c>
      <c r="E107" s="29" t="inlineStr">
        <is>
          <t>https://www.eindhoven.nl/inkomen-zorg-en-onderwijs/inkomen/hulp-bij-geldzorgen/inkomensondersteuning</t>
        </is>
      </c>
      <c r="F107" s="49" t="n">
        <v>46317</v>
      </c>
      <c r="G107" s="29" t="inlineStr">
        <is>
          <t>eindhoven:para</t>
        </is>
      </c>
      <c r="H107" s="29" t="inlineStr">
        <is>
          <t>Düşük gelirliler için belediye destekleri</t>
        </is>
      </c>
      <c r="I107" s="29" t="inlineStr">
        <is>
          <t>Evet</t>
        </is>
      </c>
      <c r="J107" s="29" t="inlineStr">
        <is>
          <t>Lisans kanıtları/kaynaklar/85459d507451c08469d96838c1082cf642a6caea0b124e573f81bcf55ce1b280.html</t>
        </is>
      </c>
      <c r="K107" s="29" t="inlineStr">
        <is>
          <t>85459d507451c08469d96838c1082cf642a6caea0b124e573f81bcf55ce1b280</t>
        </is>
      </c>
    </row>
    <row r="108" ht="54" customHeight="1">
      <c r="A108" s="29" t="inlineStr">
        <is>
          <t>eindhoven:kaynak:101</t>
        </is>
      </c>
      <c r="B108" s="29" t="inlineStr">
        <is>
          <t>eindhoven</t>
        </is>
      </c>
      <c r="C108" s="29" t="inlineStr">
        <is>
          <t>Wanneer betaal ik een eigen risico voor mijn zorg? | Rijksoverheid.nl</t>
        </is>
      </c>
      <c r="D108" s="29" t="inlineStr">
        <is>
          <t>Rijksoverheid</t>
        </is>
      </c>
      <c r="E108" s="29" t="inlineStr">
        <is>
          <t>https://www.rijksoverheid.nl/documenten/vraag-en-antwoord/zorgverzekering/eigen-risico-zorgverzekering</t>
        </is>
      </c>
      <c r="F108" s="49" t="n">
        <v>46317</v>
      </c>
      <c r="G108" s="29" t="inlineStr">
        <is>
          <t>eindhoven:saglik</t>
        </is>
      </c>
      <c r="H108" s="29" t="inlineStr">
        <is>
          <t>Eigen risico tutarı ve neyi kapsadığı</t>
        </is>
      </c>
      <c r="I108" s="29" t="inlineStr">
        <is>
          <t>Evet</t>
        </is>
      </c>
      <c r="J108" s="29" t="inlineStr">
        <is>
          <t>Lisans kanıtları/kaynaklar/6edf163e95b45f27eb77af1c43214026433d528491e1d933cdfe6ce973b4945c.html</t>
        </is>
      </c>
      <c r="K108" s="29" t="inlineStr">
        <is>
          <t>6edf163e95b45f27eb77af1c43214026433d528491e1d933cdfe6ce973b4945c</t>
        </is>
      </c>
    </row>
    <row r="109" ht="54" customHeight="1">
      <c r="A109" s="29" t="inlineStr">
        <is>
          <t>eindhoven:kaynak:102</t>
        </is>
      </c>
      <c r="B109" s="29" t="inlineStr">
        <is>
          <t>eindhoven</t>
        </is>
      </c>
      <c r="C109" s="29" t="inlineStr">
        <is>
          <t>Wat verandert er in het basispakket van de zorgverzekering in 2026? | Rijksoverheid.nl</t>
        </is>
      </c>
      <c r="D109" s="29" t="inlineStr">
        <is>
          <t>Rijksoverheid</t>
        </is>
      </c>
      <c r="E109" s="29" t="inlineStr">
        <is>
          <t>https://www.rijksoverheid.nl/documenten/vraag-en-antwoord/zorgverzekering/veranderingen-basispakket</t>
        </is>
      </c>
      <c r="F109" s="49" t="n">
        <v>46317</v>
      </c>
      <c r="G109" s="29" t="inlineStr">
        <is>
          <t>eindhoven:saglik</t>
        </is>
      </c>
      <c r="H109" s="29" t="inlineStr">
        <is>
          <t>Temel paketin içeriği ve değişiklikler</t>
        </is>
      </c>
      <c r="I109" s="29" t="inlineStr">
        <is>
          <t>Evet</t>
        </is>
      </c>
      <c r="J109" s="29" t="inlineStr">
        <is>
          <t>Lisans kanıtları/kaynaklar/23d545286769228edf22c2b623e8b56d03b5f2415f20663e9d05d6ada6c7a15b.html</t>
        </is>
      </c>
      <c r="K109" s="29" t="inlineStr">
        <is>
          <t>23d545286769228edf22c2b623e8b56d03b5f2415f20663e9d05d6ada6c7a15b</t>
        </is>
      </c>
    </row>
    <row r="110" ht="54" customHeight="1">
      <c r="A110" s="29" t="inlineStr">
        <is>
          <t>eindhoven:kaynak:103</t>
        </is>
      </c>
      <c r="B110" s="29" t="inlineStr">
        <is>
          <t>eindhoven</t>
        </is>
      </c>
      <c r="C110" s="29" t="inlineStr">
        <is>
          <t>Applying for healthcare benefit | Government.nl</t>
        </is>
      </c>
      <c r="D110" s="29" t="inlineStr">
        <is>
          <t>Rijksoverheid</t>
        </is>
      </c>
      <c r="E110" s="29" t="inlineStr">
        <is>
          <t>https://www.government.nl/themes/family-health-and-care/health-insurance/applying-for-healthcare-benefit</t>
        </is>
      </c>
      <c r="F110" s="49" t="n">
        <v>46317</v>
      </c>
      <c r="G110" s="29" t="inlineStr">
        <is>
          <t>eindhoven:saglik</t>
        </is>
      </c>
      <c r="H110" s="29" t="inlineStr">
        <is>
          <t>Zorgtoeslag nasıl başvurulur</t>
        </is>
      </c>
      <c r="I110" s="29" t="inlineStr">
        <is>
          <t>Evet</t>
        </is>
      </c>
      <c r="J110" s="29" t="inlineStr">
        <is>
          <t>Lisans kanıtları/kaynaklar/948737e76d686fd4061b8e7e595c4846813caacb29c4088fafa2cb175533b686.html</t>
        </is>
      </c>
      <c r="K110" s="29" t="inlineStr">
        <is>
          <t>948737e76d686fd4061b8e7e595c4846813caacb29c4088fafa2cb175533b686</t>
        </is>
      </c>
    </row>
    <row r="111" ht="54" customHeight="1">
      <c r="A111" s="29" t="inlineStr">
        <is>
          <t>eindhoven:kaynak:104</t>
        </is>
      </c>
      <c r="B111" s="29" t="inlineStr">
        <is>
          <t>eindhoven</t>
        </is>
      </c>
      <c r="C111" s="29" t="inlineStr">
        <is>
          <t>How high can your income be for healthcare benefit? | Dienst Toeslagen</t>
        </is>
      </c>
      <c r="D111" s="29" t="inlineStr">
        <is>
          <t>Belastingdienst</t>
        </is>
      </c>
      <c r="E111" s="29" t="inlineStr">
        <is>
          <t>https://www.belastingdienst.nl/wps/wcm/connect/bldcontenten/belastingdienst/individuals/benefits/moving_to_the_netherlands/i_have_dutch_healthcare_insurance/maximum-income-healthcare-benefit</t>
        </is>
      </c>
      <c r="F111" s="49" t="n">
        <v>46317</v>
      </c>
      <c r="G111" s="29" t="inlineStr">
        <is>
          <t>eindhoven:saglik</t>
        </is>
      </c>
      <c r="H111" s="29" t="inlineStr">
        <is>
          <t>Zorgtoeslag gelir sınırı ve şartları</t>
        </is>
      </c>
      <c r="I111" s="29" t="inlineStr">
        <is>
          <t>Evet</t>
        </is>
      </c>
      <c r="J111" s="29" t="inlineStr">
        <is>
          <t>Lisans kanıtları/kaynaklar/58eebdc5896557e174c2db4bc09c4b7b000c6cef97a020e5d2c0c17b0c9b4832.html</t>
        </is>
      </c>
      <c r="K111" s="29" t="inlineStr">
        <is>
          <t>58eebdc5896557e174c2db4bc09c4b7b000c6cef97a020e5d2c0c17b0c9b4832</t>
        </is>
      </c>
    </row>
    <row r="112" ht="54" customHeight="1">
      <c r="A112" s="29" t="inlineStr">
        <is>
          <t>eindhoven:kaynak:105</t>
        </is>
      </c>
      <c r="B112" s="29" t="inlineStr">
        <is>
          <t>eindhoven</t>
        </is>
      </c>
      <c r="C112" s="29" t="inlineStr">
        <is>
          <t>Hoe verander ik van huisarts? | Rijksoverheid.nl</t>
        </is>
      </c>
      <c r="D112" s="29" t="inlineStr">
        <is>
          <t>Rijksoverheid</t>
        </is>
      </c>
      <c r="E112" s="29" t="inlineStr">
        <is>
          <t>https://www.rijksoverheid.nl/documenten/vraag-en-antwoord/eerstelijnszorg/ben-ik-vrij-om-zelf-een-huisarts-te-kiezen-en-hoe-verander-ik-van-huisarts</t>
        </is>
      </c>
      <c r="F112" s="49" t="n">
        <v>46317</v>
      </c>
      <c r="G112" s="29" t="inlineStr">
        <is>
          <t>eindhoven:saglik</t>
        </is>
      </c>
      <c r="H112" s="29" t="inlineStr">
        <is>
          <t>Huisarts seçimi ve kayıt hakkı</t>
        </is>
      </c>
      <c r="I112" s="29" t="inlineStr">
        <is>
          <t>Evet</t>
        </is>
      </c>
      <c r="J112" s="29" t="inlineStr">
        <is>
          <t>Lisans kanıtları/kaynaklar/07c4897bf285de1ec239223d87ad7bbd1e8683ed9b8cb8f18252d5df0f238eb1.html</t>
        </is>
      </c>
      <c r="K112" s="29" t="inlineStr">
        <is>
          <t>07c4897bf285de1ec239223d87ad7bbd1e8683ed9b8cb8f18252d5df0f238eb1</t>
        </is>
      </c>
    </row>
    <row r="113" ht="54" customHeight="1">
      <c r="A113" s="29" t="inlineStr">
        <is>
          <t>eindhoven:kaynak:106</t>
        </is>
      </c>
      <c r="B113" s="29" t="inlineStr">
        <is>
          <t>eindhoven</t>
        </is>
      </c>
      <c r="C113" s="29" t="inlineStr">
        <is>
          <t>Choosing a GP | Thuisarts</t>
        </is>
      </c>
      <c r="D113" s="29" t="inlineStr">
        <is>
          <t>Thuisarts (NHG)</t>
        </is>
      </c>
      <c r="E113" s="29" t="inlineStr">
        <is>
          <t>https://www.thuisarts.nl/dutch-healthcare/choosing-gp</t>
        </is>
      </c>
      <c r="F113" s="49" t="n">
        <v>46317</v>
      </c>
      <c r="G113" s="29" t="inlineStr">
        <is>
          <t>eindhoven:saglik</t>
        </is>
      </c>
      <c r="H113" s="29" t="inlineStr">
        <is>
          <t>Huisarts kaydı: ne gerekir, nasıl yapılır</t>
        </is>
      </c>
      <c r="I113" s="29" t="inlineStr">
        <is>
          <t>Evet</t>
        </is>
      </c>
      <c r="J113" s="29" t="inlineStr">
        <is>
          <t>Lisans kanıtları/kaynaklar/a19ae639a13316d5a3cf459d8d02b0ffcfcbd1281a2e0f23893fcaf404fcef9d.html</t>
        </is>
      </c>
      <c r="K113" s="29" t="inlineStr">
        <is>
          <t>a19ae639a13316d5a3cf459d8d02b0ffcfcbd1281a2e0f23893fcaf404fcef9d</t>
        </is>
      </c>
    </row>
    <row r="114" ht="54" customHeight="1">
      <c r="A114" s="29" t="inlineStr">
        <is>
          <t>eindhoven:kaynak:107</t>
        </is>
      </c>
      <c r="B114" s="29" t="inlineStr">
        <is>
          <t>eindhoven</t>
        </is>
      </c>
      <c r="C114" s="29" t="inlineStr">
        <is>
          <t>English - Huisartsenposten Oost-Brabant</t>
        </is>
      </c>
      <c r="D114" s="29" t="inlineStr">
        <is>
          <t>Huisartsenposten Oost-Brabant</t>
        </is>
      </c>
      <c r="E114" s="29" t="inlineStr">
        <is>
          <t>https://huisartsenpostenoostbrabant.nl/english/</t>
        </is>
      </c>
      <c r="F114" s="49" t="n">
        <v>46317</v>
      </c>
      <c r="G114" s="29" t="inlineStr">
        <is>
          <t>eindhoven:saglik</t>
        </is>
      </c>
      <c r="H114" s="29" t="inlineStr">
        <is>
          <t>Gece/hafta sonu nöbetçi aile hekimi İngilizce özet</t>
        </is>
      </c>
      <c r="I114" s="29" t="inlineStr">
        <is>
          <t>Evet</t>
        </is>
      </c>
      <c r="J114" s="29" t="inlineStr">
        <is>
          <t>Lisans kanıtları/kaynaklar/898ff74d3eb50c1024e45939594d1660c5c78caa763818cfba758e459ff8fdf8.html</t>
        </is>
      </c>
      <c r="K114" s="29" t="inlineStr">
        <is>
          <t>898ff74d3eb50c1024e45939594d1660c5c78caa763818cfba758e459ff8fdf8</t>
        </is>
      </c>
    </row>
    <row r="115" ht="54" customHeight="1">
      <c r="A115" s="29" t="inlineStr">
        <is>
          <t>eindhoven:kaynak:108</t>
        </is>
      </c>
      <c r="B115" s="29" t="inlineStr">
        <is>
          <t>eindhoven</t>
        </is>
      </c>
      <c r="C115" s="29" t="inlineStr">
        <is>
          <t>Huisartsenpost Eindhoven - Huisartsenposten Oost-Brabant</t>
        </is>
      </c>
      <c r="D115" s="29" t="inlineStr">
        <is>
          <t>Huisartsenposten Oost-Brabant</t>
        </is>
      </c>
      <c r="E115" s="29" t="inlineStr">
        <is>
          <t>https://huisartsenpostenoostbrabant.nl/locaties/huisartsenpost-eindhoven/</t>
        </is>
      </c>
      <c r="F115" s="49" t="n">
        <v>46317</v>
      </c>
      <c r="G115" s="29" t="inlineStr">
        <is>
          <t>eindhoven:saglik</t>
        </is>
      </c>
      <c r="H115" s="29" t="inlineStr">
        <is>
          <t>Eindhoven huisartsenpost adres, saat, telefon</t>
        </is>
      </c>
      <c r="I115" s="29" t="inlineStr">
        <is>
          <t>Evet</t>
        </is>
      </c>
      <c r="J115" s="29" t="inlineStr">
        <is>
          <t>Lisans kanıtları/kaynaklar/f059afff2707810db72a289dead9f88c2f5de8a554743777db3e79ab8d0a18ed.html</t>
        </is>
      </c>
      <c r="K115" s="29" t="inlineStr">
        <is>
          <t>f059afff2707810db72a289dead9f88c2f5de8a554743777db3e79ab8d0a18ed</t>
        </is>
      </c>
    </row>
    <row r="116" ht="54" customHeight="1">
      <c r="A116" s="29" t="inlineStr">
        <is>
          <t>eindhoven:kaynak:109</t>
        </is>
      </c>
      <c r="B116" s="29" t="inlineStr">
        <is>
          <t>eindhoven</t>
        </is>
      </c>
      <c r="C116" s="29" t="inlineStr">
        <is>
          <t>Centrale Dienstapotheek - Huisartsenposten Oost-Brabant</t>
        </is>
      </c>
      <c r="D116" s="29" t="inlineStr">
        <is>
          <t>Huisartsenposten Oost-Brabant</t>
        </is>
      </c>
      <c r="E116" s="29" t="inlineStr">
        <is>
          <t>https://huisartsenpostenoostbrabant.nl/apotheken/centrale-dienstapotheek/</t>
        </is>
      </c>
      <c r="F116" s="49" t="n">
        <v>46317</v>
      </c>
      <c r="G116" s="29" t="inlineStr">
        <is>
          <t>eindhoven:saglik</t>
        </is>
      </c>
      <c r="H116" s="29" t="inlineStr">
        <is>
          <t>Nöbetçi eczane saatleri ve adresi</t>
        </is>
      </c>
      <c r="I116" s="29" t="inlineStr">
        <is>
          <t>Evet</t>
        </is>
      </c>
      <c r="J116" s="29" t="inlineStr">
        <is>
          <t>Lisans kanıtları/kaynaklar/1820fd34150879199acf1028c666a6e727daf82f66d4de15d7d6cceb46015d91.html</t>
        </is>
      </c>
      <c r="K116" s="29" t="inlineStr">
        <is>
          <t>1820fd34150879199acf1028c666a6e727daf82f66d4de15d7d6cceb46015d91</t>
        </is>
      </c>
    </row>
    <row r="117" ht="54" customHeight="1">
      <c r="A117" s="29" t="inlineStr">
        <is>
          <t>eindhoven:kaynak:110</t>
        </is>
      </c>
      <c r="B117" s="29" t="inlineStr">
        <is>
          <t>eindhoven</t>
        </is>
      </c>
      <c r="C117" s="29" t="inlineStr">
        <is>
          <t>Spoedeisende Hulp (SEH) en Huisartsenpost - Catharina Ziekenhuis</t>
        </is>
      </c>
      <c r="D117" s="29" t="inlineStr">
        <is>
          <t>Catharina Ziekenhuis</t>
        </is>
      </c>
      <c r="E117" s="29" t="inlineStr">
        <is>
          <t>https://www.catharinaziekenhuis.nl/afdelingen/spoedeisende-hulp-huisartsenpost/</t>
        </is>
      </c>
      <c r="F117" s="49" t="n">
        <v>46317</v>
      </c>
      <c r="G117" s="29" t="inlineStr">
        <is>
          <t>eindhoven:saglik</t>
        </is>
      </c>
      <c r="H117" s="29" t="inlineStr">
        <is>
          <t>Catharina acil servisi ve huisartsenpost</t>
        </is>
      </c>
      <c r="I117" s="29" t="inlineStr">
        <is>
          <t>Evet</t>
        </is>
      </c>
      <c r="J117" s="29" t="inlineStr">
        <is>
          <t>Lisans kanıtları/kaynaklar/3a4e46ee49116b6cc7d1ad870f809ac4ab9611698dab0cf552773d052706ac40.html</t>
        </is>
      </c>
      <c r="K117" s="29" t="inlineStr">
        <is>
          <t>3a4e46ee49116b6cc7d1ad870f809ac4ab9611698dab0cf552773d052706ac40</t>
        </is>
      </c>
    </row>
    <row r="118" ht="54" customHeight="1">
      <c r="A118" s="29" t="inlineStr">
        <is>
          <t>eindhoven:kaynak:111</t>
        </is>
      </c>
      <c r="B118" s="29" t="inlineStr">
        <is>
          <t>eindhoven</t>
        </is>
      </c>
      <c r="C118" s="29" t="inlineStr">
        <is>
          <t>Spoedeisende Hulp (SEH)</t>
        </is>
      </c>
      <c r="D118" s="29" t="inlineStr">
        <is>
          <t>Máxima MC</t>
        </is>
      </c>
      <c r="E118" s="29" t="inlineStr">
        <is>
          <t>https://www.mmc.nl/afdelingen/spoedeisende-hulp/</t>
        </is>
      </c>
      <c r="F118" s="49" t="n">
        <v>46317</v>
      </c>
      <c r="G118" s="29" t="inlineStr">
        <is>
          <t>eindhoven:saglik</t>
        </is>
      </c>
      <c r="H118" s="29" t="inlineStr">
        <is>
          <t>Máxima MC acil servisi (Veldhoven)</t>
        </is>
      </c>
      <c r="I118" s="29" t="inlineStr">
        <is>
          <t>Evet</t>
        </is>
      </c>
      <c r="J118" s="29" t="inlineStr">
        <is>
          <t>Lisans kanıtları/kaynaklar/574accc45ab5007458173d34397fb259a28e32df45b7f98f3fd2f0ca5655a3a4.html</t>
        </is>
      </c>
      <c r="K118" s="29" t="inlineStr">
        <is>
          <t>574accc45ab5007458173d34397fb259a28e32df45b7f98f3fd2f0ca5655a3a4</t>
        </is>
      </c>
    </row>
    <row r="119" ht="54" customHeight="1">
      <c r="A119" s="29" t="inlineStr">
        <is>
          <t>eindhoven:kaynak:112</t>
        </is>
      </c>
      <c r="B119" s="29" t="inlineStr">
        <is>
          <t>eindhoven</t>
        </is>
      </c>
      <c r="C119" s="29" t="inlineStr">
        <is>
          <t>Onderzoek- en contactmomenten 0 tot 4-jarigen - GGD Brabant-Zuidoost</t>
        </is>
      </c>
      <c r="D119" s="29" t="inlineStr">
        <is>
          <t>GGD Brabant-Zuidoost</t>
        </is>
      </c>
      <c r="E119" s="29" t="inlineStr">
        <is>
          <t>https://www.ggdbzo.nl/mijn-kind/onderzoek-en-contactmomenten-0-tot-4-jarigen/</t>
        </is>
      </c>
      <c r="F119" s="49" t="n">
        <v>46317</v>
      </c>
      <c r="G119" s="29" t="inlineStr">
        <is>
          <t>eindhoven:saglik</t>
        </is>
      </c>
      <c r="H119" s="29" t="inlineStr">
        <is>
          <t>Çocuk sağlığı kontrolleri 0-4 yaş (consultatiebureau)</t>
        </is>
      </c>
      <c r="I119" s="29" t="inlineStr">
        <is>
          <t>Evet</t>
        </is>
      </c>
      <c r="J119" s="29" t="inlineStr">
        <is>
          <t>Lisans kanıtları/kaynaklar/0f871514fd6f96791b303681325acb14e5e4d6b204f7f881b276240a481de0f4.html</t>
        </is>
      </c>
      <c r="K119" s="29" t="inlineStr">
        <is>
          <t>0f871514fd6f96791b303681325acb14e5e4d6b204f7f881b276240a481de0f4</t>
        </is>
      </c>
    </row>
    <row r="120" ht="54" customHeight="1">
      <c r="A120" s="29" t="inlineStr">
        <is>
          <t>eindhoven:kaynak:113</t>
        </is>
      </c>
      <c r="B120" s="29" t="inlineStr">
        <is>
          <t>eindhoven</t>
        </is>
      </c>
      <c r="C120" s="29" t="inlineStr">
        <is>
          <t>Youth Healthcare - GGD Brabant-Zuidoost</t>
        </is>
      </c>
      <c r="D120" s="29" t="inlineStr">
        <is>
          <t>GGD Brabant-Zuidoost</t>
        </is>
      </c>
      <c r="E120" s="29" t="inlineStr">
        <is>
          <t>https://www.ggdbzo.nl/information-for-expats-and-migrant-workers/youth-healthcare/</t>
        </is>
      </c>
      <c r="F120" s="49" t="n">
        <v>46317</v>
      </c>
      <c r="G120" s="29" t="inlineStr">
        <is>
          <t>eindhoven:saglik</t>
        </is>
      </c>
      <c r="H120" s="29" t="inlineStr">
        <is>
          <t>GGD çocuk sağlığı, yabancılar için İngilizce</t>
        </is>
      </c>
      <c r="I120" s="29" t="inlineStr">
        <is>
          <t>Evet</t>
        </is>
      </c>
      <c r="J120" s="29" t="inlineStr">
        <is>
          <t>Lisans kanıtları/kaynaklar/fac892b998465986f0f0db2d4b99d39ed36ca95924ddce72ea32668daf89f0ff.html</t>
        </is>
      </c>
      <c r="K120" s="29" t="inlineStr">
        <is>
          <t>fac892b998465986f0f0db2d4b99d39ed36ca95924ddce72ea32668daf89f0ff</t>
        </is>
      </c>
    </row>
    <row r="121" ht="54" customHeight="1">
      <c r="A121" s="29" t="inlineStr">
        <is>
          <t>eindhoven:kaynak:114</t>
        </is>
      </c>
      <c r="B121" s="29" t="inlineStr">
        <is>
          <t>eindhoven</t>
        </is>
      </c>
      <c r="C121" s="29" t="inlineStr">
        <is>
          <t>Groepsvaccinaties - GGD Brabant-Zuidoost</t>
        </is>
      </c>
      <c r="D121" s="29" t="inlineStr">
        <is>
          <t>GGD Brabant-Zuidoost</t>
        </is>
      </c>
      <c r="E121" s="29" t="inlineStr">
        <is>
          <t>https://www.ggdbzo.nl/mijn-kind/vaccinatiesrvp/groepsvaccinaties-rvp/</t>
        </is>
      </c>
      <c r="F121" s="49" t="n">
        <v>46317</v>
      </c>
      <c r="G121" s="29" t="inlineStr">
        <is>
          <t>eindhoven:saglik</t>
        </is>
      </c>
      <c r="H121" s="29" t="inlineStr">
        <is>
          <t>Çocuk aşı programı (RVP) ve GGD aşıları</t>
        </is>
      </c>
      <c r="I121" s="29" t="inlineStr">
        <is>
          <t>Evet</t>
        </is>
      </c>
      <c r="J121" s="29" t="inlineStr">
        <is>
          <t>Lisans kanıtları/kaynaklar/7c56e014e45f1eae154c93f8708ec888f55d84d92129b8c52f8abe2156da97c5.html</t>
        </is>
      </c>
      <c r="K121" s="29" t="inlineStr">
        <is>
          <t>7c56e014e45f1eae154c93f8708ec888f55d84d92129b8c52f8abe2156da97c5</t>
        </is>
      </c>
    </row>
    <row r="122" ht="54" customHeight="1">
      <c r="A122" s="29" t="inlineStr">
        <is>
          <t>eindhoven:kaynak:115</t>
        </is>
      </c>
      <c r="B122" s="29" t="inlineStr">
        <is>
          <t>eindhoven</t>
        </is>
      </c>
      <c r="C122" s="29" t="inlineStr">
        <is>
          <t>Where can I get help for mental health problems? | Government.nl</t>
        </is>
      </c>
      <c r="D122" s="29" t="inlineStr">
        <is>
          <t>Rijksoverheid</t>
        </is>
      </c>
      <c r="E122" s="29" t="inlineStr">
        <is>
          <t>https://www.government.nl/documents/question-and-answer/help-for-mental-health-problems</t>
        </is>
      </c>
      <c r="F122" s="49" t="n">
        <v>46317</v>
      </c>
      <c r="G122" s="29" t="inlineStr">
        <is>
          <t>eindhoven:saglik</t>
        </is>
      </c>
      <c r="H122" s="29" t="inlineStr">
        <is>
          <t>Ruh sağlığı ilk adım: huisarts ve yönlendirme</t>
        </is>
      </c>
      <c r="I122" s="29" t="inlineStr">
        <is>
          <t>Evet</t>
        </is>
      </c>
      <c r="J122" s="29" t="inlineStr">
        <is>
          <t>Lisans kanıtları/kaynaklar/edb745b249cf591f48903f1d3163d1444c2ae6304f4070329a3cb119b2765df0.html</t>
        </is>
      </c>
      <c r="K122" s="29" t="inlineStr">
        <is>
          <t>edb745b249cf591f48903f1d3163d1444c2ae6304f4070329a3cb119b2765df0</t>
        </is>
      </c>
    </row>
    <row r="123" ht="54" customHeight="1">
      <c r="A123" s="29" t="inlineStr">
        <is>
          <t>eindhoven:kaynak:116</t>
        </is>
      </c>
      <c r="B123" s="29" t="inlineStr">
        <is>
          <t>eindhoven</t>
        </is>
      </c>
      <c r="C123" s="29" t="inlineStr">
        <is>
          <t>When can I call 112? | Government.nl</t>
        </is>
      </c>
      <c r="D123" s="29" t="inlineStr">
        <is>
          <t>Rijksoverheid</t>
        </is>
      </c>
      <c r="E123" s="29" t="inlineStr">
        <is>
          <t>https://www.government.nl/documents/question-and-answer/emergency-number-112/when-can-i-call-112</t>
        </is>
      </c>
      <c r="F123" s="49" t="n">
        <v>46317</v>
      </c>
      <c r="G123" s="29" t="inlineStr">
        <is>
          <t>eindhoven:saglik</t>
        </is>
      </c>
      <c r="H123" s="29" t="inlineStr">
        <is>
          <t>112 ne zaman aranır</t>
        </is>
      </c>
      <c r="I123" s="29" t="inlineStr">
        <is>
          <t>Evet</t>
        </is>
      </c>
      <c r="J123" s="29" t="inlineStr">
        <is>
          <t>Lisans kanıtları/kaynaklar/8b2d9eae84bc5332faa6b488f8fc56c3de7c964d73d10fc604eee80293983d94.html</t>
        </is>
      </c>
      <c r="K123" s="29" t="inlineStr">
        <is>
          <t>8b2d9eae84bc5332faa6b488f8fc56c3de7c964d73d10fc604eee80293983d94</t>
        </is>
      </c>
    </row>
    <row r="124" ht="54" customHeight="1">
      <c r="A124" s="29" t="inlineStr">
        <is>
          <t>eindhoven:kaynak:117</t>
        </is>
      </c>
      <c r="B124" s="29" t="inlineStr">
        <is>
          <t>eindhoven</t>
        </is>
      </c>
      <c r="C124" s="29" t="inlineStr">
        <is>
          <t>Wanneer bel ik 0900-8844? | politie.nl</t>
        </is>
      </c>
      <c r="D124" s="29" t="inlineStr">
        <is>
          <t>Politie</t>
        </is>
      </c>
      <c r="E124" s="29" t="inlineStr">
        <is>
          <t>https://www.politie.nl/informatie/wanneer-bel-ik-0900-8844.html</t>
        </is>
      </c>
      <c r="F124" s="49" t="n">
        <v>46317</v>
      </c>
      <c r="G124" s="29" t="inlineStr">
        <is>
          <t>eindhoven:saglik</t>
        </is>
      </c>
      <c r="H124" s="29" t="inlineStr">
        <is>
          <t>0900-8844 polis acil olmayan hat; 112 farkı</t>
        </is>
      </c>
      <c r="I124" s="29" t="inlineStr">
        <is>
          <t>Evet</t>
        </is>
      </c>
      <c r="J124" s="29" t="inlineStr">
        <is>
          <t>Lisans kanıtları/kaynaklar/d34d20fbb58b60c4a0d978b94091dd06a23c01ab9b84ec612720e6b3505f45ba.html</t>
        </is>
      </c>
      <c r="K124" s="29" t="inlineStr">
        <is>
          <t>d34d20fbb58b60c4a0d978b94091dd06a23c01ab9b84ec612720e6b3505f45ba</t>
        </is>
      </c>
    </row>
    <row r="125" ht="54" customHeight="1">
      <c r="A125" s="29" t="inlineStr">
        <is>
          <t>eindhoven:kaynak:118</t>
        </is>
      </c>
      <c r="B125" s="29" t="inlineStr">
        <is>
          <t>eindhoven</t>
        </is>
      </c>
      <c r="C125" s="29" t="inlineStr">
        <is>
          <t>Minimum wage amounts | Government.nl</t>
        </is>
      </c>
      <c r="D125" s="29" t="inlineStr">
        <is>
          <t>Rijksoverheid</t>
        </is>
      </c>
      <c r="E125" s="29" t="inlineStr">
        <is>
          <t>https://www.government.nl/themes/work/minimum-wage/minimum-wage-amounts</t>
        </is>
      </c>
      <c r="F125" s="49" t="n">
        <v>46317</v>
      </c>
      <c r="G125" s="29" t="inlineStr">
        <is>
          <t>eindhoven:is</t>
        </is>
      </c>
      <c r="H125" s="29" t="inlineStr">
        <is>
          <t>Asgari ücret tutarları ve yaşa göre oranlar</t>
        </is>
      </c>
      <c r="I125" s="29" t="inlineStr">
        <is>
          <t>Evet</t>
        </is>
      </c>
      <c r="J125" s="29" t="inlineStr">
        <is>
          <t>Lisans kanıtları/kaynaklar/9d3076a914ff4de425c9adf02732a4bbaeeedae69c51a820b3212c16307fbee3.html</t>
        </is>
      </c>
      <c r="K125" s="29" t="inlineStr">
        <is>
          <t>9d3076a914ff4de425c9adf02732a4bbaeeedae69c51a820b3212c16307fbee3</t>
        </is>
      </c>
    </row>
    <row r="126" ht="54" customHeight="1">
      <c r="A126" s="29" t="inlineStr">
        <is>
          <t>eindhoven:kaynak:119</t>
        </is>
      </c>
      <c r="B126" s="29" t="inlineStr">
        <is>
          <t>eindhoven</t>
        </is>
      </c>
      <c r="C126" s="29" t="inlineStr">
        <is>
          <t>About the unemployment benefit | UWV</t>
        </is>
      </c>
      <c r="D126" s="29" t="inlineStr">
        <is>
          <t>UWV</t>
        </is>
      </c>
      <c r="E126" s="29" t="inlineStr">
        <is>
          <t>https://www.uwv.nl/en/individuals/unemployment-benefit/about</t>
        </is>
      </c>
      <c r="F126" s="49" t="n">
        <v>46317</v>
      </c>
      <c r="G126" s="29" t="inlineStr">
        <is>
          <t>eindhoven:is</t>
        </is>
      </c>
      <c r="H126" s="29" t="inlineStr">
        <is>
          <t>WW işsizlik ödeneği şartları ve süresi</t>
        </is>
      </c>
      <c r="I126" s="29" t="inlineStr">
        <is>
          <t>Evet</t>
        </is>
      </c>
      <c r="J126" s="29" t="inlineStr">
        <is>
          <t>Lisans kanıtları/kaynaklar/3b5b89e327962c5516e0a2f226b51e141426f6d0268c25d35aa1164d7b0d30da.html</t>
        </is>
      </c>
      <c r="K126" s="29" t="inlineStr">
        <is>
          <t>3b5b89e327962c5516e0a2f226b51e141426f6d0268c25d35aa1164d7b0d30da</t>
        </is>
      </c>
    </row>
    <row r="127" ht="54" customHeight="1">
      <c r="A127" s="29" t="inlineStr">
        <is>
          <t>eindhoven:kaynak:120</t>
        </is>
      </c>
      <c r="B127" s="29" t="inlineStr">
        <is>
          <t>eindhoven</t>
        </is>
      </c>
      <c r="C127" s="29" t="inlineStr">
        <is>
          <t>Wanneer heeft u recht op WW? Lees de voorwaarden | UWV</t>
        </is>
      </c>
      <c r="D127" s="29" t="inlineStr">
        <is>
          <t>UWV</t>
        </is>
      </c>
      <c r="E127" s="29" t="inlineStr">
        <is>
          <t>https://www.uwv.nl/nl/ww/wanneer-recht-op-ww</t>
        </is>
      </c>
      <c r="F127" s="49" t="n">
        <v>46317</v>
      </c>
      <c r="G127" s="29" t="inlineStr">
        <is>
          <t>eindhoven:is</t>
        </is>
      </c>
      <c r="H127" s="29" t="inlineStr">
        <is>
          <t>WW hak koşulları (26/36 hafta)</t>
        </is>
      </c>
      <c r="I127" s="29" t="inlineStr">
        <is>
          <t>Evet</t>
        </is>
      </c>
      <c r="J127" s="29" t="inlineStr">
        <is>
          <t>Lisans kanıtları/kaynaklar/9d509b49b999d97d6fd40f0c22c3ac41bc272a4b0cd950a741224fd07871780d.html</t>
        </is>
      </c>
      <c r="K127" s="29" t="inlineStr">
        <is>
          <t>9d509b49b999d97d6fd40f0c22c3ac41bc272a4b0cd950a741224fd07871780d</t>
        </is>
      </c>
    </row>
    <row r="128" ht="54" customHeight="1">
      <c r="A128" s="29" t="inlineStr">
        <is>
          <t>eindhoven:kaynak:121</t>
        </is>
      </c>
      <c r="B128" s="29" t="inlineStr">
        <is>
          <t>eindhoven</t>
        </is>
      </c>
      <c r="C128" s="29" t="inlineStr">
        <is>
          <t>WW-uitkering aanvragen | UWV</t>
        </is>
      </c>
      <c r="D128" s="29" t="inlineStr">
        <is>
          <t>UWV</t>
        </is>
      </c>
      <c r="E128" s="29" t="inlineStr">
        <is>
          <t>https://www.uwv.nl/nl/ww/ww-aanvragen</t>
        </is>
      </c>
      <c r="F128" s="49" t="n">
        <v>46317</v>
      </c>
      <c r="G128" s="29" t="inlineStr">
        <is>
          <t>eindhoven:is</t>
        </is>
      </c>
      <c r="H128" s="29" t="inlineStr">
        <is>
          <t>WW başvurusu nasıl yapılır</t>
        </is>
      </c>
      <c r="I128" s="29" t="inlineStr">
        <is>
          <t>Evet</t>
        </is>
      </c>
      <c r="J128" s="29" t="inlineStr">
        <is>
          <t>Lisans kanıtları/kaynaklar/c6b3378e2219e91577e4d9b30cc1c24c48135c09409b443b370af431f1b0aef3.html</t>
        </is>
      </c>
      <c r="K128" s="29" t="inlineStr">
        <is>
          <t>c6b3378e2219e91577e4d9b30cc1c24c48135c09409b443b370af431f1b0aef3</t>
        </is>
      </c>
    </row>
    <row r="129" ht="54" customHeight="1">
      <c r="A129" s="29" t="inlineStr">
        <is>
          <t>eindhoven:kaynak:122</t>
        </is>
      </c>
      <c r="B129" s="29" t="inlineStr">
        <is>
          <t>eindhoven</t>
        </is>
      </c>
      <c r="C129" s="29" t="inlineStr">
        <is>
          <t>Understanding your rights | UWV</t>
        </is>
      </c>
      <c r="D129" s="29" t="inlineStr">
        <is>
          <t>UWV</t>
        </is>
      </c>
      <c r="E129" s="29" t="inlineStr">
        <is>
          <t>https://www.uwv.nl/en/individuals/dismissal-and-redundancy/your-rights</t>
        </is>
      </c>
      <c r="F129" s="49" t="n">
        <v>46317</v>
      </c>
      <c r="G129" s="29" t="inlineStr">
        <is>
          <t>eindhoven:is</t>
        </is>
      </c>
      <c r="H129" s="29" t="inlineStr">
        <is>
          <t>İşten çıkarma ve ihbar süresi hakları</t>
        </is>
      </c>
      <c r="I129" s="29" t="inlineStr">
        <is>
          <t>Evet</t>
        </is>
      </c>
      <c r="J129" s="29" t="inlineStr">
        <is>
          <t>Lisans kanıtları/kaynaklar/09e6cff7650c62341ffb7dc3c8ba2831099c7385c8290f72b879408b2c1491aa.html</t>
        </is>
      </c>
      <c r="K129" s="29" t="inlineStr">
        <is>
          <t>09e6cff7650c62341ffb7dc3c8ba2831099c7385c8290f72b879408b2c1491aa</t>
        </is>
      </c>
    </row>
    <row r="130" ht="54" customHeight="1">
      <c r="A130" s="29" t="inlineStr">
        <is>
          <t>eindhoven:kaynak:123</t>
        </is>
      </c>
      <c r="B130" s="29" t="inlineStr">
        <is>
          <t>eindhoven</t>
        </is>
      </c>
      <c r="C130" s="29" t="inlineStr">
        <is>
          <t>Trial period | Business.gov.nl</t>
        </is>
      </c>
      <c r="D130" s="29" t="inlineStr">
        <is>
          <t>Business.gov.nl</t>
        </is>
      </c>
      <c r="E130" s="29" t="inlineStr">
        <is>
          <t>https://business.gov.nl/regulations/trial-period/</t>
        </is>
      </c>
      <c r="F130" s="49" t="n">
        <v>46317</v>
      </c>
      <c r="G130" s="29" t="inlineStr">
        <is>
          <t>eindhoven:is</t>
        </is>
      </c>
      <c r="H130" s="29" t="inlineStr">
        <is>
          <t>Deneme süresi kuralları</t>
        </is>
      </c>
      <c r="I130" s="29" t="inlineStr">
        <is>
          <t>Evet</t>
        </is>
      </c>
      <c r="J130" s="29" t="inlineStr">
        <is>
          <t>Lisans kanıtları/kaynaklar/88f999ab6c774627fb6f6bd6816ad785f7a7ed7e5877630db3d84ca9d55d2eda.html</t>
        </is>
      </c>
      <c r="K130" s="29" t="inlineStr">
        <is>
          <t>88f999ab6c774627fb6f6bd6816ad785f7a7ed7e5877630db3d84ca9d55d2eda</t>
        </is>
      </c>
    </row>
    <row r="131" ht="54" customHeight="1">
      <c r="A131" s="29" t="inlineStr">
        <is>
          <t>eindhoven:kaynak:124</t>
        </is>
      </c>
      <c r="B131" s="29" t="inlineStr">
        <is>
          <t>eindhoven</t>
        </is>
      </c>
      <c r="C131" s="29" t="inlineStr">
        <is>
          <t>Employment contracts in the Netherlands | Business.gov.nl</t>
        </is>
      </c>
      <c r="D131" s="29" t="inlineStr">
        <is>
          <t>Business.gov.nl</t>
        </is>
      </c>
      <c r="E131" s="29" t="inlineStr">
        <is>
          <t>https://business.gov.nl/regulations/contract-employment/</t>
        </is>
      </c>
      <c r="F131" s="49" t="n">
        <v>46317</v>
      </c>
      <c r="G131" s="29" t="inlineStr">
        <is>
          <t>eindhoven:is</t>
        </is>
      </c>
      <c r="H131" s="29" t="inlineStr">
        <is>
          <t>İş sözleşmesi türleri ve hakları</t>
        </is>
      </c>
      <c r="I131" s="29" t="inlineStr">
        <is>
          <t>Evet</t>
        </is>
      </c>
      <c r="J131" s="29" t="inlineStr">
        <is>
          <t>Lisans kanıtları/kaynaklar/cf55f194c16fa9e546c1203483bc193b1cdde6447fd781bde141ec9fe6930514.html</t>
        </is>
      </c>
      <c r="K131" s="29" t="inlineStr">
        <is>
          <t>cf55f194c16fa9e546c1203483bc193b1cdde6447fd781bde141ec9fe6930514</t>
        </is>
      </c>
    </row>
    <row r="132" ht="54" customHeight="1">
      <c r="A132" s="29" t="inlineStr">
        <is>
          <t>eindhoven:kaynak:125</t>
        </is>
      </c>
      <c r="B132" s="29" t="inlineStr">
        <is>
          <t>eindhoven</t>
        </is>
      </c>
      <c r="C132" s="29" t="inlineStr">
        <is>
          <t>Paying holiday allowance to your staff | Business.gov.nl</t>
        </is>
      </c>
      <c r="D132" s="29" t="inlineStr">
        <is>
          <t>Business.gov.nl</t>
        </is>
      </c>
      <c r="E132" s="29" t="inlineStr">
        <is>
          <t>https://business.gov.nl/staff/terms-of-employment/paying-holiday-allowance-to-your-staff/</t>
        </is>
      </c>
      <c r="F132" s="49" t="n">
        <v>46317</v>
      </c>
      <c r="G132" s="29" t="inlineStr">
        <is>
          <t>eindhoven:is</t>
        </is>
      </c>
      <c r="H132" s="29" t="inlineStr">
        <is>
          <t>Vakantiegeld (yüzde 8 tatil harçlığı)</t>
        </is>
      </c>
      <c r="I132" s="29" t="inlineStr">
        <is>
          <t>Evet</t>
        </is>
      </c>
      <c r="J132" s="29" t="inlineStr">
        <is>
          <t>Lisans kanıtları/kaynaklar/cb2e0adbffbc8a9c9bd1ab5959ba98eafd8d36ad12c95ae5541038c54201d44a.html</t>
        </is>
      </c>
      <c r="K132" s="29" t="inlineStr">
        <is>
          <t>cb2e0adbffbc8a9c9bd1ab5959ba98eafd8d36ad12c95ae5541038c54201d44a</t>
        </is>
      </c>
    </row>
    <row r="133" ht="54" customHeight="1">
      <c r="A133" s="29" t="inlineStr">
        <is>
          <t>eindhoven:kaynak:126</t>
        </is>
      </c>
      <c r="B133" s="29" t="inlineStr">
        <is>
          <t>eindhoven</t>
        </is>
      </c>
      <c r="C133" s="29" t="inlineStr">
        <is>
          <t>Leave schemes in the Netherlands | Business.gov.nl</t>
        </is>
      </c>
      <c r="D133" s="29" t="inlineStr">
        <is>
          <t>Business.gov.nl</t>
        </is>
      </c>
      <c r="E133" s="29" t="inlineStr">
        <is>
          <t>https://business.gov.nl/regulations/leave-schemes/</t>
        </is>
      </c>
      <c r="F133" s="49" t="n">
        <v>46317</v>
      </c>
      <c r="G133" s="29" t="inlineStr">
        <is>
          <t>eindhoven:is</t>
        </is>
      </c>
      <c r="H133" s="29" t="inlineStr">
        <is>
          <t>Yıllık izin ve diğer izin türleri</t>
        </is>
      </c>
      <c r="I133" s="29" t="inlineStr">
        <is>
          <t>Evet</t>
        </is>
      </c>
      <c r="J133" s="29" t="inlineStr">
        <is>
          <t>Lisans kanıtları/kaynaklar/1231d447e0ff881f68eeabf47576eaf110adafc12269c86b6755a0fd58f68035.html</t>
        </is>
      </c>
      <c r="K133" s="29" t="inlineStr">
        <is>
          <t>1231d447e0ff881f68eeabf47576eaf110adafc12269c86b6755a0fd58f68035</t>
        </is>
      </c>
    </row>
    <row r="134" ht="54" customHeight="1">
      <c r="A134" s="29" t="inlineStr">
        <is>
          <t>eindhoven:kaynak:127</t>
        </is>
      </c>
      <c r="B134" s="29" t="inlineStr">
        <is>
          <t>eindhoven</t>
        </is>
      </c>
      <c r="C134" s="29" t="inlineStr">
        <is>
          <t>Registration | KVK</t>
        </is>
      </c>
      <c r="D134" s="29" t="inlineStr">
        <is>
          <t>KVK</t>
        </is>
      </c>
      <c r="E134" s="29" t="inlineStr">
        <is>
          <t>https://www.kvk.nl/en/registration/</t>
        </is>
      </c>
      <c r="F134" s="49" t="n">
        <v>46317</v>
      </c>
      <c r="G134" s="29" t="inlineStr">
        <is>
          <t>eindhoven:is</t>
        </is>
      </c>
      <c r="H134" s="29" t="inlineStr">
        <is>
          <t>KVK'ya şirket/serbest meslek kaydı</t>
        </is>
      </c>
      <c r="I134" s="29" t="inlineStr">
        <is>
          <t>Evet</t>
        </is>
      </c>
      <c r="J134" s="29" t="inlineStr">
        <is>
          <t>Lisans kanıtları/kaynaklar/6922c2a50384f9a1fb4dbb771528320f17b49f5bf60840078f1d893b8b841439.html</t>
        </is>
      </c>
      <c r="K134" s="29" t="inlineStr">
        <is>
          <t>6922c2a50384f9a1fb4dbb771528320f17b49f5bf60840078f1d893b8b841439</t>
        </is>
      </c>
    </row>
    <row r="135" ht="54" customHeight="1">
      <c r="A135" s="29" t="inlineStr">
        <is>
          <t>eindhoven:kaynak:128</t>
        </is>
      </c>
      <c r="B135" s="29" t="inlineStr">
        <is>
          <t>eindhoven</t>
        </is>
      </c>
      <c r="C135" s="29" t="inlineStr">
        <is>
          <t>Register your Dutch business with KVK | Business.gov.nl</t>
        </is>
      </c>
      <c r="D135" s="29" t="inlineStr">
        <is>
          <t>Business.gov.nl</t>
        </is>
      </c>
      <c r="E135" s="29" t="inlineStr">
        <is>
          <t>https://business.gov.nl/starting-your-business/registering-your-business/registration-at-the-netherlands-chamber-of-commerce-kvk/</t>
        </is>
      </c>
      <c r="F135" s="49" t="n">
        <v>46317</v>
      </c>
      <c r="G135" s="29" t="inlineStr">
        <is>
          <t>eindhoven:is</t>
        </is>
      </c>
      <c r="H135" s="29" t="inlineStr">
        <is>
          <t>KVK kaydı adımları ve zzp</t>
        </is>
      </c>
      <c r="I135" s="29" t="inlineStr">
        <is>
          <t>Evet</t>
        </is>
      </c>
      <c r="J135" s="29" t="inlineStr">
        <is>
          <t>Lisans kanıtları/kaynaklar/3f071f3512ba16a7eb706c7af65239a420b2ff99b7be58e7c1d2a20016028bac.html</t>
        </is>
      </c>
      <c r="K135" s="29" t="inlineStr">
        <is>
          <t>3f071f3512ba16a7eb706c7af65239a420b2ff99b7be58e7c1d2a20016028bac</t>
        </is>
      </c>
    </row>
    <row r="136" ht="54" customHeight="1">
      <c r="A136" s="29" t="inlineStr">
        <is>
          <t>eindhoven:kaynak:129</t>
        </is>
      </c>
      <c r="B136" s="29" t="inlineStr">
        <is>
          <t>eindhoven</t>
        </is>
      </c>
      <c r="C136" s="29" t="inlineStr">
        <is>
          <t>Working in the Netherlands with a foreign diploma | Nuffic</t>
        </is>
      </c>
      <c r="D136" s="29" t="inlineStr">
        <is>
          <t>Nuffic</t>
        </is>
      </c>
      <c r="E136" s="29" t="inlineStr">
        <is>
          <t>https://www.nuffic.nl/en/study-and-work-in-the-netherlands/working-in-the-netherlands-with-a-foreign-diploma</t>
        </is>
      </c>
      <c r="F136" s="49" t="n">
        <v>46317</v>
      </c>
      <c r="G136" s="29" t="inlineStr">
        <is>
          <t>eindhoven:is</t>
        </is>
      </c>
      <c r="H136" s="29" t="inlineStr">
        <is>
          <t>Yabancı diploma ile çalışma ve tanıma</t>
        </is>
      </c>
      <c r="I136" s="29" t="inlineStr">
        <is>
          <t>Evet</t>
        </is>
      </c>
      <c r="J136" s="29" t="inlineStr">
        <is>
          <t>Lisans kanıtları/kaynaklar/f4e47ee9d4579cffffe4ffbc139876de4177297bb662ef72eacfea22090b76cd.html</t>
        </is>
      </c>
      <c r="K136" s="29" t="inlineStr">
        <is>
          <t>f4e47ee9d4579cffffe4ffbc139876de4177297bb662ef72eacfea22090b76cd</t>
        </is>
      </c>
    </row>
    <row r="137" ht="54" customHeight="1">
      <c r="A137" s="29" t="inlineStr">
        <is>
          <t>eindhoven:kaynak:131</t>
        </is>
      </c>
      <c r="B137" s="29" t="inlineStr">
        <is>
          <t>eindhoven</t>
        </is>
      </c>
      <c r="C137" s="29" t="inlineStr">
        <is>
          <t>Brainport Monitor | Arbeidsmarkt in Eindhoven: Banen en Vacatures</t>
        </is>
      </c>
      <c r="D137" s="29" t="inlineStr">
        <is>
          <t>Brainport Development</t>
        </is>
      </c>
      <c r="E137" s="29" t="inlineStr">
        <is>
          <t>https://brainporteindhoven.com/nl/strategie-en-organisatie/agenda-voor-de-regio/brainport-monitor/arbeidsmarkt</t>
        </is>
      </c>
      <c r="F137" s="49" t="n">
        <v>46317</v>
      </c>
      <c r="G137" s="29" t="inlineStr">
        <is>
          <t>eindhoven:is</t>
        </is>
      </c>
      <c r="H137" s="29" t="inlineStr">
        <is>
          <t>Brainport iş piyasası rakamları</t>
        </is>
      </c>
      <c r="I137" s="29" t="inlineStr">
        <is>
          <t>Evet</t>
        </is>
      </c>
      <c r="J137" s="29" t="inlineStr">
        <is>
          <t>Lisans kanıtları/kaynaklar/ef5466d10deb2690b9f229d58e8a79cc5e61c48cb636c4cf827e798eaa7dd8a0.html</t>
        </is>
      </c>
      <c r="K137" s="29" t="inlineStr">
        <is>
          <t>ef5466d10deb2690b9f229d58e8a79cc5e61c48cb636c4cf827e798eaa7dd8a0</t>
        </is>
      </c>
    </row>
    <row r="138" ht="54" customHeight="1">
      <c r="A138" s="29" t="inlineStr">
        <is>
          <t>eindhoven:kaynak:132</t>
        </is>
      </c>
      <c r="B138" s="29" t="inlineStr">
        <is>
          <t>eindhoven</t>
        </is>
      </c>
      <c r="C138" s="29" t="inlineStr">
        <is>
          <t>WIN Informatiepunt Zuidoost-Brabant | Gemeente Eindhoven</t>
        </is>
      </c>
      <c r="D138" s="29" t="inlineStr">
        <is>
          <t>Gemeente Eindhoven</t>
        </is>
      </c>
      <c r="E138" s="29" t="inlineStr">
        <is>
          <t>https://www.eindhoven.nl/inkomen-zorg-en-onderwijs/inkomen/win-informatiepunt-zuidoost-brabant</t>
        </is>
      </c>
      <c r="F138" s="49" t="n">
        <v>46317</v>
      </c>
      <c r="G138" s="29" t="inlineStr">
        <is>
          <t>eindhoven:is</t>
        </is>
      </c>
      <c r="H138" s="29" t="inlineStr">
        <is>
          <t>Yeni gelenlere iş/hak danışma noktası</t>
        </is>
      </c>
      <c r="I138" s="29" t="inlineStr">
        <is>
          <t>Evet</t>
        </is>
      </c>
      <c r="J138" s="29" t="inlineStr">
        <is>
          <t>Lisans kanıtları/kaynaklar/4b509d1d10df52779b4b0e0212f01edb43a0418dcda071ec1854271110367a17.html</t>
        </is>
      </c>
      <c r="K138" s="29" t="inlineStr">
        <is>
          <t>4b509d1d10df52779b4b0e0212f01edb43a0418dcda071ec1854271110367a17</t>
        </is>
      </c>
    </row>
    <row r="139" ht="54" customHeight="1">
      <c r="A139" s="29" t="inlineStr">
        <is>
          <t>eindhoven:kaynak:133</t>
        </is>
      </c>
      <c r="B139" s="29" t="inlineStr">
        <is>
          <t>eindhoven</t>
        </is>
      </c>
      <c r="C139" s="29" t="inlineStr">
        <is>
          <t>How to find a job | Holland Expat Center South</t>
        </is>
      </c>
      <c r="D139" s="29" t="inlineStr">
        <is>
          <t>Holland Expat Center South</t>
        </is>
      </c>
      <c r="E139" s="29" t="inlineStr">
        <is>
          <t>https://www.hollandexpatcenter.com/living-in/careers/how-to-find-a-job</t>
        </is>
      </c>
      <c r="F139" s="49" t="n">
        <v>46317</v>
      </c>
      <c r="G139" s="29" t="inlineStr">
        <is>
          <t>eindhoven:is</t>
        </is>
      </c>
      <c r="H139" s="29" t="inlineStr">
        <is>
          <t>Hollanda'da iş bulma yolları</t>
        </is>
      </c>
      <c r="I139" s="29" t="inlineStr">
        <is>
          <t>Evet</t>
        </is>
      </c>
      <c r="J139" s="29" t="inlineStr">
        <is>
          <t>Lisans kanıtları/kaynaklar/7c379f2f68077dc3f083b51d7c5d064c55dcacda7cbbcc95997983e93a44cbc8.html</t>
        </is>
      </c>
      <c r="K139" s="29" t="inlineStr">
        <is>
          <t>7c379f2f68077dc3f083b51d7c5d064c55dcacda7cbbcc95997983e93a44cbc8</t>
        </is>
      </c>
    </row>
    <row r="140" ht="54" customHeight="1">
      <c r="A140" s="29" t="inlineStr">
        <is>
          <t>eindhoven:kaynak:134</t>
        </is>
      </c>
      <c r="B140" s="29" t="inlineStr">
        <is>
          <t>eindhoven</t>
        </is>
      </c>
      <c r="C140" s="29" t="inlineStr">
        <is>
          <t>Applying for kinderopvangtoeslag (childcare benefit) | Government.nl</t>
        </is>
      </c>
      <c r="D140" s="29" t="inlineStr">
        <is>
          <t>Rijksoverheid</t>
        </is>
      </c>
      <c r="E140" s="29" t="inlineStr">
        <is>
          <t>https://www.government.nl/themes/family-health-and-care/childcare/childcare-benefit</t>
        </is>
      </c>
      <c r="F140" s="49" t="n">
        <v>46317</v>
      </c>
      <c r="G140" s="29" t="inlineStr">
        <is>
          <t>eindhoven:aile</t>
        </is>
      </c>
      <c r="H140" s="29" t="inlineStr">
        <is>
          <t>Kinderopvangtoeslag başvurusu ve şartları</t>
        </is>
      </c>
      <c r="I140" s="29" t="inlineStr">
        <is>
          <t>Evet</t>
        </is>
      </c>
      <c r="J140" s="29" t="inlineStr">
        <is>
          <t>Lisans kanıtları/kaynaklar/43cc3a42f9cb9dc37a1eee20876750ed5d20910623883be4a8c15dc95148403c.html</t>
        </is>
      </c>
      <c r="K140" s="29" t="inlineStr">
        <is>
          <t>43cc3a42f9cb9dc37a1eee20876750ed5d20910623883be4a8c15dc95148403c</t>
        </is>
      </c>
    </row>
    <row r="141" ht="54" customHeight="1">
      <c r="A141" s="29" t="inlineStr">
        <is>
          <t>eindhoven:kaynak:135</t>
        </is>
      </c>
      <c r="B141" s="29" t="inlineStr">
        <is>
          <t>eindhoven</t>
        </is>
      </c>
      <c r="C141" s="29" t="inlineStr">
        <is>
          <t>My child goes to a childcare centre | Dienst Toeslagen</t>
        </is>
      </c>
      <c r="D141" s="29" t="inlineStr">
        <is>
          <t>Belastingdienst</t>
        </is>
      </c>
      <c r="E141" s="29" t="inlineStr">
        <is>
          <t>https://www.belastingdienst.nl/wps/wcm/connect/bldcontenten/belastingdienst/individuals/benefits/moving_to_the_netherlands/my_child_goes_to_a_childcare_centre/my_child_goes_to_a_childcare_centre</t>
        </is>
      </c>
      <c r="F141" s="49" t="n">
        <v>46317</v>
      </c>
      <c r="G141" s="29" t="inlineStr">
        <is>
          <t>eindhoven:aile</t>
        </is>
      </c>
      <c r="H141" s="29" t="inlineStr">
        <is>
          <t>Yeni gelenler için çocuk bakımı yardımı</t>
        </is>
      </c>
      <c r="I141" s="29" t="inlineStr">
        <is>
          <t>Evet</t>
        </is>
      </c>
      <c r="J141" s="29" t="inlineStr">
        <is>
          <t>Lisans kanıtları/kaynaklar/26c9386fce33374a6c6899d9ab7008194fb4ff73d0e1537780afc20e227c1ecc.html</t>
        </is>
      </c>
      <c r="K141" s="29" t="inlineStr">
        <is>
          <t>26c9386fce33374a6c6899d9ab7008194fb4ff73d0e1537780afc20e227c1ecc</t>
        </is>
      </c>
    </row>
    <row r="142" ht="54" customHeight="1">
      <c r="A142" s="29" t="inlineStr">
        <is>
          <t>eindhoven:kaynak:136</t>
        </is>
      </c>
      <c r="B142" s="29" t="inlineStr">
        <is>
          <t>eindhoven</t>
        </is>
      </c>
      <c r="C142" s="29" t="inlineStr">
        <is>
          <t>Hoe moet ik kinderopvangtoeslag aanvragen? | Dienst Toeslagen</t>
        </is>
      </c>
      <c r="D142" s="29" t="inlineStr">
        <is>
          <t>Belastingdienst</t>
        </is>
      </c>
      <c r="E142" s="29" t="inlineStr">
        <is>
          <t>https://www.belastingdienst.nl/wps/wcm/connect/nl/kinderopvangtoeslag/content/hoe-moet-ik-kinderopvangtoeslag-aanvragen</t>
        </is>
      </c>
      <c r="F142" s="49" t="n">
        <v>46317</v>
      </c>
      <c r="G142" s="29" t="inlineStr">
        <is>
          <t>eindhoven:aile</t>
        </is>
      </c>
      <c r="H142" s="29" t="inlineStr">
        <is>
          <t>Başvuru süresi (3 ay) ve gereken bilgiler</t>
        </is>
      </c>
      <c r="I142" s="29" t="inlineStr">
        <is>
          <t>Evet</t>
        </is>
      </c>
      <c r="J142" s="29" t="inlineStr">
        <is>
          <t>Lisans kanıtları/kaynaklar/f76b2fd8d3a8325bbcc98297df51ba23adb39a4142405fe5ccfc81dc71c7881f.html</t>
        </is>
      </c>
      <c r="K142" s="29" t="inlineStr">
        <is>
          <t>f76b2fd8d3a8325bbcc98297df51ba23adb39a4142405fe5ccfc81dc71c7881f</t>
        </is>
      </c>
    </row>
    <row r="143" ht="54" customHeight="1">
      <c r="A143" s="29" t="inlineStr">
        <is>
          <t>eindhoven:kaynak:137</t>
        </is>
      </c>
      <c r="B143" s="29" t="inlineStr">
        <is>
          <t>eindhoven</t>
        </is>
      </c>
      <c r="C143" s="29" t="inlineStr">
        <is>
          <t>Accessing the National Childcare Register (Landelijk Register Kinderopvang, LRK) | Government.nl</t>
        </is>
      </c>
      <c r="D143" s="29" t="inlineStr">
        <is>
          <t>Rijksoverheid</t>
        </is>
      </c>
      <c r="E143" s="29" t="inlineStr">
        <is>
          <t>https://www.government.nl/themes/family-health-and-care/childcare/accessing-the-national-childcare-register-landelijk-register-kinderopvang-lrk</t>
        </is>
      </c>
      <c r="F143" s="49" t="n">
        <v>46317</v>
      </c>
      <c r="G143" s="29" t="inlineStr">
        <is>
          <t>eindhoven:aile</t>
        </is>
      </c>
      <c r="H143" s="29" t="inlineStr">
        <is>
          <t>Kayıtlı kreş/kinderopvang nasıl doğrulanır</t>
        </is>
      </c>
      <c r="I143" s="29" t="inlineStr">
        <is>
          <t>Evet</t>
        </is>
      </c>
      <c r="J143" s="29" t="inlineStr">
        <is>
          <t>Lisans kanıtları/kaynaklar/39757690986096c225d7f5f4dbe23733e4a075adf7ca0c790e30a10c68ec095b.html</t>
        </is>
      </c>
      <c r="K143" s="29" t="inlineStr">
        <is>
          <t>39757690986096c225d7f5f4dbe23733e4a075adf7ca0c790e30a10c68ec095b</t>
        </is>
      </c>
    </row>
    <row r="144" ht="54" customHeight="1">
      <c r="A144" s="29" t="inlineStr">
        <is>
          <t>eindhoven:kaynak:139</t>
        </is>
      </c>
      <c r="B144" s="29" t="inlineStr">
        <is>
          <t>eindhoven</t>
        </is>
      </c>
      <c r="C144" s="29" t="inlineStr">
        <is>
          <t>Applying for kindgebonden budget (child budget) | Government.nl</t>
        </is>
      </c>
      <c r="D144" s="29" t="inlineStr">
        <is>
          <t>Rijksoverheid</t>
        </is>
      </c>
      <c r="E144" s="29" t="inlineStr">
        <is>
          <t>https://www.government.nl/themes/taxes-benefits-and-allowances/child-budget/applying-for-a-child-budget</t>
        </is>
      </c>
      <c r="F144" s="49" t="n">
        <v>46317</v>
      </c>
      <c r="G144" s="29" t="inlineStr">
        <is>
          <t>eindhoven:aile</t>
        </is>
      </c>
      <c r="H144" s="29" t="inlineStr">
        <is>
          <t>Kindgebonden budget başvurusu</t>
        </is>
      </c>
      <c r="I144" s="29" t="inlineStr">
        <is>
          <t>Evet</t>
        </is>
      </c>
      <c r="J144" s="29" t="inlineStr">
        <is>
          <t>Lisans kanıtları/kaynaklar/e8a59dc350fb316ea2fcde1e504e69a646a37ce135ace46def61ca451b5783a6.html</t>
        </is>
      </c>
      <c r="K144" s="29" t="inlineStr">
        <is>
          <t>e8a59dc350fb316ea2fcde1e504e69a646a37ce135ace46def61ca451b5783a6</t>
        </is>
      </c>
    </row>
    <row r="145" ht="54" customHeight="1">
      <c r="A145" s="29" t="inlineStr">
        <is>
          <t>eindhoven:kaynak:140</t>
        </is>
      </c>
      <c r="B145" s="29" t="inlineStr">
        <is>
          <t>eindhoven</t>
        </is>
      </c>
      <c r="C145" s="29" t="inlineStr">
        <is>
          <t>Kan ik kindgebonden budget krijgen? | Dienst Toeslagen</t>
        </is>
      </c>
      <c r="D145" s="29" t="inlineStr">
        <is>
          <t>Belastingdienst</t>
        </is>
      </c>
      <c r="E145" s="29" t="inlineStr">
        <is>
          <t>https://www.belastingdienst.nl/wps/wcm/connect/nl/kindgebonden-budget/content/kan-ik-kindgebonden-budget-krijgen</t>
        </is>
      </c>
      <c r="F145" s="49" t="n">
        <v>46317</v>
      </c>
      <c r="G145" s="29" t="inlineStr">
        <is>
          <t>eindhoven:aile</t>
        </is>
      </c>
      <c r="H145" s="29" t="inlineStr">
        <is>
          <t>Kindgebonden budget hak şartları</t>
        </is>
      </c>
      <c r="I145" s="29" t="inlineStr">
        <is>
          <t>Evet</t>
        </is>
      </c>
      <c r="J145" s="29" t="inlineStr">
        <is>
          <t>Lisans kanıtları/kaynaklar/120be5a66b8c6b3243ec70d07d62f86e5fb74c9393ca27dad28f86b417052a86.html</t>
        </is>
      </c>
      <c r="K145" s="29" t="inlineStr">
        <is>
          <t>120be5a66b8c6b3243ec70d07d62f86e5fb74c9393ca27dad28f86b417052a86</t>
        </is>
      </c>
    </row>
    <row r="146" ht="54" customHeight="1">
      <c r="A146" s="29" t="inlineStr">
        <is>
          <t>eindhoven:kaynak:141</t>
        </is>
      </c>
      <c r="B146" s="29" t="inlineStr">
        <is>
          <t>eindhoven</t>
        </is>
      </c>
      <c r="C146" s="29" t="inlineStr">
        <is>
          <t>Wanneer mag mijn kind naar de basisschool? | Rijksoverheid.nl</t>
        </is>
      </c>
      <c r="D146" s="29" t="inlineStr">
        <is>
          <t>Rijksoverheid</t>
        </is>
      </c>
      <c r="E146" s="29" t="inlineStr">
        <is>
          <t>https://www.rijksoverheid.nl/documenten/vraag-en-antwoord/basisonderwijs/wanneer-mag-mijn-kind-naar-de-basisschool</t>
        </is>
      </c>
      <c r="F146" s="49" t="n">
        <v>46317</v>
      </c>
      <c r="G146" s="29" t="inlineStr">
        <is>
          <t>eindhoven:aile</t>
        </is>
      </c>
      <c r="H146" s="29" t="inlineStr">
        <is>
          <t>Basisschool kaydı yaşı ve zamanı</t>
        </is>
      </c>
      <c r="I146" s="29" t="inlineStr">
        <is>
          <t>Evet</t>
        </is>
      </c>
      <c r="J146" s="29" t="inlineStr">
        <is>
          <t>Lisans kanıtları/kaynaklar/500b2652e99e29e926c7490d120e98be2f3adf331f1f5b2ed62a8a14b3927ac4.html</t>
        </is>
      </c>
      <c r="K146" s="29" t="inlineStr">
        <is>
          <t>500b2652e99e29e926c7490d120e98be2f3adf331f1f5b2ed62a8a14b3927ac4</t>
        </is>
      </c>
    </row>
    <row r="147" ht="54" customHeight="1">
      <c r="A147" s="29" t="inlineStr">
        <is>
          <t>eindhoven:kaynak:142</t>
        </is>
      </c>
      <c r="B147" s="29" t="inlineStr">
        <is>
          <t>eindhoven</t>
        </is>
      </c>
      <c r="C147" s="29" t="inlineStr">
        <is>
          <t>Leerplicht en kwalificatieplicht | Gemeente Eindhoven</t>
        </is>
      </c>
      <c r="D147" s="29" t="inlineStr">
        <is>
          <t>Gemeente Eindhoven</t>
        </is>
      </c>
      <c r="E147" s="29" t="inlineStr">
        <is>
          <t>https://www.eindhoven.nl/inkomen-zorg-en-onderwijs/onderwijs/leerplicht-en-rmc/leerplicht-en-kwalificatieplicht</t>
        </is>
      </c>
      <c r="F147" s="49" t="n">
        <v>46317</v>
      </c>
      <c r="G147" s="29" t="inlineStr">
        <is>
          <t>eindhoven:aile</t>
        </is>
      </c>
      <c r="H147" s="29" t="inlineStr">
        <is>
          <t>Eindhoven'da leerplicht ve kwalificatieplicht</t>
        </is>
      </c>
      <c r="I147" s="29" t="inlineStr">
        <is>
          <t>Evet</t>
        </is>
      </c>
      <c r="J147" s="29" t="inlineStr">
        <is>
          <t>Lisans kanıtları/kaynaklar/bc5be65f54af0e89fc854c52f133f48705f205d64f5c2af233eb142b1f7360f9.html</t>
        </is>
      </c>
      <c r="K147" s="29" t="inlineStr">
        <is>
          <t>bc5be65f54af0e89fc854c52f133f48705f205d64f5c2af233eb142b1f7360f9</t>
        </is>
      </c>
    </row>
    <row r="148" ht="54" customHeight="1">
      <c r="A148" s="29" t="inlineStr">
        <is>
          <t>eindhoven:kaynak:144</t>
        </is>
      </c>
      <c r="B148" s="29" t="inlineStr">
        <is>
          <t>eindhoven</t>
        </is>
      </c>
      <c r="C148" s="29" t="inlineStr">
        <is>
          <t>Newcomer schools and classes | Holland Expat Center South</t>
        </is>
      </c>
      <c r="D148" s="29" t="inlineStr">
        <is>
          <t>Holland Expat Center South</t>
        </is>
      </c>
      <c r="E148" s="29" t="inlineStr">
        <is>
          <t>https://www.hollandexpatcenter.com/internationals-guide/education/newcomer-schools-and-classes</t>
        </is>
      </c>
      <c r="F148" s="49" t="n">
        <v>46317</v>
      </c>
      <c r="G148" s="29" t="inlineStr">
        <is>
          <t>eindhoven:aile</t>
        </is>
      </c>
      <c r="H148" s="29" t="inlineStr">
        <is>
          <t>Felemenkçe bilmeyen çocuklar için yeni gelen sınıfları</t>
        </is>
      </c>
      <c r="I148" s="29" t="inlineStr">
        <is>
          <t>Evet</t>
        </is>
      </c>
      <c r="J148" s="29" t="inlineStr">
        <is>
          <t>Lisans kanıtları/kaynaklar/784afe6df1196d7d5cf3ded8f804f7bb4c26d72ee8ec6b487a952d5bd40d2c10.html</t>
        </is>
      </c>
      <c r="K148" s="29" t="inlineStr">
        <is>
          <t>784afe6df1196d7d5cf3ded8f804f7bb4c26d72ee8ec6b487a952d5bd40d2c10</t>
        </is>
      </c>
    </row>
    <row r="149" ht="54" customHeight="1">
      <c r="A149" s="29" t="inlineStr">
        <is>
          <t>eindhoven:kaynak:145</t>
        </is>
      </c>
      <c r="B149" s="29" t="inlineStr">
        <is>
          <t>eindhoven</t>
        </is>
      </c>
      <c r="C149" s="29" t="inlineStr">
        <is>
          <t>International School Eindhoven (ISE) | Holland Expat Center South</t>
        </is>
      </c>
      <c r="D149" s="29" t="inlineStr">
        <is>
          <t>Holland Expat Center South</t>
        </is>
      </c>
      <c r="E149" s="29" t="inlineStr">
        <is>
          <t>https://www.hollandexpatcenter.com/partners/international-school-eindhoven-ise</t>
        </is>
      </c>
      <c r="F149" s="49" t="n">
        <v>46317</v>
      </c>
      <c r="G149" s="29" t="inlineStr">
        <is>
          <t>eindhoven:aile</t>
        </is>
      </c>
      <c r="H149" s="29" t="inlineStr">
        <is>
          <t>ISE okulu tanıtımı ve bölümleri</t>
        </is>
      </c>
      <c r="I149" s="29" t="inlineStr">
        <is>
          <t>Evet</t>
        </is>
      </c>
      <c r="J149" s="29" t="inlineStr">
        <is>
          <t>Lisans kanıtları/kaynaklar/544069fbc9c40e05df345a1dd3e8268930ed431da4f41eb07f66ec7a953eaeb9.html</t>
        </is>
      </c>
      <c r="K149" s="29" t="inlineStr">
        <is>
          <t>544069fbc9c40e05df345a1dd3e8268930ed431da4f41eb07f66ec7a953eaeb9</t>
        </is>
      </c>
    </row>
    <row r="150" ht="54" customHeight="1">
      <c r="A150" s="29" t="inlineStr">
        <is>
          <t>eindhoven:kaynak:146</t>
        </is>
      </c>
      <c r="B150" s="29" t="inlineStr">
        <is>
          <t>eindhoven</t>
        </is>
      </c>
      <c r="C150" s="29" t="inlineStr">
        <is>
          <t>Admissions - International School Eindhoven</t>
        </is>
      </c>
      <c r="D150" s="29" t="inlineStr">
        <is>
          <t>International School Eindhoven</t>
        </is>
      </c>
      <c r="E150" s="29" t="inlineStr">
        <is>
          <t>https://www.isecampus.nl/admissions/</t>
        </is>
      </c>
      <c r="F150" s="49" t="n">
        <v>46317</v>
      </c>
      <c r="G150" s="29" t="inlineStr">
        <is>
          <t>eindhoven:aile</t>
        </is>
      </c>
      <c r="H150" s="29" t="inlineStr">
        <is>
          <t>ISE kayıt süreci</t>
        </is>
      </c>
      <c r="I150" s="29" t="inlineStr">
        <is>
          <t>Evet</t>
        </is>
      </c>
      <c r="J150" s="29" t="inlineStr">
        <is>
          <t>Lisans kanıtları/kaynaklar/219635da9f9fcfd11f65337a364dfcdb28f15c88e2a93f2a794483dfa5ad6cd1.html</t>
        </is>
      </c>
      <c r="K150" s="29" t="inlineStr">
        <is>
          <t>219635da9f9fcfd11f65337a364dfcdb28f15c88e2a93f2a794483dfa5ad6cd1</t>
        </is>
      </c>
    </row>
    <row r="151" ht="54" customHeight="1">
      <c r="A151" s="29" t="inlineStr">
        <is>
          <t>eindhoven:kaynak:147</t>
        </is>
      </c>
      <c r="B151" s="29" t="inlineStr">
        <is>
          <t>eindhoven</t>
        </is>
      </c>
      <c r="C151" s="29" t="inlineStr">
        <is>
          <t>Erkenning kind en adoptie | Gemeente Eindhoven</t>
        </is>
      </c>
      <c r="D151" s="29" t="inlineStr">
        <is>
          <t>Gemeente Eindhoven</t>
        </is>
      </c>
      <c r="E151" s="29" t="inlineStr">
        <is>
          <t>https://www.eindhoven.nl/stad-en-wonen/levensgebeurtenissen/erkenning-kind-en-adoptie</t>
        </is>
      </c>
      <c r="F151" s="49" t="n">
        <v>46317</v>
      </c>
      <c r="G151" s="29" t="inlineStr">
        <is>
          <t>eindhoven:aile</t>
        </is>
      </c>
      <c r="H151" s="29" t="inlineStr">
        <is>
          <t>Çocuğun tanınması (evlilik dışı doğum)</t>
        </is>
      </c>
      <c r="I151" s="29" t="inlineStr">
        <is>
          <t>Evet</t>
        </is>
      </c>
      <c r="J151" s="29" t="inlineStr">
        <is>
          <t>Lisans kanıtları/kaynaklar/6ab3f778a9e061e2237d03dd77e5acbb8d75a45961bc48f40310afb9199d70be.html</t>
        </is>
      </c>
      <c r="K151" s="29" t="inlineStr">
        <is>
          <t>6ab3f778a9e061e2237d03dd77e5acbb8d75a45961bc48f40310afb9199d70be</t>
        </is>
      </c>
    </row>
    <row r="152" ht="54" customHeight="1">
      <c r="A152" s="29" t="inlineStr">
        <is>
          <t>eindhoven:kaynak:148</t>
        </is>
      </c>
      <c r="B152" s="29" t="inlineStr">
        <is>
          <t>eindhoven</t>
        </is>
      </c>
      <c r="C152" s="29" t="inlineStr">
        <is>
          <t>Hoe kan ik ouderschapsverlof aanvragen? | Rijksoverheid.nl</t>
        </is>
      </c>
      <c r="D152" s="29" t="inlineStr">
        <is>
          <t>Rijksoverheid</t>
        </is>
      </c>
      <c r="E152" s="29" t="inlineStr">
        <is>
          <t>https://www.rijksoverheid.nl/documenten/vraag-en-antwoord/zwangerschap-en-geboorte/hoe-kan-ik-ouderschapsverlof-aanvragen</t>
        </is>
      </c>
      <c r="F152" s="49" t="n">
        <v>46317</v>
      </c>
      <c r="G152" s="29" t="inlineStr">
        <is>
          <t>eindhoven:aile</t>
        </is>
      </c>
      <c r="H152" s="29" t="inlineStr">
        <is>
          <t>Ebeveyn izni başvurusu</t>
        </is>
      </c>
      <c r="I152" s="29" t="inlineStr">
        <is>
          <t>Evet</t>
        </is>
      </c>
      <c r="J152" s="29" t="inlineStr">
        <is>
          <t>Lisans kanıtları/kaynaklar/838f5d82d9ab18f3d8e05b4998c0752c20c312222c5dd03cb0dcf8cf23fd8e29.html</t>
        </is>
      </c>
      <c r="K152" s="29" t="inlineStr">
        <is>
          <t>838f5d82d9ab18f3d8e05b4998c0752c20c312222c5dd03cb0dcf8cf23fd8e29</t>
        </is>
      </c>
    </row>
    <row r="153" ht="54" customHeight="1">
      <c r="A153" s="29" t="inlineStr">
        <is>
          <t>eindhoven:kaynak:149</t>
        </is>
      </c>
      <c r="B153" s="29" t="inlineStr">
        <is>
          <t>eindhoven</t>
        </is>
      </c>
      <c r="C153" s="29" t="inlineStr">
        <is>
          <t>Ik krijg een kind: maak een overzicht van wat u moet weten en regelen | Rijksoverheid.nl</t>
        </is>
      </c>
      <c r="D153" s="29" t="inlineStr">
        <is>
          <t>Rijksoverheid</t>
        </is>
      </c>
      <c r="E153" s="29" t="inlineStr">
        <is>
          <t>https://www.rijksoverheid.nl/documenten/vraag-en-antwoord/zwangerschap-en-geboorte/checklist-kind-krijgen</t>
        </is>
      </c>
      <c r="F153" s="49" t="n">
        <v>46317</v>
      </c>
      <c r="G153" s="29" t="inlineStr">
        <is>
          <t>eindhoven:aile</t>
        </is>
      </c>
      <c r="H153" s="29" t="inlineStr">
        <is>
          <t>Çocuk sahibi olunca yapılacaklar listesi</t>
        </is>
      </c>
      <c r="I153" s="29" t="inlineStr">
        <is>
          <t>Evet</t>
        </is>
      </c>
      <c r="J153" s="29" t="inlineStr">
        <is>
          <t>Lisans kanıtları/kaynaklar/ed0817a6166e4885c4bbf9f6204d07ca0332a318b82d0495311843ad7f6019cb.html</t>
        </is>
      </c>
      <c r="K153" s="29" t="inlineStr">
        <is>
          <t>ed0817a6166e4885c4bbf9f6204d07ca0332a318b82d0495311843ad7f6019cb</t>
        </is>
      </c>
    </row>
    <row r="154" ht="54" customHeight="1">
      <c r="A154" s="29" t="inlineStr">
        <is>
          <t>eindhoven:kaynak:150</t>
        </is>
      </c>
      <c r="B154" s="29" t="inlineStr">
        <is>
          <t>eindhoven</t>
        </is>
      </c>
      <c r="C154" s="29" t="inlineStr">
        <is>
          <t>Omwisselen buitenlands rijbewijs voor Nederlands rijbewijs | Gemeente Eindhoven</t>
        </is>
      </c>
      <c r="D154" s="29" t="inlineStr">
        <is>
          <t>Gemeente Eindhoven</t>
        </is>
      </c>
      <c r="E154" s="29" t="inlineStr">
        <is>
          <t>https://www.eindhoven.nl/stad-en-wonen/uittreksels-en-documenten/omwisselen-buitenlands-rijbewijs-voor-nederlands-rijbewijs</t>
        </is>
      </c>
      <c r="F154" s="49" t="n">
        <v>46317</v>
      </c>
      <c r="G154" s="29" t="inlineStr">
        <is>
          <t>eindhoven:ulasim</t>
        </is>
      </c>
      <c r="H154" s="29" t="inlineStr">
        <is>
          <t>Eindhoven'da yabancı ehliyet değişimi: randevu, belgeler, ücret, süreç</t>
        </is>
      </c>
      <c r="I154" s="29" t="inlineStr">
        <is>
          <t>Evet</t>
        </is>
      </c>
      <c r="J154" s="29" t="inlineStr">
        <is>
          <t>Lisans kanıtları/kaynaklar/1c01c0c0dbdaa12aa8b4860fb1a67d278b3fd85474d8337d8a65c2fbb1b8c53b.html</t>
        </is>
      </c>
      <c r="K154" s="29" t="inlineStr">
        <is>
          <t>1c01c0c0dbdaa12aa8b4860fb1a67d278b3fd85474d8337d8a65c2fbb1b8c53b</t>
        </is>
      </c>
    </row>
    <row r="155" ht="54" customHeight="1">
      <c r="A155" s="29" t="inlineStr">
        <is>
          <t>eindhoven:kaynak:151</t>
        </is>
      </c>
      <c r="B155" s="29" t="inlineStr">
        <is>
          <t>eindhoven</t>
        </is>
      </c>
      <c r="C155" s="29" t="inlineStr">
        <is>
          <t>Exchanging a foreign driving licence | RDW</t>
        </is>
      </c>
      <c r="D155" s="29" t="inlineStr">
        <is>
          <t>RDW</t>
        </is>
      </c>
      <c r="E155" s="29" t="inlineStr">
        <is>
          <t>https://www.rdw.nl/en/driving-licence/foreign-driving-licence/exchanging-a-foreign-driving-licence</t>
        </is>
      </c>
      <c r="F155" s="49" t="n">
        <v>46317</v>
      </c>
      <c r="G155" s="29" t="inlineStr">
        <is>
          <t>eindhoven:ulasim</t>
        </is>
      </c>
      <c r="H155" s="29" t="inlineStr">
        <is>
          <t>Ehliyet değişim şartları, ülke listesi, 185 gün kuralı, Türk ehliyeti durumu</t>
        </is>
      </c>
      <c r="I155" s="29" t="inlineStr">
        <is>
          <t>Evet</t>
        </is>
      </c>
      <c r="J155" s="29" t="inlineStr">
        <is>
          <t>Lisans kanıtları/kaynaklar/8c6785af475e82fbe39f940379de95a4df27190dca0ed7ef586889545a4b8d5c.html</t>
        </is>
      </c>
      <c r="K155" s="29" t="inlineStr">
        <is>
          <t>8c6785af475e82fbe39f940379de95a4df27190dca0ed7ef586889545a4b8d5c</t>
        </is>
      </c>
    </row>
    <row r="156" ht="54" customHeight="1">
      <c r="A156" s="29" t="inlineStr">
        <is>
          <t>eindhoven:kaynak:152</t>
        </is>
      </c>
      <c r="B156" s="29" t="inlineStr">
        <is>
          <t>eindhoven</t>
        </is>
      </c>
      <c r="C156" s="29" t="inlineStr">
        <is>
          <t>Driving with a foreign driving licence | RDW</t>
        </is>
      </c>
      <c r="D156" s="29" t="inlineStr">
        <is>
          <t>RDW</t>
        </is>
      </c>
      <c r="E156" s="29" t="inlineStr">
        <is>
          <t>https://www.rdw.nl/en/driving-licence/foreign-driving-licence/driving-with-a-foreign-driving-licence</t>
        </is>
      </c>
      <c r="F156" s="49" t="n">
        <v>46317</v>
      </c>
      <c r="G156" s="29" t="inlineStr">
        <is>
          <t>eindhoven:ulasim</t>
        </is>
      </c>
      <c r="H156" s="29" t="inlineStr">
        <is>
          <t>Yabancı ehliyetle Hollanda'da ne kadar sürülebilir (AB dışı 185 gün)</t>
        </is>
      </c>
      <c r="I156" s="29" t="inlineStr">
        <is>
          <t>Evet</t>
        </is>
      </c>
      <c r="J156" s="29" t="inlineStr">
        <is>
          <t>Lisans kanıtları/kaynaklar/4bc7a911602df7fa98c54f5694ae6b7040427a1f5b16e3c17569f568f95ecfab.html</t>
        </is>
      </c>
      <c r="K156" s="29" t="inlineStr">
        <is>
          <t>4bc7a911602df7fa98c54f5694ae6b7040427a1f5b16e3c17569f568f95ecfab</t>
        </is>
      </c>
    </row>
    <row r="157" ht="54" customHeight="1">
      <c r="A157" s="29" t="inlineStr">
        <is>
          <t>eindhoven:kaynak:153</t>
        </is>
      </c>
      <c r="B157" s="29" t="inlineStr">
        <is>
          <t>eindhoven</t>
        </is>
      </c>
      <c r="C157" s="29" t="inlineStr">
        <is>
          <t>Relocating to the Netherlands and bringing your vehicle with you | RDW</t>
        </is>
      </c>
      <c r="D157" s="29" t="inlineStr">
        <is>
          <t>RDW</t>
        </is>
      </c>
      <c r="E157" s="29" t="inlineStr">
        <is>
          <t>https://www.rdw.nl/en/import-export-transit/moving-to-the-netherlands-and-taking-your-vehicle-with-you</t>
        </is>
      </c>
      <c r="F157" s="49" t="n">
        <v>46317</v>
      </c>
      <c r="G157" s="29" t="inlineStr">
        <is>
          <t>eindhoven:ulasim</t>
        </is>
      </c>
      <c r="H157" s="29" t="inlineStr">
        <is>
          <t>Taşınırken araç getirme, geçici plaka ve tescil adımları</t>
        </is>
      </c>
      <c r="I157" s="29" t="inlineStr">
        <is>
          <t>Evet</t>
        </is>
      </c>
      <c r="J157" s="29" t="inlineStr">
        <is>
          <t>Lisans kanıtları/kaynaklar/48109debd9285de58d654ead615cad7bfce0bfcfd4d8b44e9c17fa644a28aaf7.html</t>
        </is>
      </c>
      <c r="K157" s="29" t="inlineStr">
        <is>
          <t>48109debd9285de58d654ead615cad7bfce0bfcfd4d8b44e9c17fa644a28aaf7</t>
        </is>
      </c>
    </row>
    <row r="158" ht="54" customHeight="1">
      <c r="A158" s="29" t="inlineStr">
        <is>
          <t>eindhoven:kaynak:154</t>
        </is>
      </c>
      <c r="B158" s="29" t="inlineStr">
        <is>
          <t>eindhoven</t>
        </is>
      </c>
      <c r="C158" s="29" t="inlineStr">
        <is>
          <t>Getting a car, motorcycle or moped from outside the EU approved | RDW</t>
        </is>
      </c>
      <c r="D158" s="29" t="inlineStr">
        <is>
          <t>RDW</t>
        </is>
      </c>
      <c r="E158" s="29" t="inlineStr">
        <is>
          <t>https://www.rdw.nl/en/import-export-transit/approval-for-import-outside-europe/getting-a-car-motorcycle-or-moped-from-outside-the-eu-approved</t>
        </is>
      </c>
      <c r="F158" s="49" t="n">
        <v>46317</v>
      </c>
      <c r="G158" s="29" t="inlineStr">
        <is>
          <t>eindhoven:ulasim</t>
        </is>
      </c>
      <c r="H158" s="29" t="inlineStr">
        <is>
          <t>AB dışı (Türkiye) araç ithalatı: onay, gümrük, BPM, plaka</t>
        </is>
      </c>
      <c r="I158" s="29" t="inlineStr">
        <is>
          <t>Evet</t>
        </is>
      </c>
      <c r="J158" s="29" t="inlineStr">
        <is>
          <t>Lisans kanıtları/kaynaklar/b1c45661f8ff7ab18153da39d647dc819485faf1097debca527d13de7c9f9bc4.html</t>
        </is>
      </c>
      <c r="K158" s="29" t="inlineStr">
        <is>
          <t>b1c45661f8ff7ab18153da39d647dc819485faf1097debca527d13de7c9f9bc4</t>
        </is>
      </c>
    </row>
    <row r="159" ht="54" customHeight="1">
      <c r="A159" s="29" t="inlineStr">
        <is>
          <t>eindhoven:kaynak:155</t>
        </is>
      </c>
      <c r="B159" s="29" t="inlineStr">
        <is>
          <t>eindhoven</t>
        </is>
      </c>
      <c r="C159" s="29" t="inlineStr">
        <is>
          <t>Kan ik het theorie-examen in een andere taal doen? - CBR</t>
        </is>
      </c>
      <c r="D159" s="29" t="inlineStr">
        <is>
          <t>CBR</t>
        </is>
      </c>
      <c r="E159" s="29" t="inlineStr">
        <is>
          <t>https://www.cbr.nl/nl/veelgestelde-vragen/kan-ik-het-theorie-examen-in-een-andere-taal-doen</t>
        </is>
      </c>
      <c r="F159" s="49" t="n">
        <v>46317</v>
      </c>
      <c r="G159" s="29" t="inlineStr">
        <is>
          <t>eindhoven:ulasim</t>
        </is>
      </c>
      <c r="H159" s="29" t="inlineStr">
        <is>
          <t>CBR teori sınavı başka dilde (İngilizce) ve tercüman seçeneği</t>
        </is>
      </c>
      <c r="I159" s="29" t="inlineStr">
        <is>
          <t>Evet</t>
        </is>
      </c>
      <c r="J159" s="29" t="inlineStr">
        <is>
          <t>Lisans kanıtları/kaynaklar/c87b885417a654fe5359da5f52f165c861e83d7beb8e4588b361c2d929dda4e8.html</t>
        </is>
      </c>
      <c r="K159" s="29" t="inlineStr">
        <is>
          <t>c87b885417a654fe5359da5f52f165c861e83d7beb8e4588b361c2d929dda4e8</t>
        </is>
      </c>
    </row>
    <row r="160" ht="54" customHeight="1">
      <c r="A160" s="29" t="inlineStr">
        <is>
          <t>eindhoven:kaynak:156</t>
        </is>
      </c>
      <c r="B160" s="29" t="inlineStr">
        <is>
          <t>eindhoven</t>
        </is>
      </c>
      <c r="C160" s="29" t="inlineStr">
        <is>
          <t>Parkeervergunningen | Gemeente Eindhoven</t>
        </is>
      </c>
      <c r="D160" s="29" t="inlineStr">
        <is>
          <t>Gemeente Eindhoven</t>
        </is>
      </c>
      <c r="E160" s="29" t="inlineStr">
        <is>
          <t>https://www.eindhoven.nl/stad-en-wonen/stad/parkeren/parkeervergunningen</t>
        </is>
      </c>
      <c r="F160" s="49" t="n">
        <v>46317</v>
      </c>
      <c r="G160" s="29" t="inlineStr">
        <is>
          <t>eindhoven:ulasim</t>
        </is>
      </c>
      <c r="H160" s="29" t="inlineStr">
        <is>
          <t>Sakin park izni (parkeervergunning) başvurusu, koşullar, ücretler</t>
        </is>
      </c>
      <c r="I160" s="29" t="inlineStr">
        <is>
          <t>Evet</t>
        </is>
      </c>
      <c r="J160" s="29" t="inlineStr">
        <is>
          <t>Lisans kanıtları/kaynaklar/accd52b794a86020a80990443a37b60abc712d4b9c837ada23bdc512f26545ad.html</t>
        </is>
      </c>
      <c r="K160" s="29" t="inlineStr">
        <is>
          <t>accd52b794a86020a80990443a37b60abc712d4b9c837ada23bdc512f26545ad</t>
        </is>
      </c>
    </row>
    <row r="161" ht="54" customHeight="1">
      <c r="A161" s="29" t="inlineStr">
        <is>
          <t>eindhoven:kaynak:157</t>
        </is>
      </c>
      <c r="B161" s="29" t="inlineStr">
        <is>
          <t>eindhoven</t>
        </is>
      </c>
      <c r="C161" s="29" t="inlineStr">
        <is>
          <t>Park+Ride richting Eindhoven</t>
        </is>
      </c>
      <c r="D161" s="29" t="inlineStr">
        <is>
          <t>Hermes</t>
        </is>
      </c>
      <c r="E161" s="29" t="inlineStr">
        <is>
          <t>https://www.hermes.nl/nl/onze-routes/bijzondere-lijnen/park-ride-richting-eindhoven</t>
        </is>
      </c>
      <c r="F161" s="49" t="n">
        <v>46317</v>
      </c>
      <c r="G161" s="29" t="inlineStr">
        <is>
          <t>eindhoven:ulasim</t>
        </is>
      </c>
      <c r="H161" s="29" t="inlineStr">
        <is>
          <t>Meerhoven/Genneper Parken P+R ile şehir merkezine ucuz otobüs</t>
        </is>
      </c>
      <c r="I161" s="29" t="inlineStr">
        <is>
          <t>Evet</t>
        </is>
      </c>
      <c r="J161" s="29" t="inlineStr">
        <is>
          <t>Lisans kanıtları/kaynaklar/faffbf22d6b1130ffa10fef6b8ee68f22b033b5579ef1266ec90caccb08a8c0c.html</t>
        </is>
      </c>
      <c r="K161" s="29" t="inlineStr">
        <is>
          <t>faffbf22d6b1130ffa10fef6b8ee68f22b033b5579ef1266ec90caccb08a8c0c</t>
        </is>
      </c>
    </row>
    <row r="162" ht="54" customHeight="1">
      <c r="A162" s="29" t="inlineStr">
        <is>
          <t>eindhoven:kaynak:158</t>
        </is>
      </c>
      <c r="B162" s="29" t="inlineStr">
        <is>
          <t>eindhoven</t>
        </is>
      </c>
      <c r="C162" s="29" t="inlineStr">
        <is>
          <t>Parkeren en reizen (P+R) | Gemeente Eindhoven</t>
        </is>
      </c>
      <c r="D162" s="29" t="inlineStr">
        <is>
          <t>Gemeente Eindhoven</t>
        </is>
      </c>
      <c r="E162" s="29" t="inlineStr">
        <is>
          <t>https://www.eindhoven.nl/stad-en-wonen/stad/parkeren/parkeren-en-reizen-pr</t>
        </is>
      </c>
      <c r="F162" s="49" t="n">
        <v>46317</v>
      </c>
      <c r="G162" s="29" t="inlineStr">
        <is>
          <t>eindhoven:ulasim</t>
        </is>
      </c>
      <c r="H162" s="29" t="inlineStr">
        <is>
          <t>Belediyenin P+R noktaları ve park-et-aktar sistemi</t>
        </is>
      </c>
      <c r="I162" s="29" t="inlineStr">
        <is>
          <t>Evet</t>
        </is>
      </c>
      <c r="J162" s="29" t="inlineStr">
        <is>
          <t>Lisans kanıtları/kaynaklar/227cdcf2d9de6c4f2e2b1f9ff71c4f027d7afcee15b1edda3046cf91d96b427d.html</t>
        </is>
      </c>
      <c r="K162" s="29" t="inlineStr">
        <is>
          <t>227cdcf2d9de6c4f2e2b1f9ff71c4f027d7afcee15b1edda3046cf91d96b427d</t>
        </is>
      </c>
    </row>
    <row r="163" ht="54" customHeight="1">
      <c r="A163" s="29" t="inlineStr">
        <is>
          <t>eindhoven:kaynak:159</t>
        </is>
      </c>
      <c r="B163" s="29" t="inlineStr">
        <is>
          <t>eindhoven</t>
        </is>
      </c>
      <c r="C163" s="29" t="inlineStr">
        <is>
          <t>Check in and out with bank card or smartphone | OVpay | 9292</t>
        </is>
      </c>
      <c r="D163" s="29" t="inlineStr">
        <is>
          <t>9292</t>
        </is>
      </c>
      <c r="E163" s="29" t="inlineStr">
        <is>
          <t>https://9292.nl/en/fares-and-season-tickets/ovpay/betaalpas-creditcard-mobiel/</t>
        </is>
      </c>
      <c r="F163" s="49" t="n">
        <v>46317</v>
      </c>
      <c r="G163" s="29" t="inlineStr">
        <is>
          <t>eindhoven:ulasim</t>
        </is>
      </c>
      <c r="H163" s="29" t="inlineStr">
        <is>
          <t>OVpay ile kart/telefonla check-in/out adımları</t>
        </is>
      </c>
      <c r="I163" s="29" t="inlineStr">
        <is>
          <t>Evet</t>
        </is>
      </c>
      <c r="J163" s="29" t="inlineStr">
        <is>
          <t>Lisans kanıtları/kaynaklar/862a54b2ca6afdbc3105807d83f7bdd8f639f9083e59671733e2601b22ae650c.html</t>
        </is>
      </c>
      <c r="K163" s="29" t="inlineStr">
        <is>
          <t>862a54b2ca6afdbc3105807d83f7bdd8f639f9083e59671733e2601b22ae650c</t>
        </is>
      </c>
    </row>
    <row r="164" ht="54" customHeight="1">
      <c r="A164" s="29" t="inlineStr">
        <is>
          <t>eindhoven:kaynak:160</t>
        </is>
      </c>
      <c r="B164" s="29" t="inlineStr">
        <is>
          <t>eindhoven</t>
        </is>
      </c>
      <c r="C164" s="29" t="inlineStr">
        <is>
          <t>Varying fares</t>
        </is>
      </c>
      <c r="D164" s="29" t="inlineStr">
        <is>
          <t>Hermes</t>
        </is>
      </c>
      <c r="E164" s="29" t="inlineStr">
        <is>
          <t>https://www.hermes.nl/en/tickets/cost-of-traveling-on-balance-or-with-ovpay/varying-fares</t>
        </is>
      </c>
      <c r="F164" s="49" t="n">
        <v>46317</v>
      </c>
      <c r="G164" s="29" t="inlineStr">
        <is>
          <t>eindhoven:ulasim</t>
        </is>
      </c>
      <c r="H164" s="29" t="inlineStr">
        <is>
          <t>Hermes otobüs ücretleri, OVpay biniş ücreti, kontrol cezası</t>
        </is>
      </c>
      <c r="I164" s="29" t="inlineStr">
        <is>
          <t>Evet</t>
        </is>
      </c>
      <c r="J164" s="29" t="inlineStr">
        <is>
          <t>Lisans kanıtları/kaynaklar/f87a6ca95ef5864ebeaaf9903c36224905e4348049b1c972e3971ab22d59e002.html</t>
        </is>
      </c>
      <c r="K164" s="29" t="inlineStr">
        <is>
          <t>f87a6ca95ef5864ebeaaf9903c36224905e4348049b1c972e3971ab22d59e002</t>
        </is>
      </c>
    </row>
    <row r="165" ht="54" customHeight="1">
      <c r="A165" s="29" t="inlineStr">
        <is>
          <t>eindhoven:kaynak:161</t>
        </is>
      </c>
      <c r="B165" s="29" t="inlineStr">
        <is>
          <t>eindhoven</t>
        </is>
      </c>
      <c r="C165" s="29" t="inlineStr">
        <is>
          <t>How to plan your journey in the 9292 app | 9292</t>
        </is>
      </c>
      <c r="D165" s="29" t="inlineStr">
        <is>
          <t>9292</t>
        </is>
      </c>
      <c r="E165" s="29" t="inlineStr">
        <is>
          <t>https://9292.nl/en/app-and-website/how-does-app-work/plan-your-journey-in-app/</t>
        </is>
      </c>
      <c r="F165" s="49" t="n">
        <v>46317</v>
      </c>
      <c r="G165" s="29" t="inlineStr">
        <is>
          <t>eindhoven:ulasim</t>
        </is>
      </c>
      <c r="H165" s="29" t="inlineStr">
        <is>
          <t>9292 ile yolculuk planlama adımları</t>
        </is>
      </c>
      <c r="I165" s="29" t="inlineStr">
        <is>
          <t>Evet</t>
        </is>
      </c>
      <c r="J165" s="29" t="inlineStr">
        <is>
          <t>Lisans kanıtları/kaynaklar/3d42494b8a7ee27e117ae8bf122c6e6f5d33705f19d8d080390fed9a946ba995.html</t>
        </is>
      </c>
      <c r="K165" s="29" t="inlineStr">
        <is>
          <t>3d42494b8a7ee27e117ae8bf122c6e6f5d33705f19d8d080390fed9a946ba995</t>
        </is>
      </c>
    </row>
    <row r="166" ht="54" customHeight="1">
      <c r="A166" s="29" t="inlineStr">
        <is>
          <t>eindhoven:kaynak:162</t>
        </is>
      </c>
      <c r="B166" s="29" t="inlineStr">
        <is>
          <t>eindhoven</t>
        </is>
      </c>
      <c r="C166" s="29" t="inlineStr">
        <is>
          <t>Fietsen in Eindhoven | Gemeente Eindhoven</t>
        </is>
      </c>
      <c r="D166" s="29" t="inlineStr">
        <is>
          <t>Gemeente Eindhoven</t>
        </is>
      </c>
      <c r="E166" s="29" t="inlineStr">
        <is>
          <t>https://www.eindhoven.nl/stad-en-wonen/verkeer/fietsen-in-eindhoven</t>
        </is>
      </c>
      <c r="F166" s="49" t="n">
        <v>46317</v>
      </c>
      <c r="G166" s="29" t="inlineStr">
        <is>
          <t>eindhoven:ulasim</t>
        </is>
      </c>
      <c r="H166" s="29" t="inlineStr">
        <is>
          <t>Eindhoven'da bisiklet kuralları, bisiklet deposu, çalıntı bilgisi</t>
        </is>
      </c>
      <c r="I166" s="29" t="inlineStr">
        <is>
          <t>Evet</t>
        </is>
      </c>
      <c r="J166" s="29" t="inlineStr">
        <is>
          <t>Lisans kanıtları/kaynaklar/89e398f6e9dc28fa51171a63036cb92802f52b324f1de9a7904f5bed9802db43.html</t>
        </is>
      </c>
      <c r="K166" s="29" t="inlineStr">
        <is>
          <t>89e398f6e9dc28fa51171a63036cb92802f52b324f1de9a7904f5bed9802db43</t>
        </is>
      </c>
    </row>
    <row r="167" ht="54" customHeight="1">
      <c r="A167" s="29" t="inlineStr">
        <is>
          <t>eindhoven:kaynak:163</t>
        </is>
      </c>
      <c r="B167" s="29" t="inlineStr">
        <is>
          <t>eindhoven</t>
        </is>
      </c>
      <c r="C167" s="29" t="inlineStr">
        <is>
          <t>Fietsenstallingen | Gemeente Eindhoven</t>
        </is>
      </c>
      <c r="D167" s="29" t="inlineStr">
        <is>
          <t>Gemeente Eindhoven</t>
        </is>
      </c>
      <c r="E167" s="29" t="inlineStr">
        <is>
          <t>https://www.eindhoven.nl/stad-en-wonen/verkeer/eindhoven-bereikbaar/fietsenstallingen</t>
        </is>
      </c>
      <c r="F167" s="49" t="n">
        <v>46317</v>
      </c>
      <c r="G167" s="29" t="inlineStr">
        <is>
          <t>eindhoven:ulasim</t>
        </is>
      </c>
      <c r="H167" s="29" t="inlineStr">
        <is>
          <t>Bisiklet park yerleri, ücretsiz gözetimli stalling listesi</t>
        </is>
      </c>
      <c r="I167" s="29" t="inlineStr">
        <is>
          <t>Evet</t>
        </is>
      </c>
      <c r="J167" s="29" t="inlineStr">
        <is>
          <t>Lisans kanıtları/kaynaklar/a13b624d53d0b17a5a484ec356c761bccf15c98ae94f4464fd3d1576fb92ee98.html</t>
        </is>
      </c>
      <c r="K167" s="29" t="inlineStr">
        <is>
          <t>a13b624d53d0b17a5a484ec356c761bccf15c98ae94f4464fd3d1576fb92ee98</t>
        </is>
      </c>
    </row>
    <row r="168" ht="54" customHeight="1">
      <c r="A168" s="29" t="inlineStr">
        <is>
          <t>eindhoven:kaynak:164</t>
        </is>
      </c>
      <c r="B168" s="29" t="inlineStr">
        <is>
          <t>eindhoven</t>
        </is>
      </c>
      <c r="C168" s="29" t="inlineStr">
        <is>
          <t>Fiets gestolen? Doe aangifte! | politie.nl</t>
        </is>
      </c>
      <c r="D168" s="29" t="inlineStr">
        <is>
          <t>Politie</t>
        </is>
      </c>
      <c r="E168" s="29" t="inlineStr">
        <is>
          <t>https://www.politie.nl/informatie/fiets-gestolen-doe-aangifte.html</t>
        </is>
      </c>
      <c r="F168" s="49" t="n">
        <v>46317</v>
      </c>
      <c r="G168" s="29" t="inlineStr">
        <is>
          <t>eindhoven:ulasim</t>
        </is>
      </c>
      <c r="H168" s="29" t="inlineStr">
        <is>
          <t>Bisiklet hırsızlığı bildirimi (aangifte) nasıl yapılır</t>
        </is>
      </c>
      <c r="I168" s="29" t="inlineStr">
        <is>
          <t>Evet</t>
        </is>
      </c>
      <c r="J168" s="29" t="inlineStr">
        <is>
          <t>Lisans kanıtları/kaynaklar/e7a70abb26fb74b4b4e627d337c60fb11cce6e7dd2e68a8b452f66ad759c545b.html</t>
        </is>
      </c>
      <c r="K168" s="29" t="inlineStr">
        <is>
          <t>e7a70abb26fb74b4b4e627d337c60fb11cce6e7dd2e68a8b452f66ad759c545b</t>
        </is>
      </c>
    </row>
    <row r="169" ht="54" customHeight="1">
      <c r="A169" s="29" t="inlineStr">
        <is>
          <t>eindhoven:kaynak:165</t>
        </is>
      </c>
      <c r="B169" s="29" t="inlineStr">
        <is>
          <t>eindhoven</t>
        </is>
      </c>
      <c r="C169" s="29" t="inlineStr">
        <is>
          <t>Public transport | Eindhoven Airport</t>
        </is>
      </c>
      <c r="D169" s="29" t="inlineStr">
        <is>
          <t>Eindhoven Airport</t>
        </is>
      </c>
      <c r="E169" s="29" t="inlineStr">
        <is>
          <t>https://www.eindhovenairport.nl/en/public-transport</t>
        </is>
      </c>
      <c r="F169" s="49" t="n">
        <v>46317</v>
      </c>
      <c r="G169" s="29" t="inlineStr">
        <is>
          <t>eindhoven:ulasim</t>
        </is>
      </c>
      <c r="H169" s="29" t="inlineStr">
        <is>
          <t>Havalimanına otobüs 400/401 ve tren ile ulaşım</t>
        </is>
      </c>
      <c r="I169" s="29" t="inlineStr">
        <is>
          <t>Evet</t>
        </is>
      </c>
      <c r="J169" s="29" t="inlineStr">
        <is>
          <t>Lisans kanıtları/kaynaklar/381721210b96686193f28ad06cd2b86bac3d0609f38e7a8969cff4c9efce4d84.html</t>
        </is>
      </c>
      <c r="K169" s="29" t="inlineStr">
        <is>
          <t>381721210b96686193f28ad06cd2b86bac3d0609f38e7a8969cff4c9efce4d84</t>
        </is>
      </c>
    </row>
    <row r="170" ht="54" customHeight="1">
      <c r="A170" s="29" t="inlineStr">
        <is>
          <t>eindhoven:kaynak:166</t>
        </is>
      </c>
      <c r="B170" s="29" t="inlineStr">
        <is>
          <t>eindhoven</t>
        </is>
      </c>
      <c r="C170" s="29" t="inlineStr">
        <is>
          <t>Afval | Gemeente Eindhoven</t>
        </is>
      </c>
      <c r="D170" s="29" t="inlineStr">
        <is>
          <t>Gemeente Eindhoven</t>
        </is>
      </c>
      <c r="E170" s="29" t="inlineStr">
        <is>
          <t>https://www.eindhoven.nl/stad-en-wonen/wonen/afval</t>
        </is>
      </c>
      <c r="F170" s="49" t="n">
        <v>46317</v>
      </c>
      <c r="G170" s="29" t="inlineStr">
        <is>
          <t>eindhoven:gunluk</t>
        </is>
      </c>
      <c r="H170" s="29" t="inlineStr">
        <is>
          <t>Atık ayrıştırma, konteyner, büyük atık kuralları</t>
        </is>
      </c>
      <c r="I170" s="29" t="inlineStr">
        <is>
          <t>Evet</t>
        </is>
      </c>
      <c r="J170" s="29" t="inlineStr">
        <is>
          <t>Lisans kanıtları/kaynaklar/d4e6ea9877a14f9bab9ea9fb3dff0f9bfd748b128b9d026ae50fac5bc1bffec7.html</t>
        </is>
      </c>
      <c r="K170" s="29" t="inlineStr">
        <is>
          <t>d4e6ea9877a14f9bab9ea9fb3dff0f9bfd748b128b9d026ae50fac5bc1bffec7</t>
        </is>
      </c>
    </row>
    <row r="171" ht="54" customHeight="1">
      <c r="A171" s="29" t="inlineStr">
        <is>
          <t>eindhoven:kaynak:167</t>
        </is>
      </c>
      <c r="B171" s="29" t="inlineStr">
        <is>
          <t>eindhoven</t>
        </is>
      </c>
      <c r="C171" s="29" t="inlineStr">
        <is>
          <t>Afvalkalender Eindhoven</t>
        </is>
      </c>
      <c r="D171" s="29" t="inlineStr">
        <is>
          <t>Cure Afvalbeheer</t>
        </is>
      </c>
      <c r="E171" s="29" t="inlineStr">
        <is>
          <t>https://www.cure-afvalbeheer.nl/afvalkalender/afvalkalender-eindhoven</t>
        </is>
      </c>
      <c r="F171" s="49" t="n">
        <v>46317</v>
      </c>
      <c r="G171" s="29" t="inlineStr">
        <is>
          <t>eindhoven:gunluk</t>
        </is>
      </c>
      <c r="H171" s="29" t="inlineStr">
        <is>
          <t>Eindhoven atık toplama takvimi ve tatilde kayma</t>
        </is>
      </c>
      <c r="I171" s="29" t="inlineStr">
        <is>
          <t>Evet</t>
        </is>
      </c>
      <c r="J171" s="29" t="inlineStr">
        <is>
          <t>Lisans kanıtları/kaynaklar/f01e2fe3ece9bd1a66c75ad9256594e2fde84d7af49996b95a0fbd3f01eeac48.html</t>
        </is>
      </c>
      <c r="K171" s="29" t="inlineStr">
        <is>
          <t>f01e2fe3ece9bd1a66c75ad9256594e2fde84d7af49996b95a0fbd3f01eeac48</t>
        </is>
      </c>
    </row>
    <row r="172" ht="54" customHeight="1">
      <c r="A172" s="29" t="inlineStr">
        <is>
          <t>eindhoven:kaynak:168</t>
        </is>
      </c>
      <c r="B172" s="29" t="inlineStr">
        <is>
          <t>eindhoven</t>
        </is>
      </c>
      <c r="C172" s="29" t="inlineStr">
        <is>
          <t>Restafval</t>
        </is>
      </c>
      <c r="D172" s="29" t="inlineStr">
        <is>
          <t>Cure Afvalbeheer</t>
        </is>
      </c>
      <c r="E172" s="29" t="inlineStr">
        <is>
          <t>https://www.cure-afvalbeheer.nl/alles-over-afval/restafval/</t>
        </is>
      </c>
      <c r="F172" s="49" t="n">
        <v>46317</v>
      </c>
      <c r="G172" s="29" t="inlineStr">
        <is>
          <t>eindhoven:gunluk</t>
        </is>
      </c>
      <c r="H172" s="29" t="inlineStr">
        <is>
          <t>Kalan atık (restafval) kuralları ve milieupas</t>
        </is>
      </c>
      <c r="I172" s="29" t="inlineStr">
        <is>
          <t>Evet</t>
        </is>
      </c>
      <c r="J172" s="29" t="inlineStr">
        <is>
          <t>Lisans kanıtları/kaynaklar/6b9835b9e3d35561fe770b501580d3b58ad9963e807eef9e671a7dce1c704d2d.html</t>
        </is>
      </c>
      <c r="K172" s="29" t="inlineStr">
        <is>
          <t>6b9835b9e3d35561fe770b501580d3b58ad9963e807eef9e671a7dce1c704d2d</t>
        </is>
      </c>
    </row>
    <row r="173" ht="54" customHeight="1">
      <c r="A173" s="29" t="inlineStr">
        <is>
          <t>eindhoven:kaynak:169</t>
        </is>
      </c>
      <c r="B173" s="29" t="inlineStr">
        <is>
          <t>eindhoven</t>
        </is>
      </c>
      <c r="C173" s="29" t="inlineStr">
        <is>
          <t>GFT/E</t>
        </is>
      </c>
      <c r="D173" s="29" t="inlineStr">
        <is>
          <t>Cure Afvalbeheer</t>
        </is>
      </c>
      <c r="E173" s="29" t="inlineStr">
        <is>
          <t>https://www.cure-afvalbeheer.nl/alles-over-afval/gfte/</t>
        </is>
      </c>
      <c r="F173" s="49" t="n">
        <v>46317</v>
      </c>
      <c r="G173" s="29" t="inlineStr">
        <is>
          <t>eindhoven:gunluk</t>
        </is>
      </c>
      <c r="H173" s="29" t="inlineStr">
        <is>
          <t>Organik atık (GFT/E) ne atılır, toplama sıklığı</t>
        </is>
      </c>
      <c r="I173" s="29" t="inlineStr">
        <is>
          <t>Evet</t>
        </is>
      </c>
      <c r="J173" s="29" t="inlineStr">
        <is>
          <t>Lisans kanıtları/kaynaklar/2412f93f0bdf8e98062462e5657ba3abe6f4c9ad2050bd68c4c3d424c204eabe.html</t>
        </is>
      </c>
      <c r="K173" s="29" t="inlineStr">
        <is>
          <t>2412f93f0bdf8e98062462e5657ba3abe6f4c9ad2050bd68c4c3d424c204eabe</t>
        </is>
      </c>
    </row>
    <row r="174" ht="54" customHeight="1">
      <c r="A174" s="29" t="inlineStr">
        <is>
          <t>eindhoven:kaynak:171</t>
        </is>
      </c>
      <c r="B174" s="29" t="inlineStr">
        <is>
          <t>eindhoven</t>
        </is>
      </c>
      <c r="C174" s="29" t="inlineStr">
        <is>
          <t>Catharina Market | This is Eindhoven</t>
        </is>
      </c>
      <c r="D174" s="29" t="inlineStr">
        <is>
          <t>This is Eindhoven</t>
        </is>
      </c>
      <c r="E174" s="29" t="inlineStr">
        <is>
          <t>https://www.thisiseindhoven.com/en/events/catharina-market</t>
        </is>
      </c>
      <c r="F174" s="49" t="n">
        <v>46317</v>
      </c>
      <c r="G174" s="29" t="inlineStr">
        <is>
          <t>eindhoven:gunluk</t>
        </is>
      </c>
      <c r="H174" s="29" t="inlineStr">
        <is>
          <t>Merkezde cumartesi pazarı</t>
        </is>
      </c>
      <c r="I174" s="29" t="inlineStr">
        <is>
          <t>Evet</t>
        </is>
      </c>
      <c r="J174" s="29" t="inlineStr">
        <is>
          <t>Lisans kanıtları/kaynaklar/14042cf3be6d592ca3a14f5b8983bb6413a7f5f44a6c66ac437a466bf2458eac.html</t>
        </is>
      </c>
      <c r="K174" s="29" t="inlineStr">
        <is>
          <t>14042cf3be6d592ca3a14f5b8983bb6413a7f5f44a6c66ac437a466bf2458eac</t>
        </is>
      </c>
    </row>
    <row r="175" ht="54" customHeight="1">
      <c r="A175" s="29" t="inlineStr">
        <is>
          <t>eindhoven:kaynak:172</t>
        </is>
      </c>
      <c r="B175" s="29" t="inlineStr">
        <is>
          <t>eindhoven</t>
        </is>
      </c>
      <c r="C175" s="29" t="inlineStr">
        <is>
          <t>When are shops open in the Netherlands? | Government.nl</t>
        </is>
      </c>
      <c r="D175" s="29" t="inlineStr">
        <is>
          <t>Rijksoverheid (government.nl)</t>
        </is>
      </c>
      <c r="E175" s="29" t="inlineStr">
        <is>
          <t>https://www.government.nl/faq/when-are-shops-open-in-the-netherlands</t>
        </is>
      </c>
      <c r="F175" s="49" t="n">
        <v>46317</v>
      </c>
      <c r="G175" s="29" t="inlineStr">
        <is>
          <t>eindhoven:gunluk</t>
        </is>
      </c>
      <c r="H175" s="29" t="inlineStr">
        <is>
          <t>Mağaza açılış saatleri, pazar ve resmî tatil kısıtları</t>
        </is>
      </c>
      <c r="I175" s="29" t="inlineStr">
        <is>
          <t>Evet</t>
        </is>
      </c>
      <c r="J175" s="29" t="inlineStr">
        <is>
          <t>Lisans kanıtları/kaynaklar/0f1f894c8ebfdb05ec78ca196d30f11682523e352a62bb629cc0ee60644e130f.html</t>
        </is>
      </c>
      <c r="K175" s="29" t="inlineStr">
        <is>
          <t>0f1f894c8ebfdb05ec78ca196d30f11682523e352a62bb629cc0ee60644e130f</t>
        </is>
      </c>
    </row>
    <row r="176" ht="54" customHeight="1">
      <c r="A176" s="29" t="inlineStr">
        <is>
          <t>eindhoven:kaynak:173</t>
        </is>
      </c>
      <c r="B176" s="29" t="inlineStr">
        <is>
          <t>eindhoven</t>
        </is>
      </c>
      <c r="C176" s="29" t="inlineStr">
        <is>
          <t>Which days are official public holidays in the Netherlands? | Government.nl</t>
        </is>
      </c>
      <c r="D176" s="29" t="inlineStr">
        <is>
          <t>Rijksoverheid (government.nl)</t>
        </is>
      </c>
      <c r="E176" s="29" t="inlineStr">
        <is>
          <t>https://www.government.nl/faq/work/public-holidays-in-the-netherlands</t>
        </is>
      </c>
      <c r="F176" s="49" t="n">
        <v>46317</v>
      </c>
      <c r="G176" s="29" t="inlineStr">
        <is>
          <t>eindhoven:gunluk</t>
        </is>
      </c>
      <c r="H176" s="29" t="inlineStr">
        <is>
          <t>Resmî tatil günleri listesi</t>
        </is>
      </c>
      <c r="I176" s="29" t="inlineStr">
        <is>
          <t>Evet</t>
        </is>
      </c>
      <c r="J176" s="29" t="inlineStr">
        <is>
          <t>Lisans kanıtları/kaynaklar/e2c963bfae31d817cc555f97005fbdc9721ed407d2b1ef09161180b546e7683a.html</t>
        </is>
      </c>
      <c r="K176" s="29" t="inlineStr">
        <is>
          <t>e2c963bfae31d817cc555f97005fbdc9721ed407d2b1ef09161180b546e7683a</t>
        </is>
      </c>
    </row>
    <row r="177" ht="54" customHeight="1">
      <c r="A177" s="29" t="inlineStr">
        <is>
          <t>eindhoven:kaynak:174</t>
        </is>
      </c>
      <c r="B177" s="29" t="inlineStr">
        <is>
          <t>eindhoven</t>
        </is>
      </c>
      <c r="C177" s="29" t="inlineStr">
        <is>
          <t>Inburgeren in Eindhoven - Informatie voor migranten en vluchtelingen | Gemeente Eindhoven</t>
        </is>
      </c>
      <c r="D177" s="29" t="inlineStr">
        <is>
          <t>Gemeente Eindhoven</t>
        </is>
      </c>
      <c r="E177" s="29" t="inlineStr">
        <is>
          <t>https://www.eindhoven.nl/stad-en-wonen/verhuizen-concept/inburgeren-in-eindhoven-informatie-voor-migranten-en-vluchtelingen</t>
        </is>
      </c>
      <c r="F177" s="49" t="n">
        <v>46317</v>
      </c>
      <c r="G177" s="29" t="inlineStr">
        <is>
          <t>eindhoven:gunluk</t>
        </is>
      </c>
      <c r="H177" s="29" t="inlineStr">
        <is>
          <t>Eindhoven'da inburgering rotaları (B1, Z), başvuru ve iletişim</t>
        </is>
      </c>
      <c r="I177" s="29" t="inlineStr">
        <is>
          <t>Evet</t>
        </is>
      </c>
      <c r="J177" s="29" t="inlineStr">
        <is>
          <t>Lisans kanıtları/kaynaklar/755fbaeb5a9255d859abbfab8442d94c3d929aeaaafb35dbad57a90d567b2e63.html</t>
        </is>
      </c>
      <c r="K177" s="29" t="inlineStr">
        <is>
          <t>755fbaeb5a9255d859abbfab8442d94c3d929aeaaafb35dbad57a90d567b2e63</t>
        </is>
      </c>
    </row>
    <row r="178" ht="54" customHeight="1">
      <c r="A178" s="29" t="inlineStr">
        <is>
          <t>eindhoven:kaynak:175</t>
        </is>
      </c>
      <c r="B178" s="29" t="inlineStr">
        <is>
          <t>eindhoven</t>
        </is>
      </c>
      <c r="C178" s="29" t="inlineStr">
        <is>
          <t>Borrowing money from DUO – Paying for integration – Inburgeren</t>
        </is>
      </c>
      <c r="D178" s="29" t="inlineStr">
        <is>
          <t>DUO (inburgeren.nl)</t>
        </is>
      </c>
      <c r="E178" s="29" t="inlineStr">
        <is>
          <t>https://www.inburgeren.nl/en/paying-for-integration/borrowing-money.jsp</t>
        </is>
      </c>
      <c r="F178" s="49" t="n">
        <v>46317</v>
      </c>
      <c r="G178" s="29" t="inlineStr">
        <is>
          <t>eindhoven:gunluk</t>
        </is>
      </c>
      <c r="H178" s="29" t="inlineStr">
        <is>
          <t>Inburgering kurs ve sınavı için DUO kredisi</t>
        </is>
      </c>
      <c r="I178" s="29" t="inlineStr">
        <is>
          <t>Evet</t>
        </is>
      </c>
      <c r="J178" s="29" t="inlineStr">
        <is>
          <t>Lisans kanıtları/kaynaklar/46c81e2ac985c15db51d19a6e0557537eac2fbd33b27984175ed56831e48d43d.html</t>
        </is>
      </c>
      <c r="K178" s="29" t="inlineStr">
        <is>
          <t>46c81e2ac985c15db51d19a6e0557537eac2fbd33b27984175ed56831e48d43d</t>
        </is>
      </c>
    </row>
    <row r="179" ht="54" customHeight="1">
      <c r="A179" s="29" t="inlineStr">
        <is>
          <t>eindhoven:kaynak:176</t>
        </is>
      </c>
      <c r="B179" s="29" t="inlineStr">
        <is>
          <t>eindhoven</t>
        </is>
      </c>
      <c r="C179" s="29" t="inlineStr">
        <is>
          <t>Vrijwilligerswerk | Gemeente Eindhoven</t>
        </is>
      </c>
      <c r="D179" s="29" t="inlineStr">
        <is>
          <t>Gemeente Eindhoven</t>
        </is>
      </c>
      <c r="E179" s="29" t="inlineStr">
        <is>
          <t>https://www.eindhoven.nl/stad-en-wonen/vrijwilligerswerk</t>
        </is>
      </c>
      <c r="F179" s="49" t="n">
        <v>46317</v>
      </c>
      <c r="G179" s="29" t="inlineStr">
        <is>
          <t>eindhoven:gunluk</t>
        </is>
      </c>
      <c r="H179" s="29" t="inlineStr">
        <is>
          <t>Eindhoven'da gönüllü olma, JijDoet 040 uygulaması</t>
        </is>
      </c>
      <c r="I179" s="29" t="inlineStr">
        <is>
          <t>Evet</t>
        </is>
      </c>
      <c r="J179" s="29" t="inlineStr">
        <is>
          <t>Lisans kanıtları/kaynaklar/5741444467aa63451c713126086070cb8cd846e74f965c116e6a729ca7ee72e2.html</t>
        </is>
      </c>
      <c r="K179" s="29" t="inlineStr">
        <is>
          <t>5741444467aa63451c713126086070cb8cd846e74f965c116e6a729ca7ee72e2</t>
        </is>
      </c>
    </row>
    <row r="180" ht="54" customHeight="1">
      <c r="A180" s="29" t="inlineStr">
        <is>
          <t>eindhoven:kaynak:177</t>
        </is>
      </c>
      <c r="B180" s="29" t="inlineStr">
        <is>
          <t>eindhoven</t>
        </is>
      </c>
      <c r="C180" s="29" t="inlineStr">
        <is>
          <t>Hondenbelasting | Gemeente Eindhoven</t>
        </is>
      </c>
      <c r="D180" s="29" t="inlineStr">
        <is>
          <t>Gemeente Eindhoven</t>
        </is>
      </c>
      <c r="E180" s="29" t="inlineStr">
        <is>
          <t>https://www.eindhoven.nl/stad-en-wonen/wonen/belastingen-inwoners/hondenbelasting</t>
        </is>
      </c>
      <c r="F180" s="49" t="n">
        <v>46317</v>
      </c>
      <c r="G180" s="29" t="inlineStr">
        <is>
          <t>eindhoven:gunluk</t>
        </is>
      </c>
      <c r="H180" s="29" t="inlineStr">
        <is>
          <t>Köpek kaydı ve vergisi, tarifeler</t>
        </is>
      </c>
      <c r="I180" s="29" t="inlineStr">
        <is>
          <t>Evet</t>
        </is>
      </c>
      <c r="J180" s="29" t="inlineStr">
        <is>
          <t>Lisans kanıtları/kaynaklar/721c744f716f4ec5c45d05cc1a8cf8f8ede46702a30324a20cf03bfd80237ae4.html</t>
        </is>
      </c>
      <c r="K180" s="29" t="inlineStr">
        <is>
          <t>721c744f716f4ec5c45d05cc1a8cf8f8ede46702a30324a20cf03bfd80237ae4</t>
        </is>
      </c>
    </row>
    <row r="181" ht="54" customHeight="1">
      <c r="A181" s="29" t="inlineStr">
        <is>
          <t>eindhoven:kaynak:178</t>
        </is>
      </c>
      <c r="B181" s="29" t="inlineStr">
        <is>
          <t>eindhoven</t>
        </is>
      </c>
      <c r="C181" s="29" t="inlineStr">
        <is>
          <t>Geluidsoverlast en overlast van bedrijven | Gemeente Eindhoven</t>
        </is>
      </c>
      <c r="D181" s="29" t="inlineStr">
        <is>
          <t>Gemeente Eindhoven</t>
        </is>
      </c>
      <c r="E181" s="29" t="inlineStr">
        <is>
          <t>https://www.eindhoven.nl/stad-en-wonen/wonen/klachten/geluidsoverlast-en-overlast-van-bedrijven</t>
        </is>
      </c>
      <c r="F181" s="49" t="n">
        <v>46317</v>
      </c>
      <c r="G181" s="29" t="inlineStr">
        <is>
          <t>eindhoven:gunluk</t>
        </is>
      </c>
      <c r="H181" s="29" t="inlineStr">
        <is>
          <t>Gürültü şikâyeti adımları, gece polis, yapı gürültüsü saatleri</t>
        </is>
      </c>
      <c r="I181" s="29" t="inlineStr">
        <is>
          <t>Evet</t>
        </is>
      </c>
      <c r="J181" s="29" t="inlineStr">
        <is>
          <t>Lisans kanıtları/kaynaklar/a18a260bef375155ebc79b584139b6cea7347b0e23aab729a4faee446be02633.html</t>
        </is>
      </c>
      <c r="K181" s="29" t="inlineStr">
        <is>
          <t>a18a260bef375155ebc79b584139b6cea7347b0e23aab729a4faee446be02633</t>
        </is>
      </c>
    </row>
    <row r="182" ht="54" customHeight="1">
      <c r="A182" s="29" t="inlineStr">
        <is>
          <t>eindhoven:kaynak:179</t>
        </is>
      </c>
      <c r="B182" s="29" t="inlineStr">
        <is>
          <t>eindhoven</t>
        </is>
      </c>
      <c r="C182" s="29" t="inlineStr">
        <is>
          <t>Practical information | Van Abbemuseum</t>
        </is>
      </c>
      <c r="D182" s="29" t="inlineStr">
        <is>
          <t>Van Abbemuseum</t>
        </is>
      </c>
      <c r="E182" s="29" t="inlineStr">
        <is>
          <t>https://vanabbemuseum.nl/en/plan-your-visit/practical-information</t>
        </is>
      </c>
      <c r="F182" s="49" t="n">
        <v>46317</v>
      </c>
      <c r="G182" s="29" t="inlineStr">
        <is>
          <t>eindhoven:kesif</t>
        </is>
      </c>
      <c r="H182" s="29" t="inlineStr">
        <is>
          <t>Van Abbemuseum saatler, bilet fiyatı, Museumkaart</t>
        </is>
      </c>
      <c r="I182" s="29" t="inlineStr">
        <is>
          <t>Evet</t>
        </is>
      </c>
      <c r="J182" s="29" t="inlineStr">
        <is>
          <t>Lisans kanıtları/kaynaklar/2356296b5fe587e128f492429861952c3d80c35e7a5a33c1d82106e63561fa15.html</t>
        </is>
      </c>
      <c r="K182" s="29" t="inlineStr">
        <is>
          <t>2356296b5fe587e128f492429861952c3d80c35e7a5a33c1d82106e63561fa15</t>
        </is>
      </c>
    </row>
    <row r="183" ht="54" customHeight="1">
      <c r="A183" s="29" t="inlineStr">
        <is>
          <t>eindhoven:kaynak:181</t>
        </is>
      </c>
      <c r="B183" s="29" t="inlineStr">
        <is>
          <t>eindhoven</t>
        </is>
      </c>
      <c r="C183" s="29" t="inlineStr">
        <is>
          <t>Visit | Philips Museum</t>
        </is>
      </c>
      <c r="D183" s="29" t="inlineStr">
        <is>
          <t>Philips Museum</t>
        </is>
      </c>
      <c r="E183" s="29" t="inlineStr">
        <is>
          <t>https://www.philips.nl/en/a-w/philips-museum/visit/practical-information.html</t>
        </is>
      </c>
      <c r="F183" s="49" t="n">
        <v>46317</v>
      </c>
      <c r="G183" s="29" t="inlineStr">
        <is>
          <t>eindhoven:kesif</t>
        </is>
      </c>
      <c r="H183" s="29" t="inlineStr">
        <is>
          <t>Philips Museum saat, bilet, ilk perşembe akşamı</t>
        </is>
      </c>
      <c r="I183" s="29" t="inlineStr">
        <is>
          <t>Evet</t>
        </is>
      </c>
      <c r="J183" s="29" t="inlineStr">
        <is>
          <t>Lisans kanıtları/kaynaklar/bad335ca2c735a981bd55fb9973d4db9aadf77d120ad64bdc06b90c8e52ccf2b.html</t>
        </is>
      </c>
      <c r="K183" s="29" t="inlineStr">
        <is>
          <t>bad335ca2c735a981bd55fb9973d4db9aadf77d120ad64bdc06b90c8e52ccf2b</t>
        </is>
      </c>
    </row>
    <row r="184" ht="54" customHeight="1">
      <c r="A184" s="29" t="inlineStr">
        <is>
          <t>eindhoven:kaynak:182</t>
        </is>
      </c>
      <c r="B184" s="29" t="inlineStr">
        <is>
          <t>eindhoven</t>
        </is>
      </c>
      <c r="C184" s="29" t="inlineStr">
        <is>
          <t>Information - DAF Museum</t>
        </is>
      </c>
      <c r="D184" s="29" t="inlineStr">
        <is>
          <t>DAF Museum</t>
        </is>
      </c>
      <c r="E184" s="29" t="inlineStr">
        <is>
          <t>https://www.dafmuseum.nl/en/info</t>
        </is>
      </c>
      <c r="F184" s="49" t="n">
        <v>46317</v>
      </c>
      <c r="G184" s="29" t="inlineStr">
        <is>
          <t>eindhoven:kesif</t>
        </is>
      </c>
      <c r="H184" s="29" t="inlineStr">
        <is>
          <t>DAF Museum saat ve bilet</t>
        </is>
      </c>
      <c r="I184" s="29" t="inlineStr">
        <is>
          <t>Evet</t>
        </is>
      </c>
      <c r="J184" s="29" t="inlineStr">
        <is>
          <t>Lisans kanıtları/kaynaklar/d4ae819bd4c07e261c455cc3c247e0c47d4716c1fa66b8ded2d6bd97eeca16f1.html</t>
        </is>
      </c>
      <c r="K184" s="29" t="inlineStr">
        <is>
          <t>d4ae819bd4c07e261c455cc3c247e0c47d4716c1fa66b8ded2d6bd97eeca16f1</t>
        </is>
      </c>
    </row>
    <row r="185" ht="54" customHeight="1">
      <c r="A185" s="29" t="inlineStr">
        <is>
          <t>eindhoven:kaynak:183</t>
        </is>
      </c>
      <c r="B185" s="29" t="inlineStr">
        <is>
          <t>eindhoven</t>
        </is>
      </c>
      <c r="C185" s="29" t="inlineStr">
        <is>
          <t>Visit</t>
        </is>
      </c>
      <c r="D185" s="29" t="inlineStr">
        <is>
          <t>Kazerne</t>
        </is>
      </c>
      <c r="E185" s="29" t="inlineStr">
        <is>
          <t>https://www.kazerne.org/en/visit</t>
        </is>
      </c>
      <c r="F185" s="49" t="n">
        <v>46317</v>
      </c>
      <c r="G185" s="29" t="inlineStr">
        <is>
          <t>eindhoven:kesif</t>
        </is>
      </c>
      <c r="H185" s="29" t="inlineStr">
        <is>
          <t>Kazerne tasarım mekânı ziyaret bilgisi</t>
        </is>
      </c>
      <c r="I185" s="29" t="inlineStr">
        <is>
          <t>Evet</t>
        </is>
      </c>
      <c r="J185" s="29" t="inlineStr">
        <is>
          <t>Lisans kanıtları/kaynaklar/0a7c4067723997d8bc06bb9227a49c19a29e3c1c100573e83bdcc1c0656ce50b.html</t>
        </is>
      </c>
      <c r="K185" s="29" t="inlineStr">
        <is>
          <t>0a7c4067723997d8bc06bb9227a49c19a29e3c1c100573e83bdcc1c0656ce50b</t>
        </is>
      </c>
    </row>
    <row r="186" ht="54" customHeight="1">
      <c r="A186" s="29" t="inlineStr">
        <is>
          <t>eindhoven:kaynak:184</t>
        </is>
      </c>
      <c r="B186" s="29" t="inlineStr">
        <is>
          <t>eindhoven</t>
        </is>
      </c>
      <c r="C186" s="29" t="inlineStr">
        <is>
          <t>Order your DDW26 tickets | Dutch Design Week</t>
        </is>
      </c>
      <c r="D186" s="29" t="inlineStr">
        <is>
          <t>Dutch Design Week</t>
        </is>
      </c>
      <c r="E186" s="29" t="inlineStr">
        <is>
          <t>https://ddw.nl/en/tickets</t>
        </is>
      </c>
      <c r="F186" s="49" t="n">
        <v>46317</v>
      </c>
      <c r="G186" s="29" t="inlineStr">
        <is>
          <t>eindhoven:kesif</t>
        </is>
      </c>
      <c r="H186" s="29" t="inlineStr">
        <is>
          <t>DDW bilet türleri, öğrenci/genç fiyatı, tarih</t>
        </is>
      </c>
      <c r="I186" s="29" t="inlineStr">
        <is>
          <t>Evet</t>
        </is>
      </c>
      <c r="J186" s="29" t="inlineStr">
        <is>
          <t>Lisans kanıtları/kaynaklar/35b779589234a5d082db12a7b6c2c952d4dc4222084ffb229fde5ea9e1096991.html</t>
        </is>
      </c>
      <c r="K186" s="29" t="inlineStr">
        <is>
          <t>35b779589234a5d082db12a7b6c2c952d4dc4222084ffb229fde5ea9e1096991</t>
        </is>
      </c>
    </row>
    <row r="187" ht="54" customHeight="1">
      <c r="A187" s="29" t="inlineStr">
        <is>
          <t>eindhoven:kaynak:185</t>
        </is>
      </c>
      <c r="B187" s="29" t="inlineStr">
        <is>
          <t>eindhoven</t>
        </is>
      </c>
      <c r="C187" s="29" t="inlineStr">
        <is>
          <t>FAQ | Dutch Design Week</t>
        </is>
      </c>
      <c r="D187" s="29" t="inlineStr">
        <is>
          <t>Dutch Design Week</t>
        </is>
      </c>
      <c r="E187" s="29" t="inlineStr">
        <is>
          <t>https://ddw.nl/en/faq</t>
        </is>
      </c>
      <c r="F187" s="49" t="n">
        <v>46317</v>
      </c>
      <c r="G187" s="29" t="inlineStr">
        <is>
          <t>eindhoven:kesif</t>
        </is>
      </c>
      <c r="H187" s="29" t="inlineStr">
        <is>
          <t>DDW ziyaret için sık sorulanlar</t>
        </is>
      </c>
      <c r="I187" s="29" t="inlineStr">
        <is>
          <t>Evet</t>
        </is>
      </c>
      <c r="J187" s="29" t="inlineStr">
        <is>
          <t>Lisans kanıtları/kaynaklar/4c1d27b34887cdd63e8a5716d0a8f037a3fb2e4f3816a340eefff7f483b1e6a9.html</t>
        </is>
      </c>
      <c r="K187" s="29" t="inlineStr">
        <is>
          <t>4c1d27b34887cdd63e8a5716d0a8f037a3fb2e4f3816a340eefff7f483b1e6a9</t>
        </is>
      </c>
    </row>
    <row r="188" ht="54" customHeight="1">
      <c r="A188" s="29" t="inlineStr">
        <is>
          <t>eindhoven:kaynak:186</t>
        </is>
      </c>
      <c r="B188" s="29" t="inlineStr">
        <is>
          <t>eindhoven</t>
        </is>
      </c>
      <c r="C188" s="29" t="inlineStr">
        <is>
          <t>GLOW - Practical</t>
        </is>
      </c>
      <c r="D188" s="29" t="inlineStr">
        <is>
          <t>GLOW Eindhoven</t>
        </is>
      </c>
      <c r="E188" s="29" t="inlineStr">
        <is>
          <t>https://gloweindhoven.nl/en/practical/</t>
        </is>
      </c>
      <c r="F188" s="49" t="n">
        <v>46317</v>
      </c>
      <c r="G188" s="29" t="inlineStr">
        <is>
          <t>eindhoven:kesif</t>
        </is>
      </c>
      <c r="H188" s="29" t="inlineStr">
        <is>
          <t>GLOW tarih, saat, ücretsiz rota, ulaşım</t>
        </is>
      </c>
      <c r="I188" s="29" t="inlineStr">
        <is>
          <t>Evet</t>
        </is>
      </c>
      <c r="J188" s="29" t="inlineStr">
        <is>
          <t>Lisans kanıtları/kaynaklar/0962875be8c451ddd46296e7b09aee304f22184a74ac3ade93be61a74d03336f.html</t>
        </is>
      </c>
      <c r="K188" s="29" t="inlineStr">
        <is>
          <t>0962875be8c451ddd46296e7b09aee304f22184a74ac3ade93be61a74d03336f</t>
        </is>
      </c>
    </row>
    <row r="189" ht="54" customHeight="1">
      <c r="A189" s="29" t="inlineStr">
        <is>
          <t>eindhoven:kaynak:187</t>
        </is>
      </c>
      <c r="B189" s="29" t="inlineStr">
        <is>
          <t>eindhoven</t>
        </is>
      </c>
      <c r="C189" s="29" t="inlineStr">
        <is>
          <t>GLOW - Route information</t>
        </is>
      </c>
      <c r="D189" s="29" t="inlineStr">
        <is>
          <t>GLOW Eindhoven</t>
        </is>
      </c>
      <c r="E189" s="29" t="inlineStr">
        <is>
          <t>https://gloweindhoven.nl/en/route-info/</t>
        </is>
      </c>
      <c r="F189" s="49" t="n">
        <v>46317</v>
      </c>
      <c r="G189" s="29" t="inlineStr">
        <is>
          <t>eindhoven:kesif</t>
        </is>
      </c>
      <c r="H189" s="29" t="inlineStr">
        <is>
          <t>GLOW rota uzunluğu, harita, erişilebilirlik</t>
        </is>
      </c>
      <c r="I189" s="29" t="inlineStr">
        <is>
          <t>Evet</t>
        </is>
      </c>
      <c r="J189" s="29" t="inlineStr">
        <is>
          <t>Lisans kanıtları/kaynaklar/f887708c40a48b1432397fda22dec24d3cc33f869b3853f0f14409bcc9f5c4db.html</t>
        </is>
      </c>
      <c r="K189" s="29" t="inlineStr">
        <is>
          <t>f887708c40a48b1432397fda22dec24d3cc33f869b3853f0f14409bcc9f5c4db</t>
        </is>
      </c>
    </row>
    <row r="190" ht="54" customHeight="1">
      <c r="A190" s="29" t="inlineStr">
        <is>
          <t>eindhoven:kaynak:188</t>
        </is>
      </c>
      <c r="B190" s="29" t="inlineStr">
        <is>
          <t>eindhoven</t>
        </is>
      </c>
      <c r="C190" s="29" t="inlineStr">
        <is>
          <t>10x Eindhoven on a budget | This is Eindhoven</t>
        </is>
      </c>
      <c r="D190" s="29" t="inlineStr">
        <is>
          <t>This is Eindhoven</t>
        </is>
      </c>
      <c r="E190" s="29" t="inlineStr">
        <is>
          <t>https://www.thisiseindhoven.com/en/see-and-do/fun-things-to-do/the-best-things-in-life-are-free-11x-eindhoven-on-a-budget</t>
        </is>
      </c>
      <c r="F190" s="49" t="n">
        <v>46317</v>
      </c>
      <c r="G190" s="29" t="inlineStr">
        <is>
          <t>eindhoven:kesif</t>
        </is>
      </c>
      <c r="H190" s="29" t="inlineStr">
        <is>
          <t>Ücretsiz ve bütçe dostu etkinlikler</t>
        </is>
      </c>
      <c r="I190" s="29" t="inlineStr">
        <is>
          <t>Evet</t>
        </is>
      </c>
      <c r="J190" s="29" t="inlineStr">
        <is>
          <t>Lisans kanıtları/kaynaklar/7725f5b39816c5d09d32cc6d9e7cf497c65c898ad65f0a7ef6c700a921f0923a.html</t>
        </is>
      </c>
      <c r="K190" s="29" t="inlineStr">
        <is>
          <t>7725f5b39816c5d09d32cc6d9e7cf497c65c898ad65f0a7ef6c700a921f0923a</t>
        </is>
      </c>
    </row>
    <row r="191" ht="54" customHeight="1">
      <c r="A191" s="29" t="inlineStr">
        <is>
          <t>eindhoven:kaynak:189</t>
        </is>
      </c>
      <c r="B191" s="29" t="inlineStr">
        <is>
          <t>eindhoven</t>
        </is>
      </c>
      <c r="C191" s="29" t="inlineStr">
        <is>
          <t>Evergreen: 15x Eindhoven parks | This is Eindhoven</t>
        </is>
      </c>
      <c r="D191" s="29" t="inlineStr">
        <is>
          <t>This is Eindhoven</t>
        </is>
      </c>
      <c r="E191" s="29" t="inlineStr">
        <is>
          <t>https://www.thisiseindhoven.com/en/see-and-do/fun-things-to-do/evergeen-eindhoven-parks</t>
        </is>
      </c>
      <c r="F191" s="49" t="n">
        <v>46317</v>
      </c>
      <c r="G191" s="29" t="inlineStr">
        <is>
          <t>eindhoven:kesif</t>
        </is>
      </c>
      <c r="H191" s="29" t="inlineStr">
        <is>
          <t>Eindhoven parkları listesi</t>
        </is>
      </c>
      <c r="I191" s="29" t="inlineStr">
        <is>
          <t>Evet</t>
        </is>
      </c>
      <c r="J191" s="29" t="inlineStr">
        <is>
          <t>Lisans kanıtları/kaynaklar/bfbc22030aceaf200c0f66ee726eab995951e29dcb981e84ef94c9c9427dd0e0.html</t>
        </is>
      </c>
      <c r="K191" s="29" t="inlineStr">
        <is>
          <t>bfbc22030aceaf200c0f66ee726eab995951e29dcb981e84ef94c9c9427dd0e0</t>
        </is>
      </c>
    </row>
    <row r="192" ht="54" customHeight="1">
      <c r="A192" s="29" t="inlineStr">
        <is>
          <t>eindhoven:kaynak:190</t>
        </is>
      </c>
      <c r="B192" s="29" t="inlineStr">
        <is>
          <t>eindhoven</t>
        </is>
      </c>
      <c r="C192" s="29" t="inlineStr">
        <is>
          <t>Genneper Parken | This is Eindhoven</t>
        </is>
      </c>
      <c r="D192" s="29" t="inlineStr">
        <is>
          <t>This is Eindhoven</t>
        </is>
      </c>
      <c r="E192" s="29" t="inlineStr">
        <is>
          <t>https://www.thisiseindhoven.com/en/locations/genneper-parken</t>
        </is>
      </c>
      <c r="F192" s="49" t="n">
        <v>46317</v>
      </c>
      <c r="G192" s="29" t="inlineStr">
        <is>
          <t>eindhoven:kesif</t>
        </is>
      </c>
      <c r="H192" s="29" t="inlineStr">
        <is>
          <t>Genneper Parken doğa ve yürüyüş</t>
        </is>
      </c>
      <c r="I192" s="29" t="inlineStr">
        <is>
          <t>Evet</t>
        </is>
      </c>
      <c r="J192" s="29" t="inlineStr">
        <is>
          <t>Lisans kanıtları/kaynaklar/822167067a6dbfa89e3f600aa9a9fc4267f36bf2110a3e920ccc2b24ea0fc620.html</t>
        </is>
      </c>
      <c r="K192" s="29" t="inlineStr">
        <is>
          <t>822167067a6dbfa89e3f600aa9a9fc4267f36bf2110a3e920ccc2b24ea0fc620</t>
        </is>
      </c>
    </row>
    <row r="193" ht="54" customHeight="1">
      <c r="A193" s="29" t="inlineStr">
        <is>
          <t>eindhoven:kaynak:191</t>
        </is>
      </c>
      <c r="B193" s="29" t="inlineStr">
        <is>
          <t>eindhoven</t>
        </is>
      </c>
      <c r="C193" s="29" t="inlineStr">
        <is>
          <t>Eindhoven from A to Z: Stadswandelpark | This is Eindhoven</t>
        </is>
      </c>
      <c r="D193" s="29" t="inlineStr">
        <is>
          <t>This is Eindhoven</t>
        </is>
      </c>
      <c r="E193" s="29" t="inlineStr">
        <is>
          <t>https://www.thisiseindhoven.com/en/city-life/eindhoven-from-a-to-z/stadswandelpark</t>
        </is>
      </c>
      <c r="F193" s="49" t="n">
        <v>46317</v>
      </c>
      <c r="G193" s="29" t="inlineStr">
        <is>
          <t>eindhoven:kesif</t>
        </is>
      </c>
      <c r="H193" s="29" t="inlineStr">
        <is>
          <t>Stadswandelpark heykeller ve gözlemevi</t>
        </is>
      </c>
      <c r="I193" s="29" t="inlineStr">
        <is>
          <t>Evet</t>
        </is>
      </c>
      <c r="J193" s="29" t="inlineStr">
        <is>
          <t>Lisans kanıtları/kaynaklar/bba8e489e60d2a3d49841e9119c6f9834a55771a546e5dd6f0c7e4ae8a01edce.html</t>
        </is>
      </c>
      <c r="K193" s="29" t="inlineStr">
        <is>
          <t>bba8e489e60d2a3d49841e9119c6f9834a55771a546e5dd6f0c7e4ae8a01edce</t>
        </is>
      </c>
    </row>
    <row r="194" ht="54" customHeight="1">
      <c r="A194" s="29" t="inlineStr">
        <is>
          <t>eindhoven:kaynak:192</t>
        </is>
      </c>
      <c r="B194" s="29" t="inlineStr">
        <is>
          <t>eindhoven</t>
        </is>
      </c>
      <c r="C194" s="29" t="inlineStr">
        <is>
          <t>Let's go outside: 4x Walks in nature | This is Eindhoven</t>
        </is>
      </c>
      <c r="D194" s="29" t="inlineStr">
        <is>
          <t>This is Eindhoven</t>
        </is>
      </c>
      <c r="E194" s="29" t="inlineStr">
        <is>
          <t>https://www.thisiseindhoven.com/en/see-and-do/fun-things-to-do/walking-routes-nature</t>
        </is>
      </c>
      <c r="F194" s="49" t="n">
        <v>46317</v>
      </c>
      <c r="G194" s="29" t="inlineStr">
        <is>
          <t>eindhoven:kesif</t>
        </is>
      </c>
      <c r="H194" s="29" t="inlineStr">
        <is>
          <t>Doğa yürüyüş rotaları</t>
        </is>
      </c>
      <c r="I194" s="29" t="inlineStr">
        <is>
          <t>Evet</t>
        </is>
      </c>
      <c r="J194" s="29" t="inlineStr">
        <is>
          <t>Lisans kanıtları/kaynaklar/d234874e141931a5b104f17160ed96b44d19003721af5b97792bc281cacf3827.html</t>
        </is>
      </c>
      <c r="K194" s="29" t="inlineStr">
        <is>
          <t>d234874e141931a5b104f17160ed96b44d19003721af5b97792bc281cacf3827</t>
        </is>
      </c>
    </row>
    <row r="195" ht="54" customHeight="1">
      <c r="A195" s="29" t="inlineStr">
        <is>
          <t>eindhoven:kaynak:193</t>
        </is>
      </c>
      <c r="B195" s="29" t="inlineStr">
        <is>
          <t>eindhoven</t>
        </is>
      </c>
      <c r="C195" s="29" t="inlineStr">
        <is>
          <t>Kies je Sport voor alle leeftijden | Eindhoven Sport</t>
        </is>
      </c>
      <c r="D195" s="29" t="inlineStr">
        <is>
          <t>Eindhoven Sport</t>
        </is>
      </c>
      <c r="E195" s="29" t="inlineStr">
        <is>
          <t>https://www.eindhovensport.nl/sporten/sporten-voor-doelgroepen/kies-je-sport-voor-alle-leeftijden</t>
        </is>
      </c>
      <c r="F195" s="49" t="n">
        <v>46317</v>
      </c>
      <c r="G195" s="29" t="inlineStr">
        <is>
          <t>eindhoven:kesif</t>
        </is>
      </c>
      <c r="H195" s="29" t="inlineStr">
        <is>
          <t>Yetişkinler için spor deneme platformu Kies je Sport</t>
        </is>
      </c>
      <c r="I195" s="29" t="inlineStr">
        <is>
          <t>Evet</t>
        </is>
      </c>
      <c r="J195" s="29" t="inlineStr">
        <is>
          <t>Lisans kanıtları/kaynaklar/bab653d9924ca409b0148925672e242fc3ee48731b1a41be26d1eba6eae1996e.html</t>
        </is>
      </c>
      <c r="K195" s="29" t="inlineStr">
        <is>
          <t>bab653d9924ca409b0148925672e242fc3ee48731b1a41be26d1eba6eae1996e</t>
        </is>
      </c>
    </row>
    <row r="196" ht="54" customHeight="1">
      <c r="A196" s="29" t="inlineStr">
        <is>
          <t>eindhoven:kaynak:194</t>
        </is>
      </c>
      <c r="B196" s="29" t="inlineStr">
        <is>
          <t>eindhoven</t>
        </is>
      </c>
      <c r="C196" s="29" t="inlineStr">
        <is>
          <t>Sportaanbieders | Eindhoven Sport</t>
        </is>
      </c>
      <c r="D196" s="29" t="inlineStr">
        <is>
          <t>Eindhoven Sport</t>
        </is>
      </c>
      <c r="E196" s="29" t="inlineStr">
        <is>
          <t>https://www.eindhovensport.nl/sporten/sporten-in-eindhoven/sportaanbieders</t>
        </is>
      </c>
      <c r="F196" s="49" t="n">
        <v>46317</v>
      </c>
      <c r="G196" s="29" t="inlineStr">
        <is>
          <t>eindhoven:kesif</t>
        </is>
      </c>
      <c r="H196" s="29" t="inlineStr">
        <is>
          <t>Eindhoven spor kulüpleri ve sağlayıcıları</t>
        </is>
      </c>
      <c r="I196" s="29" t="inlineStr">
        <is>
          <t>Evet</t>
        </is>
      </c>
      <c r="J196" s="29" t="inlineStr">
        <is>
          <t>Lisans kanıtları/kaynaklar/677faf50b86fa5a9f7fb5b34c3833e8218866286aadbaf73324b35c92adf09cc.html</t>
        </is>
      </c>
      <c r="K196" s="29" t="inlineStr">
        <is>
          <t>677faf50b86fa5a9f7fb5b34c3833e8218866286aadbaf73324b35c92adf09cc</t>
        </is>
      </c>
    </row>
    <row r="197" ht="54" customHeight="1">
      <c r="A197" s="29" t="inlineStr">
        <is>
          <t>eindhoven:kaynak:195</t>
        </is>
      </c>
      <c r="B197" s="29" t="inlineStr">
        <is>
          <t>eindhoven</t>
        </is>
      </c>
      <c r="C197" s="29" t="inlineStr">
        <is>
          <t>Fees: costs of an application | IND</t>
        </is>
      </c>
      <c r="D197" s="29" t="inlineStr">
        <is>
          <t>IND</t>
        </is>
      </c>
      <c r="E197" s="29" t="inlineStr">
        <is>
          <t>https://ind.nl/en/fees</t>
        </is>
      </c>
      <c r="F197" s="49" t="n">
        <v>46317</v>
      </c>
      <c r="G197" s="29" t="inlineStr">
        <is>
          <t>eindhoven:oturum</t>
        </is>
      </c>
      <c r="H197" s="29" t="inlineStr">
        <is>
          <t>Bilgi göçmeni, aile, öğrenci, serbest meslek, uzatma ve Türk vatandaşı (AB-Türkiye Ortaklık Anlaşması) ücretleri tek tabloda; düz HTML içinde.</t>
        </is>
      </c>
      <c r="I197" s="29" t="inlineStr">
        <is>
          <t>Evet</t>
        </is>
      </c>
      <c r="J197" s="29" t="inlineStr">
        <is>
          <t>Lisans kanıtları/kaynaklar/2b6e90f2a567c64b45554c0e141c7e617eb22ea77dd072c4b0a9f74360e33129.html</t>
        </is>
      </c>
      <c r="K197" s="29" t="inlineStr">
        <is>
          <t>2b6e90f2a567c64b45554c0e141c7e617eb22ea77dd072c4b0a9f74360e33129</t>
        </is>
      </c>
    </row>
    <row r="198" ht="54" customHeight="1">
      <c r="A198" s="29" t="inlineStr">
        <is>
          <t>eindhoven:kaynak:196</t>
        </is>
      </c>
      <c r="B198" s="29" t="inlineStr">
        <is>
          <t>eindhoven</t>
        </is>
      </c>
      <c r="C198" s="29" t="inlineStr">
        <is>
          <t>Required amounts income requirements | IND</t>
        </is>
      </c>
      <c r="D198" s="29" t="inlineStr">
        <is>
          <t>IND</t>
        </is>
      </c>
      <c r="E198" s="29" t="inlineStr">
        <is>
          <t>https://ind.nl/en/required-amounts-income-requirements</t>
        </is>
      </c>
      <c r="F198" s="49" t="n">
        <v>46317</v>
      </c>
      <c r="G198" s="29" t="inlineStr">
        <is>
          <t>eindhoven:oturum</t>
        </is>
      </c>
      <c r="H198" s="29" t="inlineStr">
        <is>
          <t>Bilgi göçmeni maaş eşikleri (30 yaş altı/üstü) ve partner/aile birleşimi gelir şartı aylık brüt rakamlarla; düz HTML içinde.</t>
        </is>
      </c>
      <c r="I198" s="29" t="inlineStr">
        <is>
          <t>Evet</t>
        </is>
      </c>
      <c r="J198" s="29" t="inlineStr">
        <is>
          <t>Lisans kanıtları/kaynaklar/bc425a9e2afccb780237af3851234877fd684a313f0215be1a21091c34dbd146.html</t>
        </is>
      </c>
      <c r="K198" s="29" t="inlineStr">
        <is>
          <t>bc425a9e2afccb780237af3851234877fd684a313f0215be1a21091c34dbd146</t>
        </is>
      </c>
    </row>
    <row r="199" ht="54" customHeight="1">
      <c r="A199" s="29" t="inlineStr">
        <is>
          <t>eindhoven:kaynak:197</t>
        </is>
      </c>
      <c r="B199" s="29" t="inlineStr">
        <is>
          <t>eindhoven</t>
        </is>
      </c>
      <c r="C199" s="29" t="inlineStr">
        <is>
          <t>Decision periods | IND</t>
        </is>
      </c>
      <c r="D199" s="29" t="inlineStr">
        <is>
          <t>IND</t>
        </is>
      </c>
      <c r="E199" s="29" t="inlineStr">
        <is>
          <t>https://ind.nl/en/after-your-application/decision-periods</t>
        </is>
      </c>
      <c r="F199" s="49" t="n">
        <v>46317</v>
      </c>
      <c r="G199" s="29" t="inlineStr">
        <is>
          <t>eindhoven:oturum</t>
        </is>
      </c>
      <c r="H199" s="29" t="inlineStr">
        <is>
          <t>Başvuru türüne göre yasal karar süreleri.</t>
        </is>
      </c>
      <c r="I199" s="29" t="inlineStr">
        <is>
          <t>Evet</t>
        </is>
      </c>
      <c r="J199" s="29" t="inlineStr">
        <is>
          <t>Lisans kanıtları/kaynaklar/725d8c9390b2b5bd8ed92b940290c207b56c1e6d944fbddfb494eb249366fc19.html</t>
        </is>
      </c>
      <c r="K199" s="29" t="inlineStr">
        <is>
          <t>725d8c9390b2b5bd8ed92b940290c207b56c1e6d944fbddfb494eb249366fc19</t>
        </is>
      </c>
    </row>
    <row r="200" ht="54" customHeight="1">
      <c r="A200" s="29" t="inlineStr">
        <is>
          <t>eindhoven:kaynak:198</t>
        </is>
      </c>
      <c r="B200" s="29" t="inlineStr">
        <is>
          <t>eindhoven</t>
        </is>
      </c>
      <c r="C200" s="29" t="inlineStr">
        <is>
          <t>Regular temporary residence permit extension | IND</t>
        </is>
      </c>
      <c r="D200" s="29" t="inlineStr">
        <is>
          <t>IND</t>
        </is>
      </c>
      <c r="E200" s="29" t="inlineStr">
        <is>
          <t>https://ind.nl/en/replace-extend-renew-and-change/extend-and-renew/regular-temporary-residence-permit-extension</t>
        </is>
      </c>
      <c r="F200" s="49" t="n">
        <v>46317</v>
      </c>
      <c r="G200" s="29" t="inlineStr">
        <is>
          <t>eindhoven:oturum</t>
        </is>
      </c>
      <c r="H200" s="29" t="inlineStr">
        <is>
          <t>Süreli oturum kartı uzatma: kart bitmeden 3 ay içinde başvurulur.</t>
        </is>
      </c>
      <c r="I200" s="29" t="inlineStr">
        <is>
          <t>Evet</t>
        </is>
      </c>
      <c r="J200" s="29" t="inlineStr">
        <is>
          <t>Lisans kanıtları/kaynaklar/748bfe96be64c07b3655904f21ff06218a6db9d307c961d6dd1404533f2cd86c.html</t>
        </is>
      </c>
      <c r="K200" s="29" t="inlineStr">
        <is>
          <t>748bfe96be64c07b3655904f21ff06218a6db9d307c961d6dd1404533f2cd86c</t>
        </is>
      </c>
    </row>
    <row r="201" ht="54" customHeight="1">
      <c r="A201" s="29" t="inlineStr">
        <is>
          <t>eindhoven:kaynak:199</t>
        </is>
      </c>
      <c r="B201" s="29" t="inlineStr">
        <is>
          <t>eindhoven</t>
        </is>
      </c>
      <c r="C201" s="29" t="inlineStr">
        <is>
          <t>Travelling with a residence permit and a return visa | IND</t>
        </is>
      </c>
      <c r="D201" s="29" t="inlineStr">
        <is>
          <t>IND</t>
        </is>
      </c>
      <c r="E201" s="29" t="inlineStr">
        <is>
          <t>https://ind.nl/en/living-in-the-netherlands-with-a-residence-permit/travelling-with-a-residence-permit-and-a-return-visa</t>
        </is>
      </c>
      <c r="F201" s="49" t="n">
        <v>46317</v>
      </c>
      <c r="G201" s="29" t="inlineStr">
        <is>
          <t>eindhoven:oturum</t>
        </is>
      </c>
      <c r="H201" s="29" t="inlineStr">
        <is>
          <t>Dönüş vizesi (terugkeervisum, TKV) ne zaman gerekir.</t>
        </is>
      </c>
      <c r="I201" s="29" t="inlineStr">
        <is>
          <t>Evet</t>
        </is>
      </c>
      <c r="J201" s="29" t="inlineStr">
        <is>
          <t>Lisans kanıtları/kaynaklar/b634124b02cbbbf872163fac843ef011e0ceb68b43c237e2c49dc79cde5203eb.html</t>
        </is>
      </c>
      <c r="K201" s="29" t="inlineStr">
        <is>
          <t>b634124b02cbbbf872163fac843ef011e0ceb68b43c237e2c49dc79cde5203eb</t>
        </is>
      </c>
    </row>
    <row r="202" ht="54" customHeight="1">
      <c r="A202" s="29" t="inlineStr">
        <is>
          <t>eindhoven:kaynak:200</t>
        </is>
      </c>
      <c r="B202" s="29" t="inlineStr">
        <is>
          <t>eindhoven</t>
        </is>
      </c>
      <c r="C202" s="29" t="inlineStr">
        <is>
          <t>Wat kan ik als consument doen als ik geen betaalrekening kan krijgen? | Rijksoverheid.nl</t>
        </is>
      </c>
      <c r="D202" s="29" t="inlineStr">
        <is>
          <t>Rijksoverheid</t>
        </is>
      </c>
      <c r="E202" s="29" t="inlineStr">
        <is>
          <t>https://www.rijksoverheid.nl/documenten/vraag-en-antwoord/betalingsverkeer/afwijzing-betaalrekening-consument</t>
        </is>
      </c>
      <c r="F202" s="49" t="n">
        <v>46317</v>
      </c>
      <c r="G202" s="29" t="inlineStr">
        <is>
          <t>eindhoven:para</t>
        </is>
      </c>
      <c r="H202" s="29" t="inlineStr">
        <is>
          <t>Banka hesabı reddedilirse temel ödeme hesabı (basisbetaalrekening) hakkı ve reddedilme gerekçeleri.</t>
        </is>
      </c>
      <c r="I202" s="29" t="inlineStr">
        <is>
          <t>Evet</t>
        </is>
      </c>
      <c r="J202" s="29" t="inlineStr">
        <is>
          <t>Lisans kanıtları/kaynaklar/053eeba760ff60f7177b4802247412ca55765a3d204c306ae427cac02b80dbe8.html</t>
        </is>
      </c>
      <c r="K202" s="29" t="inlineStr">
        <is>
          <t>053eeba760ff60f7177b4802247412ca55765a3d204c306ae427cac02b80dbe8</t>
        </is>
      </c>
    </row>
    <row r="203" ht="54" customHeight="1">
      <c r="A203" s="29" t="inlineStr">
        <is>
          <t>eindhoven:kaynak:201</t>
        </is>
      </c>
      <c r="B203" s="29" t="inlineStr">
        <is>
          <t>eindhoven</t>
        </is>
      </c>
      <c r="C203" s="29" t="inlineStr">
        <is>
          <t>Filing an online tax return in 4 steps | Tax Administration</t>
        </is>
      </c>
      <c r="D203" s="29" t="inlineStr">
        <is>
          <t>Belastingdienst</t>
        </is>
      </c>
      <c r="E203" s="29" t="inlineStr">
        <is>
          <t>https://www.belastingdienst.nl/wps/wcm/connect/en/individuals/content/filing-an-online-tax-return-in-4-steps</t>
        </is>
      </c>
      <c r="F203" s="49" t="n">
        <v>46317</v>
      </c>
      <c r="G203" s="29" t="inlineStr">
        <is>
          <t>eindhoven:para</t>
        </is>
      </c>
      <c r="H203" s="29" t="inlineStr">
        <is>
          <t>Davet mektubu alan kişinin beyannameyi 1 Mayıs'tan önce vermesi.</t>
        </is>
      </c>
      <c r="I203" s="29" t="inlineStr">
        <is>
          <t>Evet</t>
        </is>
      </c>
      <c r="J203" s="29" t="inlineStr">
        <is>
          <t>Lisans kanıtları/kaynaklar/c8f48fea11e061f8c4a8b24c6e8ff9aef276c4e3197879bc4a3990adeba33a08.html</t>
        </is>
      </c>
      <c r="K203" s="29" t="inlineStr">
        <is>
          <t>c8f48fea11e061f8c4a8b24c6e8ff9aef276c4e3197879bc4a3990adeba33a08</t>
        </is>
      </c>
    </row>
    <row r="204" ht="54" customHeight="1">
      <c r="A204" s="29" t="inlineStr">
        <is>
          <t>eindhoven:kaynak:202</t>
        </is>
      </c>
      <c r="B204" s="29" t="inlineStr">
        <is>
          <t>eindhoven</t>
        </is>
      </c>
      <c r="C204" s="29" t="inlineStr">
        <is>
          <t>Tax return | Government.nl</t>
        </is>
      </c>
      <c r="D204" s="29" t="inlineStr">
        <is>
          <t>government.nl</t>
        </is>
      </c>
      <c r="E204" s="29" t="inlineStr">
        <is>
          <t>https://www.government.nl/topics/income-tax/filing-a-tax-return</t>
        </is>
      </c>
      <c r="F204" s="49" t="n">
        <v>46317</v>
      </c>
      <c r="G204" s="29" t="inlineStr">
        <is>
          <t>eindhoven:para</t>
        </is>
      </c>
      <c r="H204" s="29" t="inlineStr">
        <is>
          <t>Kimin beyanname vermek zorunda olduğu (davet olmasa da).</t>
        </is>
      </c>
      <c r="I204" s="29" t="inlineStr">
        <is>
          <t>Evet</t>
        </is>
      </c>
      <c r="J204" s="29" t="inlineStr">
        <is>
          <t>Lisans kanıtları/kaynaklar/7644fa181c89e2e543e7546750a5a8bd94b59bae375aaf12f89d45c9f1a8b313.html</t>
        </is>
      </c>
      <c r="K204" s="29" t="inlineStr">
        <is>
          <t>7644fa181c89e2e543e7546750a5a8bd94b59bae375aaf12f89d45c9f1a8b313</t>
        </is>
      </c>
    </row>
    <row r="205" ht="54" customHeight="1">
      <c r="A205" s="29" t="inlineStr">
        <is>
          <t>eindhoven:kaynak:203</t>
        </is>
      </c>
      <c r="B205" s="29" t="inlineStr">
        <is>
          <t>eindhoven</t>
        </is>
      </c>
      <c r="C205" s="29" t="inlineStr">
        <is>
          <t>I live in a rented house | Dienst Toeslagen</t>
        </is>
      </c>
      <c r="D205" s="29" t="inlineStr">
        <is>
          <t>Belastingdienst</t>
        </is>
      </c>
      <c r="E205" s="29" t="inlineStr">
        <is>
          <t>https://www.belastingdienst.nl/wps/wcm/connect/bldcontenten/belastingdienst/individuals/benefits/moving_to_the_netherlands/i_live_in_a_rented_house/i_live_in_a_rented_house</t>
        </is>
      </c>
      <c r="F205" s="49" t="n">
        <v>46317</v>
      </c>
      <c r="G205" s="29" t="inlineStr">
        <is>
          <t>eindhoven:ev</t>
        </is>
      </c>
      <c r="H205" s="29" t="inlineStr">
        <is>
          <t>Huurtoeslag şartları: bağımsız konut, kira sözleşmesi, 18 yaş, gelir ve varlık.</t>
        </is>
      </c>
      <c r="I205" s="29" t="inlineStr">
        <is>
          <t>Evet</t>
        </is>
      </c>
      <c r="J205" s="29" t="inlineStr">
        <is>
          <t>Lisans kanıtları/kaynaklar/a9f537899fcf3d6eb7d0dc4ee2e1a150dfbcf6c333794916a688d813dabdd503.html</t>
        </is>
      </c>
      <c r="K205" s="29" t="inlineStr">
        <is>
          <t>a9f537899fcf3d6eb7d0dc4ee2e1a150dfbcf6c333794916a688d813dabdd503</t>
        </is>
      </c>
    </row>
    <row r="206" ht="54" customHeight="1">
      <c r="A206" s="29" t="inlineStr">
        <is>
          <t>eindhoven:kaynak:204</t>
        </is>
      </c>
      <c r="B206" s="29" t="inlineStr">
        <is>
          <t>eindhoven</t>
        </is>
      </c>
      <c r="C206" s="29" t="inlineStr">
        <is>
          <t>Your assets must not be too high for the rent benefit | Dienst Toeslagen</t>
        </is>
      </c>
      <c r="D206" s="29" t="inlineStr">
        <is>
          <t>Belastingdienst</t>
        </is>
      </c>
      <c r="E206" s="29" t="inlineStr">
        <is>
          <t>https://www.belastingdienst.nl/wps/wcm/connect/bldcontenten/belastingdienst/individuals/benefits/moving_to_the_netherlands/i_live_in_a_rented_house/assets-rent-benefit</t>
        </is>
      </c>
      <c r="F206" s="49" t="n">
        <v>46317</v>
      </c>
      <c r="G206" s="29" t="inlineStr">
        <is>
          <t>eindhoven:ev</t>
        </is>
      </c>
      <c r="H206" s="29" t="inlineStr">
        <is>
          <t>Huurtoeslag varlık sınırı (1 Ocak 2026): tek kişi ve partnerli.</t>
        </is>
      </c>
      <c r="I206" s="29" t="inlineStr">
        <is>
          <t>Evet</t>
        </is>
      </c>
      <c r="J206" s="29" t="inlineStr">
        <is>
          <t>Lisans kanıtları/kaynaklar/87c2d3fdf94890c772f21da5f4c02932733e8914cf60650d6705dc2ccefab7ac.html</t>
        </is>
      </c>
      <c r="K206" s="29" t="inlineStr">
        <is>
          <t>87c2d3fdf94890c772f21da5f4c02932733e8914cf60650d6705dc2ccefab7ac</t>
        </is>
      </c>
    </row>
    <row r="207" ht="54" customHeight="1">
      <c r="A207" s="29" t="inlineStr">
        <is>
          <t>eindhoven:kaynak:205</t>
        </is>
      </c>
      <c r="B207" s="29" t="inlineStr">
        <is>
          <t>eindhoven</t>
        </is>
      </c>
      <c r="C207" s="29" t="inlineStr">
        <is>
          <t>Rented housing | Government.nl</t>
        </is>
      </c>
      <c r="D207" s="29" t="inlineStr">
        <is>
          <t>government.nl</t>
        </is>
      </c>
      <c r="E207" s="29" t="inlineStr">
        <is>
          <t>https://www.government.nl/themes/building-and-housing/housing/rented-housing</t>
        </is>
      </c>
      <c r="F207" s="49" t="n">
        <v>46317</v>
      </c>
      <c r="G207" s="29" t="inlineStr">
        <is>
          <t>eindhoven:ev</t>
        </is>
      </c>
      <c r="H207" s="29" t="inlineStr">
        <is>
          <t>Süreli/süresiz kira sözleşmesi türleri ve sona erme kuralları.</t>
        </is>
      </c>
      <c r="I207" s="29" t="inlineStr">
        <is>
          <t>Evet</t>
        </is>
      </c>
      <c r="J207" s="29" t="inlineStr">
        <is>
          <t>Lisans kanıtları/kaynaklar/0bfdb8538a0a919e3f3843fae1faaeb7d4b7871b7d72196293dbcbd79d335189.html</t>
        </is>
      </c>
      <c r="K207" s="29" t="inlineStr">
        <is>
          <t>0bfdb8538a0a919e3f3843fae1faaeb7d4b7871b7d72196293dbcbd79d335189</t>
        </is>
      </c>
    </row>
    <row r="208" ht="54" customHeight="1">
      <c r="A208" s="29" t="inlineStr">
        <is>
          <t>eindhoven:kaynak:206</t>
        </is>
      </c>
      <c r="B208" s="29" t="inlineStr">
        <is>
          <t>eindhoven</t>
        </is>
      </c>
      <c r="C208" s="29" t="inlineStr">
        <is>
          <t>Hoe zeg ik de huur op van mijn woning? | Rijksoverheid.nl</t>
        </is>
      </c>
      <c r="D208" s="29" t="inlineStr">
        <is>
          <t>Rijksoverheid</t>
        </is>
      </c>
      <c r="E208" s="29" t="inlineStr">
        <is>
          <t>https://rijksoverheid.nl/vraag-en-antwoord/woning-huren/huur-opzeggen-woning</t>
        </is>
      </c>
      <c r="F208" s="49" t="n">
        <v>46317</v>
      </c>
      <c r="G208" s="29" t="inlineStr">
        <is>
          <t>eindhoven:ev</t>
        </is>
      </c>
      <c r="H208" s="29" t="inlineStr">
        <is>
          <t>Kiracının fesih ihbarı: genelde 1 ay, sözleşmede yazar.</t>
        </is>
      </c>
      <c r="I208" s="29" t="inlineStr">
        <is>
          <t>Evet</t>
        </is>
      </c>
      <c r="J208" s="29" t="inlineStr">
        <is>
          <t>Lisans kanıtları/kaynaklar/cb96126defc59973a8ff845e76ef6d7d3f6b79fcbba1731918cde108198b3046.html</t>
        </is>
      </c>
      <c r="K208" s="29" t="inlineStr">
        <is>
          <t>cb96126defc59973a8ff845e76ef6d7d3f6b79fcbba1731918cde108198b3046</t>
        </is>
      </c>
    </row>
    <row r="209" ht="54" customHeight="1">
      <c r="A209" s="29" t="inlineStr">
        <is>
          <t>eindhoven:kaynak:207</t>
        </is>
      </c>
      <c r="B209" s="29" t="inlineStr">
        <is>
          <t>eindhoven</t>
        </is>
      </c>
      <c r="C209" s="29" t="inlineStr">
        <is>
          <t>Mag mijn verhuurder de huur opzeggen van mijn woning? | Rijksoverheid.nl</t>
        </is>
      </c>
      <c r="D209" s="29" t="inlineStr">
        <is>
          <t>Rijksoverheid</t>
        </is>
      </c>
      <c r="E209" s="29" t="inlineStr">
        <is>
          <t>https://www.rijksoverheid.nl/vraag-en-antwoord/woning-huren/verhuurder-zegt-huur-op-woning</t>
        </is>
      </c>
      <c r="F209" s="49" t="n">
        <v>46317</v>
      </c>
      <c r="G209" s="29" t="inlineStr">
        <is>
          <t>eindhoven:ev</t>
        </is>
      </c>
      <c r="H209" s="29" t="inlineStr">
        <is>
          <t>Ev sahibi ancak geçerli sebeple feshedebilir; ihbar süresi 3-6 ay.</t>
        </is>
      </c>
      <c r="I209" s="29" t="inlineStr">
        <is>
          <t>Evet</t>
        </is>
      </c>
      <c r="J209" s="29" t="inlineStr">
        <is>
          <t>Lisans kanıtları/kaynaklar/87091d175fda0f0a4a67b181245002239252569398c17f973ee1b5aa1ba4e202.html</t>
        </is>
      </c>
      <c r="K209" s="29" t="inlineStr">
        <is>
          <t>87091d175fda0f0a4a67b181245002239252569398c17f973ee1b5aa1ba4e202</t>
        </is>
      </c>
    </row>
    <row r="210" ht="54" customHeight="1">
      <c r="A210" s="29" t="inlineStr">
        <is>
          <t>eindhoven:kaynak:208</t>
        </is>
      </c>
      <c r="B210" s="29" t="inlineStr">
        <is>
          <t>eindhoven</t>
        </is>
      </c>
      <c r="C210" s="29" t="inlineStr">
        <is>
          <t>More Q&amp;As about health insurance in the Netherlands | Government.nl</t>
        </is>
      </c>
      <c r="D210" s="29" t="inlineStr">
        <is>
          <t>government.nl</t>
        </is>
      </c>
      <c r="E210" s="29" t="inlineStr">
        <is>
          <t>https://www.government.nl/faq/health-insurance/more-qas-about-health-insurance-in-the-netherlands</t>
        </is>
      </c>
      <c r="F210" s="49" t="n">
        <v>46317</v>
      </c>
      <c r="G210" s="29" t="inlineStr">
        <is>
          <t>eindhoven:saglik</t>
        </is>
      </c>
      <c r="H210" s="29" t="inlineStr">
        <is>
          <t>Sigortasızsa CAK mektubu, 3 ay süre, para cezası ve CAK'ın kendisinin sigorta yaptırması.</t>
        </is>
      </c>
      <c r="I210" s="29" t="inlineStr">
        <is>
          <t>Evet</t>
        </is>
      </c>
      <c r="J210" s="29" t="inlineStr">
        <is>
          <t>Lisans kanıtları/kaynaklar/b36d633337365b02d16d051be5944ab4aad95f30dea210a83fcc4ba895408b0a.html</t>
        </is>
      </c>
      <c r="K210" s="29" t="inlineStr">
        <is>
          <t>b36d633337365b02d16d051be5944ab4aad95f30dea210a83fcc4ba895408b0a</t>
        </is>
      </c>
    </row>
    <row r="211" ht="54" customHeight="1">
      <c r="A211" s="29" t="inlineStr">
        <is>
          <t>eindhoven:kaynak:209</t>
        </is>
      </c>
      <c r="B211" s="29" t="inlineStr">
        <is>
          <t>eindhoven</t>
        </is>
      </c>
      <c r="C211" s="29" t="inlineStr">
        <is>
          <t>Changing your health insurance | Government.nl</t>
        </is>
      </c>
      <c r="D211" s="29" t="inlineStr">
        <is>
          <t>government.nl</t>
        </is>
      </c>
      <c r="E211" s="29" t="inlineStr">
        <is>
          <t>https://www.government.nl/themes/family-health-and-care/health-insurance/standard-health-insurance/changing-your-health-insurance</t>
        </is>
      </c>
      <c r="F211" s="49" t="n">
        <v>46317</v>
      </c>
      <c r="G211" s="29" t="inlineStr">
        <is>
          <t>eindhoven:saglik</t>
        </is>
      </c>
      <c r="H211" s="29" t="inlineStr">
        <is>
          <t>Sigortacı değiştirme: yıl sonu 31 Aralık; kendin iptal edersen 1 Şubat'a kadar yenisini yaptır.</t>
        </is>
      </c>
      <c r="I211" s="29" t="inlineStr">
        <is>
          <t>Evet</t>
        </is>
      </c>
      <c r="J211" s="29" t="inlineStr">
        <is>
          <t>Lisans kanıtları/kaynaklar/d7e463cf28890ac05aa14c56164e5b4a07bb6f79ba3ed3fa2531763dc2dc5b12.html</t>
        </is>
      </c>
      <c r="K211" s="29" t="inlineStr">
        <is>
          <t>d7e463cf28890ac05aa14c56164e5b4a07bb6f79ba3ed3fa2531763dc2dc5b12</t>
        </is>
      </c>
    </row>
    <row r="212" ht="54" customHeight="1">
      <c r="A212" s="29" t="inlineStr">
        <is>
          <t>eindhoven:kaynak:210</t>
        </is>
      </c>
      <c r="B212" s="29" t="inlineStr">
        <is>
          <t>eindhoven</t>
        </is>
      </c>
      <c r="C212" s="29" t="inlineStr">
        <is>
          <t>Zelfmoordlijn | 113 Zelfmoordpreventie</t>
        </is>
      </c>
      <c r="D212" s="29" t="inlineStr">
        <is>
          <t>113 Zelfmoordpreventie</t>
        </is>
      </c>
      <c r="E212" s="29" t="inlineStr">
        <is>
          <t>https://www.113.nl/i/zelfmoordlijn</t>
        </is>
      </c>
      <c r="F212" s="49" t="n">
        <v>46317</v>
      </c>
      <c r="G212" s="29" t="inlineStr">
        <is>
          <t>eindhoven:saglik</t>
        </is>
      </c>
      <c r="H212" s="29" t="inlineStr">
        <is>
          <t>Ruh sağlığı kriz hattı: 113 (normal ücret), 0800-0113 ücretsiz, 7/24 telefon ve sohbet.</t>
        </is>
      </c>
      <c r="I212" s="29" t="inlineStr">
        <is>
          <t>Evet</t>
        </is>
      </c>
      <c r="J212" s="29" t="inlineStr">
        <is>
          <t>Lisans kanıtları/kaynaklar/0b03461a9fb6ed6cbd2519cae34da14a3ce0e43a387a6b07325bb77092166a71.html</t>
        </is>
      </c>
      <c r="K212" s="29" t="inlineStr">
        <is>
          <t>0b03461a9fb6ed6cbd2519cae34da14a3ce0e43a387a6b07325bb77092166a71</t>
        </is>
      </c>
    </row>
    <row r="213" ht="54" customHeight="1">
      <c r="A213" s="29" t="inlineStr">
        <is>
          <t>eindhoven:kaynak:211</t>
        </is>
      </c>
      <c r="B213" s="29" t="inlineStr">
        <is>
          <t>eindhoven</t>
        </is>
      </c>
      <c r="C213" s="29" t="inlineStr">
        <is>
          <t>Holiday entitlement for employees in the Netherlands | Business.gov.nl</t>
        </is>
      </c>
      <c r="D213" s="29" t="inlineStr">
        <is>
          <t>business.gov.nl</t>
        </is>
      </c>
      <c r="E213" s="29" t="inlineStr">
        <is>
          <t>https://business.gov.nl/staff/terms-of-employment/statutory-holidays-what-you-need-to-know</t>
        </is>
      </c>
      <c r="F213" s="49" t="n">
        <v>46317</v>
      </c>
      <c r="G213" s="29" t="inlineStr">
        <is>
          <t>eindhoven:is</t>
        </is>
      </c>
      <c r="H213" s="29" t="inlineStr">
        <is>
          <t>Yasal yıllık izin: haftalık çalışma günü/saatinin 4 katı.</t>
        </is>
      </c>
      <c r="I213" s="29" t="inlineStr">
        <is>
          <t>Evet</t>
        </is>
      </c>
      <c r="J213" s="29" t="inlineStr">
        <is>
          <t>Lisans kanıtları/kaynaklar/f5ef620aa83ea20acc32448f894ae92a93d87a3a4921f52d02bd9b3e58ec3347.html</t>
        </is>
      </c>
      <c r="K213" s="29" t="inlineStr">
        <is>
          <t>f5ef620aa83ea20acc32448f894ae92a93d87a3a4921f52d02bd9b3e58ec3347</t>
        </is>
      </c>
    </row>
    <row r="214" ht="54" customHeight="1">
      <c r="A214" s="29" t="inlineStr">
        <is>
          <t>eindhoven:kaynak:212</t>
        </is>
      </c>
      <c r="B214" s="29" t="inlineStr">
        <is>
          <t>eindhoven</t>
        </is>
      </c>
      <c r="C214" s="29" t="inlineStr">
        <is>
          <t>Ik word ontslagen. Wat is de opzegtermijn van mijn werkgever? | Rijksoverheid.nl</t>
        </is>
      </c>
      <c r="D214" s="29" t="inlineStr">
        <is>
          <t>Rijksoverheid</t>
        </is>
      </c>
      <c r="E214" s="29" t="inlineStr">
        <is>
          <t>https://rijksoverheid.nl/vraag-en-antwoord/ontslag/ontslagen-worden-opzegtermijn-werkgever</t>
        </is>
      </c>
      <c r="F214" s="49" t="n">
        <v>46317</v>
      </c>
      <c r="G214" s="29" t="inlineStr">
        <is>
          <t>eindhoven:is</t>
        </is>
      </c>
      <c r="H214" s="29" t="inlineStr">
        <is>
          <t>İşveren ihbar süresi hizmet yılına göre 1-4 ay tablosu.</t>
        </is>
      </c>
      <c r="I214" s="29" t="inlineStr">
        <is>
          <t>Evet</t>
        </is>
      </c>
      <c r="J214" s="29" t="inlineStr">
        <is>
          <t>Lisans kanıtları/kaynaklar/47a19f07631b664d71c9fd63ffb297d47f9b6bf3ac3144f30815d5d0e2b85206.html</t>
        </is>
      </c>
      <c r="K214" s="29" t="inlineStr">
        <is>
          <t>47a19f07631b664d71c9fd63ffb297d47f9b6bf3ac3144f30815d5d0e2b85206</t>
        </is>
      </c>
    </row>
    <row r="215" ht="54" customHeight="1">
      <c r="A215" s="29" t="inlineStr">
        <is>
          <t>eindhoven:kaynak:213</t>
        </is>
      </c>
      <c r="B215" s="29" t="inlineStr">
        <is>
          <t>eindhoven</t>
        </is>
      </c>
      <c r="C215" s="29" t="inlineStr">
        <is>
          <t>Sick pay | Business.gov.nl</t>
        </is>
      </c>
      <c r="D215" s="29" t="inlineStr">
        <is>
          <t>business.gov.nl</t>
        </is>
      </c>
      <c r="E215" s="29" t="inlineStr">
        <is>
          <t>https://business.gov.nl/regulations/sick-pay/</t>
        </is>
      </c>
      <c r="F215" s="49" t="n">
        <v>46317</v>
      </c>
      <c r="G215" s="29" t="inlineStr">
        <is>
          <t>eindhoven:is</t>
        </is>
      </c>
      <c r="H215" s="29" t="inlineStr">
        <is>
          <t>Hastalıkta maaş devamı: en az %70, en çok 2 yıl.</t>
        </is>
      </c>
      <c r="I215" s="29" t="inlineStr">
        <is>
          <t>Evet</t>
        </is>
      </c>
      <c r="J215" s="29" t="inlineStr">
        <is>
          <t>Lisans kanıtları/kaynaklar/38f510559be78160322885e8d0aa7ddc6dcac15d1d975b6ab69f4303fea154b7.html</t>
        </is>
      </c>
      <c r="K215" s="29" t="inlineStr">
        <is>
          <t>38f510559be78160322885e8d0aa7ddc6dcac15d1d975b6ab69f4303fea154b7</t>
        </is>
      </c>
    </row>
    <row r="216" ht="54" customHeight="1">
      <c r="A216" s="29" t="inlineStr">
        <is>
          <t>eindhoven:kaynak:214</t>
        </is>
      </c>
      <c r="B216" s="29" t="inlineStr">
        <is>
          <t>eindhoven</t>
        </is>
      </c>
      <c r="C216" s="29" t="inlineStr">
        <is>
          <t>When can I call 112? | Government.nl</t>
        </is>
      </c>
      <c r="D216" s="29" t="inlineStr">
        <is>
          <t>government.nl</t>
        </is>
      </c>
      <c r="E216" s="29" t="inlineStr">
        <is>
          <t>https://www.government.nl/faq/emergency-number-112/when-can-i-call-112</t>
        </is>
      </c>
      <c r="F216" s="49" t="n">
        <v>46317</v>
      </c>
      <c r="G216" s="29" t="inlineStr">
        <is>
          <t>eindhoven:gunluk</t>
        </is>
      </c>
      <c r="H216" s="29" t="inlineStr">
        <is>
          <t>112 acil durumlar için; acil olmayan polis işi için 0900 8844.</t>
        </is>
      </c>
      <c r="I216" s="29" t="inlineStr">
        <is>
          <t>Evet</t>
        </is>
      </c>
      <c r="J216" s="29" t="inlineStr">
        <is>
          <t>Lisans kanıtları/kaynaklar/d9cd4887d6137a3b3b0b1ab4a860098a9fa4bd8186eccdd1d405c68e04a9f8c9.html</t>
        </is>
      </c>
      <c r="K216" s="29" t="inlineStr">
        <is>
          <t>d9cd4887d6137a3b3b0b1ab4a860098a9fa4bd8186eccdd1d405c68e04a9f8c9</t>
        </is>
      </c>
    </row>
    <row r="217" ht="54" customHeight="1">
      <c r="A217" s="29" t="inlineStr">
        <is>
          <t>eindhoven:kaynak:215</t>
        </is>
      </c>
      <c r="B217" s="29" t="inlineStr">
        <is>
          <t>eindhoven</t>
        </is>
      </c>
      <c r="C217" s="29" t="inlineStr">
        <is>
          <t>Zorg voor een actuele inschrijving bij Wooniezie</t>
        </is>
      </c>
      <c r="D217" s="29" t="inlineStr">
        <is>
          <t>Wooniezie</t>
        </is>
      </c>
      <c r="E217" s="29" t="inlineStr">
        <is>
          <t>https://www.wooniezie.nl/over-ons/om-te-bekijken/nieuws/nieuwsbericht/zorg-voor-een-actuele-inschrijving-bij-wooniezie</t>
        </is>
      </c>
      <c r="F217" s="49" t="n">
        <v>46317</v>
      </c>
      <c r="G217" s="29" t="inlineStr">
        <is>
          <t>eindhoven:ev</t>
        </is>
      </c>
      <c r="H217" s="29" t="inlineStr">
        <is>
          <t>Wooniezie kaydı ücretsiz ve her yıl yenilenmeli. Bekleme süresi ve gelir sınırı rakamı düz metinde bulunamadı (yalnız PDF faktsheet'te).</t>
        </is>
      </c>
      <c r="I217" s="29" t="inlineStr">
        <is>
          <t>Evet</t>
        </is>
      </c>
      <c r="J217" s="29" t="inlineStr">
        <is>
          <t>Lisans kanıtları/kaynaklar/a3cfd82bf0bca7fca8494dc240f1489cae631d73c0d5d7742d4eb59e97fa7aae.html</t>
        </is>
      </c>
      <c r="K217" s="29" t="inlineStr">
        <is>
          <t>a3cfd82bf0bca7fca8494dc240f1489cae631d73c0d5d7742d4eb59e97fa7aae</t>
        </is>
      </c>
    </row>
    <row r="218" ht="54" customHeight="1">
      <c r="A218" s="29" t="inlineStr">
        <is>
          <t>eindhoven:kaynak:216</t>
        </is>
      </c>
      <c r="B218" s="29" t="inlineStr">
        <is>
          <t>eindhoven</t>
        </is>
      </c>
      <c r="C218" s="29" t="inlineStr">
        <is>
          <t>Verloskundige zorg (Zvw) | Zorginstituut Nederland</t>
        </is>
      </c>
      <c r="D218" s="29" t="inlineStr">
        <is>
          <t>Zorginstituut Nederland</t>
        </is>
      </c>
      <c r="E218" s="29" t="inlineStr">
        <is>
          <t>https://www.zorginstituutnederland.nl/verzekerde-zorg/v/verloskundige-zorg-zvw</t>
        </is>
      </c>
      <c r="F218" s="49" t="n">
        <v>46317</v>
      </c>
      <c r="G218" s="29" t="inlineStr">
        <is>
          <t>eindhoven:saglik</t>
        </is>
      </c>
      <c r="H218" s="29" t="inlineStr">
        <is>
          <t>Hamilelikte ebe (verloskundige) bakımı sigorta kapsamında.</t>
        </is>
      </c>
      <c r="I218" s="29" t="inlineStr">
        <is>
          <t>Evet</t>
        </is>
      </c>
      <c r="J218" s="29" t="inlineStr">
        <is>
          <t>Lisans kanıtları/kaynaklar/3dc87c3dec36a3d6b8b3fd268c88ca38136a70cce8dbef0e9f564b5e4028ed48.html</t>
        </is>
      </c>
      <c r="K218" s="29" t="inlineStr">
        <is>
          <t>3dc87c3dec36a3d6b8b3fd268c88ca38136a70cce8dbef0e9f564b5e4028ed48</t>
        </is>
      </c>
    </row>
    <row r="219" ht="54" customHeight="1">
      <c r="A219" s="29" t="inlineStr">
        <is>
          <t>eindhoven:kaynak:217</t>
        </is>
      </c>
      <c r="B219" s="29" t="inlineStr">
        <is>
          <t>eindhoven</t>
        </is>
      </c>
      <c r="C219" s="29" t="inlineStr">
        <is>
          <t>Kraamzorg | Zorginstituut Nederland</t>
        </is>
      </c>
      <c r="D219" s="29" t="inlineStr">
        <is>
          <t>Zorginstituut Nederland</t>
        </is>
      </c>
      <c r="E219" s="29" t="inlineStr">
        <is>
          <t>https://www.zorginstituutnederland.nl/verzekerde-zorg/k/kraamzorg-zvw</t>
        </is>
      </c>
      <c r="F219" s="49" t="n">
        <v>46317</v>
      </c>
      <c r="G219" s="29" t="inlineStr">
        <is>
          <t>eindhoven:saglik</t>
        </is>
      </c>
      <c r="H219" s="29" t="inlineStr">
        <is>
          <t>Doğum sonrası bakım (kraamzorg) sigorta kapsamında ne içerir.</t>
        </is>
      </c>
      <c r="I219" s="29" t="inlineStr">
        <is>
          <t>Evet</t>
        </is>
      </c>
      <c r="J219" s="29" t="inlineStr">
        <is>
          <t>Lisans kanıtları/kaynaklar/2be43607d18fbdd2bcf0ede1b85fb5e1bdc1e78da4ce26ae3551ece7d9b01adb.html</t>
        </is>
      </c>
      <c r="K219" s="29" t="inlineStr">
        <is>
          <t>2be43607d18fbdd2bcf0ede1b85fb5e1bdc1e78da4ce26ae3551ece7d9b01adb</t>
        </is>
      </c>
    </row>
    <row r="220" ht="54" customHeight="1">
      <c r="A220" s="29" t="inlineStr">
        <is>
          <t>eindhoven:kaynak:218</t>
        </is>
      </c>
      <c r="B220" s="29" t="inlineStr">
        <is>
          <t>eindhoven</t>
        </is>
      </c>
      <c r="C220" s="29" t="inlineStr">
        <is>
          <t>Schooladvies toelating voortgezet onderwijs | Rijksoverheid.nl</t>
        </is>
      </c>
      <c r="D220" s="29" t="inlineStr">
        <is>
          <t>Rijksoverheid</t>
        </is>
      </c>
      <c r="E220" s="29" t="inlineStr">
        <is>
          <t>https://www.rijksoverheid.nl/themas/onderwijs/schooladvies-en-doorstroomtoets-basisschool/toelating-voortgezet-onderwijs-gebaseerd-op-definitief-schooladvies</t>
        </is>
      </c>
      <c r="F220" s="49" t="n">
        <v>46317</v>
      </c>
      <c r="G220" s="29" t="inlineStr">
        <is>
          <t>eindhoven:aile</t>
        </is>
      </c>
      <c r="H220" s="29" t="inlineStr">
        <is>
          <t>Grup 8'de okul tavsiyesi ve ortaokula kabul süreci.</t>
        </is>
      </c>
      <c r="I220" s="29" t="inlineStr">
        <is>
          <t>Evet</t>
        </is>
      </c>
      <c r="J220" s="29" t="inlineStr">
        <is>
          <t>Lisans kanıtları/kaynaklar/3478e914543acc54123d11edbb62cbe9f71c220d42706d45e6ceabf60cf2b00a.html</t>
        </is>
      </c>
      <c r="K220" s="29" t="inlineStr">
        <is>
          <t>3478e914543acc54123d11edbb62cbe9f71c220d42706d45e6ceabf60cf2b00a</t>
        </is>
      </c>
    </row>
    <row r="221" ht="54" customHeight="1">
      <c r="A221" s="29" t="inlineStr">
        <is>
          <t>eindhoven:kaynak:219</t>
        </is>
      </c>
      <c r="B221" s="29" t="inlineStr">
        <is>
          <t>eindhoven</t>
        </is>
      </c>
      <c r="C221" s="29" t="inlineStr">
        <is>
          <t>Milieustraat Eindhoven</t>
        </is>
      </c>
      <c r="D221" s="29" t="inlineStr">
        <is>
          <t>Cure</t>
        </is>
      </c>
      <c r="E221" s="29" t="inlineStr">
        <is>
          <t>https://www.cure-afvalbeheer.nl/milieustraat/milieustraat-eindhoven/</t>
        </is>
      </c>
      <c r="F221" s="49" t="n">
        <v>46317</v>
      </c>
      <c r="G221" s="29" t="inlineStr">
        <is>
          <t>eindhoven:gunluk</t>
        </is>
      </c>
      <c r="H221" s="29" t="inlineStr">
        <is>
          <t>Eindhoven atık getirme noktası saatleri ve milieupas şartı.</t>
        </is>
      </c>
      <c r="I221" s="29" t="inlineStr">
        <is>
          <t>Evet</t>
        </is>
      </c>
      <c r="J221" s="29" t="inlineStr">
        <is>
          <t>Lisans kanıtları/kaynaklar/00d0317e04235dff561c66a1cd4bd365af70c7ff2719ca6697bab6c42eefac88.html</t>
        </is>
      </c>
      <c r="K221" s="29" t="inlineStr">
        <is>
          <t>00d0317e04235dff561c66a1cd4bd365af70c7ff2719ca6697bab6c42eefac88</t>
        </is>
      </c>
    </row>
    <row r="222" ht="54" customHeight="1">
      <c r="A222" s="29" t="inlineStr">
        <is>
          <t>eindhoven:kaynak:220</t>
        </is>
      </c>
      <c r="B222" s="29" t="inlineStr">
        <is>
          <t>eindhoven</t>
        </is>
      </c>
      <c r="C222" s="29" t="inlineStr">
        <is>
          <t>Ophaalafspraak grofvuil</t>
        </is>
      </c>
      <c r="D222" s="29" t="inlineStr">
        <is>
          <t>Cure</t>
        </is>
      </c>
      <c r="E222" s="29" t="inlineStr">
        <is>
          <t>https://www.cure-afvalbeheer.nl/klantenservice/ophaalafspraak-grofvuil/</t>
        </is>
      </c>
      <c r="F222" s="49" t="n">
        <v>46317</v>
      </c>
      <c r="G222" s="29" t="inlineStr">
        <is>
          <t>eindhoven:gunluk</t>
        </is>
      </c>
      <c r="H222" s="29" t="inlineStr">
        <is>
          <t>Büyük eşya (grofvuil) için evden alım randevusu: Big Bag/etiket önceden alınmış olmalı.</t>
        </is>
      </c>
      <c r="I222" s="29" t="inlineStr">
        <is>
          <t>Evet</t>
        </is>
      </c>
      <c r="J222" s="29" t="inlineStr">
        <is>
          <t>Lisans kanıtları/kaynaklar/4330bbdc43d15c3400f0502f00e8d05dc07fdcb0a5c5e2a76e68903343cad380.html</t>
        </is>
      </c>
      <c r="K222" s="29" t="inlineStr">
        <is>
          <t>4330bbdc43d15c3400f0502f00e8d05dc07fdcb0a5c5e2a76e68903343cad380</t>
        </is>
      </c>
    </row>
    <row r="223" ht="54" customHeight="1">
      <c r="A223" s="29" t="inlineStr">
        <is>
          <t>eindhoven:kaynak:221</t>
        </is>
      </c>
      <c r="B223" s="29" t="inlineStr">
        <is>
          <t>eindhoven</t>
        </is>
      </c>
      <c r="C223" s="29" t="inlineStr">
        <is>
          <t>Hoeveel kost inburgeren? – Inburgeren betalen – Inburgeren</t>
        </is>
      </c>
      <c r="D223" s="29" t="inlineStr">
        <is>
          <t>inburgeren.nl</t>
        </is>
      </c>
      <c r="E223" s="29" t="inlineStr">
        <is>
          <t>https://www.inburgeren.nl/inburgeren-betalen/</t>
        </is>
      </c>
      <c r="F223" s="49" t="n">
        <v>46317</v>
      </c>
      <c r="G223" s="29" t="inlineStr">
        <is>
          <t>eindhoven:resmi</t>
        </is>
      </c>
      <c r="H223" s="29" t="inlineStr">
        <is>
          <t>Sınav ücretleri tablosu (yazma/konuşma/dinleme/okuma/KNM 50 euro, ONA 40 euro) ve DUO kredisi.</t>
        </is>
      </c>
      <c r="I223" s="29" t="inlineStr">
        <is>
          <t>Evet</t>
        </is>
      </c>
      <c r="J223" s="29" t="inlineStr">
        <is>
          <t>Lisans kanıtları/kaynaklar/1662c521207438a02d0f7ce39dd43476829893474a743fa073787eab85a503bc.html</t>
        </is>
      </c>
      <c r="K223" s="29" t="inlineStr">
        <is>
          <t>1662c521207438a02d0f7ce39dd43476829893474a743fa073787eab85a503bc</t>
        </is>
      </c>
    </row>
    <row r="224" ht="54" customHeight="1">
      <c r="A224" s="29" t="inlineStr">
        <is>
          <t>eindhoven:kaynak:222</t>
        </is>
      </c>
      <c r="B224" s="29" t="inlineStr">
        <is>
          <t>eindhoven</t>
        </is>
      </c>
      <c r="C224" s="29" t="inlineStr">
        <is>
          <t>Meterstanden op de energierekening | ACM ConsuWijzer</t>
        </is>
      </c>
      <c r="D224" s="29" t="inlineStr">
        <is>
          <t>ConsuWijzer</t>
        </is>
      </c>
      <c r="E224" s="29" t="inlineStr">
        <is>
          <t>https://consuwijzer.nl/elektriciteit-en-gas/meters-meterstanden-verbruik/meterstanden-jaarafrekening-eindafrekening</t>
        </is>
      </c>
      <c r="F224" s="49" t="n">
        <v>46317</v>
      </c>
      <c r="G224" s="29" t="inlineStr">
        <is>
          <t>eindhoven:fatura</t>
        </is>
      </c>
      <c r="H224" s="29" t="inlineStr">
        <is>
          <t>Taşınırken sayaç okuma 5 iş günü içinde; kesin fatura 6 hafta içinde.</t>
        </is>
      </c>
      <c r="I224" s="29" t="inlineStr">
        <is>
          <t>Evet</t>
        </is>
      </c>
      <c r="J224" s="29" t="inlineStr">
        <is>
          <t>Lisans kanıtları/kaynaklar/bcfbc24703b9efc813364c7d8f8a059153501a70770cdbfb2ddba595651c0225.html</t>
        </is>
      </c>
      <c r="K224" s="29" t="inlineStr">
        <is>
          <t>bcfbc24703b9efc813364c7d8f8a059153501a70770cdbfb2ddba595651c0225</t>
        </is>
      </c>
    </row>
    <row r="225" ht="54" customHeight="1">
      <c r="A225" s="29" t="inlineStr">
        <is>
          <t>eindhoven:kaynak:223</t>
        </is>
      </c>
      <c r="B225" s="29" t="inlineStr">
        <is>
          <t>eindhoven</t>
        </is>
      </c>
      <c r="C225" s="29" t="inlineStr">
        <is>
          <t>Energiecontract bij verhuizen | ACM ConsuWijzer</t>
        </is>
      </c>
      <c r="D225" s="29" t="inlineStr">
        <is>
          <t>ConsuWijzer (ACM)</t>
        </is>
      </c>
      <c r="E225" s="29" t="inlineStr">
        <is>
          <t>https://consument.acm.nl/elektriciteit-en-gas/overstappen-vergelijken-en-verhuizen/energiecontract-bij-verhuizen</t>
        </is>
      </c>
      <c r="F225" s="49" t="n">
        <v>46317</v>
      </c>
      <c r="G225" s="29" t="inlineStr">
        <is>
          <t>eindhoven:fatura</t>
        </is>
      </c>
      <c r="H225" s="29" t="inlineStr">
        <is>
          <t>Taşınırken enerji sözleşmesi: yeni adrese götürme veya yeni tedarikçi.</t>
        </is>
      </c>
      <c r="I225" s="29" t="inlineStr">
        <is>
          <t>Evet</t>
        </is>
      </c>
      <c r="J225" s="29" t="inlineStr">
        <is>
          <t>Lisans kanıtları/kaynaklar/b0b3138b836c536b1769252f6a10fbeb13d2781298749b97c90c97cd2dd73f94.html</t>
        </is>
      </c>
      <c r="K225" s="29" t="inlineStr">
        <is>
          <t>b0b3138b836c536b1769252f6a10fbeb13d2781298749b97c90c97cd2dd73f94</t>
        </is>
      </c>
    </row>
    <row r="226" ht="54" customHeight="1">
      <c r="A226" s="29" t="inlineStr">
        <is>
          <t>eindhoven:kaynak:224</t>
        </is>
      </c>
      <c r="B226" s="29" t="inlineStr">
        <is>
          <t>eindhoven</t>
        </is>
      </c>
      <c r="C226" s="29" t="inlineStr">
        <is>
          <t>Wat kost het halen van een autorijbewijs? - CBR</t>
        </is>
      </c>
      <c r="D226" s="29" t="inlineStr">
        <is>
          <t>CBR</t>
        </is>
      </c>
      <c r="E226" s="29" t="inlineStr">
        <is>
          <t>https://www.cbr.nl/nl/rijbewijs-halen/auto/wat-kost-het-halen-van-een-autorijbewijs</t>
        </is>
      </c>
      <c r="F226" s="49" t="n">
        <v>46317</v>
      </c>
      <c r="G226" s="29" t="inlineStr">
        <is>
          <t>eindhoven:ulasim</t>
        </is>
      </c>
      <c r="H226" s="29" t="inlineStr">
        <is>
          <t>CBR 2026 teori sınavı ve pratik sınav ücretleri.</t>
        </is>
      </c>
      <c r="I226" s="29" t="inlineStr">
        <is>
          <t>Evet</t>
        </is>
      </c>
      <c r="J226" s="29" t="inlineStr">
        <is>
          <t>Lisans kanıtları/kaynaklar/4b0b2731555849f908b1d4499cedf8af3460e684c3f300625bc8ad1af920d01b.html</t>
        </is>
      </c>
      <c r="K226" s="29" t="inlineStr">
        <is>
          <t>4b0b2731555849f908b1d4499cedf8af3460e684c3f300625bc8ad1af920d01b</t>
        </is>
      </c>
    </row>
    <row r="227" ht="54" customHeight="1">
      <c r="A227" s="29" t="inlineStr">
        <is>
          <t>eindhoven:kaynak:225</t>
        </is>
      </c>
      <c r="B227" s="29" t="inlineStr">
        <is>
          <t>eindhoven</t>
        </is>
      </c>
      <c r="C227" s="29" t="inlineStr">
        <is>
          <t>Inschrijfvergoeding | KVK</t>
        </is>
      </c>
      <c r="D227" s="29" t="inlineStr">
        <is>
          <t>KVK</t>
        </is>
      </c>
      <c r="E227" s="29" t="inlineStr">
        <is>
          <t>https://www.kvk.nl/inschrijven/inschrijfvergoeding/</t>
        </is>
      </c>
      <c r="F227" s="49" t="n">
        <v>46317</v>
      </c>
      <c r="G227" s="29" t="inlineStr">
        <is>
          <t>eindhoven:is</t>
        </is>
      </c>
      <c r="H227" s="29" t="inlineStr">
        <is>
          <t>KVK tek seferlik kayıt ücreti tutarı.</t>
        </is>
      </c>
      <c r="I227" s="29" t="inlineStr">
        <is>
          <t>Evet</t>
        </is>
      </c>
      <c r="J227" s="29" t="inlineStr">
        <is>
          <t>Lisans kanıtları/kaynaklar/bbb324557d3bcf19e89cdaccc1c8d3973a61103010617c978ed81d271e4d8f53.html</t>
        </is>
      </c>
      <c r="K227" s="29" t="inlineStr">
        <is>
          <t>bbb324557d3bcf19e89cdaccc1c8d3973a61103010617c978ed81d271e4d8f53</t>
        </is>
      </c>
    </row>
    <row r="228" ht="54" customHeight="1">
      <c r="A228" s="29" t="inlineStr">
        <is>
          <t>eindhoven:kaynak:226</t>
        </is>
      </c>
      <c r="B228" s="29" t="inlineStr">
        <is>
          <t>eindhoven</t>
        </is>
      </c>
      <c r="C228" s="29" t="inlineStr">
        <is>
          <t>Verhuizen naar het buitenland (emigratie) | Gemeente Eindhoven</t>
        </is>
      </c>
      <c r="D228" s="29" t="inlineStr">
        <is>
          <t>Gemeente Eindhoven</t>
        </is>
      </c>
      <c r="E228" s="29" t="inlineStr">
        <is>
          <t>https://www.eindhoven.nl/stad-en-wonen/verhuizen-concept/verhuizen-naar-het-buitenland-emigratie</t>
        </is>
      </c>
      <c r="F228" s="49" t="n">
        <v>46317</v>
      </c>
      <c r="G228" s="29" t="inlineStr">
        <is>
          <t>eindhoven:resmi</t>
        </is>
      </c>
      <c r="H228" s="29" t="inlineStr">
        <is>
          <t>Hollanda'dan ayrılırken belediye kaydını sildirme: en geç 5 gün önce bildirim, DigiD ile online.</t>
        </is>
      </c>
      <c r="I228" s="29" t="inlineStr">
        <is>
          <t>Evet</t>
        </is>
      </c>
      <c r="J228" s="29" t="inlineStr">
        <is>
          <t>Lisans kanıtları/kaynaklar/812e0795c4cd095a52aa8294d6c3a9e7fa2dec548767ed1ed535ac6c9e3f763c.html</t>
        </is>
      </c>
      <c r="K228" s="29" t="inlineStr">
        <is>
          <t>812e0795c4cd095a52aa8294d6c3a9e7fa2dec548767ed1ed535ac6c9e3f763c</t>
        </is>
      </c>
    </row>
    <row r="229" ht="54" customHeight="1">
      <c r="A229" s="29" t="inlineStr">
        <is>
          <t>eindhoven:kaynak:227</t>
        </is>
      </c>
      <c r="B229" s="29" t="inlineStr">
        <is>
          <t>eindhoven</t>
        </is>
      </c>
      <c r="C229" s="29" t="inlineStr">
        <is>
          <t>Stadsdeel Centrum | Gemeente Eindhoven</t>
        </is>
      </c>
      <c r="D229" s="29" t="inlineStr">
        <is>
          <t>www.eindhoven.nl</t>
        </is>
      </c>
      <c r="E229" s="29" t="inlineStr">
        <is>
          <t>https://www.eindhoven.nl/stad-en-wonen/stadsdelen/stadsdeel-centrum</t>
        </is>
      </c>
      <c r="F229" s="49" t="n">
        <v>46317</v>
      </c>
      <c r="G229" s="29" t="inlineStr">
        <is>
          <t>eindhoven:mahalle</t>
        </is>
      </c>
      <c r="H229" s="29" t="inlineStr">
        <is>
          <t>mahalle</t>
        </is>
      </c>
      <c r="I229" s="29" t="inlineStr">
        <is>
          <t>Evet</t>
        </is>
      </c>
      <c r="J229" s="29" t="inlineStr">
        <is>
          <t>Lisans kanıtları/kaynaklar/b87e7aaae282b92f219bf1d1d26f19624122d6facbeded880054b1cfcd050139.html</t>
        </is>
      </c>
      <c r="K229" s="29" t="inlineStr">
        <is>
          <t>b87e7aaae282b92f219bf1d1d26f19624122d6facbeded880054b1cfcd050139</t>
        </is>
      </c>
    </row>
    <row r="230" ht="54" customHeight="1">
      <c r="A230" s="29" t="inlineStr">
        <is>
          <t>eindhoven:kaynak:228</t>
        </is>
      </c>
      <c r="B230" s="29" t="inlineStr">
        <is>
          <t>eindhoven</t>
        </is>
      </c>
      <c r="C230" s="29" t="inlineStr">
        <is>
          <t>Where to live in Eindhoven: a guide for expats | Expatica</t>
        </is>
      </c>
      <c r="D230" s="29" t="inlineStr">
        <is>
          <t>www.expatica.com</t>
        </is>
      </c>
      <c r="E230" s="29" t="inlineStr">
        <is>
          <t>https://www.expatica.com/nl/moving/location/where-to-live-in-eindhoven-100616/</t>
        </is>
      </c>
      <c r="F230" s="49" t="n">
        <v>46317</v>
      </c>
      <c r="G230" s="29" t="inlineStr">
        <is>
          <t>eindhoven:mahalle</t>
        </is>
      </c>
      <c r="H230" s="29" t="inlineStr">
        <is>
          <t>mahalle</t>
        </is>
      </c>
      <c r="I230" s="29" t="inlineStr">
        <is>
          <t>Evet</t>
        </is>
      </c>
      <c r="J230" s="29" t="inlineStr">
        <is>
          <t>Lisans kanıtları/kaynaklar/583affc5f5c605483db3dd2727ef4496b32318c0ff0a00c91a2512057e947503.html</t>
        </is>
      </c>
      <c r="K230" s="29" t="inlineStr">
        <is>
          <t>583affc5f5c605483db3dd2727ef4496b32318c0ff0a00c91a2512057e947503</t>
        </is>
      </c>
    </row>
    <row r="231" ht="54" customHeight="1">
      <c r="A231" s="29" t="inlineStr">
        <is>
          <t>eindhoven:kaynak:229</t>
        </is>
      </c>
      <c r="B231" s="29" t="inlineStr">
        <is>
          <t>eindhoven</t>
        </is>
      </c>
      <c r="C231" s="29" t="inlineStr">
        <is>
          <t>Area-tip: Downtown | This is Eindhoven</t>
        </is>
      </c>
      <c r="D231" s="29" t="inlineStr">
        <is>
          <t>www.thisiseindhoven.com</t>
        </is>
      </c>
      <c r="E231" s="29" t="inlineStr">
        <is>
          <t>https://www.thisiseindhoven.com/en/see-and-do/culture-and-design/area-tip-downtown</t>
        </is>
      </c>
      <c r="F231" s="49" t="n">
        <v>46317</v>
      </c>
      <c r="G231" s="29" t="inlineStr">
        <is>
          <t>eindhoven:mahalle</t>
        </is>
      </c>
      <c r="H231" s="29" t="inlineStr">
        <is>
          <t>mahalle</t>
        </is>
      </c>
      <c r="I231" s="29" t="inlineStr">
        <is>
          <t>Evet</t>
        </is>
      </c>
      <c r="J231" s="29" t="inlineStr">
        <is>
          <t>Lisans kanıtları/kaynaklar/4ad7505be51bc22aa20f3f95d580ebd19cf6c7b6e10a74d21eb5a8999ce53f32.html</t>
        </is>
      </c>
      <c r="K231" s="29" t="inlineStr">
        <is>
          <t>4ad7505be51bc22aa20f3f95d580ebd19cf6c7b6e10a74d21eb5a8999ce53f32</t>
        </is>
      </c>
    </row>
    <row r="232" ht="54" customHeight="1">
      <c r="A232" s="29" t="inlineStr">
        <is>
          <t>eindhoven:kaynak:230</t>
        </is>
      </c>
      <c r="B232" s="29" t="inlineStr">
        <is>
          <t>eindhoven</t>
        </is>
      </c>
      <c r="C232" s="29" t="inlineStr">
        <is>
          <t>Best (and worst) areas and suburbs in Eindhoven | Expat Arrivals</t>
        </is>
      </c>
      <c r="D232" s="29" t="inlineStr">
        <is>
          <t>expatarrivals.com</t>
        </is>
      </c>
      <c r="E232" s="29" t="inlineStr">
        <is>
          <t>https://expatarrivals.com/europe/netherlands/eindhoven/areas-and-suburbs-eindhoven</t>
        </is>
      </c>
      <c r="F232" s="49" t="n">
        <v>46317</v>
      </c>
      <c r="G232" s="29" t="inlineStr">
        <is>
          <t>eindhoven:mahalle</t>
        </is>
      </c>
      <c r="H232" s="29" t="inlineStr">
        <is>
          <t>mahalle</t>
        </is>
      </c>
      <c r="I232" s="29" t="inlineStr">
        <is>
          <t>Evet</t>
        </is>
      </c>
      <c r="J232" s="29" t="inlineStr">
        <is>
          <t>Lisans kanıtları/kaynaklar/6750f6955a33df8820d239304976a8b9afdb9938b4ac89c29f8f8c5026b979a6.html</t>
        </is>
      </c>
      <c r="K232" s="29" t="inlineStr">
        <is>
          <t>6750f6955a33df8820d239304976a8b9afdb9938b4ac89c29f8f8c5026b979a6</t>
        </is>
      </c>
    </row>
    <row r="233" ht="54" customHeight="1">
      <c r="A233" s="29" t="inlineStr">
        <is>
          <t>eindhoven:kaynak:231</t>
        </is>
      </c>
      <c r="B233" s="29" t="inlineStr">
        <is>
          <t>eindhoven</t>
        </is>
      </c>
      <c r="C233" s="29" t="inlineStr">
        <is>
          <t>De Bergen | This is Eindhoven</t>
        </is>
      </c>
      <c r="D233" s="29" t="inlineStr">
        <is>
          <t>www.thisiseindhoven.com</t>
        </is>
      </c>
      <c r="E233" s="29" t="inlineStr">
        <is>
          <t>https://www.thisiseindhoven.com/en/see-and-do/dynamic-districts/de-bergen</t>
        </is>
      </c>
      <c r="F233" s="49" t="n">
        <v>46317</v>
      </c>
      <c r="G233" s="29" t="inlineStr">
        <is>
          <t>eindhoven:mahalle</t>
        </is>
      </c>
      <c r="H233" s="29" t="inlineStr">
        <is>
          <t>mahalle</t>
        </is>
      </c>
      <c r="I233" s="29" t="inlineStr">
        <is>
          <t>Evet</t>
        </is>
      </c>
      <c r="J233" s="29" t="inlineStr">
        <is>
          <t>Lisans kanıtları/kaynaklar/5401fa92ae6afd6d9555c6ea3688a79822bba73ccdc7bac863a964579b9e6d60.html</t>
        </is>
      </c>
      <c r="K233" s="29" t="inlineStr">
        <is>
          <t>5401fa92ae6afd6d9555c6ea3688a79822bba73ccdc7bac863a964579b9e6d60</t>
        </is>
      </c>
    </row>
    <row r="234" ht="54" customHeight="1">
      <c r="A234" s="29" t="inlineStr">
        <is>
          <t>eindhoven:kaynak:232</t>
        </is>
      </c>
      <c r="B234" s="29" t="inlineStr">
        <is>
          <t>eindhoven</t>
        </is>
      </c>
      <c r="C234" s="29" t="inlineStr">
        <is>
          <t>10x The most popular neighborhoods in Eindhoven | This is Eindhoven</t>
        </is>
      </c>
      <c r="D234" s="29" t="inlineStr">
        <is>
          <t>www.thisiseindhoven.com</t>
        </is>
      </c>
      <c r="E234" s="29" t="inlineStr">
        <is>
          <t>https://www.thisiseindhoven.com/en/city-life/about-eindhoven/the-most-popular-neighborhoods-in-eindhoven</t>
        </is>
      </c>
      <c r="F234" s="49" t="n">
        <v>46317</v>
      </c>
      <c r="G234" s="29" t="inlineStr">
        <is>
          <t>eindhoven:mahalle</t>
        </is>
      </c>
      <c r="H234" s="29" t="inlineStr">
        <is>
          <t>mahalle</t>
        </is>
      </c>
      <c r="I234" s="29" t="inlineStr">
        <is>
          <t>Evet</t>
        </is>
      </c>
      <c r="J234" s="29" t="inlineStr">
        <is>
          <t>Lisans kanıtları/kaynaklar/b2e6c51d054480fea41a08691f4df59f5e3f13a84212c545929fc6e21973025c.html</t>
        </is>
      </c>
      <c r="K234" s="29" t="inlineStr">
        <is>
          <t>b2e6c51d054480fea41a08691f4df59f5e3f13a84212c545929fc6e21973025c</t>
        </is>
      </c>
    </row>
    <row r="235" ht="54" customHeight="1">
      <c r="A235" s="29" t="inlineStr">
        <is>
          <t>eindhoven:kaynak:233</t>
        </is>
      </c>
      <c r="B235" s="29" t="inlineStr">
        <is>
          <t>eindhoven</t>
        </is>
      </c>
      <c r="C235" s="29" t="inlineStr">
        <is>
          <t>Stadsdeel Strijp | Gemeente Eindhoven</t>
        </is>
      </c>
      <c r="D235" s="29" t="inlineStr">
        <is>
          <t>www.eindhoven.nl</t>
        </is>
      </c>
      <c r="E235" s="29" t="inlineStr">
        <is>
          <t>https://www.eindhoven.nl/stad-en-wonen/stadsdelen/stadsdeel-strijp</t>
        </is>
      </c>
      <c r="F235" s="49" t="n">
        <v>46317</v>
      </c>
      <c r="G235" s="29" t="inlineStr">
        <is>
          <t>eindhoven:mahalle</t>
        </is>
      </c>
      <c r="H235" s="29" t="inlineStr">
        <is>
          <t>mahalle</t>
        </is>
      </c>
      <c r="I235" s="29" t="inlineStr">
        <is>
          <t>Evet</t>
        </is>
      </c>
      <c r="J235" s="29" t="inlineStr">
        <is>
          <t>Lisans kanıtları/kaynaklar/5365cc034667a95ebb17bc40f7f5e2b6fab25c86c9a371de325a684ce9ddf96e.html</t>
        </is>
      </c>
      <c r="K235" s="29" t="inlineStr">
        <is>
          <t>5365cc034667a95ebb17bc40f7f5e2b6fab25c86c9a371de325a684ce9ddf96e</t>
        </is>
      </c>
    </row>
    <row r="236" ht="54" customHeight="1">
      <c r="A236" s="29" t="inlineStr">
        <is>
          <t>eindhoven:kaynak:234</t>
        </is>
      </c>
      <c r="B236" s="29" t="inlineStr">
        <is>
          <t>eindhoven</t>
        </is>
      </c>
      <c r="C236" s="29" t="inlineStr">
        <is>
          <t>Strijp-S | This is Eindhoven</t>
        </is>
      </c>
      <c r="D236" s="29" t="inlineStr">
        <is>
          <t>www.thisiseindhoven.com</t>
        </is>
      </c>
      <c r="E236" s="29" t="inlineStr">
        <is>
          <t>https://www.thisiseindhoven.com/en/see-and-do/dynamic-districts/strijp-s</t>
        </is>
      </c>
      <c r="F236" s="49" t="n">
        <v>46317</v>
      </c>
      <c r="G236" s="29" t="inlineStr">
        <is>
          <t>eindhoven:mahalle</t>
        </is>
      </c>
      <c r="H236" s="29" t="inlineStr">
        <is>
          <t>mahalle</t>
        </is>
      </c>
      <c r="I236" s="29" t="inlineStr">
        <is>
          <t>Evet</t>
        </is>
      </c>
      <c r="J236" s="29" t="inlineStr">
        <is>
          <t>Lisans kanıtları/kaynaklar/444e37e70515f1fc5717eb4e18976f6bd88873831fffcd30d5cbe5d27ef67bba.html</t>
        </is>
      </c>
      <c r="K236" s="29" t="inlineStr">
        <is>
          <t>444e37e70515f1fc5717eb4e18976f6bd88873831fffcd30d5cbe5d27ef67bba</t>
        </is>
      </c>
    </row>
    <row r="237" ht="54" customHeight="1">
      <c r="A237" s="29" t="inlineStr">
        <is>
          <t>eindhoven:kaynak:235</t>
        </is>
      </c>
      <c r="B237" s="29" t="inlineStr">
        <is>
          <t>eindhoven</t>
        </is>
      </c>
      <c r="C237" s="29" t="inlineStr">
        <is>
          <t>Area-tip: Strijp-S | This is Eindhoven</t>
        </is>
      </c>
      <c r="D237" s="29" t="inlineStr">
        <is>
          <t>www.thisiseindhoven.com</t>
        </is>
      </c>
      <c r="E237" s="29" t="inlineStr">
        <is>
          <t>https://www.thisiseindhoven.com/en/see-and-do/culture-and-design/area-tip-strijp-s</t>
        </is>
      </c>
      <c r="F237" s="49" t="n">
        <v>46317</v>
      </c>
      <c r="G237" s="29" t="inlineStr">
        <is>
          <t>eindhoven:mahalle</t>
        </is>
      </c>
      <c r="H237" s="29" t="inlineStr">
        <is>
          <t>mahalle</t>
        </is>
      </c>
      <c r="I237" s="29" t="inlineStr">
        <is>
          <t>Evet</t>
        </is>
      </c>
      <c r="J237" s="29" t="inlineStr">
        <is>
          <t>Lisans kanıtları/kaynaklar/fb4aa7d267e9bd47d6381b241cfc05213aede1b456c845320e2b7ccb7a3456a5.html</t>
        </is>
      </c>
      <c r="K237" s="29" t="inlineStr">
        <is>
          <t>fb4aa7d267e9bd47d6381b241cfc05213aede1b456c845320e2b7ccb7a3456a5</t>
        </is>
      </c>
    </row>
    <row r="238" ht="54" customHeight="1">
      <c r="A238" s="29" t="inlineStr">
        <is>
          <t>eindhoven:kaynak:236</t>
        </is>
      </c>
      <c r="B238" s="29" t="inlineStr">
        <is>
          <t>eindhoven</t>
        </is>
      </c>
      <c r="C238" s="29" t="inlineStr">
        <is>
          <t>8x Heading into nature | This is Eindhoven</t>
        </is>
      </c>
      <c r="D238" s="29" t="inlineStr">
        <is>
          <t>www.thisiseindhoven.com</t>
        </is>
      </c>
      <c r="E238" s="29" t="inlineStr">
        <is>
          <t>https://www.thisiseindhoven.com/en/see-and-do/fun-things-to-do/heading-into-nature</t>
        </is>
      </c>
      <c r="F238" s="49" t="n">
        <v>46317</v>
      </c>
      <c r="G238" s="29" t="inlineStr">
        <is>
          <t>eindhoven:mahalle</t>
        </is>
      </c>
      <c r="H238" s="29" t="inlineStr">
        <is>
          <t>mahalle</t>
        </is>
      </c>
      <c r="I238" s="29" t="inlineStr">
        <is>
          <t>Evet</t>
        </is>
      </c>
      <c r="J238" s="29" t="inlineStr">
        <is>
          <t>Lisans kanıtları/kaynaklar/6d60f70b5104d955f8970e11de6c1f7443470e133c6968b2cf80c0a22db5d71d.html</t>
        </is>
      </c>
      <c r="K238" s="29" t="inlineStr">
        <is>
          <t>6d60f70b5104d955f8970e11de6c1f7443470e133c6968b2cf80c0a22db5d71d</t>
        </is>
      </c>
    </row>
    <row r="239" ht="54" customHeight="1">
      <c r="A239" s="29" t="inlineStr">
        <is>
          <t>eindhoven:kaynak:237</t>
        </is>
      </c>
      <c r="B239" s="29" t="inlineStr">
        <is>
          <t>eindhoven</t>
        </is>
      </c>
      <c r="C239" s="29" t="inlineStr">
        <is>
          <t>Bosrijk: wonen in een beeldentuin | Gemeente Eindhoven</t>
        </is>
      </c>
      <c r="D239" s="29" t="inlineStr">
        <is>
          <t>www.eindhoven.nl</t>
        </is>
      </c>
      <c r="E239" s="29" t="inlineStr">
        <is>
          <t>https://www.eindhoven.nl/bouwen/bouwprojecten/bosrijk-wonen-in-een-beeldentuin</t>
        </is>
      </c>
      <c r="F239" s="49" t="n">
        <v>46317</v>
      </c>
      <c r="G239" s="29" t="inlineStr">
        <is>
          <t>eindhoven:mahalle</t>
        </is>
      </c>
      <c r="H239" s="29" t="inlineStr">
        <is>
          <t>mahalle</t>
        </is>
      </c>
      <c r="I239" s="29" t="inlineStr">
        <is>
          <t>Evet</t>
        </is>
      </c>
      <c r="J239" s="29" t="inlineStr">
        <is>
          <t>Lisans kanıtları/kaynaklar/cc360c5effdee221dad5cc77e3755e90846d709652eecd1f5b12cf3bba099f60.html</t>
        </is>
      </c>
      <c r="K239" s="29" t="inlineStr">
        <is>
          <t>cc360c5effdee221dad5cc77e3755e90846d709652eecd1f5b12cf3bba099f60</t>
        </is>
      </c>
    </row>
    <row r="240" ht="54" customHeight="1">
      <c r="A240" s="29" t="inlineStr">
        <is>
          <t>eindhoven:kaynak:238</t>
        </is>
      </c>
      <c r="B240" s="29" t="inlineStr">
        <is>
          <t>eindhoven</t>
        </is>
      </c>
      <c r="C240" s="29" t="inlineStr">
        <is>
          <t>Stadsdeel Woensel-Zuid | Gemeente Eindhoven</t>
        </is>
      </c>
      <c r="D240" s="29" t="inlineStr">
        <is>
          <t>www.eindhoven.nl</t>
        </is>
      </c>
      <c r="E240" s="29" t="inlineStr">
        <is>
          <t>https://www.eindhoven.nl/stad-en-wonen/stadsdelen/stadsdeel-woensel-zuid</t>
        </is>
      </c>
      <c r="F240" s="49" t="n">
        <v>46317</v>
      </c>
      <c r="G240" s="29" t="inlineStr">
        <is>
          <t>eindhoven:mahalle</t>
        </is>
      </c>
      <c r="H240" s="29" t="inlineStr">
        <is>
          <t>mahalle</t>
        </is>
      </c>
      <c r="I240" s="29" t="inlineStr">
        <is>
          <t>Evet</t>
        </is>
      </c>
      <c r="J240" s="29" t="inlineStr">
        <is>
          <t>Lisans kanıtları/kaynaklar/be92d53e13ff0655bb97342871cbdaa6fa82d27141086c632e82ab9d1a06ff35.html</t>
        </is>
      </c>
      <c r="K240" s="29" t="inlineStr">
        <is>
          <t>be92d53e13ff0655bb97342871cbdaa6fa82d27141086c632e82ab9d1a06ff35</t>
        </is>
      </c>
    </row>
    <row r="241" ht="54" customHeight="1">
      <c r="A241" s="29" t="inlineStr">
        <is>
          <t>eindhoven:kaynak:239</t>
        </is>
      </c>
      <c r="B241" s="29" t="inlineStr">
        <is>
          <t>eindhoven</t>
        </is>
      </c>
      <c r="C241" s="29" t="inlineStr">
        <is>
          <t>Woensel-West | This is Eindhoven</t>
        </is>
      </c>
      <c r="D241" s="29" t="inlineStr">
        <is>
          <t>www.thisiseindhoven.com</t>
        </is>
      </c>
      <c r="E241" s="29" t="inlineStr">
        <is>
          <t>https://www.thisiseindhoven.com/en/see-and-do/dynamic-districts/woensel-west</t>
        </is>
      </c>
      <c r="F241" s="49" t="n">
        <v>46317</v>
      </c>
      <c r="G241" s="29" t="inlineStr">
        <is>
          <t>eindhoven:mahalle</t>
        </is>
      </c>
      <c r="H241" s="29" t="inlineStr">
        <is>
          <t>mahalle</t>
        </is>
      </c>
      <c r="I241" s="29" t="inlineStr">
        <is>
          <t>Evet</t>
        </is>
      </c>
      <c r="J241" s="29" t="inlineStr">
        <is>
          <t>Lisans kanıtları/kaynaklar/e79bbf98f2e7b4940d594b1eebefaefb8f3e67673562cc930f6d713274be3e79.html</t>
        </is>
      </c>
      <c r="K241" s="29" t="inlineStr">
        <is>
          <t>e79bbf98f2e7b4940d594b1eebefaefb8f3e67673562cc930f6d713274be3e79</t>
        </is>
      </c>
    </row>
    <row r="242" ht="54" customHeight="1">
      <c r="A242" s="29" t="inlineStr">
        <is>
          <t>eindhoven:kaynak:240</t>
        </is>
      </c>
      <c r="B242" s="29" t="inlineStr">
        <is>
          <t>eindhoven</t>
        </is>
      </c>
      <c r="C242" s="29" t="inlineStr">
        <is>
          <t>Stadsdeel Woensel-Noord | Gemeente Eindhoven</t>
        </is>
      </c>
      <c r="D242" s="29" t="inlineStr">
        <is>
          <t>www.eindhoven.nl</t>
        </is>
      </c>
      <c r="E242" s="29" t="inlineStr">
        <is>
          <t>https://www.eindhoven.nl/stad-en-wonen/stadsdelen/stadsdeel-woensel-noord</t>
        </is>
      </c>
      <c r="F242" s="49" t="n">
        <v>46317</v>
      </c>
      <c r="G242" s="29" t="inlineStr">
        <is>
          <t>eindhoven:mahalle</t>
        </is>
      </c>
      <c r="H242" s="29" t="inlineStr">
        <is>
          <t>mahalle</t>
        </is>
      </c>
      <c r="I242" s="29" t="inlineStr">
        <is>
          <t>Evet</t>
        </is>
      </c>
      <c r="J242" s="29" t="inlineStr">
        <is>
          <t>Lisans kanıtları/kaynaklar/4ab5480472ba2eec08df04f8862b5a8ed7a3a255712ec62d16ebd0e5f33de093.html</t>
        </is>
      </c>
      <c r="K242" s="29" t="inlineStr">
        <is>
          <t>4ab5480472ba2eec08df04f8862b5a8ed7a3a255712ec62d16ebd0e5f33de093</t>
        </is>
      </c>
    </row>
    <row r="243" ht="54" customHeight="1">
      <c r="A243" s="29" t="inlineStr">
        <is>
          <t>eindhoven:kaynak:241</t>
        </is>
      </c>
      <c r="B243" s="29" t="inlineStr">
        <is>
          <t>eindhoven</t>
        </is>
      </c>
      <c r="C243" s="29" t="inlineStr">
        <is>
          <t>Stadsdeel Stratum | Gemeente Eindhoven</t>
        </is>
      </c>
      <c r="D243" s="29" t="inlineStr">
        <is>
          <t>www.eindhoven.nl</t>
        </is>
      </c>
      <c r="E243" s="29" t="inlineStr">
        <is>
          <t>https://www.eindhoven.nl/stad-en-wonen/stadsdelen/stadsdeel-stratum</t>
        </is>
      </c>
      <c r="F243" s="49" t="n">
        <v>46317</v>
      </c>
      <c r="G243" s="29" t="inlineStr">
        <is>
          <t>eindhoven:mahalle</t>
        </is>
      </c>
      <c r="H243" s="29" t="inlineStr">
        <is>
          <t>mahalle</t>
        </is>
      </c>
      <c r="I243" s="29" t="inlineStr">
        <is>
          <t>Evet</t>
        </is>
      </c>
      <c r="J243" s="29" t="inlineStr">
        <is>
          <t>Lisans kanıtları/kaynaklar/cc140c80105b488eb8a3df882ea6f32d2a487f43330aaf58787dcfdc526ec0ee.html</t>
        </is>
      </c>
      <c r="K243" s="29" t="inlineStr">
        <is>
          <t>cc140c80105b488eb8a3df882ea6f32d2a487f43330aaf58787dcfdc526ec0ee</t>
        </is>
      </c>
    </row>
    <row r="244" ht="54" customHeight="1">
      <c r="A244" s="29" t="inlineStr">
        <is>
          <t>eindhoven:kaynak:242</t>
        </is>
      </c>
      <c r="B244" s="29" t="inlineStr">
        <is>
          <t>eindhoven</t>
        </is>
      </c>
      <c r="C244" s="29" t="inlineStr">
        <is>
          <t>Stadsdeel Gestel | Gemeente Eindhoven</t>
        </is>
      </c>
      <c r="D244" s="29" t="inlineStr">
        <is>
          <t>www.eindhoven.nl</t>
        </is>
      </c>
      <c r="E244" s="29" t="inlineStr">
        <is>
          <t>https://www.eindhoven.nl/stad-en-wonen/stadsdelen/stadsdeel-gestel</t>
        </is>
      </c>
      <c r="F244" s="49" t="n">
        <v>46317</v>
      </c>
      <c r="G244" s="29" t="inlineStr">
        <is>
          <t>eindhoven:mahalle</t>
        </is>
      </c>
      <c r="H244" s="29" t="inlineStr">
        <is>
          <t>mahalle</t>
        </is>
      </c>
      <c r="I244" s="29" t="inlineStr">
        <is>
          <t>Evet</t>
        </is>
      </c>
      <c r="J244" s="29" t="inlineStr">
        <is>
          <t>Lisans kanıtları/kaynaklar/52cd25fc5aa43f9c76c6fdfd41ecd0c06a9d895031b25291aadef7f10d215933.html</t>
        </is>
      </c>
      <c r="K244" s="29" t="inlineStr">
        <is>
          <t>52cd25fc5aa43f9c76c6fdfd41ecd0c06a9d895031b25291aadef7f10d215933</t>
        </is>
      </c>
    </row>
    <row r="245" ht="54" customHeight="1">
      <c r="A245" s="29" t="inlineStr">
        <is>
          <t>eindhoven:kaynak:243</t>
        </is>
      </c>
      <c r="B245" s="29" t="inlineStr">
        <is>
          <t>eindhoven</t>
        </is>
      </c>
      <c r="C245" s="29" t="inlineStr">
        <is>
          <t>Stadsdeel Tongelre | Gemeente Eindhoven</t>
        </is>
      </c>
      <c r="D245" s="29" t="inlineStr">
        <is>
          <t>www.eindhoven.nl</t>
        </is>
      </c>
      <c r="E245" s="29" t="inlineStr">
        <is>
          <t>https://www.eindhoven.nl/stad-en-wonen/stadsdelen/stadsdeel-tongelre</t>
        </is>
      </c>
      <c r="F245" s="49" t="n">
        <v>46317</v>
      </c>
      <c r="G245" s="29" t="inlineStr">
        <is>
          <t>eindhoven:mahalle</t>
        </is>
      </c>
      <c r="H245" s="29" t="inlineStr">
        <is>
          <t>mahalle</t>
        </is>
      </c>
      <c r="I245" s="29" t="inlineStr">
        <is>
          <t>Evet</t>
        </is>
      </c>
      <c r="J245" s="29" t="inlineStr">
        <is>
          <t>Lisans kanıtları/kaynaklar/c17b6760978feb049595f0f29b3a5bbdd6c773b0f2df2a1b6a66f6eacceb8182.html</t>
        </is>
      </c>
      <c r="K245" s="29" t="inlineStr">
        <is>
          <t>c17b6760978feb049595f0f29b3a5bbdd6c773b0f2df2a1b6a66f6eacceb8182</t>
        </is>
      </c>
    </row>
    <row r="246" ht="54" customHeight="1">
      <c r="A246" s="29" t="inlineStr">
        <is>
          <t>eindhoven:kaynak:244</t>
        </is>
      </c>
      <c r="B246" s="29" t="inlineStr">
        <is>
          <t>eindhoven</t>
        </is>
      </c>
      <c r="C246" s="29" t="inlineStr">
        <is>
          <t>Contact | Van Abbemuseum</t>
        </is>
      </c>
      <c r="D246" s="29" t="inlineStr">
        <is>
          <t>vanabbemuseum.nl</t>
        </is>
      </c>
      <c r="E246" s="29" t="inlineStr">
        <is>
          <t>https://vanabbemuseum.nl/en/museum/contact</t>
        </is>
      </c>
      <c r="F246" s="49" t="n">
        <v>46317</v>
      </c>
      <c r="G246" s="29" t="inlineStr">
        <is>
          <t>eindhoven:kesif</t>
        </is>
      </c>
      <c r="H246" s="29" t="inlineStr">
        <is>
          <t>Van Abbemuseum (Müzeler)</t>
        </is>
      </c>
      <c r="I246" s="29" t="inlineStr">
        <is>
          <t>Evet</t>
        </is>
      </c>
      <c r="J246" s="29" t="inlineStr">
        <is>
          <t>Lisans kanıtları/kaynaklar/b32b0b34a1cb91f79970e0f18e8b05a7fb71e8263ddf30a86312957dd2567f6f.html</t>
        </is>
      </c>
      <c r="K246" s="29" t="inlineStr">
        <is>
          <t>b32b0b34a1cb91f79970e0f18e8b05a7fb71e8263ddf30a86312957dd2567f6f</t>
        </is>
      </c>
    </row>
    <row r="247" ht="54" customHeight="1">
      <c r="A247" s="29" t="inlineStr">
        <is>
          <t>eindhoven:kaynak:245</t>
        </is>
      </c>
      <c r="B247" s="29" t="inlineStr">
        <is>
          <t>eindhoven</t>
        </is>
      </c>
      <c r="C247" s="29" t="inlineStr">
        <is>
          <t>Bezoek | Philips Museum</t>
        </is>
      </c>
      <c r="D247" s="29" t="inlineStr">
        <is>
          <t>www.philips.nl</t>
        </is>
      </c>
      <c r="E247" s="29" t="inlineStr">
        <is>
          <t>https://www.philips.nl/a-w/philips-museum/bezoekersinformatie/praktische-informatie.html</t>
        </is>
      </c>
      <c r="F247" s="49" t="n">
        <v>46317</v>
      </c>
      <c r="G247" s="29" t="inlineStr">
        <is>
          <t>eindhoven:kesif</t>
        </is>
      </c>
      <c r="H247" s="29" t="inlineStr">
        <is>
          <t>Philips Museum (Müzeler)</t>
        </is>
      </c>
      <c r="I247" s="29" t="inlineStr">
        <is>
          <t>Evet</t>
        </is>
      </c>
      <c r="J247" s="29" t="inlineStr">
        <is>
          <t>Lisans kanıtları/kaynaklar/94736ab71116a21ac9dd689d2e07ec2d8563d3070e7903dd9faf85d88bd8baa1.html</t>
        </is>
      </c>
      <c r="K247" s="29" t="inlineStr">
        <is>
          <t>94736ab71116a21ac9dd689d2e07ec2d8563d3070e7903dd9faf85d88bd8baa1</t>
        </is>
      </c>
    </row>
    <row r="248" ht="54" customHeight="1">
      <c r="A248" s="29" t="inlineStr">
        <is>
          <t>eindhoven:kaynak:246</t>
        </is>
      </c>
      <c r="B248" s="29" t="inlineStr">
        <is>
          <t>eindhoven</t>
        </is>
      </c>
      <c r="C248" s="29" t="inlineStr">
        <is>
          <t>Contactinformatie - DAF Museum</t>
        </is>
      </c>
      <c r="D248" s="29" t="inlineStr">
        <is>
          <t>www.dafmuseum.nl</t>
        </is>
      </c>
      <c r="E248" s="29" t="inlineStr">
        <is>
          <t>https://www.dafmuseum.nl/nl-nl/info</t>
        </is>
      </c>
      <c r="F248" s="49" t="n">
        <v>46317</v>
      </c>
      <c r="G248" s="29" t="inlineStr">
        <is>
          <t>eindhoven:kesif</t>
        </is>
      </c>
      <c r="H248" s="29" t="inlineStr">
        <is>
          <t>DAF Museum (Müzeler)</t>
        </is>
      </c>
      <c r="I248" s="29" t="inlineStr">
        <is>
          <t>Evet</t>
        </is>
      </c>
      <c r="J248" s="29" t="inlineStr">
        <is>
          <t>Lisans kanıtları/kaynaklar/335a802a630d1e94c7b78ffb865d629251dc35e5aa5d0532677820da436faec8.html</t>
        </is>
      </c>
      <c r="K248" s="29" t="inlineStr">
        <is>
          <t>335a802a630d1e94c7b78ffb865d629251dc35e5aa5d0532677820da436faec8</t>
        </is>
      </c>
    </row>
    <row r="249" ht="54" customHeight="1">
      <c r="A249" s="29" t="inlineStr">
        <is>
          <t>eindhoven:kaynak:247</t>
        </is>
      </c>
      <c r="B249" s="29" t="inlineStr">
        <is>
          <t>eindhoven</t>
        </is>
      </c>
      <c r="C249" s="29" t="inlineStr">
        <is>
          <t>Plan your visit &amp; Tickets | Next Nature Museum | Next Nature</t>
        </is>
      </c>
      <c r="D249" s="29" t="inlineStr">
        <is>
          <t>nextnature.org</t>
        </is>
      </c>
      <c r="E249" s="29" t="inlineStr">
        <is>
          <t>https://nextnature.org/en/museum/plan-your-visit</t>
        </is>
      </c>
      <c r="F249" s="49" t="n">
        <v>46317</v>
      </c>
      <c r="G249" s="29" t="inlineStr">
        <is>
          <t>eindhoven:kesif</t>
        </is>
      </c>
      <c r="H249" s="29" t="inlineStr">
        <is>
          <t>Next Nature Museum (Müzeler)</t>
        </is>
      </c>
      <c r="I249" s="29" t="inlineStr">
        <is>
          <t>Evet</t>
        </is>
      </c>
      <c r="J249" s="29" t="inlineStr">
        <is>
          <t>Lisans kanıtları/kaynaklar/eedf322e96248c10cb0beecaa11875725837f0af33240ed5a6a48c1b4e0ec949.html</t>
        </is>
      </c>
      <c r="K249" s="29" t="inlineStr">
        <is>
          <t>eedf322e96248c10cb0beecaa11875725837f0af33240ed5a6a48c1b4e0ec949</t>
        </is>
      </c>
    </row>
    <row r="250" ht="54" customHeight="1">
      <c r="A250" s="29" t="inlineStr">
        <is>
          <t>eindhoven:kaynak:248</t>
        </is>
      </c>
      <c r="B250" s="29" t="inlineStr">
        <is>
          <t>eindhoven</t>
        </is>
      </c>
      <c r="C250" s="29" t="inlineStr">
        <is>
          <t>PSV Museum Eindhoven | This is Eindhoven</t>
        </is>
      </c>
      <c r="D250" s="29" t="inlineStr">
        <is>
          <t>www.thisiseindhoven.com</t>
        </is>
      </c>
      <c r="E250" s="29" t="inlineStr">
        <is>
          <t>https://www.thisiseindhoven.com/en/locations/psv-museum</t>
        </is>
      </c>
      <c r="F250" s="49" t="n">
        <v>46317</v>
      </c>
      <c r="G250" s="29" t="inlineStr">
        <is>
          <t>eindhoven:kesif</t>
        </is>
      </c>
      <c r="H250" s="29" t="inlineStr">
        <is>
          <t>PSV Museum (Müzeler)</t>
        </is>
      </c>
      <c r="I250" s="29" t="inlineStr">
        <is>
          <t>Evet</t>
        </is>
      </c>
      <c r="J250" s="29" t="inlineStr">
        <is>
          <t>Lisans kanıtları/kaynaklar/d9ba3af9c7d15b19b069fe61fa6297cdf311e93c75c711db55772ecdf5747bc7.html</t>
        </is>
      </c>
      <c r="K250" s="29" t="inlineStr">
        <is>
          <t>d9ba3af9c7d15b19b069fe61fa6297cdf311e93c75c711db55772ecdf5747bc7</t>
        </is>
      </c>
    </row>
    <row r="251" ht="54" customHeight="1">
      <c r="A251" s="29" t="inlineStr">
        <is>
          <t>eindhoven:kaynak:249</t>
        </is>
      </c>
      <c r="B251" s="29" t="inlineStr">
        <is>
          <t>eindhoven</t>
        </is>
      </c>
      <c r="C251" s="29" t="inlineStr">
        <is>
          <t>Philips Historische Producten | This is Eindhoven</t>
        </is>
      </c>
      <c r="D251" s="29" t="inlineStr">
        <is>
          <t>www.thisiseindhoven.com</t>
        </is>
      </c>
      <c r="E251" s="29" t="inlineStr">
        <is>
          <t>https://www.thisiseindhoven.com/en/locations/philips-historische-producten</t>
        </is>
      </c>
      <c r="F251" s="49" t="n">
        <v>46317</v>
      </c>
      <c r="G251" s="29" t="inlineStr">
        <is>
          <t>eindhoven:kesif</t>
        </is>
      </c>
      <c r="H251" s="29" t="inlineStr">
        <is>
          <t>Philips Historische Producten (Müzeler)</t>
        </is>
      </c>
      <c r="I251" s="29" t="inlineStr">
        <is>
          <t>Evet</t>
        </is>
      </c>
      <c r="J251" s="29" t="inlineStr">
        <is>
          <t>Lisans kanıtları/kaynaklar/0b7a56f210cf851c2c00864c59ebb7a2eb310fdfa438f40abf063e9da73ea93d.html</t>
        </is>
      </c>
      <c r="K251" s="29" t="inlineStr">
        <is>
          <t>0b7a56f210cf851c2c00864c59ebb7a2eb310fdfa438f40abf063e9da73ea93d</t>
        </is>
      </c>
    </row>
    <row r="252" ht="54" customHeight="1">
      <c r="A252" s="29" t="inlineStr">
        <is>
          <t>eindhoven:kaynak:250</t>
        </is>
      </c>
      <c r="B252" s="29" t="inlineStr">
        <is>
          <t>eindhoven</t>
        </is>
      </c>
      <c r="C252" s="29" t="inlineStr">
        <is>
          <t>Het Erfgoedhuis | Gemeente Eindhoven</t>
        </is>
      </c>
      <c r="D252" s="29" t="inlineStr">
        <is>
          <t>www.eindhoven.nl</t>
        </is>
      </c>
      <c r="E252" s="29" t="inlineStr">
        <is>
          <t>https://www.eindhoven.nl/stad-en-wonen/stad/erfgoed/het-erfgoedhuis</t>
        </is>
      </c>
      <c r="F252" s="49" t="n">
        <v>46317</v>
      </c>
      <c r="G252" s="29" t="inlineStr">
        <is>
          <t>eindhoven:kesif</t>
        </is>
      </c>
      <c r="H252" s="29" t="inlineStr">
        <is>
          <t>Erfgoedhuis Eindhoven (Müzeler)</t>
        </is>
      </c>
      <c r="I252" s="29" t="inlineStr">
        <is>
          <t>Evet</t>
        </is>
      </c>
      <c r="J252" s="29" t="inlineStr">
        <is>
          <t>Lisans kanıtları/kaynaklar/afbbbe9f141955c5a73a4276662bd451fd5362779fa026f177a5cc5a9f1ae6ff.html</t>
        </is>
      </c>
      <c r="K252" s="29" t="inlineStr">
        <is>
          <t>afbbbe9f141955c5a73a4276662bd451fd5362779fa026f177a5cc5a9f1ae6ff</t>
        </is>
      </c>
    </row>
    <row r="253" ht="54" customHeight="1">
      <c r="A253" s="29" t="inlineStr">
        <is>
          <t>eindhoven:kaynak:251</t>
        </is>
      </c>
      <c r="B253" s="29" t="inlineStr">
        <is>
          <t>eindhoven</t>
        </is>
      </c>
      <c r="C253" s="29" t="inlineStr">
        <is>
          <t>Contact | NEOSEUM Eindhoven &amp; Amsterdam</t>
        </is>
      </c>
      <c r="D253" s="29" t="inlineStr">
        <is>
          <t>www.neoseum.com</t>
        </is>
      </c>
      <c r="E253" s="29" t="inlineStr">
        <is>
          <t>https://www.neoseum.com/contact</t>
        </is>
      </c>
      <c r="F253" s="49" t="n">
        <v>46317</v>
      </c>
      <c r="G253" s="29" t="inlineStr">
        <is>
          <t>eindhoven:kesif</t>
        </is>
      </c>
      <c r="H253" s="29" t="inlineStr">
        <is>
          <t>Neoseum (Müzeler)</t>
        </is>
      </c>
      <c r="I253" s="29" t="inlineStr">
        <is>
          <t>Evet</t>
        </is>
      </c>
      <c r="J253" s="29" t="inlineStr">
        <is>
          <t>Lisans kanıtları/kaynaklar/aae9a3c07c0951ed3cdcf18a5c52656857e92013f203790405eb7d6f5f6524fc.html</t>
        </is>
      </c>
      <c r="K253" s="29" t="inlineStr">
        <is>
          <t>aae9a3c07c0951ed3cdcf18a5c52656857e92013f203790405eb7d6f5f6524fc</t>
        </is>
      </c>
    </row>
    <row r="254" ht="54" customHeight="1">
      <c r="A254" s="29" t="inlineStr">
        <is>
          <t>eindhoven:kaynak:252</t>
        </is>
      </c>
      <c r="B254" s="29" t="inlineStr">
        <is>
          <t>eindhoven</t>
        </is>
      </c>
      <c r="C254" s="29" t="inlineStr">
        <is>
          <t>MU Hybrid Art House | This is Eindhoven</t>
        </is>
      </c>
      <c r="D254" s="29" t="inlineStr">
        <is>
          <t>www.thisiseindhoven.com</t>
        </is>
      </c>
      <c r="E254" s="29" t="inlineStr">
        <is>
          <t>https://www.thisiseindhoven.com/en/locations/mu-hybrid-art-house</t>
        </is>
      </c>
      <c r="F254" s="49" t="n">
        <v>46317</v>
      </c>
      <c r="G254" s="29" t="inlineStr">
        <is>
          <t>eindhoven:kesif</t>
        </is>
      </c>
      <c r="H254" s="29" t="inlineStr">
        <is>
          <t>MU Hybrid Art House (Müzeler)</t>
        </is>
      </c>
      <c r="I254" s="29" t="inlineStr">
        <is>
          <t>Evet</t>
        </is>
      </c>
      <c r="J254" s="29" t="inlineStr">
        <is>
          <t>Lisans kanıtları/kaynaklar/88723de65fde55928c4d003fcd81701e7a0fce9152c5e1623636503b0ce3dd95.html</t>
        </is>
      </c>
      <c r="K254" s="29" t="inlineStr">
        <is>
          <t>88723de65fde55928c4d003fcd81701e7a0fce9152c5e1623636503b0ce3dd95</t>
        </is>
      </c>
    </row>
    <row r="255" ht="54" customHeight="1">
      <c r="A255" s="29" t="inlineStr">
        <is>
          <t>eindhoven:kaynak:253</t>
        </is>
      </c>
      <c r="B255" s="29" t="inlineStr">
        <is>
          <t>eindhoven</t>
        </is>
      </c>
      <c r="C255" s="29" t="inlineStr">
        <is>
          <t>Adres &amp; contact - Sterrenwacht Eindhoven</t>
        </is>
      </c>
      <c r="D255" s="29" t="inlineStr">
        <is>
          <t>www.sterrenwachteindhoven.nl</t>
        </is>
      </c>
      <c r="E255" s="29" t="inlineStr">
        <is>
          <t>https://www.sterrenwachteindhoven.nl/adres-contact/</t>
        </is>
      </c>
      <c r="F255" s="49" t="n">
        <v>46317</v>
      </c>
      <c r="G255" s="29" t="inlineStr">
        <is>
          <t>eindhoven:kesif</t>
        </is>
      </c>
      <c r="H255" s="29" t="inlineStr">
        <is>
          <t>Dr. A.F. Philips Sterrenwacht (Müzeler)</t>
        </is>
      </c>
      <c r="I255" s="29" t="inlineStr">
        <is>
          <t>Evet</t>
        </is>
      </c>
      <c r="J255" s="29" t="inlineStr">
        <is>
          <t>Lisans kanıtları/kaynaklar/2cc6e385bb5c94880465ae95c2d443e5e26c722d1ccad7f2f552cf5075091cfd.html</t>
        </is>
      </c>
      <c r="K255" s="29" t="inlineStr">
        <is>
          <t>2cc6e385bb5c94880465ae95c2d443e5e26c722d1ccad7f2f552cf5075091cfd</t>
        </is>
      </c>
    </row>
    <row r="256" ht="54" customHeight="1">
      <c r="A256" s="29" t="inlineStr">
        <is>
          <t>eindhoven:kaynak:254</t>
        </is>
      </c>
      <c r="B256" s="29" t="inlineStr">
        <is>
          <t>eindhoven</t>
        </is>
      </c>
      <c r="C256" s="29" t="inlineStr">
        <is>
          <t>Contact | Kazerne Eindhoven</t>
        </is>
      </c>
      <c r="D256" s="29" t="inlineStr">
        <is>
          <t>kazerne.com</t>
        </is>
      </c>
      <c r="E256" s="29" t="inlineStr">
        <is>
          <t>https://kazerne.com/visit</t>
        </is>
      </c>
      <c r="F256" s="49" t="n">
        <v>46317</v>
      </c>
      <c r="G256" s="29" t="inlineStr">
        <is>
          <t>eindhoven:kesif</t>
        </is>
      </c>
      <c r="H256" s="29" t="inlineStr">
        <is>
          <t>Kazerne Expo (Müzeler)</t>
        </is>
      </c>
      <c r="I256" s="29" t="inlineStr">
        <is>
          <t>Evet</t>
        </is>
      </c>
      <c r="J256" s="29" t="inlineStr">
        <is>
          <t>Lisans kanıtları/kaynaklar/fd521d0799c3ee071ab239a1667599e974bc9ce968dcfdee22805cb4095e3b95.html</t>
        </is>
      </c>
      <c r="K256" s="29" t="inlineStr">
        <is>
          <t>fd521d0799c3ee071ab239a1667599e974bc9ce968dcfdee22805cb4095e3b95</t>
        </is>
      </c>
    </row>
    <row r="257" ht="54" customHeight="1">
      <c r="A257" s="29" t="inlineStr">
        <is>
          <t>eindhoven:kaynak:255</t>
        </is>
      </c>
      <c r="B257" s="29" t="inlineStr">
        <is>
          <t>eindhoven</t>
        </is>
      </c>
      <c r="C257" s="29" t="inlineStr">
        <is>
          <t>Contact opnemen | Museumpark VONK</t>
        </is>
      </c>
      <c r="D257" s="29" t="inlineStr">
        <is>
          <t>vonk.nl</t>
        </is>
      </c>
      <c r="E257" s="29" t="inlineStr">
        <is>
          <t>https://vonk.nl/nl/over-ons/contact</t>
        </is>
      </c>
      <c r="F257" s="49" t="n">
        <v>46317</v>
      </c>
      <c r="G257" s="29" t="inlineStr">
        <is>
          <t>eindhoven:kesif</t>
        </is>
      </c>
      <c r="H257" s="29" t="inlineStr">
        <is>
          <t>Museumpark VONK (Prehistorisch Dorp) (Müzeler)</t>
        </is>
      </c>
      <c r="I257" s="29" t="inlineStr">
        <is>
          <t>Evet</t>
        </is>
      </c>
      <c r="J257" s="29" t="inlineStr">
        <is>
          <t>Lisans kanıtları/kaynaklar/09e3e104f1b8d954140a02d6f271c0f9de3ec6e2688822d297ce1b6fe282641f.html</t>
        </is>
      </c>
      <c r="K257" s="29" t="inlineStr">
        <is>
          <t>09e3e104f1b8d954140a02d6f271c0f9de3ec6e2688822d297ce1b6fe282641f</t>
        </is>
      </c>
    </row>
    <row r="258" ht="54" customHeight="1">
      <c r="A258" s="29" t="inlineStr">
        <is>
          <t>eindhoven:kaynak:256</t>
        </is>
      </c>
      <c r="B258" s="29" t="inlineStr">
        <is>
          <t>eindhoven</t>
        </is>
      </c>
      <c r="C258" s="29" t="inlineStr">
        <is>
          <t>Contact | De Fabriek Eindhoven</t>
        </is>
      </c>
      <c r="D258" s="29" t="inlineStr">
        <is>
          <t>www.defabriekeindhoven.com</t>
        </is>
      </c>
      <c r="E258" s="29" t="inlineStr">
        <is>
          <t>https://www.defabriekeindhoven.com/en/contact</t>
        </is>
      </c>
      <c r="F258" s="49" t="n">
        <v>46317</v>
      </c>
      <c r="G258" s="29" t="inlineStr">
        <is>
          <t>eindhoven:kesif</t>
        </is>
      </c>
      <c r="H258" s="29" t="inlineStr">
        <is>
          <t>De Fabriek (Sanat ve sergiler)</t>
        </is>
      </c>
      <c r="I258" s="29" t="inlineStr">
        <is>
          <t>Evet</t>
        </is>
      </c>
      <c r="J258" s="29" t="inlineStr">
        <is>
          <t>Lisans kanıtları/kaynaklar/80f6b0154cfdbb91054d699f42a6f8ffbb3125ef610bcf14aff95949b56f1258.html</t>
        </is>
      </c>
      <c r="K258" s="29" t="inlineStr">
        <is>
          <t>80f6b0154cfdbb91054d699f42a6f8ffbb3125ef610bcf14aff95949b56f1258</t>
        </is>
      </c>
    </row>
    <row r="259" ht="54" customHeight="1">
      <c r="A259" s="29" t="inlineStr">
        <is>
          <t>eindhoven:kaynak:257</t>
        </is>
      </c>
      <c r="B259" s="29" t="inlineStr">
        <is>
          <t>eindhoven</t>
        </is>
      </c>
      <c r="C259" s="29" t="inlineStr">
        <is>
          <t>About | Onomatopee</t>
        </is>
      </c>
      <c r="D259" s="29" t="inlineStr">
        <is>
          <t>www.onomatopee.net</t>
        </is>
      </c>
      <c r="E259" s="29" t="inlineStr">
        <is>
          <t>https://www.onomatopee.net/about-us/</t>
        </is>
      </c>
      <c r="F259" s="49" t="n">
        <v>46317</v>
      </c>
      <c r="G259" s="29" t="inlineStr">
        <is>
          <t>eindhoven:kesif</t>
        </is>
      </c>
      <c r="H259" s="29" t="inlineStr">
        <is>
          <t>Onomatopee (Sanat ve sergiler)</t>
        </is>
      </c>
      <c r="I259" s="29" t="inlineStr">
        <is>
          <t>Evet</t>
        </is>
      </c>
      <c r="J259" s="29" t="inlineStr">
        <is>
          <t>Lisans kanıtları/kaynaklar/1fa5951985e9ca6114b65ec2d7705304599c48cd8a9f3ca55af969786a98dcb2.html</t>
        </is>
      </c>
      <c r="K259" s="29" t="inlineStr">
        <is>
          <t>1fa5951985e9ca6114b65ec2d7705304599c48cd8a9f3ca55af969786a98dcb2</t>
        </is>
      </c>
    </row>
    <row r="260" ht="54" customHeight="1">
      <c r="A260" s="29" t="inlineStr">
        <is>
          <t>eindhoven:kaynak:258</t>
        </is>
      </c>
      <c r="B260" s="29" t="inlineStr">
        <is>
          <t>eindhoven</t>
        </is>
      </c>
      <c r="C260" s="29" t="inlineStr">
        <is>
          <t>Temporary Art Centre (TAC) | This is Eindhoven</t>
        </is>
      </c>
      <c r="D260" s="29" t="inlineStr">
        <is>
          <t>www.thisiseindhoven.com</t>
        </is>
      </c>
      <c r="E260" s="29" t="inlineStr">
        <is>
          <t>https://www.thisiseindhoven.com/en/locations/temporary-art-centre-tac</t>
        </is>
      </c>
      <c r="F260" s="49" t="n">
        <v>46317</v>
      </c>
      <c r="G260" s="29" t="inlineStr">
        <is>
          <t>eindhoven:kesif</t>
        </is>
      </c>
      <c r="H260" s="29" t="inlineStr">
        <is>
          <t>Temporary Art Centre (TAC) (Sanat ve sergiler)</t>
        </is>
      </c>
      <c r="I260" s="29" t="inlineStr">
        <is>
          <t>Evet</t>
        </is>
      </c>
      <c r="J260" s="29" t="inlineStr">
        <is>
          <t>Lisans kanıtları/kaynaklar/468b575a216f7ecbab19123854394f2b404953b96b5251f09b14faa40f318129.html</t>
        </is>
      </c>
      <c r="K260" s="29" t="inlineStr">
        <is>
          <t>468b575a216f7ecbab19123854394f2b404953b96b5251f09b14faa40f318129</t>
        </is>
      </c>
    </row>
    <row r="261" ht="54" customHeight="1">
      <c r="A261" s="29" t="inlineStr">
        <is>
          <t>eindhoven:kaynak:259</t>
        </is>
      </c>
      <c r="B261" s="29" t="inlineStr">
        <is>
          <t>eindhoven</t>
        </is>
      </c>
      <c r="C261" s="29" t="inlineStr">
        <is>
          <t>CONTACT - Galerie Nasty Alice</t>
        </is>
      </c>
      <c r="D261" s="29" t="inlineStr">
        <is>
          <t>www.galerienastyalice.nl</t>
        </is>
      </c>
      <c r="E261" s="29" t="inlineStr">
        <is>
          <t>https://www.galerienastyalice.nl/contact/</t>
        </is>
      </c>
      <c r="F261" s="49" t="n">
        <v>46317</v>
      </c>
      <c r="G261" s="29" t="inlineStr">
        <is>
          <t>eindhoven:kesif</t>
        </is>
      </c>
      <c r="H261" s="29" t="inlineStr">
        <is>
          <t>Gallery Nasty Alice (Sanat ve sergiler)</t>
        </is>
      </c>
      <c r="I261" s="29" t="inlineStr">
        <is>
          <t>Evet</t>
        </is>
      </c>
      <c r="J261" s="29" t="inlineStr">
        <is>
          <t>Lisans kanıtları/kaynaklar/225d4e96ae453fbb69fb8fd5d79563c3ac98213c8a49216f41e73d33ec6c82bd.html</t>
        </is>
      </c>
      <c r="K261" s="29" t="inlineStr">
        <is>
          <t>225d4e96ae453fbb69fb8fd5d79563c3ac98213c8a49216f41e73d33ec6c82bd</t>
        </is>
      </c>
    </row>
    <row r="262" ht="54" customHeight="1">
      <c r="A262" s="29" t="inlineStr">
        <is>
          <t>eindhoven:kaynak:260</t>
        </is>
      </c>
      <c r="B262" s="29" t="inlineStr">
        <is>
          <t>eindhoven</t>
        </is>
      </c>
      <c r="C262" s="29" t="inlineStr">
        <is>
          <t>Cova Art Gallery | This is Eindhoven</t>
        </is>
      </c>
      <c r="D262" s="29" t="inlineStr">
        <is>
          <t>www.thisiseindhoven.com</t>
        </is>
      </c>
      <c r="E262" s="29" t="inlineStr">
        <is>
          <t>https://www.thisiseindhoven.com/en/locations/cova-art-gallery</t>
        </is>
      </c>
      <c r="F262" s="49" t="n">
        <v>46317</v>
      </c>
      <c r="G262" s="29" t="inlineStr">
        <is>
          <t>eindhoven:kesif</t>
        </is>
      </c>
      <c r="H262" s="29" t="inlineStr">
        <is>
          <t>COVA Art Gallery (Sanat ve sergiler)</t>
        </is>
      </c>
      <c r="I262" s="29" t="inlineStr">
        <is>
          <t>Evet</t>
        </is>
      </c>
      <c r="J262" s="29" t="inlineStr">
        <is>
          <t>Lisans kanıtları/kaynaklar/b8f0d62c488d37e4ae3185d254a2eeb56c4f00f883b13e193e83ffa996d5640f.html</t>
        </is>
      </c>
      <c r="K262" s="29" t="inlineStr">
        <is>
          <t>b8f0d62c488d37e4ae3185d254a2eeb56c4f00f883b13e193e83ffa996d5640f</t>
        </is>
      </c>
    </row>
    <row r="263" ht="54" customHeight="1">
      <c r="A263" s="29" t="inlineStr">
        <is>
          <t>eindhoven:kaynak:261</t>
        </is>
      </c>
      <c r="B263" s="29" t="inlineStr">
        <is>
          <t>eindhoven</t>
        </is>
      </c>
      <c r="C263" s="29" t="inlineStr">
        <is>
          <t>Galery Rembrandt | This is Eindhoven</t>
        </is>
      </c>
      <c r="D263" s="29" t="inlineStr">
        <is>
          <t>www.thisiseindhoven.com</t>
        </is>
      </c>
      <c r="E263" s="29" t="inlineStr">
        <is>
          <t>https://www.thisiseindhoven.com/en/locations/gallery-rembrandt</t>
        </is>
      </c>
      <c r="F263" s="49" t="n">
        <v>46317</v>
      </c>
      <c r="G263" s="29" t="inlineStr">
        <is>
          <t>eindhoven:kesif</t>
        </is>
      </c>
      <c r="H263" s="29" t="inlineStr">
        <is>
          <t>Gallery Rembrandt (Sanat ve sergiler)</t>
        </is>
      </c>
      <c r="I263" s="29" t="inlineStr">
        <is>
          <t>Evet</t>
        </is>
      </c>
      <c r="J263" s="29" t="inlineStr">
        <is>
          <t>Lisans kanıtları/kaynaklar/93ffe1e23e7d5a548daf71b41c6ce3f666233211e462f129e43c212f4dced40a.html</t>
        </is>
      </c>
      <c r="K263" s="29" t="inlineStr">
        <is>
          <t>93ffe1e23e7d5a548daf71b41c6ce3f666233211e462f129e43c212f4dced40a</t>
        </is>
      </c>
    </row>
    <row r="264" ht="54" customHeight="1">
      <c r="A264" s="29" t="inlineStr">
        <is>
          <t>eindhoven:kaynak:262</t>
        </is>
      </c>
      <c r="B264" s="29" t="inlineStr">
        <is>
          <t>eindhoven</t>
        </is>
      </c>
      <c r="C264" s="29" t="inlineStr">
        <is>
          <t>De Kruisruimte | This is Eindhoven</t>
        </is>
      </c>
      <c r="D264" s="29" t="inlineStr">
        <is>
          <t>www.thisiseindhoven.com</t>
        </is>
      </c>
      <c r="E264" s="29" t="inlineStr">
        <is>
          <t>https://www.thisiseindhoven.com/en/locations/de-kruisruimte</t>
        </is>
      </c>
      <c r="F264" s="49" t="n">
        <v>46317</v>
      </c>
      <c r="G264" s="29" t="inlineStr">
        <is>
          <t>eindhoven:kesif</t>
        </is>
      </c>
      <c r="H264" s="29" t="inlineStr">
        <is>
          <t>De Kruisruimte (Sanat ve sergiler)</t>
        </is>
      </c>
      <c r="I264" s="29" t="inlineStr">
        <is>
          <t>Evet</t>
        </is>
      </c>
      <c r="J264" s="29" t="inlineStr">
        <is>
          <t>Lisans kanıtları/kaynaklar/0358161ceab0874a8719479be07eb1f911490781d29415359a7d6a823696277b.html</t>
        </is>
      </c>
      <c r="K264" s="29" t="inlineStr">
        <is>
          <t>0358161ceab0874a8719479be07eb1f911490781d29415359a7d6a823696277b</t>
        </is>
      </c>
    </row>
    <row r="265" ht="54" customHeight="1">
      <c r="A265" s="29" t="inlineStr">
        <is>
          <t>eindhoven:kaynak:263</t>
        </is>
      </c>
      <c r="B265" s="29" t="inlineStr">
        <is>
          <t>eindhoven</t>
        </is>
      </c>
      <c r="C265" s="29" t="inlineStr">
        <is>
          <t>KEVN (Kelderman en van Noort) | This is Eindhoven</t>
        </is>
      </c>
      <c r="D265" s="29" t="inlineStr">
        <is>
          <t>www.thisiseindhoven.com</t>
        </is>
      </c>
      <c r="E265" s="29" t="inlineStr">
        <is>
          <t>https://www.thisiseindhoven.com/en/locations/kevn</t>
        </is>
      </c>
      <c r="F265" s="49" t="n">
        <v>46317</v>
      </c>
      <c r="G265" s="29" t="inlineStr">
        <is>
          <t>eindhoven:kesif</t>
        </is>
      </c>
      <c r="H265" s="29" t="inlineStr">
        <is>
          <t>KEVN (Kelderman en van Noort) (Sanat ve sergiler)</t>
        </is>
      </c>
      <c r="I265" s="29" t="inlineStr">
        <is>
          <t>Evet</t>
        </is>
      </c>
      <c r="J265" s="29" t="inlineStr">
        <is>
          <t>Lisans kanıtları/kaynaklar/7901fd3eaae6939dfdb16b8c72c52ce521cfd172ac6bd36e61c9ac35a64184c5.html</t>
        </is>
      </c>
      <c r="K265" s="29" t="inlineStr">
        <is>
          <t>7901fd3eaae6939dfdb16b8c72c52ce521cfd172ac6bd36e61c9ac35a64184c5</t>
        </is>
      </c>
    </row>
    <row r="266" ht="54" customHeight="1">
      <c r="A266" s="29" t="inlineStr">
        <is>
          <t>eindhoven:kaynak:264</t>
        </is>
      </c>
      <c r="B266" s="29" t="inlineStr">
        <is>
          <t>eindhoven</t>
        </is>
      </c>
      <c r="C266" s="29" t="inlineStr">
        <is>
          <t>Van Abbehuis | This is Eindhoven</t>
        </is>
      </c>
      <c r="D266" s="29" t="inlineStr">
        <is>
          <t>www.thisiseindhoven.com</t>
        </is>
      </c>
      <c r="E266" s="29" t="inlineStr">
        <is>
          <t>https://www.thisiseindhoven.com/en/locations/van-abbehuis</t>
        </is>
      </c>
      <c r="F266" s="49" t="n">
        <v>46317</v>
      </c>
      <c r="G266" s="29" t="inlineStr">
        <is>
          <t>eindhoven:kesif</t>
        </is>
      </c>
      <c r="H266" s="29" t="inlineStr">
        <is>
          <t>Van Abbehuis (Sanat ve sergiler)</t>
        </is>
      </c>
      <c r="I266" s="29" t="inlineStr">
        <is>
          <t>Evet</t>
        </is>
      </c>
      <c r="J266" s="29" t="inlineStr">
        <is>
          <t>Lisans kanıtları/kaynaklar/39cbd992e5e0840ab370155a9198358f4d848a299bf85ab0d42499159f59df2a.html</t>
        </is>
      </c>
      <c r="K266" s="29" t="inlineStr">
        <is>
          <t>39cbd992e5e0840ab370155a9198358f4d848a299bf85ab0d42499159f59df2a</t>
        </is>
      </c>
    </row>
    <row r="267" ht="54" customHeight="1">
      <c r="A267" s="29" t="inlineStr">
        <is>
          <t>eindhoven:kaynak:265</t>
        </is>
      </c>
      <c r="B267" s="29" t="inlineStr">
        <is>
          <t>eindhoven</t>
        </is>
      </c>
      <c r="C267" s="29" t="inlineStr">
        <is>
          <t>Baltan | About</t>
        </is>
      </c>
      <c r="D267" s="29" t="inlineStr">
        <is>
          <t>www.baltanlaboratories.org</t>
        </is>
      </c>
      <c r="E267" s="29" t="inlineStr">
        <is>
          <t>https://www.baltanlaboratories.org/about</t>
        </is>
      </c>
      <c r="F267" s="49" t="n">
        <v>46317</v>
      </c>
      <c r="G267" s="29" t="inlineStr">
        <is>
          <t>eindhoven:kesif</t>
        </is>
      </c>
      <c r="H267" s="29" t="inlineStr">
        <is>
          <t>Baltan Laboratories (Sanat ve sergiler)</t>
        </is>
      </c>
      <c r="I267" s="29" t="inlineStr">
        <is>
          <t>Evet</t>
        </is>
      </c>
      <c r="J267" s="29" t="inlineStr">
        <is>
          <t>Lisans kanıtları/kaynaklar/1d1bbe9f7ebe4cbf7b6af1c60f8de3ef1e43c6b536f5488182c0f9a606c75c4c.html</t>
        </is>
      </c>
      <c r="K267" s="29" t="inlineStr">
        <is>
          <t>1d1bbe9f7ebe4cbf7b6af1c60f8de3ef1e43c6b536f5488182c0f9a606c75c4c</t>
        </is>
      </c>
    </row>
    <row r="268" ht="54" customHeight="1">
      <c r="A268" s="29" t="inlineStr">
        <is>
          <t>eindhoven:kaynak:266</t>
        </is>
      </c>
      <c r="B268" s="29" t="inlineStr">
        <is>
          <t>eindhoven</t>
        </is>
      </c>
      <c r="C268" s="29" t="inlineStr">
        <is>
          <t>THE POOL | This is Eindhoven</t>
        </is>
      </c>
      <c r="D268" s="29" t="inlineStr">
        <is>
          <t>www.thisiseindhoven.com</t>
        </is>
      </c>
      <c r="E268" s="29" t="inlineStr">
        <is>
          <t>https://www.thisiseindhoven.com/en/locations/the-pool</t>
        </is>
      </c>
      <c r="F268" s="49" t="n">
        <v>46317</v>
      </c>
      <c r="G268" s="29" t="inlineStr">
        <is>
          <t>eindhoven:kesif</t>
        </is>
      </c>
      <c r="H268" s="29" t="inlineStr">
        <is>
          <t>THE POOL (Sanat ve sergiler)</t>
        </is>
      </c>
      <c r="I268" s="29" t="inlineStr">
        <is>
          <t>Evet</t>
        </is>
      </c>
      <c r="J268" s="29" t="inlineStr">
        <is>
          <t>Lisans kanıtları/kaynaklar/76fbb64f00e1fc04d294fd8b152629b9395f4942e1afec741591f5a586c4efaf.html</t>
        </is>
      </c>
      <c r="K268" s="29" t="inlineStr">
        <is>
          <t>76fbb64f00e1fc04d294fd8b152629b9395f4942e1afec741591f5a586c4efaf</t>
        </is>
      </c>
    </row>
    <row r="269" ht="54" customHeight="1">
      <c r="A269" s="29" t="inlineStr">
        <is>
          <t>eindhoven:kaynak:267</t>
        </is>
      </c>
      <c r="B269" s="29" t="inlineStr">
        <is>
          <t>eindhoven</t>
        </is>
      </c>
      <c r="C269" s="29" t="inlineStr">
        <is>
          <t>BioArt Laboratories | Contact</t>
        </is>
      </c>
      <c r="D269" s="29" t="inlineStr">
        <is>
          <t>bioartlab.com</t>
        </is>
      </c>
      <c r="E269" s="29" t="inlineStr">
        <is>
          <t>https://bioartlab.com/contact/</t>
        </is>
      </c>
      <c r="F269" s="49" t="n">
        <v>46317</v>
      </c>
      <c r="G269" s="29" t="inlineStr">
        <is>
          <t>eindhoven:kesif</t>
        </is>
      </c>
      <c r="H269" s="29" t="inlineStr">
        <is>
          <t>BioArt Laboratories (Sanat ve sergiler)</t>
        </is>
      </c>
      <c r="I269" s="29" t="inlineStr">
        <is>
          <t>Evet</t>
        </is>
      </c>
      <c r="J269" s="29" t="inlineStr">
        <is>
          <t>Lisans kanıtları/kaynaklar/b407bb5223debeaa37a6544ce32fd1bf9245070cb564c11f60fd9e719ee2cc27.html</t>
        </is>
      </c>
      <c r="K269" s="29" t="inlineStr">
        <is>
          <t>b407bb5223debeaa37a6544ce32fd1bf9245070cb564c11f60fd9e719ee2cc27</t>
        </is>
      </c>
    </row>
    <row r="270" ht="54" customHeight="1">
      <c r="A270" s="29" t="inlineStr">
        <is>
          <t>eindhoven:kaynak:268</t>
        </is>
      </c>
      <c r="B270" s="29" t="inlineStr">
        <is>
          <t>eindhoven</t>
        </is>
      </c>
      <c r="C270" s="29" t="inlineStr">
        <is>
          <t>Contacts | Koelhuis Eindhoven</t>
        </is>
      </c>
      <c r="D270" s="29" t="inlineStr">
        <is>
          <t>www.koelhuiseindhoven.nl</t>
        </is>
      </c>
      <c r="E270" s="29" t="inlineStr">
        <is>
          <t>https://www.koelhuiseindhoven.nl/contacts</t>
        </is>
      </c>
      <c r="F270" s="49" t="n">
        <v>46317</v>
      </c>
      <c r="G270" s="29" t="inlineStr">
        <is>
          <t>eindhoven:kesif</t>
        </is>
      </c>
      <c r="H270" s="29" t="inlineStr">
        <is>
          <t>Het Koelhuis (Sanat ve sergiler)</t>
        </is>
      </c>
      <c r="I270" s="29" t="inlineStr">
        <is>
          <t>Evet</t>
        </is>
      </c>
      <c r="J270" s="29" t="inlineStr">
        <is>
          <t>Lisans kanıtları/kaynaklar/c64dec251872c6ed777bbc54479274cfcc91576946c521b63569afbf1c907682.html</t>
        </is>
      </c>
      <c r="K270" s="29" t="inlineStr">
        <is>
          <t>c64dec251872c6ed777bbc54479274cfcc91576946c521b63569afbf1c907682</t>
        </is>
      </c>
    </row>
    <row r="271" ht="54" customHeight="1">
      <c r="A271" s="29" t="inlineStr">
        <is>
          <t>eindhoven:kaynak:269</t>
        </is>
      </c>
      <c r="B271" s="29" t="inlineStr">
        <is>
          <t>eindhoven</t>
        </is>
      </c>
      <c r="C271" s="29" t="inlineStr">
        <is>
          <t>Shop &amp; showroom Piet Hein Eek | This is Eindhoven</t>
        </is>
      </c>
      <c r="D271" s="29" t="inlineStr">
        <is>
          <t>www.thisiseindhoven.com</t>
        </is>
      </c>
      <c r="E271" s="29" t="inlineStr">
        <is>
          <t>https://www.thisiseindhoven.com/en/locations/shop-showroom-piet-hein-eek</t>
        </is>
      </c>
      <c r="F271" s="49" t="n">
        <v>46317</v>
      </c>
      <c r="G271" s="29" t="inlineStr">
        <is>
          <t>eindhoven:kesif</t>
        </is>
      </c>
      <c r="H271" s="29" t="inlineStr">
        <is>
          <t>Piet Hein Eek (Sanat ve sergiler)</t>
        </is>
      </c>
      <c r="I271" s="29" t="inlineStr">
        <is>
          <t>Evet</t>
        </is>
      </c>
      <c r="J271" s="29" t="inlineStr">
        <is>
          <t>Lisans kanıtları/kaynaklar/e84cca3f383b65e07b1b7f4db79675dc137757e1f09f69a9e0fe8bcf0dc2805a.html</t>
        </is>
      </c>
      <c r="K271" s="29" t="inlineStr">
        <is>
          <t>e84cca3f383b65e07b1b7f4db79675dc137757e1f09f69a9e0fe8bcf0dc2805a</t>
        </is>
      </c>
    </row>
    <row r="272" ht="54" customHeight="1">
      <c r="A272" s="29" t="inlineStr">
        <is>
          <t>eindhoven:kaynak:270</t>
        </is>
      </c>
      <c r="B272" s="29" t="inlineStr">
        <is>
          <t>eindhoven</t>
        </is>
      </c>
      <c r="C272" s="29" t="inlineStr">
        <is>
          <t>Plan je bezoek aan Effenaar - Effenaar</t>
        </is>
      </c>
      <c r="D272" s="29" t="inlineStr">
        <is>
          <t>www.effenaar.nl</t>
        </is>
      </c>
      <c r="E272" s="29" t="inlineStr">
        <is>
          <t>https://www.effenaar.nl/plan-je-bezoek-aan-effenaar</t>
        </is>
      </c>
      <c r="F272" s="49" t="n">
        <v>46317</v>
      </c>
      <c r="G272" s="29" t="inlineStr">
        <is>
          <t>eindhoven:kesif</t>
        </is>
      </c>
      <c r="H272" s="29" t="inlineStr">
        <is>
          <t>Effenaar (Sahne ve müzik)</t>
        </is>
      </c>
      <c r="I272" s="29" t="inlineStr">
        <is>
          <t>Evet</t>
        </is>
      </c>
      <c r="J272" s="29" t="inlineStr">
        <is>
          <t>Lisans kanıtları/kaynaklar/7da39085c5c20cb45b2ba52d88d7511884f6182be2edf13d12be13dc1048bc04.html</t>
        </is>
      </c>
      <c r="K272" s="29" t="inlineStr">
        <is>
          <t>7da39085c5c20cb45b2ba52d88d7511884f6182be2edf13d12be13dc1048bc04</t>
        </is>
      </c>
    </row>
    <row r="273" ht="54" customHeight="1">
      <c r="A273" s="29" t="inlineStr">
        <is>
          <t>eindhoven:kaynak:271</t>
        </is>
      </c>
      <c r="B273" s="29" t="inlineStr">
        <is>
          <t>eindhoven</t>
        </is>
      </c>
      <c r="C273" s="29" t="inlineStr">
        <is>
          <t>Contact - MgE - Muziekgebouw Eindhoven</t>
        </is>
      </c>
      <c r="D273" s="29" t="inlineStr">
        <is>
          <t>mge.nl</t>
        </is>
      </c>
      <c r="E273" s="29" t="inlineStr">
        <is>
          <t>https://mge.nl/en/visit-us/contact/</t>
        </is>
      </c>
      <c r="F273" s="49" t="n">
        <v>46317</v>
      </c>
      <c r="G273" s="29" t="inlineStr">
        <is>
          <t>eindhoven:kesif</t>
        </is>
      </c>
      <c r="H273" s="29" t="inlineStr">
        <is>
          <t>Muziekgebouw Eindhoven (Sahne ve müzik)</t>
        </is>
      </c>
      <c r="I273" s="29" t="inlineStr">
        <is>
          <t>Evet</t>
        </is>
      </c>
      <c r="J273" s="29" t="inlineStr">
        <is>
          <t>Lisans kanıtları/kaynaklar/b587528c288c50521556c5b3ee6364c49cff5fd915b63028da9094887cab0f03.html</t>
        </is>
      </c>
      <c r="K273" s="29" t="inlineStr">
        <is>
          <t>b587528c288c50521556c5b3ee6364c49cff5fd915b63028da9094887cab0f03</t>
        </is>
      </c>
    </row>
    <row r="274" ht="54" customHeight="1">
      <c r="A274" s="29" t="inlineStr">
        <is>
          <t>eindhoven:kaynak:272</t>
        </is>
      </c>
      <c r="B274" s="29" t="inlineStr">
        <is>
          <t>eindhoven</t>
        </is>
      </c>
      <c r="C274" s="29" t="inlineStr">
        <is>
          <t>Parktheater Eindhoven | This is Eindhoven</t>
        </is>
      </c>
      <c r="D274" s="29" t="inlineStr">
        <is>
          <t>www.thisiseindhoven.com</t>
        </is>
      </c>
      <c r="E274" s="29" t="inlineStr">
        <is>
          <t>https://www.thisiseindhoven.com/en/locations/parktheater-eindhoven</t>
        </is>
      </c>
      <c r="F274" s="49" t="n">
        <v>46317</v>
      </c>
      <c r="G274" s="29" t="inlineStr">
        <is>
          <t>eindhoven:kesif</t>
        </is>
      </c>
      <c r="H274" s="29" t="inlineStr">
        <is>
          <t>Parktheater Eindhoven (Sahne ve müzik)</t>
        </is>
      </c>
      <c r="I274" s="29" t="inlineStr">
        <is>
          <t>Evet</t>
        </is>
      </c>
      <c r="J274" s="29" t="inlineStr">
        <is>
          <t>Lisans kanıtları/kaynaklar/b2e910ac934ac8f1db9333585a5b2fe18792d39e094bb744dfb5f0581ab3f871.html</t>
        </is>
      </c>
      <c r="K274" s="29" t="inlineStr">
        <is>
          <t>b2e910ac934ac8f1db9333585a5b2fe18792d39e094bb744dfb5f0581ab3f871</t>
        </is>
      </c>
    </row>
    <row r="275" ht="54" customHeight="1">
      <c r="A275" s="29" t="inlineStr">
        <is>
          <t>eindhoven:kaynak:273</t>
        </is>
      </c>
      <c r="B275" s="29" t="inlineStr">
        <is>
          <t>eindhoven</t>
        </is>
      </c>
      <c r="C275" s="29" t="inlineStr">
        <is>
          <t>Natlab | This is Eindhoven</t>
        </is>
      </c>
      <c r="D275" s="29" t="inlineStr">
        <is>
          <t>www.thisiseindhoven.com</t>
        </is>
      </c>
      <c r="E275" s="29" t="inlineStr">
        <is>
          <t>https://www.thisiseindhoven.com/en/locations/natlab</t>
        </is>
      </c>
      <c r="F275" s="49" t="n">
        <v>46317</v>
      </c>
      <c r="G275" s="29" t="inlineStr">
        <is>
          <t>eindhoven:kesif</t>
        </is>
      </c>
      <c r="H275" s="29" t="inlineStr">
        <is>
          <t>Natlab (Sahne ve müzik)</t>
        </is>
      </c>
      <c r="I275" s="29" t="inlineStr">
        <is>
          <t>Evet</t>
        </is>
      </c>
      <c r="J275" s="29" t="inlineStr">
        <is>
          <t>Lisans kanıtları/kaynaklar/a4eee7dd1f11e00d68b60b3150a88212524037da47bc9f1dc40b6bec102563ae.html</t>
        </is>
      </c>
      <c r="K275" s="29" t="inlineStr">
        <is>
          <t>a4eee7dd1f11e00d68b60b3150a88212524037da47bc9f1dc40b6bec102563ae</t>
        </is>
      </c>
    </row>
    <row r="276" ht="54" customHeight="1">
      <c r="A276" s="29" t="inlineStr">
        <is>
          <t>eindhoven:kaynak:274</t>
        </is>
      </c>
      <c r="B276" s="29" t="inlineStr">
        <is>
          <t>eindhoven</t>
        </is>
      </c>
      <c r="C276" s="29" t="inlineStr">
        <is>
          <t>Stage Music Café | This is Eindhoven</t>
        </is>
      </c>
      <c r="D276" s="29" t="inlineStr">
        <is>
          <t>www.thisiseindhoven.com</t>
        </is>
      </c>
      <c r="E276" s="29" t="inlineStr">
        <is>
          <t>https://www.thisiseindhoven.com/en/locations/stage-music-cafe</t>
        </is>
      </c>
      <c r="F276" s="49" t="n">
        <v>46317</v>
      </c>
      <c r="G276" s="29" t="inlineStr">
        <is>
          <t>eindhoven:kesif</t>
        </is>
      </c>
      <c r="H276" s="29" t="inlineStr">
        <is>
          <t>Stage Music Café (Sahne ve müzik)</t>
        </is>
      </c>
      <c r="I276" s="29" t="inlineStr">
        <is>
          <t>Evet</t>
        </is>
      </c>
      <c r="J276" s="29" t="inlineStr">
        <is>
          <t>Lisans kanıtları/kaynaklar/b3c14814eb440c4d0450d674cb560cfb8cbc9ec7e5edc459a7b85af821842ba3.html</t>
        </is>
      </c>
      <c r="K276" s="29" t="inlineStr">
        <is>
          <t>b3c14814eb440c4d0450d674cb560cfb8cbc9ec7e5edc459a7b85af821842ba3</t>
        </is>
      </c>
    </row>
    <row r="277" ht="54" customHeight="1">
      <c r="A277" s="29" t="inlineStr">
        <is>
          <t>eindhoven:kaynak:275</t>
        </is>
      </c>
      <c r="B277" s="29" t="inlineStr">
        <is>
          <t>eindhoven</t>
        </is>
      </c>
      <c r="C277" s="29" t="inlineStr">
        <is>
          <t>Pathé Eindhoven | This is Eindhoven</t>
        </is>
      </c>
      <c r="D277" s="29" t="inlineStr">
        <is>
          <t>www.thisiseindhoven.com</t>
        </is>
      </c>
      <c r="E277" s="29" t="inlineStr">
        <is>
          <t>https://www.thisiseindhoven.com/en/locations/pathe-eindhoven</t>
        </is>
      </c>
      <c r="F277" s="49" t="n">
        <v>46317</v>
      </c>
      <c r="G277" s="29" t="inlineStr">
        <is>
          <t>eindhoven:kesif</t>
        </is>
      </c>
      <c r="H277" s="29" t="inlineStr">
        <is>
          <t>Pathé Eindhoven (Sahne ve müzik)</t>
        </is>
      </c>
      <c r="I277" s="29" t="inlineStr">
        <is>
          <t>Evet</t>
        </is>
      </c>
      <c r="J277" s="29" t="inlineStr">
        <is>
          <t>Lisans kanıtları/kaynaklar/c706babaf925a89c0fbb94170e9f535653d2bf47df363c1953843672f9508774.html</t>
        </is>
      </c>
      <c r="K277" s="29" t="inlineStr">
        <is>
          <t>c706babaf925a89c0fbb94170e9f535653d2bf47df363c1953843672f9508774</t>
        </is>
      </c>
    </row>
    <row r="278" ht="54" customHeight="1">
      <c r="A278" s="29" t="inlineStr">
        <is>
          <t>eindhoven:kaynak:276</t>
        </is>
      </c>
      <c r="B278" s="29" t="inlineStr">
        <is>
          <t>eindhoven</t>
        </is>
      </c>
      <c r="C278" s="29" t="inlineStr">
        <is>
          <t>Vue Eindhoven | This is Eindhoven</t>
        </is>
      </c>
      <c r="D278" s="29" t="inlineStr">
        <is>
          <t>www.thisiseindhoven.com</t>
        </is>
      </c>
      <c r="E278" s="29" t="inlineStr">
        <is>
          <t>https://www.thisiseindhoven.com/en/locations/vue-eindhoven</t>
        </is>
      </c>
      <c r="F278" s="49" t="n">
        <v>46317</v>
      </c>
      <c r="G278" s="29" t="inlineStr">
        <is>
          <t>eindhoven:kesif</t>
        </is>
      </c>
      <c r="H278" s="29" t="inlineStr">
        <is>
          <t>Vue Eindhoven (Sahne ve müzik)</t>
        </is>
      </c>
      <c r="I278" s="29" t="inlineStr">
        <is>
          <t>Evet</t>
        </is>
      </c>
      <c r="J278" s="29" t="inlineStr">
        <is>
          <t>Lisans kanıtları/kaynaklar/a7b32e939be0089d6faaa0683bab2b694b7197ce81bcc4588f09fd8834036045.html</t>
        </is>
      </c>
      <c r="K278" s="29" t="inlineStr">
        <is>
          <t>a7b32e939be0089d6faaa0683bab2b694b7197ce81bcc4588f09fd8834036045</t>
        </is>
      </c>
    </row>
    <row r="279" ht="54" customHeight="1">
      <c r="A279" s="29" t="inlineStr">
        <is>
          <t>eindhoven:kaynak:277</t>
        </is>
      </c>
      <c r="B279" s="29" t="inlineStr">
        <is>
          <t>eindhoven</t>
        </is>
      </c>
      <c r="C279" s="29" t="inlineStr">
        <is>
          <t>Dynamo | This is Eindhoven</t>
        </is>
      </c>
      <c r="D279" s="29" t="inlineStr">
        <is>
          <t>www.thisiseindhoven.com</t>
        </is>
      </c>
      <c r="E279" s="29" t="inlineStr">
        <is>
          <t>https://www.thisiseindhoven.com/en/locations/dynamo</t>
        </is>
      </c>
      <c r="F279" s="49" t="n">
        <v>46317</v>
      </c>
      <c r="G279" s="29" t="inlineStr">
        <is>
          <t>eindhoven:kesif</t>
        </is>
      </c>
      <c r="H279" s="29" t="inlineStr">
        <is>
          <t>Dynamo (Sahne ve müzik)</t>
        </is>
      </c>
      <c r="I279" s="29" t="inlineStr">
        <is>
          <t>Evet</t>
        </is>
      </c>
      <c r="J279" s="29" t="inlineStr">
        <is>
          <t>Lisans kanıtları/kaynaklar/3d39b55c0408387399a5065a01bd59f38774bf615cfea5564638622fe0ab335f.html</t>
        </is>
      </c>
      <c r="K279" s="29" t="inlineStr">
        <is>
          <t>3d39b55c0408387399a5065a01bd59f38774bf615cfea5564638622fe0ab335f</t>
        </is>
      </c>
    </row>
    <row r="280" ht="54" customHeight="1">
      <c r="A280" s="29" t="inlineStr">
        <is>
          <t>eindhoven:kaynak:278</t>
        </is>
      </c>
      <c r="B280" s="29" t="inlineStr">
        <is>
          <t>eindhoven</t>
        </is>
      </c>
      <c r="C280" s="29" t="inlineStr">
        <is>
          <t>Jazzclub OSJE | This is Eindhoven</t>
        </is>
      </c>
      <c r="D280" s="29" t="inlineStr">
        <is>
          <t>www.thisiseindhoven.com</t>
        </is>
      </c>
      <c r="E280" s="29" t="inlineStr">
        <is>
          <t>https://www.thisiseindhoven.com/en/locations/jazzclub-osje</t>
        </is>
      </c>
      <c r="F280" s="49" t="n">
        <v>46317</v>
      </c>
      <c r="G280" s="29" t="inlineStr">
        <is>
          <t>eindhoven:kesif</t>
        </is>
      </c>
      <c r="H280" s="29" t="inlineStr">
        <is>
          <t>Jazzclub OSJE (Sahne ve müzik)</t>
        </is>
      </c>
      <c r="I280" s="29" t="inlineStr">
        <is>
          <t>Evet</t>
        </is>
      </c>
      <c r="J280" s="29" t="inlineStr">
        <is>
          <t>Lisans kanıtları/kaynaklar/9dffcab5223cfa133daabca2814844800ab09bccd4759fe0e523b84d0e52590a.html</t>
        </is>
      </c>
      <c r="K280" s="29" t="inlineStr">
        <is>
          <t>9dffcab5223cfa133daabca2814844800ab09bccd4759fe0e523b84d0e52590a</t>
        </is>
      </c>
    </row>
    <row r="281" ht="54" customHeight="1">
      <c r="A281" s="29" t="inlineStr">
        <is>
          <t>eindhoven:kaynak:279</t>
        </is>
      </c>
      <c r="B281" s="29" t="inlineStr">
        <is>
          <t>eindhoven</t>
        </is>
      </c>
      <c r="C281" s="29" t="inlineStr">
        <is>
          <t>Filmhuis De Zwarte Doos | This is Eindhoven</t>
        </is>
      </c>
      <c r="D281" s="29" t="inlineStr">
        <is>
          <t>www.thisiseindhoven.com</t>
        </is>
      </c>
      <c r="E281" s="29" t="inlineStr">
        <is>
          <t>https://www.thisiseindhoven.com/en/locations/filmhuis-de-zwarte-doos</t>
        </is>
      </c>
      <c r="F281" s="49" t="n">
        <v>46317</v>
      </c>
      <c r="G281" s="29" t="inlineStr">
        <is>
          <t>eindhoven:kesif</t>
        </is>
      </c>
      <c r="H281" s="29" t="inlineStr">
        <is>
          <t>Filmhuis De Zwarte Doos (Sahne ve müzik)</t>
        </is>
      </c>
      <c r="I281" s="29" t="inlineStr">
        <is>
          <t>Evet</t>
        </is>
      </c>
      <c r="J281" s="29" t="inlineStr">
        <is>
          <t>Lisans kanıtları/kaynaklar/c54a8ad5ba1f398390637e2c4aea4fcb048dbb42e23e3e08407f80b4339c0578.html</t>
        </is>
      </c>
      <c r="K281" s="29" t="inlineStr">
        <is>
          <t>c54a8ad5ba1f398390637e2c4aea4fcb048dbb42e23e3e08407f80b4339c0578</t>
        </is>
      </c>
    </row>
    <row r="282" ht="54" customHeight="1">
      <c r="A282" s="29" t="inlineStr">
        <is>
          <t>eindhoven:kaynak:280</t>
        </is>
      </c>
      <c r="B282" s="29" t="inlineStr">
        <is>
          <t>eindhoven</t>
        </is>
      </c>
      <c r="C282" s="29" t="inlineStr">
        <is>
          <t>Paviljoen Ongehoorde Muziek | This is Eindhoven</t>
        </is>
      </c>
      <c r="D282" s="29" t="inlineStr">
        <is>
          <t>www.thisiseindhoven.com</t>
        </is>
      </c>
      <c r="E282" s="29" t="inlineStr">
        <is>
          <t>https://www.thisiseindhoven.com/en/locations/paviljoen-ongehoorde-muziek</t>
        </is>
      </c>
      <c r="F282" s="49" t="n">
        <v>46317</v>
      </c>
      <c r="G282" s="29" t="inlineStr">
        <is>
          <t>eindhoven:kesif</t>
        </is>
      </c>
      <c r="H282" s="29" t="inlineStr">
        <is>
          <t>Paviljoen Ongehoorde Muziek (Sahne ve müzik)</t>
        </is>
      </c>
      <c r="I282" s="29" t="inlineStr">
        <is>
          <t>Evet</t>
        </is>
      </c>
      <c r="J282" s="29" t="inlineStr">
        <is>
          <t>Lisans kanıtları/kaynaklar/a2aa18551f3fb43a6ad4ae433128ffc6aaa394812b024f9885259ff8cb803b66.html</t>
        </is>
      </c>
      <c r="K282" s="29" t="inlineStr">
        <is>
          <t>a2aa18551f3fb43a6ad4ae433128ffc6aaa394812b024f9885259ff8cb803b66</t>
        </is>
      </c>
    </row>
    <row r="283" ht="54" customHeight="1">
      <c r="A283" s="29" t="inlineStr">
        <is>
          <t>eindhoven:kaynak:281</t>
        </is>
      </c>
      <c r="B283" s="29" t="inlineStr">
        <is>
          <t>eindhoven</t>
        </is>
      </c>
      <c r="C283" s="29" t="inlineStr">
        <is>
          <t>Contact – Wim van Doorne Muziekkiosk</t>
        </is>
      </c>
      <c r="D283" s="29" t="inlineStr">
        <is>
          <t>www.wimvandoornemuziekkiosk.nl</t>
        </is>
      </c>
      <c r="E283" s="29" t="inlineStr">
        <is>
          <t>https://www.wimvandoornemuziekkiosk.nl/contact/</t>
        </is>
      </c>
      <c r="F283" s="49" t="n">
        <v>46317</v>
      </c>
      <c r="G283" s="29" t="inlineStr">
        <is>
          <t>eindhoven:kesif</t>
        </is>
      </c>
      <c r="H283" s="29" t="inlineStr">
        <is>
          <t>Wim van Doorne Muziekkiosk (Sahne ve müzik)</t>
        </is>
      </c>
      <c r="I283" s="29" t="inlineStr">
        <is>
          <t>Evet</t>
        </is>
      </c>
      <c r="J283" s="29" t="inlineStr">
        <is>
          <t>Lisans kanıtları/kaynaklar/17cafd855513a7baa86c4b5d2bebbde34f41d40456a5f27fbe072f15a112b8fb.html</t>
        </is>
      </c>
      <c r="K283" s="29" t="inlineStr">
        <is>
          <t>17cafd855513a7baa86c4b5d2bebbde34f41d40456a5f27fbe072f15a112b8fb</t>
        </is>
      </c>
    </row>
    <row r="284" ht="54" customHeight="1">
      <c r="A284" s="29" t="inlineStr">
        <is>
          <t>eindhoven:kaynak:282</t>
        </is>
      </c>
      <c r="B284" s="29" t="inlineStr">
        <is>
          <t>eindhoven</t>
        </is>
      </c>
      <c r="C284" s="29" t="inlineStr">
        <is>
          <t>Arno's Theater | Arno Huibers Theaterproducties</t>
        </is>
      </c>
      <c r="D284" s="29" t="inlineStr">
        <is>
          <t>www.arnohuibers.nl</t>
        </is>
      </c>
      <c r="E284" s="29" t="inlineStr">
        <is>
          <t>https://www.arnohuibers.nl/arno-s-theater</t>
        </is>
      </c>
      <c r="F284" s="49" t="n">
        <v>46317</v>
      </c>
      <c r="G284" s="29" t="inlineStr">
        <is>
          <t>eindhoven:kesif</t>
        </is>
      </c>
      <c r="H284" s="29" t="inlineStr">
        <is>
          <t>Arno's Theater (Sahne ve müzik)</t>
        </is>
      </c>
      <c r="I284" s="29" t="inlineStr">
        <is>
          <t>Evet</t>
        </is>
      </c>
      <c r="J284" s="29" t="inlineStr">
        <is>
          <t>Lisans kanıtları/kaynaklar/1d95faf683715e505963ec1a395c1f4dc653e6d5be9684c45eb652ebdda4fbf0.html</t>
        </is>
      </c>
      <c r="K284" s="29" t="inlineStr">
        <is>
          <t>1d95faf683715e505963ec1a395c1f4dc653e6d5be9684c45eb652ebdda4fbf0</t>
        </is>
      </c>
    </row>
    <row r="285" ht="54" customHeight="1">
      <c r="A285" s="29" t="inlineStr">
        <is>
          <t>eindhoven:kaynak:283</t>
        </is>
      </c>
      <c r="B285" s="29" t="inlineStr">
        <is>
          <t>eindhoven</t>
        </is>
      </c>
      <c r="C285" s="29" t="inlineStr">
        <is>
          <t>Adres - Carte Blanche theatergezelschap Eindhoven</t>
        </is>
      </c>
      <c r="D285" s="29" t="inlineStr">
        <is>
          <t>carteblanche.nu</t>
        </is>
      </c>
      <c r="E285" s="29" t="inlineStr">
        <is>
          <t>https://carteblanche.nu/contact/</t>
        </is>
      </c>
      <c r="F285" s="49" t="n">
        <v>46317</v>
      </c>
      <c r="G285" s="29" t="inlineStr">
        <is>
          <t>eindhoven:kesif</t>
        </is>
      </c>
      <c r="H285" s="29" t="inlineStr">
        <is>
          <t>Theater Carte Blanche (Sahne ve müzik)</t>
        </is>
      </c>
      <c r="I285" s="29" t="inlineStr">
        <is>
          <t>Evet</t>
        </is>
      </c>
      <c r="J285" s="29" t="inlineStr">
        <is>
          <t>Lisans kanıtları/kaynaklar/968206e42107ce0fdcbd51d925c9a8d0cc9e298b77503c5dfb5b0122d4622c02.html</t>
        </is>
      </c>
      <c r="K285" s="29" t="inlineStr">
        <is>
          <t>968206e42107ce0fdcbd51d925c9a8d0cc9e298b77503c5dfb5b0122d4622c02</t>
        </is>
      </c>
    </row>
    <row r="286" ht="54" customHeight="1">
      <c r="A286" s="29" t="inlineStr">
        <is>
          <t>eindhoven:kaynak:284</t>
        </is>
      </c>
      <c r="B286" s="29" t="inlineStr">
        <is>
          <t>eindhoven</t>
        </is>
      </c>
      <c r="C286" s="29" t="inlineStr">
        <is>
          <t>PSV Stadium tour | This is Eindhoven</t>
        </is>
      </c>
      <c r="D286" s="29" t="inlineStr">
        <is>
          <t>www.thisiseindhoven.com</t>
        </is>
      </c>
      <c r="E286" s="29" t="inlineStr">
        <is>
          <t>https://www.thisiseindhoven.com/en/locations/psv-stadium-tour</t>
        </is>
      </c>
      <c r="F286" s="49" t="n">
        <v>46317</v>
      </c>
      <c r="G286" s="29" t="inlineStr">
        <is>
          <t>eindhoven:kesif</t>
        </is>
      </c>
      <c r="H286" s="29" t="inlineStr">
        <is>
          <t>Philips Stadion (PSV) (Spor)</t>
        </is>
      </c>
      <c r="I286" s="29" t="inlineStr">
        <is>
          <t>Evet</t>
        </is>
      </c>
      <c r="J286" s="29" t="inlineStr">
        <is>
          <t>Lisans kanıtları/kaynaklar/51123182f7cdc112fadb5123f233be9558b599c3aa1a88acfb3cef04d1342aac.html</t>
        </is>
      </c>
      <c r="K286" s="29" t="inlineStr">
        <is>
          <t>51123182f7cdc112fadb5123f233be9558b599c3aa1a88acfb3cef04d1342aac</t>
        </is>
      </c>
    </row>
    <row r="287" ht="54" customHeight="1">
      <c r="A287" s="29" t="inlineStr">
        <is>
          <t>eindhoven:kaynak:285</t>
        </is>
      </c>
      <c r="B287" s="29" t="inlineStr">
        <is>
          <t>eindhoven</t>
        </is>
      </c>
      <c r="C287" s="29" t="inlineStr">
        <is>
          <t>Contact met de Tongelreep | Eindhoven Sport</t>
        </is>
      </c>
      <c r="D287" s="29" t="inlineStr">
        <is>
          <t>www.eindhovensport.nl</t>
        </is>
      </c>
      <c r="E287" s="29" t="inlineStr">
        <is>
          <t>https://www.eindhovensport.nl/zwemmen/tongelreep/contact-met-de-tongelreep</t>
        </is>
      </c>
      <c r="F287" s="49" t="n">
        <v>46317</v>
      </c>
      <c r="G287" s="29" t="inlineStr">
        <is>
          <t>eindhoven:kesif</t>
        </is>
      </c>
      <c r="H287" s="29" t="inlineStr">
        <is>
          <t>Nationaal Zwemcentrum De Tongelreep (Spor)</t>
        </is>
      </c>
      <c r="I287" s="29" t="inlineStr">
        <is>
          <t>Evet</t>
        </is>
      </c>
      <c r="J287" s="29" t="inlineStr">
        <is>
          <t>Lisans kanıtları/kaynaklar/09bd99751a0f747a7d675db11a57fe87438655379035b7c078154ebc779a9078.html</t>
        </is>
      </c>
      <c r="K287" s="29" t="inlineStr">
        <is>
          <t>09bd99751a0f747a7d675db11a57fe87438655379035b7c078154ebc779a9078</t>
        </is>
      </c>
    </row>
    <row r="288" ht="54" customHeight="1">
      <c r="A288" s="29" t="inlineStr">
        <is>
          <t>eindhoven:kaynak:286</t>
        </is>
      </c>
      <c r="B288" s="29" t="inlineStr">
        <is>
          <t>eindhoven</t>
        </is>
      </c>
      <c r="C288" s="29" t="inlineStr">
        <is>
          <t>Welkom bij Sportfondsen IJssportcentrum Eindhoven</t>
        </is>
      </c>
      <c r="D288" s="29" t="inlineStr">
        <is>
          <t>www.ijssportcentrum.nl</t>
        </is>
      </c>
      <c r="E288" s="29" t="inlineStr">
        <is>
          <t>https://www.ijssportcentrum.nl/contact/</t>
        </is>
      </c>
      <c r="F288" s="49" t="n">
        <v>46317</v>
      </c>
      <c r="G288" s="29" t="inlineStr">
        <is>
          <t>eindhoven:kesif</t>
        </is>
      </c>
      <c r="H288" s="29" t="inlineStr">
        <is>
          <t>IJssportcentrum Eindhoven (Spor)</t>
        </is>
      </c>
      <c r="I288" s="29" t="inlineStr">
        <is>
          <t>Evet</t>
        </is>
      </c>
      <c r="J288" s="29" t="inlineStr">
        <is>
          <t>Lisans kanıtları/kaynaklar/7bde2e8e5b64fc92e56b26402f33e26389755527477912d660a326d8d6fd443a.html</t>
        </is>
      </c>
      <c r="K288" s="29" t="inlineStr">
        <is>
          <t>7bde2e8e5b64fc92e56b26402f33e26389755527477912d660a326d8d6fd443a</t>
        </is>
      </c>
    </row>
    <row r="289" ht="54" customHeight="1">
      <c r="A289" s="29" t="inlineStr">
        <is>
          <t>eindhoven:kaynak:287</t>
        </is>
      </c>
      <c r="B289" s="29" t="inlineStr">
        <is>
          <t>eindhoven</t>
        </is>
      </c>
      <c r="C289" s="29" t="inlineStr">
        <is>
          <t>Indoor-Sportcentrum Eindhoven | Eindhoven Sport</t>
        </is>
      </c>
      <c r="D289" s="29" t="inlineStr">
        <is>
          <t>www.eindhovensport.nl</t>
        </is>
      </c>
      <c r="E289" s="29" t="inlineStr">
        <is>
          <t>https://www.eindhovensport.nl/sportaccommodatie-huren/indoor-sportcentrum-eindhoven</t>
        </is>
      </c>
      <c r="F289" s="49" t="n">
        <v>46317</v>
      </c>
      <c r="G289" s="29" t="inlineStr">
        <is>
          <t>eindhoven:kesif</t>
        </is>
      </c>
      <c r="H289" s="29" t="inlineStr">
        <is>
          <t>Indoor-Sportcentrum Eindhoven (Spor)</t>
        </is>
      </c>
      <c r="I289" s="29" t="inlineStr">
        <is>
          <t>Evet</t>
        </is>
      </c>
      <c r="J289" s="29" t="inlineStr">
        <is>
          <t>Lisans kanıtları/kaynaklar/589bf0708462bcf9a8c47f8a30d7dfbdcb15ebf377cc057370c0e72fce632f69.html</t>
        </is>
      </c>
      <c r="K289" s="29" t="inlineStr">
        <is>
          <t>589bf0708462bcf9a8c47f8a30d7dfbdcb15ebf377cc057370c0e72fce632f69</t>
        </is>
      </c>
    </row>
    <row r="290" ht="54" customHeight="1">
      <c r="A290" s="29" t="inlineStr">
        <is>
          <t>eindhoven:kaynak:288</t>
        </is>
      </c>
      <c r="B290" s="29" t="inlineStr">
        <is>
          <t>eindhoven</t>
        </is>
      </c>
      <c r="C290" s="29" t="inlineStr">
        <is>
          <t>Contact met ir. Ottenbad | Eindhoven Sport</t>
        </is>
      </c>
      <c r="D290" s="29" t="inlineStr">
        <is>
          <t>eindhovensport.nl</t>
        </is>
      </c>
      <c r="E290" s="29" t="inlineStr">
        <is>
          <t>https://eindhovensport.nl/zwemmen/ir-ottenbad/contact-met-ir-ottenbad</t>
        </is>
      </c>
      <c r="F290" s="49" t="n">
        <v>46317</v>
      </c>
      <c r="G290" s="29" t="inlineStr">
        <is>
          <t>eindhoven:kesif</t>
        </is>
      </c>
      <c r="H290" s="29" t="inlineStr">
        <is>
          <t>Ir. Ottenbad (Spor)</t>
        </is>
      </c>
      <c r="I290" s="29" t="inlineStr">
        <is>
          <t>Evet</t>
        </is>
      </c>
      <c r="J290" s="29" t="inlineStr">
        <is>
          <t>Lisans kanıtları/kaynaklar/2ebe23d2a54a1649868bdd8c1c7b6c066b84317ea629114e63320b695b09ea5f.html</t>
        </is>
      </c>
      <c r="K290" s="29" t="inlineStr">
        <is>
          <t>2ebe23d2a54a1649868bdd8c1c7b6c066b84317ea629114e63320b695b09ea5f</t>
        </is>
      </c>
    </row>
    <row r="291" ht="54" customHeight="1">
      <c r="A291" s="29" t="inlineStr">
        <is>
          <t>eindhoven:kaynak:289</t>
        </is>
      </c>
      <c r="B291" s="29" t="inlineStr">
        <is>
          <t>eindhoven</t>
        </is>
      </c>
      <c r="C291" s="29" t="inlineStr">
        <is>
          <t>Plan your visit - Area51 | Urban Culture</t>
        </is>
      </c>
      <c r="D291" s="29" t="inlineStr">
        <is>
          <t>www.area51eindhoven.nl</t>
        </is>
      </c>
      <c r="E291" s="29" t="inlineStr">
        <is>
          <t>https://www.area51eindhoven.nl/plan-your-visit/</t>
        </is>
      </c>
      <c r="F291" s="49" t="n">
        <v>46317</v>
      </c>
      <c r="G291" s="29" t="inlineStr">
        <is>
          <t>eindhoven:kesif</t>
        </is>
      </c>
      <c r="H291" s="29" t="inlineStr">
        <is>
          <t>Area 51 Skatepark (Spor)</t>
        </is>
      </c>
      <c r="I291" s="29" t="inlineStr">
        <is>
          <t>Evet</t>
        </is>
      </c>
      <c r="J291" s="29" t="inlineStr">
        <is>
          <t>Lisans kanıtları/kaynaklar/9cf02a5458c1d8daf565179371c2765a2c85950658b2ab7200f7e42320492135.html</t>
        </is>
      </c>
      <c r="K291" s="29" t="inlineStr">
        <is>
          <t>9cf02a5458c1d8daf565179371c2765a2c85950658b2ab7200f7e42320492135</t>
        </is>
      </c>
    </row>
    <row r="292" ht="54" customHeight="1">
      <c r="A292" s="29" t="inlineStr">
        <is>
          <t>eindhoven:kaynak:290</t>
        </is>
      </c>
      <c r="B292" s="29" t="inlineStr">
        <is>
          <t>eindhoven</t>
        </is>
      </c>
      <c r="C292" s="29" t="inlineStr">
        <is>
          <t>Urban Sportpark 't Schoot | This is Eindhoven</t>
        </is>
      </c>
      <c r="D292" s="29" t="inlineStr">
        <is>
          <t>www.thisiseindhoven.com</t>
        </is>
      </c>
      <c r="E292" s="29" t="inlineStr">
        <is>
          <t>https://www.thisiseindhoven.com/en/locations/urban-sportpark-t-schoot</t>
        </is>
      </c>
      <c r="F292" s="49" t="n">
        <v>46317</v>
      </c>
      <c r="G292" s="29" t="inlineStr">
        <is>
          <t>eindhoven:kesif</t>
        </is>
      </c>
      <c r="H292" s="29" t="inlineStr">
        <is>
          <t>Urban Sportpark 't Schoot (Spor)</t>
        </is>
      </c>
      <c r="I292" s="29" t="inlineStr">
        <is>
          <t>Evet</t>
        </is>
      </c>
      <c r="J292" s="29" t="inlineStr">
        <is>
          <t>Lisans kanıtları/kaynaklar/b21503e53cf9d9c8035dae7b4b66ba054682d3a6d41f34d08efcd42fa6f98489.html</t>
        </is>
      </c>
      <c r="K292" s="29" t="inlineStr">
        <is>
          <t>b21503e53cf9d9c8035dae7b4b66ba054682d3a6d41f34d08efcd42fa6f98489</t>
        </is>
      </c>
    </row>
    <row r="293" ht="54" customHeight="1">
      <c r="A293" s="29" t="inlineStr">
        <is>
          <t>eindhoven:kaynak:291</t>
        </is>
      </c>
      <c r="B293" s="29" t="inlineStr">
        <is>
          <t>eindhoven</t>
        </is>
      </c>
      <c r="C293" s="29" t="inlineStr">
        <is>
          <t>Sportpark Strijp | Eindhoven Sport</t>
        </is>
      </c>
      <c r="D293" s="29" t="inlineStr">
        <is>
          <t>www.eindhovensport.nl</t>
        </is>
      </c>
      <c r="E293" s="29" t="inlineStr">
        <is>
          <t>https://www.eindhovensport.nl/sportaccommodatie-huren/sportpark-strijp</t>
        </is>
      </c>
      <c r="F293" s="49" t="n">
        <v>46317</v>
      </c>
      <c r="G293" s="29" t="inlineStr">
        <is>
          <t>eindhoven:kesif</t>
        </is>
      </c>
      <c r="H293" s="29" t="inlineStr">
        <is>
          <t>Sportpark Strijp (Spor)</t>
        </is>
      </c>
      <c r="I293" s="29" t="inlineStr">
        <is>
          <t>Evet</t>
        </is>
      </c>
      <c r="J293" s="29" t="inlineStr">
        <is>
          <t>Lisans kanıtları/kaynaklar/a0ad37b562a26d7ee59cf0b3df059c36492ddfc9a5bfb934bf4ece63a8a4cf13.html</t>
        </is>
      </c>
      <c r="K293" s="29" t="inlineStr">
        <is>
          <t>a0ad37b562a26d7ee59cf0b3df059c36492ddfc9a5bfb934bf4ece63a8a4cf13</t>
        </is>
      </c>
    </row>
    <row r="294" ht="54" customHeight="1">
      <c r="A294" s="29" t="inlineStr">
        <is>
          <t>eindhoven:kaynak:292</t>
        </is>
      </c>
      <c r="B294" s="29" t="inlineStr">
        <is>
          <t>eindhoven</t>
        </is>
      </c>
      <c r="C294" s="29" t="inlineStr">
        <is>
          <t>Jan Louwers Stadion - FC Eindhoven</t>
        </is>
      </c>
      <c r="D294" s="29" t="inlineStr">
        <is>
          <t>www.fc-eindhoven.nl</t>
        </is>
      </c>
      <c r="E294" s="29" t="inlineStr">
        <is>
          <t>https://www.fc-eindhoven.nl/jan-louwers-stadion/</t>
        </is>
      </c>
      <c r="F294" s="49" t="n">
        <v>46317</v>
      </c>
      <c r="G294" s="29" t="inlineStr">
        <is>
          <t>eindhoven:kesif</t>
        </is>
      </c>
      <c r="H294" s="29" t="inlineStr">
        <is>
          <t>Jan Louwers Stadion (Spor)</t>
        </is>
      </c>
      <c r="I294" s="29" t="inlineStr">
        <is>
          <t>Evet</t>
        </is>
      </c>
      <c r="J294" s="29" t="inlineStr">
        <is>
          <t>Lisans kanıtları/kaynaklar/291b62ae4741d96fd517a2428d0a49eb53f400399e84af3db96d6e8537662e8b.html</t>
        </is>
      </c>
      <c r="K294" s="29" t="inlineStr">
        <is>
          <t>291b62ae4741d96fd517a2428d0a49eb53f400399e84af3db96d6e8537662e8b</t>
        </is>
      </c>
    </row>
    <row r="295" ht="54" customHeight="1">
      <c r="A295" s="29" t="inlineStr">
        <is>
          <t>eindhoven:kaynak:293</t>
        </is>
      </c>
      <c r="B295" s="29" t="inlineStr">
        <is>
          <t>eindhoven</t>
        </is>
      </c>
      <c r="C295" s="29" t="inlineStr">
        <is>
          <t>Klimcentrum Neoliet Eindhoven-Zuid | This is Eindhoven</t>
        </is>
      </c>
      <c r="D295" s="29" t="inlineStr">
        <is>
          <t>www.thisiseindhoven.com</t>
        </is>
      </c>
      <c r="E295" s="29" t="inlineStr">
        <is>
          <t>https://www.thisiseindhoven.com/en/locations/klimcentrum-neoliet-eindhoven-zuid</t>
        </is>
      </c>
      <c r="F295" s="49" t="n">
        <v>46317</v>
      </c>
      <c r="G295" s="29" t="inlineStr">
        <is>
          <t>eindhoven:kesif</t>
        </is>
      </c>
      <c r="H295" s="29" t="inlineStr">
        <is>
          <t>Klimcentrum Neoliet Eindhoven-Zuid (Spor)</t>
        </is>
      </c>
      <c r="I295" s="29" t="inlineStr">
        <is>
          <t>Evet</t>
        </is>
      </c>
      <c r="J295" s="29" t="inlineStr">
        <is>
          <t>Lisans kanıtları/kaynaklar/7350aafd83ad5423a8f4782b0f9f65e470afd8dc76aa30d2798b24d0b19a2016.html</t>
        </is>
      </c>
      <c r="K295" s="29" t="inlineStr">
        <is>
          <t>7350aafd83ad5423a8f4782b0f9f65e470afd8dc76aa30d2798b24d0b19a2016</t>
        </is>
      </c>
    </row>
    <row r="296" ht="54" customHeight="1">
      <c r="A296" s="29" t="inlineStr">
        <is>
          <t>eindhoven:kaynak:294</t>
        </is>
      </c>
      <c r="B296" s="29" t="inlineStr">
        <is>
          <t>eindhoven</t>
        </is>
      </c>
      <c r="C296" s="29" t="inlineStr">
        <is>
          <t>Locatie, ligging, parkeren, waar vind je ons? - Monk Eindhoven | Monk.nl</t>
        </is>
      </c>
      <c r="D296" s="29" t="inlineStr">
        <is>
          <t>monk.nl</t>
        </is>
      </c>
      <c r="E296" s="29" t="inlineStr">
        <is>
          <t>https://monk.nl/eindhoven/contact/</t>
        </is>
      </c>
      <c r="F296" s="49" t="n">
        <v>46317</v>
      </c>
      <c r="G296" s="29" t="inlineStr">
        <is>
          <t>eindhoven:kesif</t>
        </is>
      </c>
      <c r="H296" s="29" t="inlineStr">
        <is>
          <t>Monk Bouldergym (Spor)</t>
        </is>
      </c>
      <c r="I296" s="29" t="inlineStr">
        <is>
          <t>Evet</t>
        </is>
      </c>
      <c r="J296" s="29" t="inlineStr">
        <is>
          <t>Lisans kanıtları/kaynaklar/bf87f074cc3db7c213250834e48d30b40e583729ef8cd6737f735932ce50ec28.html</t>
        </is>
      </c>
      <c r="K296" s="29" t="inlineStr">
        <is>
          <t>bf87f074cc3db7c213250834e48d30b40e583729ef8cd6737f735932ce50ec28</t>
        </is>
      </c>
    </row>
    <row r="297" ht="54" customHeight="1">
      <c r="A297" s="29" t="inlineStr">
        <is>
          <t>eindhoven:kaynak:295</t>
        </is>
      </c>
      <c r="B297" s="29" t="inlineStr">
        <is>
          <t>eindhoven</t>
        </is>
      </c>
      <c r="C297" s="29" t="inlineStr">
        <is>
          <t>Happy Canoe | This is Eindhoven</t>
        </is>
      </c>
      <c r="D297" s="29" t="inlineStr">
        <is>
          <t>www.thisiseindhoven.com</t>
        </is>
      </c>
      <c r="E297" s="29" t="inlineStr">
        <is>
          <t>https://www.thisiseindhoven.com/en/locations/happy-canoe</t>
        </is>
      </c>
      <c r="F297" s="49" t="n">
        <v>46317</v>
      </c>
      <c r="G297" s="29" t="inlineStr">
        <is>
          <t>eindhoven:kesif</t>
        </is>
      </c>
      <c r="H297" s="29" t="inlineStr">
        <is>
          <t>Happy Canoe (Spor)</t>
        </is>
      </c>
      <c r="I297" s="29" t="inlineStr">
        <is>
          <t>Evet</t>
        </is>
      </c>
      <c r="J297" s="29" t="inlineStr">
        <is>
          <t>Lisans kanıtları/kaynaklar/9ca5aa33fc1695bf1a539a526890e26e42543570cddbedd75e56814d272f2c0a.html</t>
        </is>
      </c>
      <c r="K297" s="29" t="inlineStr">
        <is>
          <t>9ca5aa33fc1695bf1a539a526890e26e42543570cddbedd75e56814d272f2c0a</t>
        </is>
      </c>
    </row>
    <row r="298" ht="54" customHeight="1">
      <c r="A298" s="29" t="inlineStr">
        <is>
          <t>eindhoven:kaynak:296</t>
        </is>
      </c>
      <c r="B298" s="29" t="inlineStr">
        <is>
          <t>eindhoven</t>
        </is>
      </c>
      <c r="C298" s="29" t="inlineStr">
        <is>
          <t>Eindhoven Atletiek sportclub Atletiektraining Jeugdatletiek Eindhoven</t>
        </is>
      </c>
      <c r="D298" s="29" t="inlineStr">
        <is>
          <t>eindhovenatletiek.nl</t>
        </is>
      </c>
      <c r="E298" s="29" t="inlineStr">
        <is>
          <t>https://eindhovenatletiek.nl/clubinfo/</t>
        </is>
      </c>
      <c r="F298" s="49" t="n">
        <v>46317</v>
      </c>
      <c r="G298" s="29" t="inlineStr">
        <is>
          <t>eindhoven:kesif</t>
        </is>
      </c>
      <c r="H298" s="29" t="inlineStr">
        <is>
          <t>Eindhoven Atletiek (Spor)</t>
        </is>
      </c>
      <c r="I298" s="29" t="inlineStr">
        <is>
          <t>Evet</t>
        </is>
      </c>
      <c r="J298" s="29" t="inlineStr">
        <is>
          <t>Lisans kanıtları/kaynaklar/8093c7694bc7acb68dbee37e0595d2b1feba6cd880f2ead9c9890dc07741f152.html</t>
        </is>
      </c>
      <c r="K298" s="29" t="inlineStr">
        <is>
          <t>8093c7694bc7acb68dbee37e0595d2b1feba6cd880f2ead9c9890dc07741f152</t>
        </is>
      </c>
    </row>
    <row r="299" ht="54" customHeight="1">
      <c r="A299" s="29" t="inlineStr">
        <is>
          <t>eindhoven:kaynak:297</t>
        </is>
      </c>
      <c r="B299" s="29" t="inlineStr">
        <is>
          <t>eindhoven</t>
        </is>
      </c>
      <c r="C299" s="29" t="inlineStr">
        <is>
          <t>Stadswandelpark | This is Eindhoven</t>
        </is>
      </c>
      <c r="D299" s="29" t="inlineStr">
        <is>
          <t>www.thisiseindhoven.com</t>
        </is>
      </c>
      <c r="E299" s="29" t="inlineStr">
        <is>
          <t>https://www.thisiseindhoven.com/en/locations/stadswandelpark</t>
        </is>
      </c>
      <c r="F299" s="49" t="n">
        <v>46317</v>
      </c>
      <c r="G299" s="29" t="inlineStr">
        <is>
          <t>eindhoven:kesif</t>
        </is>
      </c>
      <c r="H299" s="29" t="inlineStr">
        <is>
          <t>Stadswandelpark (Doğa ve açık hava)</t>
        </is>
      </c>
      <c r="I299" s="29" t="inlineStr">
        <is>
          <t>Evet</t>
        </is>
      </c>
      <c r="J299" s="29" t="inlineStr">
        <is>
          <t>Lisans kanıtları/kaynaklar/eb054e7d7ffd482d2a57587f233b104ea048d3833fa1cdf791cf6052a7912bba.html</t>
        </is>
      </c>
      <c r="K299" s="29" t="inlineStr">
        <is>
          <t>eb054e7d7ffd482d2a57587f233b104ea048d3833fa1cdf791cf6052a7912bba</t>
        </is>
      </c>
    </row>
    <row r="300" ht="54" customHeight="1">
      <c r="A300" s="29" t="inlineStr">
        <is>
          <t>eindhoven:kaynak:298</t>
        </is>
      </c>
      <c r="B300" s="29" t="inlineStr">
        <is>
          <t>eindhoven</t>
        </is>
      </c>
      <c r="C300" s="29" t="inlineStr">
        <is>
          <t>Philips de Jongh Wandelpark | This is Eindhoven</t>
        </is>
      </c>
      <c r="D300" s="29" t="inlineStr">
        <is>
          <t>www.thisiseindhoven.com</t>
        </is>
      </c>
      <c r="E300" s="29" t="inlineStr">
        <is>
          <t>https://www.thisiseindhoven.com/en/locations/philips-de-jongh-wandelpark</t>
        </is>
      </c>
      <c r="F300" s="49" t="n">
        <v>46317</v>
      </c>
      <c r="G300" s="29" t="inlineStr">
        <is>
          <t>eindhoven:kesif</t>
        </is>
      </c>
      <c r="H300" s="29" t="inlineStr">
        <is>
          <t>Philips de Jongh Wandelpark (Doğa ve açık hava)</t>
        </is>
      </c>
      <c r="I300" s="29" t="inlineStr">
        <is>
          <t>Evet</t>
        </is>
      </c>
      <c r="J300" s="29" t="inlineStr">
        <is>
          <t>Lisans kanıtları/kaynaklar/63b7df3af3ccb951f067bd14596f24d850163242e9be5f2f3a519e869129ba7a.html</t>
        </is>
      </c>
      <c r="K300" s="29" t="inlineStr">
        <is>
          <t>63b7df3af3ccb951f067bd14596f24d850163242e9be5f2f3a519e869129ba7a</t>
        </is>
      </c>
    </row>
    <row r="301" ht="54" customHeight="1">
      <c r="A301" s="29" t="inlineStr">
        <is>
          <t>eindhoven:kaynak:299</t>
        </is>
      </c>
      <c r="B301" s="29" t="inlineStr">
        <is>
          <t>eindhoven</t>
        </is>
      </c>
      <c r="C301" s="29" t="inlineStr">
        <is>
          <t>Philips van Lenneppark | This is Eindhoven</t>
        </is>
      </c>
      <c r="D301" s="29" t="inlineStr">
        <is>
          <t>www.thisiseindhoven.com</t>
        </is>
      </c>
      <c r="E301" s="29" t="inlineStr">
        <is>
          <t>https://www.thisiseindhoven.com/en/locations/philips-van-lenneppark</t>
        </is>
      </c>
      <c r="F301" s="49" t="n">
        <v>46317</v>
      </c>
      <c r="G301" s="29" t="inlineStr">
        <is>
          <t>eindhoven:kesif</t>
        </is>
      </c>
      <c r="H301" s="29" t="inlineStr">
        <is>
          <t>Philips van Lenneppark (Doğa ve açık hava)</t>
        </is>
      </c>
      <c r="I301" s="29" t="inlineStr">
        <is>
          <t>Evet</t>
        </is>
      </c>
      <c r="J301" s="29" t="inlineStr">
        <is>
          <t>Lisans kanıtları/kaynaklar/1013d14697785e07d1915a337429a0a3a701306f13c0012a8f1d95b304740d27.html</t>
        </is>
      </c>
      <c r="K301" s="29" t="inlineStr">
        <is>
          <t>1013d14697785e07d1915a337429a0a3a701306f13c0012a8f1d95b304740d27</t>
        </is>
      </c>
    </row>
    <row r="302" ht="54" customHeight="1">
      <c r="A302" s="29" t="inlineStr">
        <is>
          <t>eindhoven:kaynak:300</t>
        </is>
      </c>
      <c r="B302" s="29" t="inlineStr">
        <is>
          <t>eindhoven</t>
        </is>
      </c>
      <c r="C302" s="29" t="inlineStr">
        <is>
          <t>Henri Dunantpark | This is Eindhoven</t>
        </is>
      </c>
      <c r="D302" s="29" t="inlineStr">
        <is>
          <t>www.thisiseindhoven.com</t>
        </is>
      </c>
      <c r="E302" s="29" t="inlineStr">
        <is>
          <t>https://www.thisiseindhoven.com/en/locations/henri-dunantpark</t>
        </is>
      </c>
      <c r="F302" s="49" t="n">
        <v>46317</v>
      </c>
      <c r="G302" s="29" t="inlineStr">
        <is>
          <t>eindhoven:kesif</t>
        </is>
      </c>
      <c r="H302" s="29" t="inlineStr">
        <is>
          <t>Henri Dunantpark (Doğa ve açık hava)</t>
        </is>
      </c>
      <c r="I302" s="29" t="inlineStr">
        <is>
          <t>Evet</t>
        </is>
      </c>
      <c r="J302" s="29" t="inlineStr">
        <is>
          <t>Lisans kanıtları/kaynaklar/3b767147e419a15de38cd5208591ebba3afce2eb715458adf70c861b00f4975e.html</t>
        </is>
      </c>
      <c r="K302" s="29" t="inlineStr">
        <is>
          <t>3b767147e419a15de38cd5208591ebba3afce2eb715458adf70c861b00f4975e</t>
        </is>
      </c>
    </row>
    <row r="303" ht="54" customHeight="1">
      <c r="A303" s="29" t="inlineStr">
        <is>
          <t>eindhoven:kaynak:301</t>
        </is>
      </c>
      <c r="B303" s="29" t="inlineStr">
        <is>
          <t>eindhoven</t>
        </is>
      </c>
      <c r="C303" s="29" t="inlineStr">
        <is>
          <t>Landgoed de Wielewaal | OpenEindhoven</t>
        </is>
      </c>
      <c r="D303" s="29" t="inlineStr">
        <is>
          <t>www.openeindhoven.nl</t>
        </is>
      </c>
      <c r="E303" s="29" t="inlineStr">
        <is>
          <t>https://www.openeindhoven.nl/projecten/strijp/eindhoven-noordwest/landgoed-de-wielewaal</t>
        </is>
      </c>
      <c r="F303" s="49" t="n">
        <v>46317</v>
      </c>
      <c r="G303" s="29" t="inlineStr">
        <is>
          <t>eindhoven:kesif</t>
        </is>
      </c>
      <c r="H303" s="29" t="inlineStr">
        <is>
          <t>Landgoed De Wielewaal (Doğa ve açık hava)</t>
        </is>
      </c>
      <c r="I303" s="29" t="inlineStr">
        <is>
          <t>Evet</t>
        </is>
      </c>
      <c r="J303" s="29" t="inlineStr">
        <is>
          <t>Lisans kanıtları/kaynaklar/109798fe44bd2b2a9c4858384bec6bafc8212f6f1b7da2a5d4a466450a9b6749.html</t>
        </is>
      </c>
      <c r="K303" s="29" t="inlineStr">
        <is>
          <t>109798fe44bd2b2a9c4858384bec6bafc8212f6f1b7da2a5d4a466450a9b6749</t>
        </is>
      </c>
    </row>
    <row r="304" ht="54" customHeight="1">
      <c r="A304" s="29" t="inlineStr">
        <is>
          <t>eindhoven:kaynak:302</t>
        </is>
      </c>
      <c r="B304" s="29" t="inlineStr">
        <is>
          <t>eindhoven</t>
        </is>
      </c>
      <c r="C304" s="29" t="inlineStr">
        <is>
          <t>Contact - Wasven.nl - Groendomein in Eindhoven</t>
        </is>
      </c>
      <c r="D304" s="29" t="inlineStr">
        <is>
          <t>wasven.nl</t>
        </is>
      </c>
      <c r="E304" s="29" t="inlineStr">
        <is>
          <t>https://wasven.nl/contact/</t>
        </is>
      </c>
      <c r="F304" s="49" t="n">
        <v>46317</v>
      </c>
      <c r="G304" s="29" t="inlineStr">
        <is>
          <t>eindhoven:kesif</t>
        </is>
      </c>
      <c r="H304" s="29" t="inlineStr">
        <is>
          <t>Wasven (Doğa ve açık hava)</t>
        </is>
      </c>
      <c r="I304" s="29" t="inlineStr">
        <is>
          <t>Evet</t>
        </is>
      </c>
      <c r="J304" s="29" t="inlineStr">
        <is>
          <t>Lisans kanıtları/kaynaklar/b7bb18b4fa712205122d5cb7976d61b6c750ad2d0ce0cda08474ea48e34cadb2.html</t>
        </is>
      </c>
      <c r="K304" s="29" t="inlineStr">
        <is>
          <t>b7bb18b4fa712205122d5cb7976d61b6c750ad2d0ce0cda08474ea48e34cadb2</t>
        </is>
      </c>
    </row>
    <row r="305" ht="54" customHeight="1">
      <c r="A305" s="29" t="inlineStr">
        <is>
          <t>eindhoven:kaynak:303</t>
        </is>
      </c>
      <c r="B305" s="29" t="inlineStr">
        <is>
          <t>eindhoven</t>
        </is>
      </c>
      <c r="C305" s="29" t="inlineStr">
        <is>
          <t>Praktische info - De Ontdekfabriek</t>
        </is>
      </c>
      <c r="D305" s="29" t="inlineStr">
        <is>
          <t>deontdekfabriek.nl</t>
        </is>
      </c>
      <c r="E305" s="29" t="inlineStr">
        <is>
          <t>https://deontdekfabriek.nl/praktische-info/</t>
        </is>
      </c>
      <c r="F305" s="49" t="n">
        <v>46317</v>
      </c>
      <c r="G305" s="29" t="inlineStr">
        <is>
          <t>eindhoven:kesif</t>
        </is>
      </c>
      <c r="H305" s="29" t="inlineStr">
        <is>
          <t>De Ontdekfabriek (Çocuklarla keşif)</t>
        </is>
      </c>
      <c r="I305" s="29" t="inlineStr">
        <is>
          <t>Evet</t>
        </is>
      </c>
      <c r="J305" s="29" t="inlineStr">
        <is>
          <t>Lisans kanıtları/kaynaklar/01ac817453823404bb1c4bd00dcafe04c2ab9a1bcbe1680d16bbb164b1c83bfb.html</t>
        </is>
      </c>
      <c r="K305" s="29" t="inlineStr">
        <is>
          <t>01ac817453823404bb1c4bd00dcafe04c2ab9a1bcbe1680d16bbb164b1c83bfb</t>
        </is>
      </c>
    </row>
    <row r="306" ht="54" customHeight="1">
      <c r="A306" s="29" t="inlineStr">
        <is>
          <t>eindhoven:kaynak:304</t>
        </is>
      </c>
      <c r="B306" s="29" t="inlineStr">
        <is>
          <t>eindhoven</t>
        </is>
      </c>
      <c r="C306" s="29" t="inlineStr">
        <is>
          <t>Playground De Splinter | This is Eindhoven</t>
        </is>
      </c>
      <c r="D306" s="29" t="inlineStr">
        <is>
          <t>www.thisiseindhoven.com</t>
        </is>
      </c>
      <c r="E306" s="29" t="inlineStr">
        <is>
          <t>https://www.thisiseindhoven.com/en/locations/speelpark-de-splinter</t>
        </is>
      </c>
      <c r="F306" s="49" t="n">
        <v>46317</v>
      </c>
      <c r="G306" s="29" t="inlineStr">
        <is>
          <t>eindhoven:kesif</t>
        </is>
      </c>
      <c r="H306" s="29" t="inlineStr">
        <is>
          <t>Speelpark De Splinter (Çocuklarla keşif)</t>
        </is>
      </c>
      <c r="I306" s="29" t="inlineStr">
        <is>
          <t>Evet</t>
        </is>
      </c>
      <c r="J306" s="29" t="inlineStr">
        <is>
          <t>Lisans kanıtları/kaynaklar/435e6c4960464f075255cc47a98321f6d4cf4fbf8f421181c6afb6514291d838.html</t>
        </is>
      </c>
      <c r="K306" s="29" t="inlineStr">
        <is>
          <t>435e6c4960464f075255cc47a98321f6d4cf4fbf8f421181c6afb6514291d838</t>
        </is>
      </c>
    </row>
    <row r="307" ht="54" customHeight="1">
      <c r="A307" s="29" t="inlineStr">
        <is>
          <t>eindhoven:kaynak:305</t>
        </is>
      </c>
      <c r="B307" s="29" t="inlineStr">
        <is>
          <t>eindhoven</t>
        </is>
      </c>
      <c r="C307" s="29" t="inlineStr">
        <is>
          <t>Genneper Hoeve | This is Eindhoven</t>
        </is>
      </c>
      <c r="D307" s="29" t="inlineStr">
        <is>
          <t>www.thisiseindhoven.com</t>
        </is>
      </c>
      <c r="E307" s="29" t="inlineStr">
        <is>
          <t>https://www.thisiseindhoven.com/en/locations/genneper-hoeve</t>
        </is>
      </c>
      <c r="F307" s="49" t="n">
        <v>46317</v>
      </c>
      <c r="G307" s="29" t="inlineStr">
        <is>
          <t>eindhoven:kesif</t>
        </is>
      </c>
      <c r="H307" s="29" t="inlineStr">
        <is>
          <t>Genneper Hoeve (Çocuklarla keşif)</t>
        </is>
      </c>
      <c r="I307" s="29" t="inlineStr">
        <is>
          <t>Evet</t>
        </is>
      </c>
      <c r="J307" s="29" t="inlineStr">
        <is>
          <t>Lisans kanıtları/kaynaklar/476efc34e324d44a7694e35b71560f17f1db0e445f15f539fab17629d02b5505.html</t>
        </is>
      </c>
      <c r="K307" s="29" t="inlineStr">
        <is>
          <t>476efc34e324d44a7694e35b71560f17f1db0e445f15f539fab17629d02b5505</t>
        </is>
      </c>
    </row>
    <row r="308" ht="54" customHeight="1">
      <c r="A308" s="29" t="inlineStr">
        <is>
          <t>eindhoven:kaynak:306</t>
        </is>
      </c>
      <c r="B308" s="29" t="inlineStr">
        <is>
          <t>eindhoven</t>
        </is>
      </c>
      <c r="C308" s="29" t="inlineStr">
        <is>
          <t>Eigen Wijs Boerderij | This is Eindhoven</t>
        </is>
      </c>
      <c r="D308" s="29" t="inlineStr">
        <is>
          <t>www.thisiseindhoven.com</t>
        </is>
      </c>
      <c r="E308" s="29" t="inlineStr">
        <is>
          <t>https://www.thisiseindhoven.com/en/locations/kinderboerderij-philips-van-lenneppark</t>
        </is>
      </c>
      <c r="F308" s="49" t="n">
        <v>46317</v>
      </c>
      <c r="G308" s="29" t="inlineStr">
        <is>
          <t>eindhoven:kesif</t>
        </is>
      </c>
      <c r="H308" s="29" t="inlineStr">
        <is>
          <t>Eigen Wijs Boerderij (Çocuklarla keşif)</t>
        </is>
      </c>
      <c r="I308" s="29" t="inlineStr">
        <is>
          <t>Evet</t>
        </is>
      </c>
      <c r="J308" s="29" t="inlineStr">
        <is>
          <t>Lisans kanıtları/kaynaklar/522bf8b6f629b7e7439f9f46c761b5231b6ac849d235190d72da8bd7a23b8fb9.html</t>
        </is>
      </c>
      <c r="K308" s="29" t="inlineStr">
        <is>
          <t>522bf8b6f629b7e7439f9f46c761b5231b6ac849d235190d72da8bd7a23b8fb9</t>
        </is>
      </c>
    </row>
    <row r="309" ht="54" customHeight="1">
      <c r="A309" s="29" t="inlineStr">
        <is>
          <t>eindhoven:kaynak:307</t>
        </is>
      </c>
      <c r="B309" s="29" t="inlineStr">
        <is>
          <t>eindhoven</t>
        </is>
      </c>
      <c r="C309" s="29" t="inlineStr">
        <is>
          <t>Speeltuin Wasvenboerderij | This is Eindhoven</t>
        </is>
      </c>
      <c r="D309" s="29" t="inlineStr">
        <is>
          <t>www.thisiseindhoven.com</t>
        </is>
      </c>
      <c r="E309" s="29" t="inlineStr">
        <is>
          <t>https://www.thisiseindhoven.com/en/locations/speeltuin-wasvenboerderij</t>
        </is>
      </c>
      <c r="F309" s="49" t="n">
        <v>46317</v>
      </c>
      <c r="G309" s="29" t="inlineStr">
        <is>
          <t>eindhoven:kesif</t>
        </is>
      </c>
      <c r="H309" s="29" t="inlineStr">
        <is>
          <t>Wasvenboerderij &amp; Speeltuin (Çocuklarla keşif)</t>
        </is>
      </c>
      <c r="I309" s="29" t="inlineStr">
        <is>
          <t>Evet</t>
        </is>
      </c>
      <c r="J309" s="29" t="inlineStr">
        <is>
          <t>Lisans kanıtları/kaynaklar/48c98860981b044a1f2fad40bd3c910fae2dd84af41ea2ec0b35bd25f78d962e.html</t>
        </is>
      </c>
      <c r="K309" s="29" t="inlineStr">
        <is>
          <t>48c98860981b044a1f2fad40bd3c910fae2dd84af41ea2ec0b35bd25f78d962e</t>
        </is>
      </c>
    </row>
    <row r="310" ht="54" customHeight="1">
      <c r="A310" s="29" t="inlineStr">
        <is>
          <t>eindhoven:kaynak:308</t>
        </is>
      </c>
      <c r="B310" s="29" t="inlineStr">
        <is>
          <t>eindhoven</t>
        </is>
      </c>
      <c r="C310" s="29" t="inlineStr">
        <is>
          <t>Contact - Speeltuinvereniging Philipsdorp</t>
        </is>
      </c>
      <c r="D310" s="29" t="inlineStr">
        <is>
          <t>www.speeltuinphilipsdorp.nl</t>
        </is>
      </c>
      <c r="E310" s="29" t="inlineStr">
        <is>
          <t>https://www.speeltuinphilipsdorp.nl/contact</t>
        </is>
      </c>
      <c r="F310" s="49" t="n">
        <v>46317</v>
      </c>
      <c r="G310" s="29" t="inlineStr">
        <is>
          <t>eindhoven:kesif</t>
        </is>
      </c>
      <c r="H310" s="29" t="inlineStr">
        <is>
          <t>Speeltuin Philipsdorp (Çocuklarla keşif)</t>
        </is>
      </c>
      <c r="I310" s="29" t="inlineStr">
        <is>
          <t>Evet</t>
        </is>
      </c>
      <c r="J310" s="29" t="inlineStr">
        <is>
          <t>Lisans kanıtları/kaynaklar/208d51ca146b3196248598c50d4de52a71e252852bb3987eebad316871cd489f.html</t>
        </is>
      </c>
      <c r="K310" s="29" t="inlineStr">
        <is>
          <t>208d51ca146b3196248598c50d4de52a71e252852bb3987eebad316871cd489f</t>
        </is>
      </c>
    </row>
    <row r="311" ht="54" customHeight="1">
      <c r="A311" s="29" t="inlineStr">
        <is>
          <t>eindhoven:kaynak:309</t>
        </is>
      </c>
      <c r="B311" s="29" t="inlineStr">
        <is>
          <t>eindhoven</t>
        </is>
      </c>
      <c r="C311" s="29" t="inlineStr">
        <is>
          <t>Sint Joseph Playground | This is Eindhoven</t>
        </is>
      </c>
      <c r="D311" s="29" t="inlineStr">
        <is>
          <t>www.thisiseindhoven.com</t>
        </is>
      </c>
      <c r="E311" s="29" t="inlineStr">
        <is>
          <t>https://www.thisiseindhoven.com/en/locations/sint-joseph-speeltuin</t>
        </is>
      </c>
      <c r="F311" s="49" t="n">
        <v>46317</v>
      </c>
      <c r="G311" s="29" t="inlineStr">
        <is>
          <t>eindhoven:kesif</t>
        </is>
      </c>
      <c r="H311" s="29" t="inlineStr">
        <is>
          <t>Sint Joseph Speeltuin (Çocuklarla keşif)</t>
        </is>
      </c>
      <c r="I311" s="29" t="inlineStr">
        <is>
          <t>Evet</t>
        </is>
      </c>
      <c r="J311" s="29" t="inlineStr">
        <is>
          <t>Lisans kanıtları/kaynaklar/19b3da34b9e9c501454b4e194a28a7168480bcb951257fd09bc86c3c08160bc7.html</t>
        </is>
      </c>
      <c r="K311" s="29" t="inlineStr">
        <is>
          <t>19b3da34b9e9c501454b4e194a28a7168480bcb951257fd09bc86c3c08160bc7</t>
        </is>
      </c>
    </row>
    <row r="312" ht="54" customHeight="1">
      <c r="A312" s="29" t="inlineStr">
        <is>
          <t>eindhoven:kaynak:310</t>
        </is>
      </c>
      <c r="B312" s="29" t="inlineStr">
        <is>
          <t>eindhoven</t>
        </is>
      </c>
      <c r="C312" s="29" t="inlineStr">
        <is>
          <t>Speeltuin VOJ | This is Eindhoven</t>
        </is>
      </c>
      <c r="D312" s="29" t="inlineStr">
        <is>
          <t>www.thisiseindhoven.com</t>
        </is>
      </c>
      <c r="E312" s="29" t="inlineStr">
        <is>
          <t>https://www.thisiseindhoven.com/en/locations/speeltuin-voj</t>
        </is>
      </c>
      <c r="F312" s="49" t="n">
        <v>46317</v>
      </c>
      <c r="G312" s="29" t="inlineStr">
        <is>
          <t>eindhoven:kesif</t>
        </is>
      </c>
      <c r="H312" s="29" t="inlineStr">
        <is>
          <t>Speeltuin VOJ (Çocuklarla keşif)</t>
        </is>
      </c>
      <c r="I312" s="29" t="inlineStr">
        <is>
          <t>Evet</t>
        </is>
      </c>
      <c r="J312" s="29" t="inlineStr">
        <is>
          <t>Lisans kanıtları/kaynaklar/d6d584b4a7e5976127c0d6e7fb738ae69b3ab2e3692731a94fb91a69c34e68fe.html</t>
        </is>
      </c>
      <c r="K312" s="29" t="inlineStr">
        <is>
          <t>d6d584b4a7e5976127c0d6e7fb738ae69b3ab2e3692731a94fb91a69c34e68fe</t>
        </is>
      </c>
    </row>
    <row r="313" ht="54" customHeight="1">
      <c r="A313" s="29" t="inlineStr">
        <is>
          <t>eindhoven:kaynak:311</t>
        </is>
      </c>
      <c r="B313" s="29" t="inlineStr">
        <is>
          <t>eindhoven</t>
        </is>
      </c>
      <c r="C313" s="29" t="inlineStr">
        <is>
          <t>Contact</t>
        </is>
      </c>
      <c r="D313" s="29" t="inlineStr">
        <is>
          <t>philipsfruittuin.nl</t>
        </is>
      </c>
      <c r="E313" s="29" t="inlineStr">
        <is>
          <t>https://philipsfruittuin.nl/openingstijden-alg</t>
        </is>
      </c>
      <c r="F313" s="49" t="n">
        <v>46317</v>
      </c>
      <c r="G313" s="29" t="inlineStr">
        <is>
          <t>eindhoven:kesif</t>
        </is>
      </c>
      <c r="H313" s="29" t="inlineStr">
        <is>
          <t>Philips Fruittuin (Çocuklarla keşif)</t>
        </is>
      </c>
      <c r="I313" s="29" t="inlineStr">
        <is>
          <t>Evet</t>
        </is>
      </c>
      <c r="J313" s="29" t="inlineStr">
        <is>
          <t>Lisans kanıtları/kaynaklar/97747bbd5588c7c4823533e3edb440ff14c3aef2cda74406ccd96fe066685c6e.html</t>
        </is>
      </c>
      <c r="K313" s="29" t="inlineStr">
        <is>
          <t>97747bbd5588c7c4823533e3edb440ff14c3aef2cda74406ccd96fe066685c6e</t>
        </is>
      </c>
    </row>
    <row r="314" ht="54" customHeight="1">
      <c r="A314" s="29" t="inlineStr">
        <is>
          <t>eindhoven:kaynak:312</t>
        </is>
      </c>
      <c r="B314" s="29" t="inlineStr">
        <is>
          <t>eindhoven</t>
        </is>
      </c>
      <c r="C314" s="29" t="inlineStr">
        <is>
          <t>Monkey Town | This is Eindhoven</t>
        </is>
      </c>
      <c r="D314" s="29" t="inlineStr">
        <is>
          <t>www.thisiseindhoven.com</t>
        </is>
      </c>
      <c r="E314" s="29" t="inlineStr">
        <is>
          <t>https://www.thisiseindhoven.com/en/locations/monkey-town</t>
        </is>
      </c>
      <c r="F314" s="49" t="n">
        <v>46317</v>
      </c>
      <c r="G314" s="29" t="inlineStr">
        <is>
          <t>eindhoven:kesif</t>
        </is>
      </c>
      <c r="H314" s="29" t="inlineStr">
        <is>
          <t>Monkey Town (Çocuklarla keşif)</t>
        </is>
      </c>
      <c r="I314" s="29" t="inlineStr">
        <is>
          <t>Evet</t>
        </is>
      </c>
      <c r="J314" s="29" t="inlineStr">
        <is>
          <t>Lisans kanıtları/kaynaklar/011b4257da46d7858d0668691a9eade53998dfdd2877b60fee55e60a9efc5b11.html</t>
        </is>
      </c>
      <c r="K314" s="29" t="inlineStr">
        <is>
          <t>011b4257da46d7858d0668691a9eade53998dfdd2877b60fee55e60a9efc5b11</t>
        </is>
      </c>
    </row>
    <row r="315" ht="54" customHeight="1">
      <c r="A315" s="29" t="inlineStr">
        <is>
          <t>eindhoven:kaynak:313</t>
        </is>
      </c>
      <c r="B315" s="29" t="inlineStr">
        <is>
          <t>eindhoven</t>
        </is>
      </c>
      <c r="C315" s="29" t="inlineStr">
        <is>
          <t>Bounce Valley Eindhoven | This is Eindhoven</t>
        </is>
      </c>
      <c r="D315" s="29" t="inlineStr">
        <is>
          <t>www.thisiseindhoven.com</t>
        </is>
      </c>
      <c r="E315" s="29" t="inlineStr">
        <is>
          <t>https://www.thisiseindhoven.com/en/locations/bounce-valley-eindhoven</t>
        </is>
      </c>
      <c r="F315" s="49" t="n">
        <v>46317</v>
      </c>
      <c r="G315" s="29" t="inlineStr">
        <is>
          <t>eindhoven:kesif</t>
        </is>
      </c>
      <c r="H315" s="29" t="inlineStr">
        <is>
          <t>Bounce Valley (Çocuklarla keşif)</t>
        </is>
      </c>
      <c r="I315" s="29" t="inlineStr">
        <is>
          <t>Evet</t>
        </is>
      </c>
      <c r="J315" s="29" t="inlineStr">
        <is>
          <t>Lisans kanıtları/kaynaklar/98339c3badcae8f12188559cb2bf4decbe9bc3610933affaf241a4f03c6cbb03.html</t>
        </is>
      </c>
      <c r="K315" s="29" t="inlineStr">
        <is>
          <t>98339c3badcae8f12188559cb2bf4decbe9bc3610933affaf241a4f03c6cbb03</t>
        </is>
      </c>
    </row>
    <row r="316" ht="54" customHeight="1">
      <c r="A316" s="29" t="inlineStr">
        <is>
          <t>eindhoven:kaynak:314</t>
        </is>
      </c>
      <c r="B316" s="29" t="inlineStr">
        <is>
          <t>eindhoven</t>
        </is>
      </c>
      <c r="C316" s="29" t="inlineStr">
        <is>
          <t>Laser Quest Eindhoven | This is Eindhoven</t>
        </is>
      </c>
      <c r="D316" s="29" t="inlineStr">
        <is>
          <t>www.thisiseindhoven.com</t>
        </is>
      </c>
      <c r="E316" s="29" t="inlineStr">
        <is>
          <t>https://www.thisiseindhoven.com/en/locations/laser-quest</t>
        </is>
      </c>
      <c r="F316" s="49" t="n">
        <v>46317</v>
      </c>
      <c r="G316" s="29" t="inlineStr">
        <is>
          <t>eindhoven:kesif</t>
        </is>
      </c>
      <c r="H316" s="29" t="inlineStr">
        <is>
          <t>Laser Quest Eindhoven (Çocuklarla keşif)</t>
        </is>
      </c>
      <c r="I316" s="29" t="inlineStr">
        <is>
          <t>Evet</t>
        </is>
      </c>
      <c r="J316" s="29" t="inlineStr">
        <is>
          <t>Lisans kanıtları/kaynaklar/0883858fe38dd5d93ac3ccdb6bb8dab679ba031e0bbd134941b2559606cc2cab.html</t>
        </is>
      </c>
      <c r="K316" s="29" t="inlineStr">
        <is>
          <t>0883858fe38dd5d93ac3ccdb6bb8dab679ba031e0bbd134941b2559606cc2cab</t>
        </is>
      </c>
    </row>
    <row r="317" ht="54" customHeight="1">
      <c r="A317" s="29" t="inlineStr">
        <is>
          <t>eindhoven:kaynak:315</t>
        </is>
      </c>
      <c r="B317" s="29" t="inlineStr">
        <is>
          <t>eindhoven</t>
        </is>
      </c>
      <c r="C317" s="29" t="inlineStr">
        <is>
          <t>Contact – Falconcrest</t>
        </is>
      </c>
      <c r="D317" s="29" t="inlineStr">
        <is>
          <t>www.falconcrest.eu</t>
        </is>
      </c>
      <c r="E317" s="29" t="inlineStr">
        <is>
          <t>https://www.falconcrest.eu/index.php/contact/</t>
        </is>
      </c>
      <c r="F317" s="49" t="n">
        <v>46317</v>
      </c>
      <c r="G317" s="29" t="inlineStr">
        <is>
          <t>eindhoven:kesif</t>
        </is>
      </c>
      <c r="H317" s="29" t="inlineStr">
        <is>
          <t>Falconcrest Falconry (Çocuklarla keşif)</t>
        </is>
      </c>
      <c r="I317" s="29" t="inlineStr">
        <is>
          <t>Evet</t>
        </is>
      </c>
      <c r="J317" s="29" t="inlineStr">
        <is>
          <t>Lisans kanıtları/kaynaklar/1e1f388bffbec4072646dc93582296b3f7ee34554414413cc6b64e0c29294973.html</t>
        </is>
      </c>
      <c r="K317" s="29" t="inlineStr">
        <is>
          <t>1e1f388bffbec4072646dc93582296b3f7ee34554414413cc6b64e0c29294973</t>
        </is>
      </c>
    </row>
    <row r="318" ht="54" customHeight="1">
      <c r="A318" s="29" t="inlineStr">
        <is>
          <t>eindhoven:kaynak:316</t>
        </is>
      </c>
      <c r="B318" s="29" t="inlineStr">
        <is>
          <t>eindhoven</t>
        </is>
      </c>
      <c r="C318" s="29" t="inlineStr">
        <is>
          <t>Next Level Escape Rooms | This is Eindhoven</t>
        </is>
      </c>
      <c r="D318" s="29" t="inlineStr">
        <is>
          <t>www.thisiseindhoven.com</t>
        </is>
      </c>
      <c r="E318" s="29" t="inlineStr">
        <is>
          <t>https://www.thisiseindhoven.com/en/locations/next-level-escape-room</t>
        </is>
      </c>
      <c r="F318" s="49" t="n">
        <v>46317</v>
      </c>
      <c r="G318" s="29" t="inlineStr">
        <is>
          <t>eindhoven:kesif</t>
        </is>
      </c>
      <c r="H318" s="29" t="inlineStr">
        <is>
          <t>Next Level Escape Rooms (Çocuklarla keşif)</t>
        </is>
      </c>
      <c r="I318" s="29" t="inlineStr">
        <is>
          <t>Evet</t>
        </is>
      </c>
      <c r="J318" s="29" t="inlineStr">
        <is>
          <t>Lisans kanıtları/kaynaklar/ddb9808a9744d182f734676ee9dbf185b0e374b88b642b1a814e37df53b523ee.html</t>
        </is>
      </c>
      <c r="K318" s="29" t="inlineStr">
        <is>
          <t>ddb9808a9744d182f734676ee9dbf185b0e374b88b642b1a814e37df53b523ee</t>
        </is>
      </c>
    </row>
    <row r="319" ht="54" customHeight="1">
      <c r="A319" s="29" t="inlineStr">
        <is>
          <t>eindhoven:kaynak:317</t>
        </is>
      </c>
      <c r="B319" s="29" t="inlineStr">
        <is>
          <t>eindhoven</t>
        </is>
      </c>
      <c r="C319" s="29" t="inlineStr">
        <is>
          <t>Glow Golf Eindhoven | This is Eindhoven</t>
        </is>
      </c>
      <c r="D319" s="29" t="inlineStr">
        <is>
          <t>www.thisiseindhoven.com</t>
        </is>
      </c>
      <c r="E319" s="29" t="inlineStr">
        <is>
          <t>https://www.thisiseindhoven.com/en/locations/glow-golf-eindhoven</t>
        </is>
      </c>
      <c r="F319" s="49" t="n">
        <v>46317</v>
      </c>
      <c r="G319" s="29" t="inlineStr">
        <is>
          <t>eindhoven:kesif</t>
        </is>
      </c>
      <c r="H319" s="29" t="inlineStr">
        <is>
          <t>Glow Golf Eindhoven (Çocuklarla keşif)</t>
        </is>
      </c>
      <c r="I319" s="29" t="inlineStr">
        <is>
          <t>Evet</t>
        </is>
      </c>
      <c r="J319" s="29" t="inlineStr">
        <is>
          <t>Lisans kanıtları/kaynaklar/1bad62a868f2a9db64a34a136d8ceed1085b6399f80ddc78eae556e3c4f48680.html</t>
        </is>
      </c>
      <c r="K319" s="29" t="inlineStr">
        <is>
          <t>1bad62a868f2a9db64a34a136d8ceed1085b6399f80ddc78eae556e3c4f48680</t>
        </is>
      </c>
    </row>
    <row r="320" ht="54" customHeight="1">
      <c r="A320" s="29" t="inlineStr">
        <is>
          <t>eindhoven:kaynak:318</t>
        </is>
      </c>
      <c r="B320" s="29" t="inlineStr">
        <is>
          <t>eindhoven</t>
        </is>
      </c>
      <c r="C320" s="29" t="inlineStr">
        <is>
          <t>STR'EAT bars &amp; kitchens | This is Eindhoven</t>
        </is>
      </c>
      <c r="D320" s="29" t="inlineStr">
        <is>
          <t>www.thisiseindhoven.com</t>
        </is>
      </c>
      <c r="E320" s="29" t="inlineStr">
        <is>
          <t>https://www.thisiseindhoven.com/en/locations/str-eat-bars-kitchens</t>
        </is>
      </c>
      <c r="F320" s="49" t="n">
        <v>46317</v>
      </c>
      <c r="G320" s="29" t="inlineStr">
        <is>
          <t>eindhoven:kesif</t>
        </is>
      </c>
      <c r="H320" s="29" t="inlineStr">
        <is>
          <t>STR'EAT bars &amp; kitchens (Yeme ve içme)</t>
        </is>
      </c>
      <c r="I320" s="29" t="inlineStr">
        <is>
          <t>Evet</t>
        </is>
      </c>
      <c r="J320" s="29" t="inlineStr">
        <is>
          <t>Lisans kanıtları/kaynaklar/193a8e479cb53db415633ee2faa845f74bbfe4e70718e5fcd65319045de4dfbe.html</t>
        </is>
      </c>
      <c r="K320" s="29" t="inlineStr">
        <is>
          <t>193a8e479cb53db415633ee2faa845f74bbfe4e70718e5fcd65319045de4dfbe</t>
        </is>
      </c>
    </row>
    <row r="321" ht="54" customHeight="1">
      <c r="A321" s="29" t="inlineStr">
        <is>
          <t>eindhoven:kaynak:320</t>
        </is>
      </c>
      <c r="B321" s="29" t="inlineStr">
        <is>
          <t>eindhoven</t>
        </is>
      </c>
      <c r="C321" s="29" t="inlineStr">
        <is>
          <t>Contact Stadsbrouwerij Eindhoven</t>
        </is>
      </c>
      <c r="D321" s="29" t="inlineStr">
        <is>
          <t>stadsbrouwerijeindhoven.nl</t>
        </is>
      </c>
      <c r="E321" s="29" t="inlineStr">
        <is>
          <t>https://stadsbrouwerijeindhoven.nl/contact-stadsbrouwerij-eindhoven/</t>
        </is>
      </c>
      <c r="F321" s="49" t="n">
        <v>46317</v>
      </c>
      <c r="G321" s="29" t="inlineStr">
        <is>
          <t>eindhoven:kesif</t>
        </is>
      </c>
      <c r="H321" s="29" t="inlineStr">
        <is>
          <t>Stadsbrouwerij Eindhoven (Yeme ve içme)</t>
        </is>
      </c>
      <c r="I321" s="29" t="inlineStr">
        <is>
          <t>Evet</t>
        </is>
      </c>
      <c r="J321" s="29" t="inlineStr">
        <is>
          <t>Lisans kanıtları/kaynaklar/1d5252f9c5cc0986bd0ddead3d5f01a54931c785a90648721801b345654dc3ce.html</t>
        </is>
      </c>
      <c r="K321" s="29" t="inlineStr">
        <is>
          <t>1d5252f9c5cc0986bd0ddead3d5f01a54931c785a90648721801b345654dc3ce</t>
        </is>
      </c>
    </row>
    <row r="322" ht="54" customHeight="1">
      <c r="A322" s="29" t="inlineStr">
        <is>
          <t>eindhoven:kaynak:321</t>
        </is>
      </c>
      <c r="B322" s="29" t="inlineStr">
        <is>
          <t>eindhoven</t>
        </is>
      </c>
      <c r="C322" s="29" t="inlineStr">
        <is>
          <t>Stratumseind | This is Eindhoven</t>
        </is>
      </c>
      <c r="D322" s="29" t="inlineStr">
        <is>
          <t>www.thisiseindhoven.com</t>
        </is>
      </c>
      <c r="E322" s="29" t="inlineStr">
        <is>
          <t>https://www.thisiseindhoven.com/en/locations/stratumseind</t>
        </is>
      </c>
      <c r="F322" s="49" t="n">
        <v>46317</v>
      </c>
      <c r="G322" s="29" t="inlineStr">
        <is>
          <t>eindhoven:kesif</t>
        </is>
      </c>
      <c r="H322" s="29" t="inlineStr">
        <is>
          <t>Stratumseind (Yeme ve içme)</t>
        </is>
      </c>
      <c r="I322" s="29" t="inlineStr">
        <is>
          <t>Evet</t>
        </is>
      </c>
      <c r="J322" s="29" t="inlineStr">
        <is>
          <t>Lisans kanıtları/kaynaklar/c80ad073dc9efe04f5e5b55d263ad6bd8fd271959b44b031632a50c5922dc17c.html</t>
        </is>
      </c>
      <c r="K322" s="29" t="inlineStr">
        <is>
          <t>c80ad073dc9efe04f5e5b55d263ad6bd8fd271959b44b031632a50c5922dc17c</t>
        </is>
      </c>
    </row>
    <row r="323" ht="54" customHeight="1">
      <c r="A323" s="29" t="inlineStr">
        <is>
          <t>eindhoven:kaynak:322</t>
        </is>
      </c>
      <c r="B323" s="29" t="inlineStr">
        <is>
          <t>eindhoven</t>
        </is>
      </c>
      <c r="C323" s="29" t="inlineStr">
        <is>
          <t>Food &amp; Drinks bij Kazerne | ByDay café &amp; BarBistro Eindhoven</t>
        </is>
      </c>
      <c r="D323" s="29" t="inlineStr">
        <is>
          <t>kazerne.com</t>
        </is>
      </c>
      <c r="E323" s="29" t="inlineStr">
        <is>
          <t>https://kazerne.com/eat-drink/fine-dining-restaurant/</t>
        </is>
      </c>
      <c r="F323" s="49" t="n">
        <v>46317</v>
      </c>
      <c r="G323" s="29" t="inlineStr">
        <is>
          <t>eindhoven:kesif</t>
        </is>
      </c>
      <c r="H323" s="29" t="inlineStr">
        <is>
          <t>Kazerne (Yeme ve içme)</t>
        </is>
      </c>
      <c r="I323" s="29" t="inlineStr">
        <is>
          <t>Evet</t>
        </is>
      </c>
      <c r="J323" s="29" t="inlineStr">
        <is>
          <t>Lisans kanıtları/kaynaklar/0b763a3b3f58dc88e2d1b12bdcc34862caf71fd8beac7a93708012f2e0fdcc21.html</t>
        </is>
      </c>
      <c r="K323" s="29" t="inlineStr">
        <is>
          <t>0b763a3b3f58dc88e2d1b12bdcc34862caf71fd8beac7a93708012f2e0fdcc21</t>
        </is>
      </c>
    </row>
    <row r="324" ht="54" customHeight="1">
      <c r="A324" s="29" t="inlineStr">
        <is>
          <t>eindhoven:kaynak:323</t>
        </is>
      </c>
      <c r="B324" s="29" t="inlineStr">
        <is>
          <t>eindhoven</t>
        </is>
      </c>
      <c r="C324" s="29" t="inlineStr">
        <is>
          <t>Contact - De Lichttoren | Eindhoven</t>
        </is>
      </c>
      <c r="D324" s="29" t="inlineStr">
        <is>
          <t>delichttoren.nl</t>
        </is>
      </c>
      <c r="E324" s="29" t="inlineStr">
        <is>
          <t>https://delichttoren.nl/contact</t>
        </is>
      </c>
      <c r="F324" s="49" t="n">
        <v>46317</v>
      </c>
      <c r="G324" s="29" t="inlineStr">
        <is>
          <t>eindhoven:kesif</t>
        </is>
      </c>
      <c r="H324" s="29" t="inlineStr">
        <is>
          <t>Grand Café De Lichttoren (Yeme ve içme)</t>
        </is>
      </c>
      <c r="I324" s="29" t="inlineStr">
        <is>
          <t>Evet</t>
        </is>
      </c>
      <c r="J324" s="29" t="inlineStr">
        <is>
          <t>Lisans kanıtları/kaynaklar/9883e55c485f6ecb520b24fce96b9e8cb2002d2f219da64234e8a1197f3310f7.html</t>
        </is>
      </c>
      <c r="K324" s="29" t="inlineStr">
        <is>
          <t>9883e55c485f6ecb520b24fce96b9e8cb2002d2f219da64234e8a1197f3310f7</t>
        </is>
      </c>
    </row>
    <row r="325" ht="54" customHeight="1">
      <c r="A325" s="29" t="inlineStr">
        <is>
          <t>eindhoven:kaynak:324</t>
        </is>
      </c>
      <c r="B325" s="29" t="inlineStr">
        <is>
          <t>eindhoven</t>
        </is>
      </c>
      <c r="C325" s="29" t="inlineStr">
        <is>
          <t>Pancake house De Proeftuin | This is Eindhoven</t>
        </is>
      </c>
      <c r="D325" s="29" t="inlineStr">
        <is>
          <t>www.thisiseindhoven.com</t>
        </is>
      </c>
      <c r="E325" s="29" t="inlineStr">
        <is>
          <t>https://www.thisiseindhoven.com/en/locations/pannenkoekenhuis-de-proeftuin</t>
        </is>
      </c>
      <c r="F325" s="49" t="n">
        <v>46317</v>
      </c>
      <c r="G325" s="29" t="inlineStr">
        <is>
          <t>eindhoven:kesif</t>
        </is>
      </c>
      <c r="H325" s="29" t="inlineStr">
        <is>
          <t>Pannenkoekenhuis De Proeftuin (Yeme ve içme)</t>
        </is>
      </c>
      <c r="I325" s="29" t="inlineStr">
        <is>
          <t>Evet</t>
        </is>
      </c>
      <c r="J325" s="29" t="inlineStr">
        <is>
          <t>Lisans kanıtları/kaynaklar/44ee79126ebb1dcb7286707863068d0d52d13cd86334a0ff4d74aab5eced0fdb.html</t>
        </is>
      </c>
      <c r="K325" s="29" t="inlineStr">
        <is>
          <t>44ee79126ebb1dcb7286707863068d0d52d13cd86334a0ff4d74aab5eced0fdb</t>
        </is>
      </c>
    </row>
    <row r="326" ht="54" customHeight="1">
      <c r="A326" s="29" t="inlineStr">
        <is>
          <t>eindhoven:kaynak:325</t>
        </is>
      </c>
      <c r="B326" s="29" t="inlineStr">
        <is>
          <t>eindhoven</t>
        </is>
      </c>
      <c r="C326" s="29" t="inlineStr">
        <is>
          <t>Contact - Paviljoen Genneper Parken</t>
        </is>
      </c>
      <c r="D326" s="29" t="inlineStr">
        <is>
          <t>paviljoengenneperparken.nl</t>
        </is>
      </c>
      <c r="E326" s="29" t="inlineStr">
        <is>
          <t>https://paviljoengenneperparken.nl/contact/</t>
        </is>
      </c>
      <c r="F326" s="49" t="n">
        <v>46317</v>
      </c>
      <c r="G326" s="29" t="inlineStr">
        <is>
          <t>eindhoven:kesif</t>
        </is>
      </c>
      <c r="H326" s="29" t="inlineStr">
        <is>
          <t>Paviljoen Genneper Parken (Yeme ve içme)</t>
        </is>
      </c>
      <c r="I326" s="29" t="inlineStr">
        <is>
          <t>Evet</t>
        </is>
      </c>
      <c r="J326" s="29" t="inlineStr">
        <is>
          <t>Lisans kanıtları/kaynaklar/47bb2c2db0ea8fee5102f35d199de4bb66dd032101c0a552361d5a52cf8d8d96.html</t>
        </is>
      </c>
      <c r="K326" s="29" t="inlineStr">
        <is>
          <t>47bb2c2db0ea8fee5102f35d199de4bb66dd032101c0a552361d5a52cf8d8d96</t>
        </is>
      </c>
    </row>
    <row r="327" ht="54" customHeight="1">
      <c r="A327" s="29" t="inlineStr">
        <is>
          <t>eindhoven:kaynak:326</t>
        </is>
      </c>
      <c r="B327" s="29" t="inlineStr">
        <is>
          <t>eindhoven</t>
        </is>
      </c>
      <c r="C327" s="29" t="inlineStr">
        <is>
          <t>Contact - De Mispelhoef</t>
        </is>
      </c>
      <c r="D327" s="29" t="inlineStr">
        <is>
          <t>www.demispelhoef.nl</t>
        </is>
      </c>
      <c r="E327" s="29" t="inlineStr">
        <is>
          <t>https://www.demispelhoef.nl/contact</t>
        </is>
      </c>
      <c r="F327" s="49" t="n">
        <v>46317</v>
      </c>
      <c r="G327" s="29" t="inlineStr">
        <is>
          <t>eindhoven:kesif</t>
        </is>
      </c>
      <c r="H327" s="29" t="inlineStr">
        <is>
          <t>De Mispelhoef (Yeme ve içme)</t>
        </is>
      </c>
      <c r="I327" s="29" t="inlineStr">
        <is>
          <t>Evet</t>
        </is>
      </c>
      <c r="J327" s="29" t="inlineStr">
        <is>
          <t>Lisans kanıtları/kaynaklar/026760a2fe5ac867c1396b78a8807e4244c1c895df506d1a2d507c0d822383cd.html</t>
        </is>
      </c>
      <c r="K327" s="29" t="inlineStr">
        <is>
          <t>026760a2fe5ac867c1396b78a8807e4244c1c895df506d1a2d507c0d822383cd</t>
        </is>
      </c>
    </row>
    <row r="328" ht="54" customHeight="1">
      <c r="A328" s="29" t="inlineStr">
        <is>
          <t>eindhoven:kaynak:327</t>
        </is>
      </c>
      <c r="B328" s="29" t="inlineStr">
        <is>
          <t>eindhoven</t>
        </is>
      </c>
      <c r="C328" s="29" t="inlineStr">
        <is>
          <t>Central Market | This is Eindhoven</t>
        </is>
      </c>
      <c r="D328" s="29" t="inlineStr">
        <is>
          <t>www.thisiseindhoven.com</t>
        </is>
      </c>
      <c r="E328" s="29" t="inlineStr">
        <is>
          <t>https://www.thisiseindhoven.com/en/events/central-market</t>
        </is>
      </c>
      <c r="F328" s="49" t="n">
        <v>46317</v>
      </c>
      <c r="G328" s="29" t="inlineStr">
        <is>
          <t>eindhoven:kesif</t>
        </is>
      </c>
      <c r="H328" s="29" t="inlineStr">
        <is>
          <t>Centrale Markt (18 Septemberplein) (Yeme ve içme)</t>
        </is>
      </c>
      <c r="I328" s="29" t="inlineStr">
        <is>
          <t>Evet</t>
        </is>
      </c>
      <c r="J328" s="29" t="inlineStr">
        <is>
          <t>Lisans kanıtları/kaynaklar/3b45c6600fd0781e369531137f41434b54ce439cd3fe3eadf6379ec78fbbd36e.html</t>
        </is>
      </c>
      <c r="K328" s="29" t="inlineStr">
        <is>
          <t>3b45c6600fd0781e369531137f41434b54ce439cd3fe3eadf6379ec78fbbd36e</t>
        </is>
      </c>
    </row>
    <row r="329" ht="54" customHeight="1">
      <c r="A329" s="29" t="inlineStr">
        <is>
          <t>eindhoven:kaynak:328</t>
        </is>
      </c>
      <c r="B329" s="29" t="inlineStr">
        <is>
          <t>eindhoven</t>
        </is>
      </c>
      <c r="C329" s="29" t="inlineStr">
        <is>
          <t>St. Catherine's Church Eindhoven | This is Eindhoven</t>
        </is>
      </c>
      <c r="D329" s="29" t="inlineStr">
        <is>
          <t>www.thisiseindhoven.com</t>
        </is>
      </c>
      <c r="E329" s="29" t="inlineStr">
        <is>
          <t>https://www.thisiseindhoven.com/en/locations/catharinakerk</t>
        </is>
      </c>
      <c r="F329" s="49" t="n">
        <v>46317</v>
      </c>
      <c r="G329" s="29" t="inlineStr">
        <is>
          <t>eindhoven:kesif</t>
        </is>
      </c>
      <c r="H329" s="29" t="inlineStr">
        <is>
          <t>Sint-Catharinakerk (Tarih ve mimari)</t>
        </is>
      </c>
      <c r="I329" s="29" t="inlineStr">
        <is>
          <t>Evet</t>
        </is>
      </c>
      <c r="J329" s="29" t="inlineStr">
        <is>
          <t>Lisans kanıtları/kaynaklar/aea7019e6b757dab757df840165639b6ef547b64d4f2790ca6a4fc30ed2b431d.html</t>
        </is>
      </c>
      <c r="K329" s="29" t="inlineStr">
        <is>
          <t>aea7019e6b757dab757df840165639b6ef547b64d4f2790ca6a4fc30ed2b431d</t>
        </is>
      </c>
    </row>
    <row r="330" ht="54" customHeight="1">
      <c r="A330" s="29" t="inlineStr">
        <is>
          <t>eindhoven:kaynak:329</t>
        </is>
      </c>
      <c r="B330" s="29" t="inlineStr">
        <is>
          <t>eindhoven</t>
        </is>
      </c>
      <c r="C330" s="29" t="inlineStr">
        <is>
          <t>Strijp-S | This is Eindhoven</t>
        </is>
      </c>
      <c r="D330" s="29" t="inlineStr">
        <is>
          <t>www.thisiseindhoven.com</t>
        </is>
      </c>
      <c r="E330" s="29" t="inlineStr">
        <is>
          <t>https://www.thisiseindhoven.com/en/locations/strijp-s</t>
        </is>
      </c>
      <c r="F330" s="49" t="n">
        <v>46317</v>
      </c>
      <c r="G330" s="29" t="inlineStr">
        <is>
          <t>eindhoven:kesif</t>
        </is>
      </c>
      <c r="H330" s="29" t="inlineStr">
        <is>
          <t>Strijp-S (Tarih ve mimari)</t>
        </is>
      </c>
      <c r="I330" s="29" t="inlineStr">
        <is>
          <t>Evet</t>
        </is>
      </c>
      <c r="J330" s="29" t="inlineStr">
        <is>
          <t>Lisans kanıtları/kaynaklar/097c8dc2a5880b099a0a6b789bedc1b5e06aa2386372047cbda82e72a0e20151.html</t>
        </is>
      </c>
      <c r="K330" s="29" t="inlineStr">
        <is>
          <t>097c8dc2a5880b099a0a6b789bedc1b5e06aa2386372047cbda82e72a0e20151</t>
        </is>
      </c>
    </row>
    <row r="331" ht="54" customHeight="1">
      <c r="A331" s="29" t="inlineStr">
        <is>
          <t>eindhoven:kaynak:330</t>
        </is>
      </c>
      <c r="B331" s="29" t="inlineStr">
        <is>
          <t>eindhoven</t>
        </is>
      </c>
      <c r="C331" s="29" t="inlineStr">
        <is>
          <t>Klokgebouw</t>
        </is>
      </c>
      <c r="D331" s="29" t="inlineStr">
        <is>
          <t>www.klokgebouw.nl</t>
        </is>
      </c>
      <c r="E331" s="29" t="inlineStr">
        <is>
          <t>https://www.klokgebouw.nl/praktische-informatie</t>
        </is>
      </c>
      <c r="F331" s="49" t="n">
        <v>46317</v>
      </c>
      <c r="G331" s="29" t="inlineStr">
        <is>
          <t>eindhoven:kesif</t>
        </is>
      </c>
      <c r="H331" s="29" t="inlineStr">
        <is>
          <t>Klokgebouw (Tarih ve mimari)</t>
        </is>
      </c>
      <c r="I331" s="29" t="inlineStr">
        <is>
          <t>Evet</t>
        </is>
      </c>
      <c r="J331" s="29" t="inlineStr">
        <is>
          <t>Lisans kanıtları/kaynaklar/91d62ac02117bd78e310c3b769e9cdec64b0bb3c9da3b198596687c7c7fa37c1.html</t>
        </is>
      </c>
      <c r="K331" s="29" t="inlineStr">
        <is>
          <t>91d62ac02117bd78e310c3b769e9cdec64b0bb3c9da3b198596687c7c7fa37c1</t>
        </is>
      </c>
    </row>
    <row r="332" ht="54" customHeight="1">
      <c r="A332" s="29" t="inlineStr">
        <is>
          <t>eindhoven:kaynak:331</t>
        </is>
      </c>
      <c r="B332" s="29" t="inlineStr">
        <is>
          <t>eindhoven</t>
        </is>
      </c>
      <c r="C332" s="29" t="inlineStr">
        <is>
          <t>Hovenring | This is Eindhoven</t>
        </is>
      </c>
      <c r="D332" s="29" t="inlineStr">
        <is>
          <t>www.thisiseindhoven.com</t>
        </is>
      </c>
      <c r="E332" s="29" t="inlineStr">
        <is>
          <t>https://www.thisiseindhoven.com/en/locations/hovenring</t>
        </is>
      </c>
      <c r="F332" s="49" t="n">
        <v>46317</v>
      </c>
      <c r="G332" s="29" t="inlineStr">
        <is>
          <t>eindhoven:kesif</t>
        </is>
      </c>
      <c r="H332" s="29" t="inlineStr">
        <is>
          <t>Hovenring (Tarih ve mimari)</t>
        </is>
      </c>
      <c r="I332" s="29" t="inlineStr">
        <is>
          <t>Evet</t>
        </is>
      </c>
      <c r="J332" s="29" t="inlineStr">
        <is>
          <t>Lisans kanıtları/kaynaklar/12ee4de1e833d9a1740fc3e6649e59ab5a3676e069cd43430da961e48aad461d.html</t>
        </is>
      </c>
      <c r="K332" s="29" t="inlineStr">
        <is>
          <t>12ee4de1e833d9a1740fc3e6649e59ab5a3676e069cd43430da961e48aad461d</t>
        </is>
      </c>
    </row>
    <row r="333" ht="54" customHeight="1">
      <c r="A333" s="29" t="inlineStr">
        <is>
          <t>eindhoven:kaynak:332</t>
        </is>
      </c>
      <c r="B333" s="29" t="inlineStr">
        <is>
          <t>eindhoven</t>
        </is>
      </c>
      <c r="C333" s="29" t="inlineStr">
        <is>
          <t>Genneper Watermolen | This is Eindhoven</t>
        </is>
      </c>
      <c r="D333" s="29" t="inlineStr">
        <is>
          <t>www.thisiseindhoven.com</t>
        </is>
      </c>
      <c r="E333" s="29" t="inlineStr">
        <is>
          <t>https://www.thisiseindhoven.com/en/locations/genneper-watermolen</t>
        </is>
      </c>
      <c r="F333" s="49" t="n">
        <v>46317</v>
      </c>
      <c r="G333" s="29" t="inlineStr">
        <is>
          <t>eindhoven:kesif</t>
        </is>
      </c>
      <c r="H333" s="29" t="inlineStr">
        <is>
          <t>Genneper Watermolen (Tarih ve mimari)</t>
        </is>
      </c>
      <c r="I333" s="29" t="inlineStr">
        <is>
          <t>Evet</t>
        </is>
      </c>
      <c r="J333" s="29" t="inlineStr">
        <is>
          <t>Lisans kanıtları/kaynaklar/b4aed74d0f5427a918c45230d70e5d5c249b4c656da362627e9558c5d1006c9c.html</t>
        </is>
      </c>
      <c r="K333" s="29" t="inlineStr">
        <is>
          <t>b4aed74d0f5427a918c45230d70e5d5c249b4c656da362627e9558c5d1006c9c</t>
        </is>
      </c>
    </row>
    <row r="334" ht="54" customHeight="1">
      <c r="A334" s="29" t="inlineStr">
        <is>
          <t>eindhoven:kaynak:333</t>
        </is>
      </c>
      <c r="B334" s="29" t="inlineStr">
        <is>
          <t>eindhoven</t>
        </is>
      </c>
      <c r="C334" s="29" t="inlineStr">
        <is>
          <t>Hotel vlakbij Eindhoven centraal station - Hotel Mariënhage</t>
        </is>
      </c>
      <c r="D334" s="29" t="inlineStr">
        <is>
          <t>www.marienhage.com</t>
        </is>
      </c>
      <c r="E334" s="29" t="inlineStr">
        <is>
          <t>https://www.marienhage.com/locatie/</t>
        </is>
      </c>
      <c r="F334" s="49" t="n">
        <v>46317</v>
      </c>
      <c r="G334" s="29" t="inlineStr">
        <is>
          <t>eindhoven:kesif</t>
        </is>
      </c>
      <c r="H334" s="29" t="inlineStr">
        <is>
          <t>Klooster Mariënhage (Tarih ve mimari)</t>
        </is>
      </c>
      <c r="I334" s="29" t="inlineStr">
        <is>
          <t>Evet</t>
        </is>
      </c>
      <c r="J334" s="29" t="inlineStr">
        <is>
          <t>Lisans kanıtları/kaynaklar/37dbf1bb318ea87356dc6926855d54e732e671cf15c0cad5b0b8fc4c80f33952.html</t>
        </is>
      </c>
      <c r="K334" s="29" t="inlineStr">
        <is>
          <t>37dbf1bb318ea87356dc6926855d54e732e671cf15c0cad5b0b8fc4c80f33952</t>
        </is>
      </c>
    </row>
    <row r="335" ht="54" customHeight="1">
      <c r="A335" s="29" t="inlineStr">
        <is>
          <t>eindhoven:kaynak:334</t>
        </is>
      </c>
      <c r="B335" s="29" t="inlineStr">
        <is>
          <t>eindhoven</t>
        </is>
      </c>
      <c r="C335" s="29" t="inlineStr">
        <is>
          <t>Contact — Hart van Eindhoven</t>
        </is>
      </c>
      <c r="D335" s="29" t="inlineStr">
        <is>
          <t>hartvaneindhoven.nl</t>
        </is>
      </c>
      <c r="E335" s="29" t="inlineStr">
        <is>
          <t>https://hartvaneindhoven.nl/contact</t>
        </is>
      </c>
      <c r="F335" s="49" t="n">
        <v>46317</v>
      </c>
      <c r="G335" s="29" t="inlineStr">
        <is>
          <t>eindhoven:kesif</t>
        </is>
      </c>
      <c r="H335" s="29" t="inlineStr">
        <is>
          <t>Heilige Hartkerk (Hart van Eindhoven) (Tarih ve mimari)</t>
        </is>
      </c>
      <c r="I335" s="29" t="inlineStr">
        <is>
          <t>Evet</t>
        </is>
      </c>
      <c r="J335" s="29" t="inlineStr">
        <is>
          <t>Lisans kanıtları/kaynaklar/350943aa1cbf9bf56221bc1dc25c40b3a37c20e4c64512e92f2550a54ff2f063.html</t>
        </is>
      </c>
      <c r="K335" s="29" t="inlineStr">
        <is>
          <t>350943aa1cbf9bf56221bc1dc25c40b3a37c20e4c64512e92f2550a54ff2f063</t>
        </is>
      </c>
    </row>
    <row r="336" ht="54" customHeight="1">
      <c r="A336" s="29" t="inlineStr">
        <is>
          <t>eindhoven:kaynak:335</t>
        </is>
      </c>
      <c r="B336" s="29" t="inlineStr">
        <is>
          <t>eindhoven</t>
        </is>
      </c>
      <c r="C336" s="29" t="inlineStr">
        <is>
          <t>Contact – Sint Catharinakerkhof Eindhoven</t>
        </is>
      </c>
      <c r="D336" s="29" t="inlineStr">
        <is>
          <t>www.catharinakerkhof.nl</t>
        </is>
      </c>
      <c r="E336" s="29" t="inlineStr">
        <is>
          <t>https://www.catharinakerkhof.nl/contact/</t>
        </is>
      </c>
      <c r="F336" s="49" t="n">
        <v>46317</v>
      </c>
      <c r="G336" s="29" t="inlineStr">
        <is>
          <t>eindhoven:kesif</t>
        </is>
      </c>
      <c r="H336" s="29" t="inlineStr">
        <is>
          <t>Catharinakerkhof (Tarih ve mimari)</t>
        </is>
      </c>
      <c r="I336" s="29" t="inlineStr">
        <is>
          <t>Evet</t>
        </is>
      </c>
      <c r="J336" s="29" t="inlineStr">
        <is>
          <t>Lisans kanıtları/kaynaklar/371aec84238913b6963812c75e744fb83054616216cb07d04af3fc4b3a2aad81.html</t>
        </is>
      </c>
      <c r="K336" s="29" t="inlineStr">
        <is>
          <t>371aec84238913b6963812c75e744fb83054616216cb07d04af3fc4b3a2aad81</t>
        </is>
      </c>
    </row>
    <row r="337" ht="54" customHeight="1">
      <c r="A337" s="29" t="inlineStr">
        <is>
          <t>eindhoven:kaynak:336</t>
        </is>
      </c>
      <c r="B337" s="29" t="inlineStr">
        <is>
          <t>eindhoven</t>
        </is>
      </c>
      <c r="C337" s="29" t="inlineStr">
        <is>
          <t>18 Septemberplein | This is Eindhoven</t>
        </is>
      </c>
      <c r="D337" s="29" t="inlineStr">
        <is>
          <t>www.thisiseindhoven.com</t>
        </is>
      </c>
      <c r="E337" s="29" t="inlineStr">
        <is>
          <t>https://www.thisiseindhoven.com/en/locations/18-septemberplein</t>
        </is>
      </c>
      <c r="F337" s="49" t="n">
        <v>46317</v>
      </c>
      <c r="G337" s="29" t="inlineStr">
        <is>
          <t>eindhoven:kesif</t>
        </is>
      </c>
      <c r="H337" s="29" t="inlineStr">
        <is>
          <t>18 Septemberplein (Tarih ve mimari)</t>
        </is>
      </c>
      <c r="I337" s="29" t="inlineStr">
        <is>
          <t>Evet</t>
        </is>
      </c>
      <c r="J337" s="29" t="inlineStr">
        <is>
          <t>Lisans kanıtları/kaynaklar/ec9f529672bd2048c0ed255d21cec54062bd78327c148f495f3e148567aae583.html</t>
        </is>
      </c>
      <c r="K337" s="29" t="inlineStr">
        <is>
          <t>ec9f529672bd2048c0ed255d21cec54062bd78327c148f495f3e148567aae583</t>
        </is>
      </c>
    </row>
    <row r="338" ht="54" customHeight="1">
      <c r="A338" s="29" t="inlineStr">
        <is>
          <t>eindhoven:kaynak:337</t>
        </is>
      </c>
      <c r="B338" s="29" t="inlineStr">
        <is>
          <t>eindhoven</t>
        </is>
      </c>
      <c r="C338" s="29" t="inlineStr">
        <is>
          <t>Centraal Station Eindhoven | This is Eindhoven</t>
        </is>
      </c>
      <c r="D338" s="29" t="inlineStr">
        <is>
          <t>www.thisiseindhoven.com</t>
        </is>
      </c>
      <c r="E338" s="29" t="inlineStr">
        <is>
          <t>https://www.thisiseindhoven.com/en/locations/centraal-station-eindhoven</t>
        </is>
      </c>
      <c r="F338" s="49" t="n">
        <v>46317</v>
      </c>
      <c r="G338" s="29" t="inlineStr">
        <is>
          <t>eindhoven:kesif</t>
        </is>
      </c>
      <c r="H338" s="29" t="inlineStr">
        <is>
          <t>Eindhoven Centraal (Tarih ve mimari)</t>
        </is>
      </c>
      <c r="I338" s="29" t="inlineStr">
        <is>
          <t>Evet</t>
        </is>
      </c>
      <c r="J338" s="29" t="inlineStr">
        <is>
          <t>Lisans kanıtları/kaynaklar/0b45a78865efb7356e72de147163340658b87f5c7b0ddcdbd67404884af028ec.html</t>
        </is>
      </c>
      <c r="K338" s="29" t="inlineStr">
        <is>
          <t>0b45a78865efb7356e72de147163340658b87f5c7b0ddcdbd67404884af028ec</t>
        </is>
      </c>
    </row>
    <row r="339" ht="54" customHeight="1">
      <c r="A339" s="29" t="inlineStr">
        <is>
          <t>eindhoven:kaynak:338</t>
        </is>
      </c>
      <c r="B339" s="29" t="inlineStr">
        <is>
          <t>eindhoven</t>
        </is>
      </c>
      <c r="C339" s="29" t="inlineStr">
        <is>
          <t>Huize de Laak | This is Eindhoven</t>
        </is>
      </c>
      <c r="D339" s="29" t="inlineStr">
        <is>
          <t>www.thisiseindhoven.com</t>
        </is>
      </c>
      <c r="E339" s="29" t="inlineStr">
        <is>
          <t>https://www.thisiseindhoven.com/en/locations/huize-de-laak</t>
        </is>
      </c>
      <c r="F339" s="49" t="n">
        <v>46317</v>
      </c>
      <c r="G339" s="29" t="inlineStr">
        <is>
          <t>eindhoven:kesif</t>
        </is>
      </c>
      <c r="H339" s="29" t="inlineStr">
        <is>
          <t>Huize De Laak (Tarih ve mimari)</t>
        </is>
      </c>
      <c r="I339" s="29" t="inlineStr">
        <is>
          <t>Evet</t>
        </is>
      </c>
      <c r="J339" s="29" t="inlineStr">
        <is>
          <t>Lisans kanıtları/kaynaklar/4e0473115d5af9a0d8c757d15a04ef626452bd3625c7c45ab9cffd318c04ba49.html</t>
        </is>
      </c>
      <c r="K339" s="29" t="inlineStr">
        <is>
          <t>4e0473115d5af9a0d8c757d15a04ef626452bd3625c7c45ab9cffd318c04ba49</t>
        </is>
      </c>
    </row>
    <row r="340" ht="54" customHeight="1">
      <c r="A340" s="29" t="inlineStr">
        <is>
          <t>eindhoven:kaynak:339</t>
        </is>
      </c>
      <c r="B340" s="29" t="inlineStr">
        <is>
          <t>eindhoven</t>
        </is>
      </c>
      <c r="C340" s="29" t="inlineStr">
        <is>
          <t>Philips' legacy in Eindhoven | This is Eindhoven</t>
        </is>
      </c>
      <c r="D340" s="29" t="inlineStr">
        <is>
          <t>www.thisiseindhoven.com</t>
        </is>
      </c>
      <c r="E340" s="29" t="inlineStr">
        <is>
          <t>https://www.thisiseindhoven.com/en/city-life/about-eindhoven/philips-legacy-in-eindhoven</t>
        </is>
      </c>
      <c r="F340" s="49" t="n">
        <v>46317</v>
      </c>
      <c r="G340" s="29" t="inlineStr">
        <is>
          <t>eindhoven:kesif</t>
        </is>
      </c>
      <c r="H340" s="29" t="inlineStr">
        <is>
          <t>Philipsdorp (Tarih ve mimari)</t>
        </is>
      </c>
      <c r="I340" s="29" t="inlineStr">
        <is>
          <t>Evet</t>
        </is>
      </c>
      <c r="J340" s="29" t="inlineStr">
        <is>
          <t>Lisans kanıtları/kaynaklar/7e7285f48435487fb91dcc99c521a8efbe9173f64413a31ad3acb6330a24704c.html</t>
        </is>
      </c>
      <c r="K340" s="29" t="inlineStr">
        <is>
          <t>7e7285f48435487fb91dcc99c521a8efbe9173f64413a31ad3acb6330a24704c</t>
        </is>
      </c>
    </row>
    <row r="341" ht="54" customHeight="1">
      <c r="A341" s="29" t="inlineStr">
        <is>
          <t>eindhoven:kaynak:340</t>
        </is>
      </c>
      <c r="B341" s="29" t="inlineStr">
        <is>
          <t>eindhoven</t>
        </is>
      </c>
      <c r="C341" s="29" t="inlineStr">
        <is>
          <t>8x Buildings you didn't know were Philips | This is Eindhoven</t>
        </is>
      </c>
      <c r="D341" s="29" t="inlineStr">
        <is>
          <t>www.thisiseindhoven.com</t>
        </is>
      </c>
      <c r="E341" s="29" t="inlineStr">
        <is>
          <t>https://www.thisiseindhoven.com/en/city-life/about-eindhoven/8x-buildings-you-didnt-know-were-philips</t>
        </is>
      </c>
      <c r="F341" s="49" t="n">
        <v>46317</v>
      </c>
      <c r="G341" s="29" t="inlineStr">
        <is>
          <t>eindhoven:kesif</t>
        </is>
      </c>
      <c r="H341" s="29" t="inlineStr">
        <is>
          <t>De Witte Dame (Lichtfabriek) (Tarih ve mimari)</t>
        </is>
      </c>
      <c r="I341" s="29" t="inlineStr">
        <is>
          <t>Evet</t>
        </is>
      </c>
      <c r="J341" s="29" t="inlineStr">
        <is>
          <t>Lisans kanıtları/kaynaklar/e318332d1f5a0c50790edc82e2c6cd67712101e9d3dd408ce78a2d21435d46df.html</t>
        </is>
      </c>
      <c r="K341" s="29" t="inlineStr">
        <is>
          <t>e318332d1f5a0c50790edc82e2c6cd67712101e9d3dd408ce78a2d21435d46df</t>
        </is>
      </c>
    </row>
    <row r="342" ht="54" customHeight="1">
      <c r="A342" s="29" t="inlineStr">
        <is>
          <t>eindhoven:kaynak:341</t>
        </is>
      </c>
      <c r="B342" s="29" t="inlineStr">
        <is>
          <t>eindhoven</t>
        </is>
      </c>
      <c r="C342" s="29" t="inlineStr">
        <is>
          <t>De Oude Telefooncentrale | This is Eindhoven</t>
        </is>
      </c>
      <c r="D342" s="29" t="inlineStr">
        <is>
          <t>www.thisiseindhoven.com</t>
        </is>
      </c>
      <c r="E342" s="29" t="inlineStr">
        <is>
          <t>https://www.thisiseindhoven.com/en/locations/de-oude-telefooncentrale</t>
        </is>
      </c>
      <c r="F342" s="49" t="n">
        <v>46317</v>
      </c>
      <c r="G342" s="29" t="inlineStr">
        <is>
          <t>eindhoven:kesif</t>
        </is>
      </c>
      <c r="H342" s="29" t="inlineStr">
        <is>
          <t>De Oude Telefooncentrale (Tarih ve mimari)</t>
        </is>
      </c>
      <c r="I342" s="29" t="inlineStr">
        <is>
          <t>Evet</t>
        </is>
      </c>
      <c r="J342" s="29" t="inlineStr">
        <is>
          <t>Lisans kanıtları/kaynaklar/fd3dd150163a676d8d96d6dd447e484d208cd03c52b3b261b83d721000ce18e8.html</t>
        </is>
      </c>
      <c r="K342" s="29" t="inlineStr">
        <is>
          <t>fd3dd150163a676d8d96d6dd447e484d208cd03c52b3b261b83d721000ce18e8</t>
        </is>
      </c>
    </row>
    <row r="343" ht="54" customHeight="1">
      <c r="A343" s="29" t="inlineStr">
        <is>
          <t>eindhoven:kaynak:342</t>
        </is>
      </c>
      <c r="B343" s="29" t="inlineStr">
        <is>
          <t>eindhoven</t>
        </is>
      </c>
      <c r="C343" s="29" t="inlineStr">
        <is>
          <t>Kaartverkoop - Ton Smits Huis</t>
        </is>
      </c>
      <c r="D343" s="29" t="inlineStr">
        <is>
          <t>Museum Ton Smits Huis</t>
        </is>
      </c>
      <c r="E343" s="29" t="inlineStr">
        <is>
          <t>https://tonsmitshuis.nl/kaartverkoop/</t>
        </is>
      </c>
      <c r="F343" s="49" t="n">
        <v>46317</v>
      </c>
      <c r="G343" s="29" t="inlineStr">
        <is>
          <t>eindhoven:kesif</t>
        </is>
      </c>
      <c r="H343" s="29" t="inlineStr">
        <is>
          <t>Ton Smits Huis giriş ücreti, ödeme biçimi ve ziyaret adresi</t>
        </is>
      </c>
      <c r="I343" s="29" t="inlineStr">
        <is>
          <t>Evet</t>
        </is>
      </c>
      <c r="J343" s="29" t="inlineStr">
        <is>
          <t>Lisans kanıtları/kaynaklar/51f3bb733e5af073ba566208a9b486fbae365a9f6a2ce9020898e29bf48faec3.html</t>
        </is>
      </c>
      <c r="K343" s="29" t="inlineStr">
        <is>
          <t>51f3bb733e5af073ba566208a9b486fbae365a9f6a2ce9020898e29bf48faec3</t>
        </is>
      </c>
    </row>
    <row r="344" ht="54" customHeight="1">
      <c r="A344" s="29" t="inlineStr">
        <is>
          <t>eindhoven:kaynak:343</t>
        </is>
      </c>
      <c r="B344" s="29" t="inlineStr">
        <is>
          <t>eindhoven</t>
        </is>
      </c>
      <c r="C344" s="29" t="inlineStr">
        <is>
          <t>Het museum - Ton Smits Huis</t>
        </is>
      </c>
      <c r="D344" s="29" t="inlineStr">
        <is>
          <t>Museum Ton Smits Huis</t>
        </is>
      </c>
      <c r="E344" s="29" t="inlineStr">
        <is>
          <t>https://tonsmitshuis.nl/het-museum/</t>
        </is>
      </c>
      <c r="F344" s="49" t="n">
        <v>46317</v>
      </c>
      <c r="G344" s="29" t="inlineStr">
        <is>
          <t>eindhoven:kesif</t>
        </is>
      </c>
      <c r="H344" s="29" t="inlineStr">
        <is>
          <t>Ton Smits Huis müzesinin tarihi, koleksiyonu ve adresi</t>
        </is>
      </c>
      <c r="I344" s="29" t="inlineStr">
        <is>
          <t>Evet</t>
        </is>
      </c>
      <c r="J344" s="29" t="inlineStr">
        <is>
          <t>Lisans kanıtları/kaynaklar/4f33769aa668e8f449f84cae76467fecd577bf65a3c59abc453d8b703b7f9b7e.html</t>
        </is>
      </c>
      <c r="K344" s="29" t="inlineStr">
        <is>
          <t>4f33769aa668e8f449f84cae76467fecd577bf65a3c59abc453d8b703b7f9b7e</t>
        </is>
      </c>
    </row>
    <row r="345" ht="54" customHeight="1">
      <c r="A345" s="29" t="inlineStr">
        <is>
          <t>eindhoven:kaynak:344</t>
        </is>
      </c>
      <c r="B345" s="29" t="inlineStr">
        <is>
          <t>eindhoven</t>
        </is>
      </c>
      <c r="C345" s="29" t="inlineStr">
        <is>
          <t>Hezemans Indoor Karting | Karten in Eindhoven</t>
        </is>
      </c>
      <c r="D345" s="29" t="inlineStr">
        <is>
          <t>Hezemans Indoor Karting</t>
        </is>
      </c>
      <c r="E345" s="29" t="inlineStr">
        <is>
          <t>https://hezemans.nl/karten-eindhoven/</t>
        </is>
      </c>
      <c r="F345" s="49" t="n">
        <v>46317</v>
      </c>
      <c r="G345" s="29" t="inlineStr">
        <is>
          <t>eindhoven:kesif</t>
        </is>
      </c>
      <c r="H345" s="29" t="inlineStr">
        <is>
          <t>Hezemans kart pisti: konum, pist ölçüleri, heat süresi ve fiyatlar</t>
        </is>
      </c>
      <c r="I345" s="29" t="inlineStr">
        <is>
          <t>Evet</t>
        </is>
      </c>
      <c r="J345" s="29" t="inlineStr">
        <is>
          <t>Lisans kanıtları/kaynaklar/eb529ea3471f9fbecc4d2857d3adc830ffff2c1194850a1cc1d76795f5a34e5b.html</t>
        </is>
      </c>
      <c r="K345" s="29" t="inlineStr">
        <is>
          <t>eb529ea3471f9fbecc4d2857d3adc830ffff2c1194850a1cc1d76795f5a34e5b</t>
        </is>
      </c>
    </row>
    <row r="346" ht="54" customHeight="1">
      <c r="A346" s="29" t="inlineStr">
        <is>
          <t>eindhoven:kaynak:345</t>
        </is>
      </c>
      <c r="B346" s="29" t="inlineStr">
        <is>
          <t>eindhoven</t>
        </is>
      </c>
      <c r="C346" s="29" t="inlineStr">
        <is>
          <t>Openingstijden en adressen | Gemeente Eindhoven</t>
        </is>
      </c>
      <c r="D346" s="29" t="inlineStr">
        <is>
          <t>Gemeente Eindhoven</t>
        </is>
      </c>
      <c r="E346" s="29" t="inlineStr">
        <is>
          <t>https://www.eindhoven.nl/bestuur-en-beleid/contact/openingstijden-en-adressen</t>
        </is>
      </c>
      <c r="F346" s="49" t="n">
        <v>46317</v>
      </c>
      <c r="G346" s="29" t="inlineStr">
        <is>
          <t>eindhoven:kesif</t>
        </is>
      </c>
      <c r="H346" s="29" t="inlineStr">
        <is>
          <t>Stadhuis ve Inwonersplein adresi ve açılış saatleri</t>
        </is>
      </c>
      <c r="I346" s="29" t="inlineStr">
        <is>
          <t>Evet</t>
        </is>
      </c>
      <c r="J346" s="29" t="inlineStr">
        <is>
          <t>Lisans kanıtları/kaynaklar/84e3f843f69971d549032fab7a0bca3456dabc794184e8923f69c16e4ad8b069.html</t>
        </is>
      </c>
      <c r="K346" s="29" t="inlineStr">
        <is>
          <t>84e3f843f69971d549032fab7a0bca3456dabc794184e8923f69c16e4ad8b069</t>
        </is>
      </c>
    </row>
    <row r="347" ht="54" customHeight="1">
      <c r="A347" s="29" t="inlineStr">
        <is>
          <t>eindhoven:kaynak:346</t>
        </is>
      </c>
      <c r="B347" s="29" t="inlineStr">
        <is>
          <t>eindhoven</t>
        </is>
      </c>
      <c r="C347" s="29" t="inlineStr">
        <is>
          <t>Openstellingen - Sterrenwacht Eindhoven</t>
        </is>
      </c>
      <c r="D347" s="29" t="inlineStr">
        <is>
          <t>www.sterrenwachteindhoven.nl</t>
        </is>
      </c>
      <c r="E347" s="29" t="inlineStr">
        <is>
          <t>https://www.sterrenwachteindhoven.nl/bezoek/openstellingen/</t>
        </is>
      </c>
      <c r="F347" s="49" t="n">
        <v>46317</v>
      </c>
      <c r="G347" s="29" t="inlineStr">
        <is>
          <t>eindhoven:kesif</t>
        </is>
      </c>
      <c r="H347" s="29" t="inlineStr">
        <is>
          <t>mekan editor ek kaynak (Mekânlar.m1.jsonl,m1.jsonl)</t>
        </is>
      </c>
      <c r="I347" s="29" t="inlineStr">
        <is>
          <t>Evet</t>
        </is>
      </c>
      <c r="J347" s="29" t="inlineStr">
        <is>
          <t>Lisans kanıtları/kaynaklar/905744319ce22f99c4f6436cd5e45ccb579526d159990b3dad71163a27771ffe.html</t>
        </is>
      </c>
      <c r="K347" s="29" t="inlineStr">
        <is>
          <t>905744319ce22f99c4f6436cd5e45ccb579526d159990b3dad71163a27771ffe</t>
        </is>
      </c>
    </row>
    <row r="348" ht="54" customHeight="1">
      <c r="A348" s="29" t="inlineStr">
        <is>
          <t>eindhoven:kaynak:347</t>
        </is>
      </c>
      <c r="B348" s="29" t="inlineStr">
        <is>
          <t>eindhoven</t>
        </is>
      </c>
      <c r="C348" s="29" t="inlineStr">
        <is>
          <t>Bezoek/Beperking aantallen - Sterrenwacht Eindhoven</t>
        </is>
      </c>
      <c r="D348" s="29" t="inlineStr">
        <is>
          <t>www.sterrenwachteindhoven.nl</t>
        </is>
      </c>
      <c r="E348" s="29" t="inlineStr">
        <is>
          <t>https://www.sterrenwachteindhoven.nl/bezoek/</t>
        </is>
      </c>
      <c r="F348" s="49" t="n">
        <v>46317</v>
      </c>
      <c r="G348" s="29" t="inlineStr">
        <is>
          <t>eindhoven:kesif</t>
        </is>
      </c>
      <c r="H348" s="29" t="inlineStr">
        <is>
          <t>mekan editor ek kaynak (Mekânlar.m1.jsonl,m1.jsonl)</t>
        </is>
      </c>
      <c r="I348" s="29" t="inlineStr">
        <is>
          <t>Evet</t>
        </is>
      </c>
      <c r="J348" s="29" t="inlineStr">
        <is>
          <t>Lisans kanıtları/kaynaklar/d7a2d274551f2b2e2408f90cdced398226442d53c699dd765a7813c1f6f962d3.html</t>
        </is>
      </c>
      <c r="K348" s="29" t="inlineStr">
        <is>
          <t>d7a2d274551f2b2e2408f90cdced398226442d53c699dd765a7813c1f6f962d3</t>
        </is>
      </c>
    </row>
    <row r="349" ht="54" customHeight="1">
      <c r="A349" s="29" t="inlineStr">
        <is>
          <t>eindhoven:kaynak:348</t>
        </is>
      </c>
      <c r="B349" s="29" t="inlineStr">
        <is>
          <t>eindhoven</t>
        </is>
      </c>
      <c r="C349" s="29" t="inlineStr">
        <is>
          <t>Home | De Fabriek Eindhoven</t>
        </is>
      </c>
      <c r="D349" s="29" t="inlineStr">
        <is>
          <t>www.defabriekeindhoven.com</t>
        </is>
      </c>
      <c r="E349" s="29" t="inlineStr">
        <is>
          <t>https://www.defabriekeindhoven.com/en/home</t>
        </is>
      </c>
      <c r="F349" s="49" t="n">
        <v>46317</v>
      </c>
      <c r="G349" s="29" t="inlineStr">
        <is>
          <t>eindhoven:kesif</t>
        </is>
      </c>
      <c r="H349" s="29" t="inlineStr">
        <is>
          <t>mekan editor ek kaynak (Mekânlar.m1.jsonl,m1.jsonl)</t>
        </is>
      </c>
      <c r="I349" s="29" t="inlineStr">
        <is>
          <t>Evet</t>
        </is>
      </c>
      <c r="J349" s="29" t="inlineStr">
        <is>
          <t>Lisans kanıtları/kaynaklar/2406de962bfd3b2df33b18f085bbd65110291e133b9b31d67c60ce574a5a183e.html</t>
        </is>
      </c>
      <c r="K349" s="29" t="inlineStr">
        <is>
          <t>2406de962bfd3b2df33b18f085bbd65110291e133b9b31d67c60ce574a5a183e</t>
        </is>
      </c>
    </row>
    <row r="350" ht="54" customHeight="1">
      <c r="A350" s="29" t="inlineStr">
        <is>
          <t>eindhoven:kaynak:349</t>
        </is>
      </c>
      <c r="B350" s="29" t="inlineStr">
        <is>
          <t>eindhoven</t>
        </is>
      </c>
      <c r="C350" s="29" t="inlineStr">
        <is>
          <t>BioArt Laboratories | About</t>
        </is>
      </c>
      <c r="D350" s="29" t="inlineStr">
        <is>
          <t>bioartlab.com</t>
        </is>
      </c>
      <c r="E350" s="29" t="inlineStr">
        <is>
          <t>https://bioartlab.com/about/</t>
        </is>
      </c>
      <c r="F350" s="49" t="n">
        <v>46317</v>
      </c>
      <c r="G350" s="29" t="inlineStr">
        <is>
          <t>eindhoven:kesif</t>
        </is>
      </c>
      <c r="H350" s="29" t="inlineStr">
        <is>
          <t>mekan editor ek kaynak (Mekânlar.m1.jsonl,m1.jsonl)</t>
        </is>
      </c>
      <c r="I350" s="29" t="inlineStr">
        <is>
          <t>Evet</t>
        </is>
      </c>
      <c r="J350" s="29" t="inlineStr">
        <is>
          <t>Lisans kanıtları/kaynaklar/02a828997a630cef5ff6658e8e10f7f5809452a5c49686b51fe81617d816b475.html</t>
        </is>
      </c>
      <c r="K350" s="29" t="inlineStr">
        <is>
          <t>02a828997a630cef5ff6658e8e10f7f5809452a5c49686b51fe81617d816b475</t>
        </is>
      </c>
    </row>
    <row r="351" ht="54" customHeight="1">
      <c r="A351" s="29" t="inlineStr">
        <is>
          <t>eindhoven:kaynak:350</t>
        </is>
      </c>
      <c r="B351" s="29" t="inlineStr">
        <is>
          <t>eindhoven</t>
        </is>
      </c>
      <c r="C351" s="29" t="inlineStr">
        <is>
          <t>ABOUT | Koelhuis Eindhoven</t>
        </is>
      </c>
      <c r="D351" s="29" t="inlineStr">
        <is>
          <t>www.koelhuiseindhoven.nl</t>
        </is>
      </c>
      <c r="E351" s="29" t="inlineStr">
        <is>
          <t>https://www.koelhuiseindhoven.nl/about-koelhuis-eindhoven</t>
        </is>
      </c>
      <c r="F351" s="49" t="n">
        <v>46317</v>
      </c>
      <c r="G351" s="29" t="inlineStr">
        <is>
          <t>eindhoven:kesif</t>
        </is>
      </c>
      <c r="H351" s="29" t="inlineStr">
        <is>
          <t>mekan editor ek kaynak (Mekânlar.m1.jsonl,m1.jsonl)</t>
        </is>
      </c>
      <c r="I351" s="29" t="inlineStr">
        <is>
          <t>Evet</t>
        </is>
      </c>
      <c r="J351" s="29" t="inlineStr">
        <is>
          <t>Lisans kanıtları/kaynaklar/161b3efb6ad6c3917aedce49bb6c4b2836c87c414f78d23b24a536bf19944c43.html</t>
        </is>
      </c>
      <c r="K351" s="29" t="inlineStr">
        <is>
          <t>161b3efb6ad6c3917aedce49bb6c4b2836c87c414f78d23b24a536bf19944c43</t>
        </is>
      </c>
    </row>
    <row r="352" ht="54" customHeight="1">
      <c r="A352" s="29" t="inlineStr">
        <is>
          <t>eindhoven:kaynak:351</t>
        </is>
      </c>
      <c r="B352" s="29" t="inlineStr">
        <is>
          <t>eindhoven</t>
        </is>
      </c>
      <c r="C352" s="29" t="inlineStr">
        <is>
          <t>EVENTS | Koelhuis Eindhoven</t>
        </is>
      </c>
      <c r="D352" s="29" t="inlineStr">
        <is>
          <t>www.koelhuiseindhoven.nl</t>
        </is>
      </c>
      <c r="E352" s="29" t="inlineStr">
        <is>
          <t>https://www.koelhuiseindhoven.nl/events-at-koelhuis</t>
        </is>
      </c>
      <c r="F352" s="49" t="n">
        <v>46317</v>
      </c>
      <c r="G352" s="29" t="inlineStr">
        <is>
          <t>eindhoven:kesif</t>
        </is>
      </c>
      <c r="H352" s="29" t="inlineStr">
        <is>
          <t>mekan editor ek kaynak (Mekânlar.m1.jsonl,m1.jsonl)</t>
        </is>
      </c>
      <c r="I352" s="29" t="inlineStr">
        <is>
          <t>Evet</t>
        </is>
      </c>
      <c r="J352" s="29" t="inlineStr">
        <is>
          <t>Lisans kanıtları/kaynaklar/27402090a363bbffb52f8165340e0ce4f273267243a529d0049ff7ff208f428e.html</t>
        </is>
      </c>
      <c r="K352" s="29" t="inlineStr">
        <is>
          <t>27402090a363bbffb52f8165340e0ce4f273267243a529d0049ff7ff208f428e</t>
        </is>
      </c>
    </row>
    <row r="353" ht="54" customHeight="1">
      <c r="A353" s="29" t="inlineStr">
        <is>
          <t>eindhoven:kaynak:352</t>
        </is>
      </c>
      <c r="B353" s="29" t="inlineStr">
        <is>
          <t>eindhoven</t>
        </is>
      </c>
      <c r="C353" s="29" t="inlineStr">
        <is>
          <t>Brouwerij Het Veem | This is Eindhoven</t>
        </is>
      </c>
      <c r="D353" s="29" t="inlineStr">
        <is>
          <t>www.thisiseindhoven.com</t>
        </is>
      </c>
      <c r="E353" s="29" t="inlineStr">
        <is>
          <t>https://www.thisiseindhoven.com/en/locations/brouwerij-het-veem</t>
        </is>
      </c>
      <c r="F353" s="49" t="n">
        <v>46317</v>
      </c>
      <c r="G353" s="29" t="inlineStr">
        <is>
          <t>eindhoven:kesif</t>
        </is>
      </c>
      <c r="H353" s="29" t="inlineStr">
        <is>
          <t>mekan editor ek kaynak (Mekânlar.m4.jsonl,m4.jsonl)</t>
        </is>
      </c>
      <c r="I353" s="29" t="inlineStr">
        <is>
          <t>Evet</t>
        </is>
      </c>
      <c r="J353" s="29" t="inlineStr">
        <is>
          <t>Lisans kanıtları/kaynaklar/f1c8ff96cf3b49352c939d70987f076e5847a54ef6e19416ff701460fdff1e28.html</t>
        </is>
      </c>
      <c r="K353" s="29" t="inlineStr">
        <is>
          <t>f1c8ff96cf3b49352c939d70987f076e5847a54ef6e19416ff701460fdff1e28</t>
        </is>
      </c>
    </row>
    <row r="354" ht="54" customHeight="1">
      <c r="A354" s="29" t="inlineStr">
        <is>
          <t>eindhoven:kaynak:353</t>
        </is>
      </c>
      <c r="B354" s="29" t="inlineStr">
        <is>
          <t>eindhoven</t>
        </is>
      </c>
      <c r="C354" s="29" t="inlineStr">
        <is>
          <t>Grand Café De Lichttoren | Eindhoven</t>
        </is>
      </c>
      <c r="D354" s="29" t="inlineStr">
        <is>
          <t>delichttoren.nl</t>
        </is>
      </c>
      <c r="E354" s="29" t="inlineStr">
        <is>
          <t>https://delichttoren.nl/</t>
        </is>
      </c>
      <c r="F354" s="49" t="n">
        <v>46317</v>
      </c>
      <c r="G354" s="29" t="inlineStr">
        <is>
          <t>eindhoven:kesif</t>
        </is>
      </c>
      <c r="H354" s="29" t="inlineStr">
        <is>
          <t>mekan editor ek kaynak (Mekânlar.m4.jsonl,m4.jsonl)</t>
        </is>
      </c>
      <c r="I354" s="29" t="inlineStr">
        <is>
          <t>Evet</t>
        </is>
      </c>
      <c r="J354" s="29" t="inlineStr">
        <is>
          <t>Lisans kanıtları/kaynaklar/f70eea8d590e0386fc4c0644ee1e7468b3279a974ae025e72c6a26b3e037fc0f.html</t>
        </is>
      </c>
      <c r="K354" s="29" t="inlineStr">
        <is>
          <t>f70eea8d590e0386fc4c0644ee1e7468b3279a974ae025e72c6a26b3e037fc0f</t>
        </is>
      </c>
    </row>
    <row r="355" ht="54" customHeight="1">
      <c r="A355" s="29" t="inlineStr">
        <is>
          <t>eindhoven:kaynak:354</t>
        </is>
      </c>
      <c r="B355" s="29" t="inlineStr">
        <is>
          <t>eindhoven</t>
        </is>
      </c>
      <c r="C355" s="29" t="inlineStr">
        <is>
          <t>Boutique klooster hotel centrum Eindhoven - Hotel Mariënhage</t>
        </is>
      </c>
      <c r="D355" s="29" t="inlineStr">
        <is>
          <t>www.marienhage.com</t>
        </is>
      </c>
      <c r="E355" s="29" t="inlineStr">
        <is>
          <t>https://www.marienhage.com/</t>
        </is>
      </c>
      <c r="F355" s="49" t="n">
        <v>46317</v>
      </c>
      <c r="G355" s="29" t="inlineStr">
        <is>
          <t>eindhoven:kesif</t>
        </is>
      </c>
      <c r="H355" s="29" t="inlineStr">
        <is>
          <t>mekan editor ek kaynak (Mekânlar.m4.jsonl,m4.jsonl)</t>
        </is>
      </c>
      <c r="I355" s="29" t="inlineStr">
        <is>
          <t>Evet</t>
        </is>
      </c>
      <c r="J355" s="29" t="inlineStr">
        <is>
          <t>Lisans kanıtları/kaynaklar/edc64eec9b4d35206fd1773b7637e5afa8e94b2a8c1aa489ad0db8e441a115a8.html</t>
        </is>
      </c>
      <c r="K355" s="29" t="inlineStr">
        <is>
          <t>edc64eec9b4d35206fd1773b7637e5afa8e94b2a8c1aa489ad0db8e441a115a8</t>
        </is>
      </c>
    </row>
    <row r="356" ht="54" customHeight="1">
      <c r="A356" s="29" t="inlineStr">
        <is>
          <t>eindhoven:kaynak:355</t>
        </is>
      </c>
      <c r="B356" s="29" t="inlineStr">
        <is>
          <t>eindhoven</t>
        </is>
      </c>
      <c r="C356" s="29" t="inlineStr">
        <is>
          <t>Hart van Eindhoven — Uitje in een kerk in Eindhoven</t>
        </is>
      </c>
      <c r="D356" s="29" t="inlineStr">
        <is>
          <t>www.hartvaneindhoven.nl</t>
        </is>
      </c>
      <c r="E356" s="29" t="inlineStr">
        <is>
          <t>https://www.hartvaneindhoven.nl/</t>
        </is>
      </c>
      <c r="F356" s="49" t="n">
        <v>46317</v>
      </c>
      <c r="G356" s="29" t="inlineStr">
        <is>
          <t>eindhoven:kesif</t>
        </is>
      </c>
      <c r="H356" s="29" t="inlineStr">
        <is>
          <t>mekan editor ek kaynak (Mekânlar.m4.jsonl,m4.jsonl)</t>
        </is>
      </c>
      <c r="I356" s="29" t="inlineStr">
        <is>
          <t>Evet</t>
        </is>
      </c>
      <c r="J356" s="29" t="inlineStr">
        <is>
          <t>Lisans kanıtları/kaynaklar/dad2c9bd4bbacd006682055b147374d2680bf4fe6a0fbbffb5cc5d18b51a716a.html</t>
        </is>
      </c>
      <c r="K356" s="29" t="inlineStr">
        <is>
          <t>dad2c9bd4bbacd006682055b147374d2680bf4fe6a0fbbffb5cc5d18b51a716a</t>
        </is>
      </c>
    </row>
    <row r="357" ht="54" customHeight="1">
      <c r="A357" s="29" t="inlineStr">
        <is>
          <t>eindhoven:kaynak:356</t>
        </is>
      </c>
      <c r="B357" s="29" t="inlineStr">
        <is>
          <t>eindhoven</t>
        </is>
      </c>
      <c r="C357" s="29" t="inlineStr">
        <is>
          <t>The House – Van Abbehuis</t>
        </is>
      </c>
      <c r="D357" s="29" t="inlineStr">
        <is>
          <t>Van Abbehuis (Stichting AVA)</t>
        </is>
      </c>
      <c r="E357" s="29" t="inlineStr">
        <is>
          <t>https://vanabbehuis.com/the-house/</t>
        </is>
      </c>
      <c r="F357" s="49" t="n">
        <v>46317</v>
      </c>
      <c r="G357" s="29" t="inlineStr">
        <is>
          <t>eindhoven:kesif</t>
        </is>
      </c>
      <c r="H357" s="29" t="inlineStr">
        <is>
          <t>Van Abbehuis resmî sitesi: Bilderdijklaan 19'daki 1919 tarihli Van Abbe villası, 2026 yenilemesi, geçici adres Stadhuisplein 3, açılış saatleri</t>
        </is>
      </c>
      <c r="I357" s="29" t="inlineStr">
        <is>
          <t>Evet</t>
        </is>
      </c>
      <c r="J357" s="29" t="inlineStr">
        <is>
          <t>Lisans kanıtları/kaynaklar/c6f757aed39763403566fc89a51db668c6267b0ab76e0d064d3f061745c77b70.html</t>
        </is>
      </c>
      <c r="K357" s="29" t="inlineStr">
        <is>
          <t>c6f757aed39763403566fc89a51db668c6267b0ab76e0d064d3f061745c77b70</t>
        </is>
      </c>
    </row>
    <row r="358" ht="54" customHeight="1">
      <c r="A358" s="29" t="inlineStr">
        <is>
          <t>eindhoven:kaynak:357</t>
        </is>
      </c>
      <c r="B358" s="29" t="inlineStr">
        <is>
          <t>eindhoven</t>
        </is>
      </c>
      <c r="C358" s="29" t="inlineStr">
        <is>
          <t>OOT – Van Abbehuis</t>
        </is>
      </c>
      <c r="D358" s="29" t="inlineStr">
        <is>
          <t>Van Abbehuis (Stichting AVA)</t>
        </is>
      </c>
      <c r="E358" s="29" t="inlineStr">
        <is>
          <t>https://vanabbehuis.com/exhibition/oot/</t>
        </is>
      </c>
      <c r="F358" s="49" t="n">
        <v>46317</v>
      </c>
      <c r="G358" s="29" t="inlineStr">
        <is>
          <t>eindhoven:kesif</t>
        </is>
      </c>
      <c r="H358" s="29" t="inlineStr">
        <is>
          <t>Van Abbehuis resmî sitesi: geçici adresin katı (3rd floor) ve DDW 2026 sergisinin Stadhuisplein 3'te açılışı</t>
        </is>
      </c>
      <c r="I358" s="29" t="inlineStr">
        <is>
          <t>Evet</t>
        </is>
      </c>
      <c r="J358" s="29" t="inlineStr">
        <is>
          <t>Lisans kanıtları/kaynaklar/72ab53ea192992f00df20dfd070705b76624befcf4e4ae2f11372ee09403134b.html</t>
        </is>
      </c>
      <c r="K358" s="29" t="inlineStr">
        <is>
          <t>72ab53ea192992f00df20dfd070705b76624befcf4e4ae2f11372ee09403134b</t>
        </is>
      </c>
    </row>
    <row r="359" ht="54" customHeight="1">
      <c r="A359" s="29" t="inlineStr">
        <is>
          <t>eindhoven:kaynak:358</t>
        </is>
      </c>
      <c r="B359" s="29" t="inlineStr">
        <is>
          <t>eindhoven</t>
        </is>
      </c>
      <c r="C359" s="29" t="inlineStr">
        <is>
          <t>Wij zijn weer open, kom jij weer lekker schaatsen?</t>
        </is>
      </c>
      <c r="D359" s="29" t="inlineStr">
        <is>
          <t>Sportfondsen IJssportcentrum Eindhoven</t>
        </is>
      </c>
      <c r="E359" s="29" t="inlineStr">
        <is>
          <t>https://ijssportcentrumeindhoven.sportfondsen.nl/nieuws-ijssportcentrum-eindhoven/wij-zijn-gesloten-het-ijssportcentrum-gaat-open-op-17-oktober-2026/</t>
        </is>
      </c>
      <c r="F359" s="49" t="n">
        <v>46317</v>
      </c>
      <c r="G359" s="29" t="inlineStr">
        <is>
          <t>eindhoven:kesif</t>
        </is>
      </c>
      <c r="H359" s="29" t="inlineStr">
        <is>
          <t>IJssportcentrum Eindhoven yeniden açılış haberi: 17 Ekim 2026'da yeni buz sezonu</t>
        </is>
      </c>
      <c r="I359" s="29" t="inlineStr">
        <is>
          <t>Evet</t>
        </is>
      </c>
      <c r="J359" s="29" t="inlineStr">
        <is>
          <t>Lisans kanıtları/kaynaklar/4c8209548414b423c08a87a492969aa8722bcd0b88e25b3203213af3c87e1f07.html</t>
        </is>
      </c>
      <c r="K359" s="29" t="inlineStr">
        <is>
          <t>4c8209548414b423c08a87a492969aa8722bcd0b88e25b3203213af3c87e1f07</t>
        </is>
      </c>
    </row>
    <row r="360" ht="54" customHeight="1">
      <c r="A360" s="29" t="inlineStr">
        <is>
          <t>eindhoven:kaynak:359</t>
        </is>
      </c>
      <c r="B360" s="29" t="inlineStr">
        <is>
          <t>eindhoven</t>
        </is>
      </c>
      <c r="C360" s="29" t="inlineStr">
        <is>
          <t>Victoriapark | OpenEindhoven</t>
        </is>
      </c>
      <c r="D360" s="29" t="inlineStr">
        <is>
          <t>www.openeindhoven.nl</t>
        </is>
      </c>
      <c r="E360" s="29" t="inlineStr">
        <is>
          <t>https://www.openeindhoven.nl/projecten/centrum/emmasingelkwadrant/victoriapark</t>
        </is>
      </c>
      <c r="F360" s="49" t="n">
        <v>46317</v>
      </c>
      <c r="G360" s="29" t="inlineStr">
        <is>
          <t>eindhoven:kesif</t>
        </is>
      </c>
      <c r="H360" s="29" t="inlineStr">
        <is>
          <t>Victoriapark (Doğa ve açık hava): gemeente proje sayfası; konum ve 2026 yazından beri büyük ölçüde açık</t>
        </is>
      </c>
      <c r="I360" s="29" t="inlineStr">
        <is>
          <t>Evet</t>
        </is>
      </c>
      <c r="J360" s="29" t="inlineStr">
        <is>
          <t>Lisans kanıtları/kaynaklar/3814b1e92d9285dbfd1c1eb2cba22efc173f8d21559f69ba949d9ebf5f0ef46d.html</t>
        </is>
      </c>
      <c r="K360" s="29" t="inlineStr">
        <is>
          <t>3814b1e92d9285dbfd1c1eb2cba22efc173f8d21559f69ba949d9ebf5f0ef46d</t>
        </is>
      </c>
    </row>
    <row r="361" ht="54" customHeight="1">
      <c r="A361" s="29" t="inlineStr">
        <is>
          <t>eindhoven:kaynak:360</t>
        </is>
      </c>
      <c r="B361" s="29" t="inlineStr">
        <is>
          <t>eindhoven</t>
        </is>
      </c>
      <c r="C361" s="29" t="inlineStr">
        <is>
          <t>Wandel over het Breinpad op Landgoed de Grote Beek | GGzE</t>
        </is>
      </c>
      <c r="D361" s="29" t="inlineStr">
        <is>
          <t>www.ggze.nl</t>
        </is>
      </c>
      <c r="E361" s="29" t="inlineStr">
        <is>
          <t>https://www.ggze.nl/ggze-in-beeld/2022-01-wandel-over-het-breinpad-op-landgoed-de-grote-beek</t>
        </is>
      </c>
      <c r="F361" s="49" t="n">
        <v>46317</v>
      </c>
      <c r="G361" s="29" t="inlineStr">
        <is>
          <t>eindhoven:kesif</t>
        </is>
      </c>
      <c r="H361" s="29" t="inlineStr">
        <is>
          <t>Landgoed De Grote Beek (Doğa ve açık hava): GGzE sayfası; landgoed üzerindeki 4 km'lik Breinpad yürüyüşü</t>
        </is>
      </c>
      <c r="I361" s="29" t="inlineStr">
        <is>
          <t>Evet</t>
        </is>
      </c>
      <c r="J361" s="29" t="inlineStr">
        <is>
          <t>Lisans kanıtları/kaynaklar/ec28fec6c36a2fb1c1a691b0ef8ded3ffd39eae7040fdfc710a0d5cd191e3439.html</t>
        </is>
      </c>
      <c r="K361" s="29" t="inlineStr">
        <is>
          <t>ec28fec6c36a2fb1c1a691b0ef8ded3ffd39eae7040fdfc710a0d5cd191e3439</t>
        </is>
      </c>
    </row>
    <row r="362" ht="54" customHeight="1">
      <c r="A362" s="29" t="inlineStr">
        <is>
          <t>eindhoven:kaynak:361</t>
        </is>
      </c>
      <c r="B362" s="29" t="inlineStr">
        <is>
          <t>eindhoven</t>
        </is>
      </c>
      <c r="C362" s="29" t="inlineStr">
        <is>
          <t>Boswerkzaamheden Stratumse Heide en vervangen riool zuid » Brabantslandschap.nl</t>
        </is>
      </c>
      <c r="D362" s="29" t="inlineStr">
        <is>
          <t>www.brabantslandschap.nl</t>
        </is>
      </c>
      <c r="E362" s="29" t="inlineStr">
        <is>
          <t>https://www.brabantslandschap.nl/projecten/boswerkzaamheden-stratumse-heide</t>
        </is>
      </c>
      <c r="F362" s="49" t="n">
        <v>46317</v>
      </c>
      <c r="G362" s="29" t="inlineStr">
        <is>
          <t>eindhoven:kesif</t>
        </is>
      </c>
      <c r="H362" s="29" t="inlineStr">
        <is>
          <t>Stratumse Heide (Doğa ve açık hava): yönetici Brabants Landschap sayfası; konum ve ziyaretçi erişimi</t>
        </is>
      </c>
      <c r="I362" s="29" t="inlineStr">
        <is>
          <t>Evet</t>
        </is>
      </c>
      <c r="J362" s="29" t="inlineStr">
        <is>
          <t>Lisans kanıtları/kaynaklar/46268360a118d61df13e357a4a04f914b3c6fe65854997805327591e004ebb0f.html</t>
        </is>
      </c>
      <c r="K362" s="29" t="inlineStr">
        <is>
          <t>46268360a118d61df13e357a4a04f914b3c6fe65854997805327591e004ebb0f</t>
        </is>
      </c>
    </row>
    <row r="363" ht="54" customHeight="1">
      <c r="A363" s="29" t="inlineStr">
        <is>
          <t>eindhoven:kaynak:362</t>
        </is>
      </c>
      <c r="B363" s="29" t="inlineStr">
        <is>
          <t>eindhoven</t>
        </is>
      </c>
      <c r="C363" s="29" t="inlineStr">
        <is>
          <t>Het park</t>
        </is>
      </c>
      <c r="D363" s="29" t="inlineStr">
        <is>
          <t>www.parkmeerland.nl</t>
        </is>
      </c>
      <c r="E363" s="29" t="inlineStr">
        <is>
          <t>https://www.parkmeerland.nl/index.php/park/over-het-park</t>
        </is>
      </c>
      <c r="F363" s="49" t="n">
        <v>46317</v>
      </c>
      <c r="G363" s="29" t="inlineStr">
        <is>
          <t>eindhoven:kesif</t>
        </is>
      </c>
      <c r="H363" s="29" t="inlineStr">
        <is>
          <t>Park Meerland (Doğa ve açık hava): Stichting Beheer Park Meerland sitesi; konum ve park düzeni</t>
        </is>
      </c>
      <c r="I363" s="29" t="inlineStr">
        <is>
          <t>Evet</t>
        </is>
      </c>
      <c r="J363" s="29" t="inlineStr">
        <is>
          <t>Lisans kanıtları/kaynaklar/93a7d8bd19ad8923b8a873b921a1b67ad24a8603579605e2143371705efe18bd.html</t>
        </is>
      </c>
      <c r="K363" s="29" t="inlineStr">
        <is>
          <t>93a7d8bd19ad8923b8a873b921a1b67ad24a8603579605e2143371705efe18bd</t>
        </is>
      </c>
    </row>
    <row r="364" ht="54" customHeight="1">
      <c r="A364" s="29" t="inlineStr">
        <is>
          <t>eindhoven:kaynak:363</t>
        </is>
      </c>
      <c r="B364" s="29" t="inlineStr">
        <is>
          <t>eindhoven</t>
        </is>
      </c>
      <c r="C364" s="29" t="inlineStr">
        <is>
          <t>Geschiedenis</t>
        </is>
      </c>
      <c r="D364" s="29" t="inlineStr">
        <is>
          <t>www.inkijkmuseum.nl</t>
        </is>
      </c>
      <c r="E364" s="29" t="inlineStr">
        <is>
          <t>https://www.inkijkmuseum.nl/nl/geschiedenis</t>
        </is>
      </c>
      <c r="F364" s="49" t="n">
        <v>46317</v>
      </c>
      <c r="G364" s="29" t="inlineStr">
        <is>
          <t>eindhoven:kesif</t>
        </is>
      </c>
      <c r="H364" s="29" t="inlineStr">
        <is>
          <t>Inkijkmuseum (Müzeler): müzenin kendi sitesi; Dommelstraat'taki Spoelhuis ve müze geçmişi</t>
        </is>
      </c>
      <c r="I364" s="29" t="inlineStr">
        <is>
          <t>Evet</t>
        </is>
      </c>
      <c r="J364" s="29" t="inlineStr">
        <is>
          <t>Lisans kanıtları/kaynaklar/9c87efb21bb951b746341e8bfa83cbf8df34dcab04337377e735f581d74ef079.html</t>
        </is>
      </c>
      <c r="K364" s="29" t="inlineStr">
        <is>
          <t>9c87efb21bb951b746341e8bfa83cbf8df34dcab04337377e735f581d74ef079</t>
        </is>
      </c>
    </row>
    <row r="365" ht="54" customHeight="1">
      <c r="A365" s="29" t="inlineStr">
        <is>
          <t>eindhoven:kaynak:364</t>
        </is>
      </c>
      <c r="B365" s="29" t="inlineStr">
        <is>
          <t>eindhoven</t>
        </is>
      </c>
      <c r="C365" s="29" t="inlineStr">
        <is>
          <t>De Vooruitgang Eindhoven | Restaurant, Café &amp; Terras</t>
        </is>
      </c>
      <c r="D365" s="29" t="inlineStr">
        <is>
          <t>www.de-vooruitgang.nl</t>
        </is>
      </c>
      <c r="E365" s="29" t="inlineStr">
        <is>
          <t>https://www.de-vooruitgang.nl/nl/</t>
        </is>
      </c>
      <c r="F365" s="49" t="n">
        <v>46317</v>
      </c>
      <c r="G365" s="29" t="inlineStr">
        <is>
          <t>eindhoven:kesif</t>
        </is>
      </c>
      <c r="H365" s="29" t="inlineStr">
        <is>
          <t>De Vooruitgang (Yeme ve içme): kendi sitesi; adres ve açılış saatleri</t>
        </is>
      </c>
      <c r="I365" s="29" t="inlineStr">
        <is>
          <t>Evet</t>
        </is>
      </c>
      <c r="J365" s="29" t="inlineStr">
        <is>
          <t>Lisans kanıtları/kaynaklar/1edabed4a594cf58c5c43cda1522f71f177f66eebd0563e05868c0b44ef6f457.html</t>
        </is>
      </c>
      <c r="K365" s="29" t="inlineStr">
        <is>
          <t>1edabed4a594cf58c5c43cda1522f71f177f66eebd0563e05868c0b44ef6f457</t>
        </is>
      </c>
    </row>
    <row r="366" ht="54" customHeight="1">
      <c r="A366" s="29" t="inlineStr">
        <is>
          <t>eindhoven:kaynak:365</t>
        </is>
      </c>
      <c r="B366" s="29" t="inlineStr">
        <is>
          <t>eindhoven</t>
        </is>
      </c>
      <c r="C366" s="29" t="inlineStr">
        <is>
          <t>De Wildeman</t>
        </is>
      </c>
      <c r="D366" s="29" t="inlineStr">
        <is>
          <t>wildemaneindhoven.nl</t>
        </is>
      </c>
      <c r="E366" s="29" t="inlineStr">
        <is>
          <t>https://wildemaneindhoven.nl/</t>
        </is>
      </c>
      <c r="F366" s="49" t="n">
        <v>46317</v>
      </c>
      <c r="G366" s="29" t="inlineStr">
        <is>
          <t>eindhoven:kesif</t>
        </is>
      </c>
      <c r="H366" s="29" t="inlineStr">
        <is>
          <t>Grand Café De Wildeman (Yeme ve içme): kendi sitesi; Markt'taki adres</t>
        </is>
      </c>
      <c r="I366" s="29" t="inlineStr">
        <is>
          <t>Evet</t>
        </is>
      </c>
      <c r="J366" s="29" t="inlineStr">
        <is>
          <t>Lisans kanıtları/kaynaklar/c6acc5c81d343281e9f2cf366f1217aae22266664c62cf0d5a5a30d7d6efe349.html</t>
        </is>
      </c>
      <c r="K366" s="29" t="inlineStr">
        <is>
          <t>c6acc5c81d343281e9f2cf366f1217aae22266664c62cf0d5a5a30d7d6efe349</t>
        </is>
      </c>
    </row>
    <row r="367" ht="54" customHeight="1">
      <c r="A367" s="29" t="inlineStr">
        <is>
          <t>eindhoven:kaynak:366</t>
        </is>
      </c>
      <c r="B367" s="29" t="inlineStr">
        <is>
          <t>eindhoven</t>
        </is>
      </c>
      <c r="C367" s="29" t="inlineStr">
        <is>
          <t>Restaurant 1910 Eindhoven</t>
        </is>
      </c>
      <c r="D367" s="29" t="inlineStr">
        <is>
          <t>www.1910.nl</t>
        </is>
      </c>
      <c r="E367" s="29" t="inlineStr">
        <is>
          <t>https://www.1910.nl/</t>
        </is>
      </c>
      <c r="F367" s="49" t="n">
        <v>46317</v>
      </c>
      <c r="G367" s="29" t="inlineStr">
        <is>
          <t>eindhoven:kesif</t>
        </is>
      </c>
      <c r="H367" s="29" t="inlineStr">
        <is>
          <t>Restaurant 1910 (Yeme ve içme): kendi sitesi; adres ve mutfak saatleri</t>
        </is>
      </c>
      <c r="I367" s="29" t="inlineStr">
        <is>
          <t>Evet</t>
        </is>
      </c>
      <c r="J367" s="29" t="inlineStr">
        <is>
          <t>Lisans kanıtları/kaynaklar/abf962c59c278372fccd8274c84bfe33499345a674e1d6e4ce2b0639f165c94e.html</t>
        </is>
      </c>
      <c r="K367" s="29" t="inlineStr">
        <is>
          <t>abf962c59c278372fccd8274c84bfe33499345a674e1d6e4ce2b0639f165c94e</t>
        </is>
      </c>
    </row>
    <row r="368" ht="54" customHeight="1">
      <c r="A368" s="29" t="inlineStr">
        <is>
          <t>eindhoven:kaynak:367</t>
        </is>
      </c>
      <c r="B368" s="29" t="inlineStr">
        <is>
          <t>eindhoven</t>
        </is>
      </c>
      <c r="C368" s="29" t="inlineStr">
        <is>
          <t>Contact | Brasserie Bellevue Eindhoven</t>
        </is>
      </c>
      <c r="D368" s="29" t="inlineStr">
        <is>
          <t>brasseriebellevue.nl</t>
        </is>
      </c>
      <c r="E368" s="29" t="inlineStr">
        <is>
          <t>https://brasseriebellevue.nl/contact/</t>
        </is>
      </c>
      <c r="F368" s="49" t="n">
        <v>46317</v>
      </c>
      <c r="G368" s="29" t="inlineStr">
        <is>
          <t>eindhoven:kesif</t>
        </is>
      </c>
      <c r="H368" s="29" t="inlineStr">
        <is>
          <t>Brasserie Bellevue (Yeme ve içme): kendi sitesi; adres ve açılış saatleri</t>
        </is>
      </c>
      <c r="I368" s="29" t="inlineStr">
        <is>
          <t>Evet</t>
        </is>
      </c>
      <c r="J368" s="29" t="inlineStr">
        <is>
          <t>Lisans kanıtları/kaynaklar/222c70f8401315ec184a18cb01638ac0860ec9559890cafef7cefc08e629e413.html</t>
        </is>
      </c>
      <c r="K368" s="29" t="inlineStr">
        <is>
          <t>222c70f8401315ec184a18cb01638ac0860ec9559890cafef7cefc08e629e413</t>
        </is>
      </c>
    </row>
    <row r="369" ht="54" customHeight="1">
      <c r="A369" s="29" t="inlineStr">
        <is>
          <t>eindhoven:kaynak:368</t>
        </is>
      </c>
      <c r="B369" s="29" t="inlineStr">
        <is>
          <t>eindhoven</t>
        </is>
      </c>
      <c r="C369" s="29" t="inlineStr">
        <is>
          <t>Café Barolo Eindhoven</t>
        </is>
      </c>
      <c r="D369" s="29" t="inlineStr">
        <is>
          <t>cafebarolo.nl</t>
        </is>
      </c>
      <c r="E369" s="29" t="inlineStr">
        <is>
          <t>https://cafebarolo.nl/</t>
        </is>
      </c>
      <c r="F369" s="49" t="n">
        <v>46317</v>
      </c>
      <c r="G369" s="29" t="inlineStr">
        <is>
          <t>eindhoven:kesif</t>
        </is>
      </c>
      <c r="H369" s="29" t="inlineStr">
        <is>
          <t>Café Barolo (Yeme ve içme): kendi sitesi; adres ve açılış saatleri</t>
        </is>
      </c>
      <c r="I369" s="29" t="inlineStr">
        <is>
          <t>Evet</t>
        </is>
      </c>
      <c r="J369" s="29" t="inlineStr">
        <is>
          <t>Lisans kanıtları/kaynaklar/90cdadaec372e8959deb3ea29fcd0d2f319f7c2e27cc694e12b711257aeabbdf.html</t>
        </is>
      </c>
      <c r="K369" s="29" t="inlineStr">
        <is>
          <t>90cdadaec372e8959deb3ea29fcd0d2f319f7c2e27cc694e12b711257aeabbdf</t>
        </is>
      </c>
    </row>
    <row r="370" ht="54" customHeight="1">
      <c r="A370" s="29" t="inlineStr">
        <is>
          <t>eindhoven:kaynak:369</t>
        </is>
      </c>
      <c r="B370" s="29" t="inlineStr">
        <is>
          <t>eindhoven</t>
        </is>
      </c>
      <c r="C370" s="29" t="inlineStr">
        <is>
          <t>Gaper | Proeflokaal | Eetkamer</t>
        </is>
      </c>
      <c r="D370" s="29" t="inlineStr">
        <is>
          <t>www.gaper.nl</t>
        </is>
      </c>
      <c r="E370" s="29" t="inlineStr">
        <is>
          <t>https://www.gaper.nl/</t>
        </is>
      </c>
      <c r="F370" s="49" t="n">
        <v>46317</v>
      </c>
      <c r="G370" s="29" t="inlineStr">
        <is>
          <t>eindhoven:kesif</t>
        </is>
      </c>
      <c r="H370" s="29" t="inlineStr">
        <is>
          <t>De Gaper (Yeme ve içme): kendi sitesi; Wilhelminaplein'deki konum</t>
        </is>
      </c>
      <c r="I370" s="29" t="inlineStr">
        <is>
          <t>Evet</t>
        </is>
      </c>
      <c r="J370" s="29" t="inlineStr">
        <is>
          <t>Lisans kanıtları/kaynaklar/001bd306780d94c9661836e8a7a9bf86700eb72fff36d996dcb6d9e0f54b274e.html</t>
        </is>
      </c>
      <c r="K370" s="29" t="inlineStr">
        <is>
          <t>001bd306780d94c9661836e8a7a9bf86700eb72fff36d996dcb6d9e0f54b274e</t>
        </is>
      </c>
    </row>
    <row r="371" ht="54" customHeight="1">
      <c r="A371" s="29" t="inlineStr">
        <is>
          <t>eindhoven:kaynak:370</t>
        </is>
      </c>
      <c r="B371" s="29" t="inlineStr">
        <is>
          <t>eindhoven</t>
        </is>
      </c>
      <c r="C371" s="29" t="inlineStr">
        <is>
          <t>Over ons - Altstadt Eindhoven</t>
        </is>
      </c>
      <c r="D371" s="29" t="inlineStr">
        <is>
          <t>www.altstadt.nl</t>
        </is>
      </c>
      <c r="E371" s="29" t="inlineStr">
        <is>
          <t>https://www.altstadt.nl/over-ons/</t>
        </is>
      </c>
      <c r="F371" s="49" t="n">
        <v>46317</v>
      </c>
      <c r="G371" s="29" t="inlineStr">
        <is>
          <t>eindhoven:kesif</t>
        </is>
      </c>
      <c r="H371" s="29" t="inlineStr">
        <is>
          <t>Altstadt Eindhoven (Sahne ve müzik): konser veren müzik kafesi, kendi sitesi; adres ve açılış saatleri</t>
        </is>
      </c>
      <c r="I371" s="29" t="inlineStr">
        <is>
          <t>Evet</t>
        </is>
      </c>
      <c r="J371" s="29" t="inlineStr">
        <is>
          <t>Lisans kanıtları/kaynaklar/4ec538a77122091c5feb302b38b57f4fb9e9853989979b35e343d292539d9bca.html</t>
        </is>
      </c>
      <c r="K371" s="29" t="inlineStr">
        <is>
          <t>4ec538a77122091c5feb302b38b57f4fb9e9853989979b35e343d292539d9bca</t>
        </is>
      </c>
    </row>
    <row r="372" ht="54" customHeight="1">
      <c r="A372" s="29" t="inlineStr">
        <is>
          <t>eindhoven:kaynak:372</t>
        </is>
      </c>
      <c r="B372" s="29" t="inlineStr">
        <is>
          <t>eindhoven</t>
        </is>
      </c>
      <c r="C372" s="29" t="inlineStr">
        <is>
          <t>Rugby Club Eindhoven</t>
        </is>
      </c>
      <c r="D372" s="29" t="inlineStr">
        <is>
          <t>rugbyclubeindhoven.nl</t>
        </is>
      </c>
      <c r="E372" s="29" t="inlineStr">
        <is>
          <t>https://rugbyclubeindhoven.nl/</t>
        </is>
      </c>
      <c r="F372" s="49" t="n">
        <v>46317</v>
      </c>
      <c r="G372" s="29" t="inlineStr">
        <is>
          <t>eindhoven:kesif</t>
        </is>
      </c>
      <c r="H372" s="29" t="inlineStr">
        <is>
          <t>Rugby Club Eindhoven (Spor): kendi sitesi; Sportcomplex Eindhoven Noord'daki konum ve maç programı</t>
        </is>
      </c>
      <c r="I372" s="29" t="inlineStr">
        <is>
          <t>Evet</t>
        </is>
      </c>
      <c r="J372" s="29" t="inlineStr">
        <is>
          <t>Lisans kanıtları/kaynaklar/4c7cf4e93b622fbc6cb3937df587804b94e540dd0a1a0bbc0e948f1bd222870a.html</t>
        </is>
      </c>
      <c r="K372" s="29" t="inlineStr">
        <is>
          <t>4c7cf4e93b622fbc6cb3937df587804b94e540dd0a1a0bbc0e948f1bd222870a</t>
        </is>
      </c>
    </row>
    <row r="373" ht="54" customHeight="1">
      <c r="A373" s="29" t="inlineStr">
        <is>
          <t>eindhoven:kaynak:373</t>
        </is>
      </c>
      <c r="B373" s="29" t="inlineStr">
        <is>
          <t>eindhoven</t>
        </is>
      </c>
      <c r="C373" s="29" t="inlineStr">
        <is>
          <t>HC Oranje Rood</t>
        </is>
      </c>
      <c r="D373" s="29" t="inlineStr">
        <is>
          <t>www.hcoranje-rood.nl</t>
        </is>
      </c>
      <c r="E373" s="29" t="inlineStr">
        <is>
          <t>https://www.hcoranje-rood.nl/contact</t>
        </is>
      </c>
      <c r="F373" s="49" t="n">
        <v>46317</v>
      </c>
      <c r="G373" s="29" t="inlineStr">
        <is>
          <t>eindhoven:kesif</t>
        </is>
      </c>
      <c r="H373" s="29" t="inlineStr">
        <is>
          <t>HC Oranje-Rood (Spor): kendi sitesi; adres, yol tarifi ve otopark</t>
        </is>
      </c>
      <c r="I373" s="29" t="inlineStr">
        <is>
          <t>Evet</t>
        </is>
      </c>
      <c r="J373" s="29" t="inlineStr">
        <is>
          <t>Lisans kanıtları/kaynaklar/b8c15df218110ec6dc89c064de17b2d9163e9f759a8a5d92d2bc9a39f2e0b98c.html</t>
        </is>
      </c>
      <c r="K373" s="29" t="inlineStr">
        <is>
          <t>b8c15df218110ec6dc89c064de17b2d9163e9f759a8a5d92d2bc9a39f2e0b98c</t>
        </is>
      </c>
    </row>
    <row r="374" ht="54" customHeight="1">
      <c r="A374" s="29" t="inlineStr">
        <is>
          <t>eindhoven:kaynak:374</t>
        </is>
      </c>
      <c r="B374" s="29" t="inlineStr">
        <is>
          <t>eindhoven</t>
        </is>
      </c>
      <c r="C374" s="29" t="inlineStr">
        <is>
          <t>Contact | Cafe Wilhelmina</t>
        </is>
      </c>
      <c r="D374" s="29" t="inlineStr">
        <is>
          <t>www.cafewilhelmina.nl</t>
        </is>
      </c>
      <c r="E374" s="29" t="inlineStr">
        <is>
          <t>https://www.cafewilhelmina.nl/contact</t>
        </is>
      </c>
      <c r="F374" s="49" t="n">
        <v>46317</v>
      </c>
      <c r="G374" s="29" t="inlineStr">
        <is>
          <t>eindhoven:kesif</t>
        </is>
      </c>
      <c r="H374" s="29" t="inlineStr">
        <is>
          <t>Café Wilhelmina (Sahne ve müzik): canlı müzik kafesi, kendi sitesi; adres ve açılış saatleri</t>
        </is>
      </c>
      <c r="I374" s="29" t="inlineStr">
        <is>
          <t>Evet</t>
        </is>
      </c>
      <c r="J374" s="29" t="inlineStr">
        <is>
          <t>Lisans kanıtları/kaynaklar/54e62fb26b5b759803e76cef0658461db446494bb2101d1e14e0f03b97673ab9.html</t>
        </is>
      </c>
      <c r="K374" s="29" t="inlineStr">
        <is>
          <t>54e62fb26b5b759803e76cef0658461db446494bb2101d1e14e0f03b97673ab9</t>
        </is>
      </c>
    </row>
    <row r="375" ht="54" customHeight="1">
      <c r="A375" s="29" t="inlineStr">
        <is>
          <t>eindhoven:kaynak:375</t>
        </is>
      </c>
      <c r="B375" s="29" t="inlineStr">
        <is>
          <t>eindhoven</t>
        </is>
      </c>
      <c r="C375" s="29" t="inlineStr">
        <is>
          <t>Contactpagina - De Vooruitgang</t>
        </is>
      </c>
      <c r="D375" s="29" t="inlineStr">
        <is>
          <t>www.de-vooruitgang.nl</t>
        </is>
      </c>
      <c r="E375" s="29" t="inlineStr">
        <is>
          <t>https://www.de-vooruitgang.nl/nl/contactpagina/</t>
        </is>
      </c>
      <c r="F375" s="49" t="n">
        <v>46317</v>
      </c>
      <c r="G375" s="29" t="inlineStr">
        <is>
          <t>eindhoven:kesif</t>
        </is>
      </c>
      <c r="H375" s="29" t="inlineStr">
        <is>
          <t>De Vooruitgang (Yeme ve içme): kendi sitesinin iletişim sayfası; adres, telefon ve açılış saatleri (anasayfa yerine işlem sayfası)</t>
        </is>
      </c>
      <c r="I375" s="29" t="inlineStr">
        <is>
          <t>Evet</t>
        </is>
      </c>
      <c r="J375" s="29" t="inlineStr">
        <is>
          <t>Lisans kanıtları/kaynaklar/5ba6d16dbaaaf6f1220529f3fda076029482b5c2cd75839b0b194569a25e7b5a.html</t>
        </is>
      </c>
      <c r="K375" s="29" t="inlineStr">
        <is>
          <t>5ba6d16dbaaaf6f1220529f3fda076029482b5c2cd75839b0b194569a25e7b5a</t>
        </is>
      </c>
    </row>
    <row r="376" ht="54" customHeight="1">
      <c r="A376" s="29" t="inlineStr">
        <is>
          <t>eindhoven:kaynak:376</t>
        </is>
      </c>
      <c r="B376" s="29" t="inlineStr">
        <is>
          <t>eindhoven</t>
        </is>
      </c>
      <c r="C376" s="29" t="inlineStr">
        <is>
          <t>Contact – De Wildeman</t>
        </is>
      </c>
      <c r="D376" s="29" t="inlineStr">
        <is>
          <t>wildemaneindhoven.nl</t>
        </is>
      </c>
      <c r="E376" s="29" t="inlineStr">
        <is>
          <t>https://wildemaneindhoven.nl/contact</t>
        </is>
      </c>
      <c r="F376" s="49" t="n">
        <v>46317</v>
      </c>
      <c r="G376" s="29" t="inlineStr">
        <is>
          <t>eindhoven:kesif</t>
        </is>
      </c>
      <c r="H376" s="29" t="inlineStr">
        <is>
          <t>Grand Café De Wildeman (Yeme ve içme): kendi sitesinin iletişim sayfası; adres, telefon, açılış ve mutfak saatleri (anasayfa yerine işlem sayfası)</t>
        </is>
      </c>
      <c r="I376" s="29" t="inlineStr">
        <is>
          <t>Evet</t>
        </is>
      </c>
      <c r="J376" s="29" t="inlineStr">
        <is>
          <t>Lisans kanıtları/kaynaklar/3df470ea4354503aa8bfbf1516463cf84d6b38f014eed9937e7fbaa36613d75a.html</t>
        </is>
      </c>
      <c r="K376" s="29" t="inlineStr">
        <is>
          <t>3df470ea4354503aa8bfbf1516463cf84d6b38f014eed9937e7fbaa36613d75a</t>
        </is>
      </c>
    </row>
    <row r="377" ht="54" customHeight="1">
      <c r="A377" s="29" t="inlineStr">
        <is>
          <t>eindhoven:kaynak:377</t>
        </is>
      </c>
      <c r="B377" s="29" t="inlineStr">
        <is>
          <t>eindhoven</t>
        </is>
      </c>
      <c r="C377" s="29" t="inlineStr">
        <is>
          <t>Cultureel</t>
        </is>
      </c>
      <c r="D377" s="29" t="inlineStr">
        <is>
          <t>www.inkijkmuseum.nl</t>
        </is>
      </c>
      <c r="E377" s="29" t="inlineStr">
        <is>
          <t>https://www.inkijkmuseum.nl/nl/cultureel</t>
        </is>
      </c>
      <c r="F377" s="49" t="n">
        <v>46317</v>
      </c>
      <c r="G377" s="29" t="inlineStr">
        <is>
          <t>eindhoven:kesif</t>
        </is>
      </c>
      <c r="H377" s="29" t="inlineStr">
        <is>
          <t>Inkijkmuseum (Müzeler): müzenin kültür programı sayfası; 20 kişilik küçük etkinlikler, Wereldmaaltijd yemek programı ve 21 Haziran Fête de la Musique</t>
        </is>
      </c>
      <c r="I377" s="29" t="inlineStr">
        <is>
          <t>Evet</t>
        </is>
      </c>
      <c r="J377" s="29" t="inlineStr">
        <is>
          <t>Lisans kanıtları/kaynaklar/cb9657cd753513328b7179f5999499e56c81b867cc0521e4d47d233366a8a4e8.html</t>
        </is>
      </c>
      <c r="K377" s="29" t="inlineStr">
        <is>
          <t>cb9657cd753513328b7179f5999499e56c81b867cc0521e4d47d233366a8a4e8</t>
        </is>
      </c>
    </row>
    <row r="378" ht="54" customHeight="1">
      <c r="A378" s="29" t="inlineStr">
        <is>
          <t>eindhoven:kaynak:378</t>
        </is>
      </c>
      <c r="B378" s="29" t="inlineStr">
        <is>
          <t>eindhoven</t>
        </is>
      </c>
      <c r="C378" s="29" t="inlineStr">
        <is>
          <t>Maak een reservering voor ons Restaurant! | Gaper</t>
        </is>
      </c>
      <c r="D378" s="29" t="inlineStr">
        <is>
          <t>www.gaper.nl</t>
        </is>
      </c>
      <c r="E378" s="29" t="inlineStr">
        <is>
          <t>https://www.gaper.nl/menu/make-reservation/</t>
        </is>
      </c>
      <c r="F378" s="49" t="n">
        <v>46317</v>
      </c>
      <c r="G378" s="29" t="inlineStr">
        <is>
          <t>eindhoven:kesif</t>
        </is>
      </c>
      <c r="H378" s="29" t="inlineStr">
        <is>
          <t>De Gaper (Yeme ve içme): rezervasyon sayfası; Proeflokaal ve Eetkamer açılış günleri/saatleri, rezervasyon telefonu, grup kapasitesi</t>
        </is>
      </c>
      <c r="I378" s="29" t="inlineStr">
        <is>
          <t>Evet</t>
        </is>
      </c>
      <c r="J378" s="29" t="inlineStr">
        <is>
          <t>Lisans kanıtları/kaynaklar/0cbe28bba2bab9b232ad0a7c126c8af2102abb6c79be950b89ee512ae19bfdf9.html</t>
        </is>
      </c>
      <c r="K378" s="29" t="inlineStr">
        <is>
          <t>0cbe28bba2bab9b232ad0a7c126c8af2102abb6c79be950b89ee512ae19bfdf9</t>
        </is>
      </c>
    </row>
    <row r="379" ht="54" customHeight="1">
      <c r="A379" s="29" t="inlineStr">
        <is>
          <t>eindhoven:kaynak:379</t>
        </is>
      </c>
      <c r="B379" s="29" t="inlineStr">
        <is>
          <t>eindhoven</t>
        </is>
      </c>
      <c r="C379" s="29" t="inlineStr">
        <is>
          <t>Live muziek in Eindhoven – Café Wilhelmina aan het Wilhelminaplein</t>
        </is>
      </c>
      <c r="D379" s="29" t="inlineStr">
        <is>
          <t>www.cafewilhelmina.nl</t>
        </is>
      </c>
      <c r="E379" s="29" t="inlineStr">
        <is>
          <t>https://www.cafewilhelmina.nl</t>
        </is>
      </c>
      <c r="F379" s="49" t="n">
        <v>46317</v>
      </c>
      <c r="G379" s="29" t="inlineStr">
        <is>
          <t>eindhoven:kesif</t>
        </is>
      </c>
      <c r="H379" s="29" t="inlineStr">
        <is>
          <t>Café Wilhelmina (Sahne ve müzik): ana sayfa; 1971'den beri canlı müzik kafesi (iletişim ve ajanda sayfalarıyla birlikte)</t>
        </is>
      </c>
      <c r="I379" s="29" t="inlineStr">
        <is>
          <t>Evet</t>
        </is>
      </c>
      <c r="J379" s="29" t="inlineStr">
        <is>
          <t>Lisans kanıtları/kaynaklar/438161e5fa0bd9ed6c357b6554e9d9acda22edc868917f499d70c20a25278b72.html</t>
        </is>
      </c>
      <c r="K379" s="29" t="inlineStr">
        <is>
          <t>438161e5fa0bd9ed6c357b6554e9d9acda22edc868917f499d70c20a25278b72</t>
        </is>
      </c>
    </row>
    <row r="380" ht="54" customHeight="1">
      <c r="A380" s="29" t="inlineStr">
        <is>
          <t>eindhoven:kaynak:380</t>
        </is>
      </c>
      <c r="B380" s="29" t="inlineStr">
        <is>
          <t>eindhoven</t>
        </is>
      </c>
      <c r="C380" s="29" t="inlineStr">
        <is>
          <t>Agenda overzicht | Cafe Wilhelmina</t>
        </is>
      </c>
      <c r="D380" s="29" t="inlineStr">
        <is>
          <t>www.cafewilhelmina.nl</t>
        </is>
      </c>
      <c r="E380" s="29" t="inlineStr">
        <is>
          <t>https://www.cafewilhelmina.nl/agenda</t>
        </is>
      </c>
      <c r="F380" s="49" t="n">
        <v>46317</v>
      </c>
      <c r="G380" s="29" t="inlineStr">
        <is>
          <t>eindhoven:kesif</t>
        </is>
      </c>
      <c r="H380" s="29" t="inlineStr">
        <is>
          <t>Café Wilhelmina (Sahne ve müzik): ajanda sayfası; konser ve DJ gecesi programı, biletli konserler</t>
        </is>
      </c>
      <c r="I380" s="29" t="inlineStr">
        <is>
          <t>Evet</t>
        </is>
      </c>
      <c r="J380" s="29" t="inlineStr">
        <is>
          <t>Lisans kanıtları/kaynaklar/39852d40f0f7a524279bff608f1344fb4b5794812900601978cc564961353ed8.html</t>
        </is>
      </c>
      <c r="K380" s="29" t="inlineStr">
        <is>
          <t>39852d40f0f7a524279bff608f1344fb4b5794812900601978cc564961353ed8</t>
        </is>
      </c>
    </row>
    <row r="381" ht="54" customHeight="1">
      <c r="A381" s="29" t="inlineStr">
        <is>
          <t>eindhoven:kaynak:384</t>
        </is>
      </c>
      <c r="B381" s="29" t="inlineStr">
        <is>
          <t>eindhoven</t>
        </is>
      </c>
      <c r="C381" s="29" t="inlineStr">
        <is>
          <t>Rugby Club Eindhoven</t>
        </is>
      </c>
      <c r="D381" s="29" t="inlineStr">
        <is>
          <t>rugbyclubeindhoven.nl</t>
        </is>
      </c>
      <c r="E381" s="29" t="inlineStr">
        <is>
          <t>https://rugbyclubeindhoven.nl/information.php</t>
        </is>
      </c>
      <c r="F381" s="49" t="n">
        <v>46317</v>
      </c>
      <c r="G381" s="29" t="inlineStr">
        <is>
          <t>eindhoven:kesif</t>
        </is>
      </c>
      <c r="H381" s="29" t="inlineStr">
        <is>
          <t>Rugby Club Eindhoven (Spor): bilgi sayfası; takımlar, antrenman saatleri, sezon başlangıcı, temel oyuncu ekipmanı</t>
        </is>
      </c>
      <c r="I381" s="29" t="inlineStr">
        <is>
          <t>Evet</t>
        </is>
      </c>
      <c r="J381" s="29" t="inlineStr">
        <is>
          <t>Lisans kanıtları/kaynaklar/cf0d611db0c9648ce2084ad9de8f878bf98ec7b1ce13d7542e1cbb53ddec507b.html</t>
        </is>
      </c>
      <c r="K381" s="29" t="inlineStr">
        <is>
          <t>cf0d611db0c9648ce2084ad9de8f878bf98ec7b1ce13d7542e1cbb53ddec507b</t>
        </is>
      </c>
    </row>
    <row r="382" ht="54" customHeight="1">
      <c r="A382" s="29" t="inlineStr">
        <is>
          <t>eindhoven:kaynak:385</t>
        </is>
      </c>
      <c r="B382" s="29" t="inlineStr">
        <is>
          <t>eindhoven</t>
        </is>
      </c>
      <c r="C382" s="29" t="inlineStr">
        <is>
          <t>Rugby Club Eindhoven</t>
        </is>
      </c>
      <c r="D382" s="29" t="inlineStr">
        <is>
          <t>rugbyclubeindhoven.nl</t>
        </is>
      </c>
      <c r="E382" s="29" t="inlineStr">
        <is>
          <t>https://rugbyclubeindhoven.nl/contribution.php</t>
        </is>
      </c>
      <c r="F382" s="49" t="n">
        <v>46317</v>
      </c>
      <c r="G382" s="29" t="inlineStr">
        <is>
          <t>eindhoven:kesif</t>
        </is>
      </c>
      <c r="H382" s="29" t="inlineStr">
        <is>
          <t>Rugby Club Eindhoven (Spor): 2026-2027 sezonu üyelik aidatları ve ödeme yolu</t>
        </is>
      </c>
      <c r="I382" s="29" t="inlineStr">
        <is>
          <t>Evet</t>
        </is>
      </c>
      <c r="J382" s="29" t="inlineStr">
        <is>
          <t>Lisans kanıtları/kaynaklar/5259b33c0d841351b569ffda7e93b7970ba94a484aaa4a660634713928b52c77.html</t>
        </is>
      </c>
      <c r="K382" s="29" t="inlineStr">
        <is>
          <t>5259b33c0d841351b569ffda7e93b7970ba94a484aaa4a660634713928b52c77</t>
        </is>
      </c>
    </row>
    <row r="383" ht="54" customHeight="1">
      <c r="A383" s="29" t="inlineStr">
        <is>
          <t>eindhoven:kaynak:386</t>
        </is>
      </c>
      <c r="B383" s="29" t="inlineStr">
        <is>
          <t>eindhoven</t>
        </is>
      </c>
      <c r="C383" s="29" t="inlineStr">
        <is>
          <t>HC Oranje Rood</t>
        </is>
      </c>
      <c r="D383" s="29" t="inlineStr">
        <is>
          <t>www.hcoranje-rood.nl</t>
        </is>
      </c>
      <c r="E383" s="29" t="inlineStr">
        <is>
          <t>https://www.hcoranje-rood.nl/introductie</t>
        </is>
      </c>
      <c r="F383" s="49" t="n">
        <v>46317</v>
      </c>
      <c r="G383" s="29" t="inlineStr">
        <is>
          <t>eindhoven:kesif</t>
        </is>
      </c>
      <c r="H383" s="29" t="inlineStr">
        <is>
          <t>HC Oranje-Rood (Spor): kulüp tanıtımı; hokey kulübü, üye sayısı</t>
        </is>
      </c>
      <c r="I383" s="29" t="inlineStr">
        <is>
          <t>Evet</t>
        </is>
      </c>
      <c r="J383" s="29" t="inlineStr">
        <is>
          <t>Lisans kanıtları/kaynaklar/5cf80ad6956d36308bfec3c23e8515f1c73f4b75a9fed58c499b8a85a87bfc5e.html</t>
        </is>
      </c>
      <c r="K383" s="29" t="inlineStr">
        <is>
          <t>5cf80ad6956d36308bfec3c23e8515f1c73f4b75a9fed58c499b8a85a87bfc5e</t>
        </is>
      </c>
    </row>
    <row r="384" ht="54" customHeight="1">
      <c r="A384" s="29" t="inlineStr">
        <is>
          <t>eindhoven:kaynak:387</t>
        </is>
      </c>
      <c r="B384" s="29" t="inlineStr">
        <is>
          <t>eindhoven</t>
        </is>
      </c>
      <c r="C384" s="29" t="inlineStr">
        <is>
          <t>HC Oranje Rood</t>
        </is>
      </c>
      <c r="D384" s="29" t="inlineStr">
        <is>
          <t>www.hcoranje-rood.nl</t>
        </is>
      </c>
      <c r="E384" s="29" t="inlineStr">
        <is>
          <t>https://www.hcoranje-rood.nl/accommodatie</t>
        </is>
      </c>
      <c r="F384" s="49" t="n">
        <v>46317</v>
      </c>
      <c r="G384" s="29" t="inlineStr">
        <is>
          <t>eindhoven:kesif</t>
        </is>
      </c>
      <c r="H384" s="29" t="inlineStr">
        <is>
          <t>HC Oranje-Rood (Spor): tesis sayfası; sahalar, tribünler, kulüp binası, sigarasız alan kuralı</t>
        </is>
      </c>
      <c r="I384" s="29" t="inlineStr">
        <is>
          <t>Evet</t>
        </is>
      </c>
      <c r="J384" s="29" t="inlineStr">
        <is>
          <t>Lisans kanıtları/kaynaklar/3582c8de4909f6e773835837f25a56494eba7615ce67c5a79f33003eae3076b0.html</t>
        </is>
      </c>
      <c r="K384" s="29" t="inlineStr">
        <is>
          <t>3582c8de4909f6e773835837f25a56494eba7615ce67c5a79f33003eae3076b0</t>
        </is>
      </c>
    </row>
    <row r="385" ht="54" customHeight="1">
      <c r="A385" s="29" t="inlineStr">
        <is>
          <t>eindhoven:kaynak:388</t>
        </is>
      </c>
      <c r="B385" s="29" t="inlineStr">
        <is>
          <t>eindhoven</t>
        </is>
      </c>
      <c r="C385" s="29" t="inlineStr">
        <is>
          <t>HC Oranje Rood</t>
        </is>
      </c>
      <c r="D385" s="29" t="inlineStr">
        <is>
          <t>www.hcoranje-rood.nl</t>
        </is>
      </c>
      <c r="E385" s="29" t="inlineStr">
        <is>
          <t>https://www.hcoranje-rood.nl/historie</t>
        </is>
      </c>
      <c r="F385" s="49" t="n">
        <v>46317</v>
      </c>
      <c r="G385" s="29" t="inlineStr">
        <is>
          <t>eindhoven:kesif</t>
        </is>
      </c>
      <c r="H385" s="29" t="inlineStr">
        <is>
          <t>HC Oranje-Rood (Spor): tarihçe; 2016'da EMHC (1921) ve MHC Oranje Zwart (1933) birleşmesi</t>
        </is>
      </c>
      <c r="I385" s="29" t="inlineStr">
        <is>
          <t>Evet</t>
        </is>
      </c>
      <c r="J385" s="29" t="inlineStr">
        <is>
          <t>Lisans kanıtları/kaynaklar/635dd9ba64c90281472681f9c871fbe2f59aabfae51589661c4e7b639cd082f9.html</t>
        </is>
      </c>
      <c r="K385" s="29" t="inlineStr">
        <is>
          <t>635dd9ba64c90281472681f9c871fbe2f59aabfae51589661c4e7b639cd082f9</t>
        </is>
      </c>
    </row>
    <row r="386" ht="54" customHeight="1">
      <c r="A386" s="29" t="inlineStr">
        <is>
          <t>eindhoven:kaynak:389</t>
        </is>
      </c>
      <c r="B386" s="29" t="inlineStr">
        <is>
          <t>eindhoven</t>
        </is>
      </c>
      <c r="C386" s="29" t="inlineStr">
        <is>
          <t>Café Barolo | This is Eindhoven</t>
        </is>
      </c>
      <c r="D386" s="29" t="inlineStr">
        <is>
          <t>This is Eindhoven</t>
        </is>
      </c>
      <c r="E386" s="29" t="inlineStr">
        <is>
          <t>https://www.thisiseindhoven.com/en/locations/cafe-barolo</t>
        </is>
      </c>
      <c r="F386" s="49" t="n">
        <v>46317</v>
      </c>
      <c r="G386" s="29" t="inlineStr">
        <is>
          <t>eindhoven:kesif</t>
        </is>
      </c>
      <c r="H386" s="29" t="inlineStr">
        <is>
          <t>Café Barolo (Yeme ve içme): This is Eindhoven konum sayfası; şarap barı, tadım seçenekleri ve mutfak (mekânın kendi sitesi tek sayfa)</t>
        </is>
      </c>
      <c r="I386" s="29" t="inlineStr">
        <is>
          <t>Evet</t>
        </is>
      </c>
      <c r="J386" s="29" t="inlineStr">
        <is>
          <t>Lisans kanıtları/kaynaklar/9fc2d4fa501790ad6c7c7ed021687439336490a483c7a1648633c12424cf9887.html</t>
        </is>
      </c>
      <c r="K386" s="29" t="inlineStr">
        <is>
          <t>9fc2d4fa501790ad6c7c7ed021687439336490a483c7a1648633c12424cf9887</t>
        </is>
      </c>
    </row>
    <row r="387" ht="54" customHeight="1">
      <c r="A387" s="29" t="inlineStr">
        <is>
          <t>eindhoven:kaynak:390</t>
        </is>
      </c>
      <c r="B387" s="29" t="inlineStr">
        <is>
          <t>eindhoven</t>
        </is>
      </c>
      <c r="C387" s="29" t="inlineStr">
        <is>
          <t>WK kijken bij De Wildeman – De Wildeman</t>
        </is>
      </c>
      <c r="D387" s="29" t="inlineStr">
        <is>
          <t>wildemaneindhoven.nl</t>
        </is>
      </c>
      <c r="E387" s="29" t="inlineStr">
        <is>
          <t>https://wildemaneindhoven.nl/elementor-2042/</t>
        </is>
      </c>
      <c r="F387" s="49" t="n">
        <v>46318</v>
      </c>
      <c r="G387" s="29" t="inlineStr">
        <is>
          <t>eindhoven:kesif</t>
        </is>
      </c>
      <c r="H387" s="29" t="inlineStr">
        <is>
          <t>De Wildeman (Yeme ve içme): mekânın kendi sitesindeki Dünya Kupası yazısı; mekânın terası olduğunu gösteriyor (ortam: Karma)</t>
        </is>
      </c>
      <c r="I387" s="29" t="inlineStr">
        <is>
          <t>Evet</t>
        </is>
      </c>
      <c r="J387" s="29" t="inlineStr">
        <is>
          <t>Lisans kanıtları/kaynaklar/3948e27df9a2a833f8a6fd1fe18efaa672ea8cad6ec6ee89b31663580647025e.html</t>
        </is>
      </c>
      <c r="K387" s="29" t="inlineStr">
        <is>
          <t>3948e27df9a2a833f8a6fd1fe18efaa672ea8cad6ec6ee89b31663580647025e</t>
        </is>
      </c>
    </row>
    <row r="388" ht="54" customHeight="1">
      <c r="A388" s="29" t="inlineStr">
        <is>
          <t>eindhoven:kaynak:391</t>
        </is>
      </c>
      <c r="B388" s="29" t="inlineStr">
        <is>
          <t>eindhoven</t>
        </is>
      </c>
      <c r="C388" s="29" t="inlineStr">
        <is>
          <t>Organisatie | GGzE</t>
        </is>
      </c>
      <c r="D388" s="29" t="inlineStr">
        <is>
          <t>www.ggze.nl</t>
        </is>
      </c>
      <c r="E388" s="29" t="inlineStr">
        <is>
          <t>https://www.ggze.nl/over-ggze/organisatie</t>
        </is>
      </c>
      <c r="F388" s="49" t="n">
        <v>46318</v>
      </c>
      <c r="G388" s="29" t="inlineStr">
        <is>
          <t>eindhoven:kesif</t>
        </is>
      </c>
      <c r="H388" s="29" t="inlineStr">
        <is>
          <t>Landgoed De Grote Beek (Doğa ve açık hava): GGzE'nin kurum sayfası; GGzE'nin psikolojik sorunları olan çocuk, genç, yetişkin ve yaşlılara bakım veren ruh sağlığı kurumu olduğu</t>
        </is>
      </c>
      <c r="I388" s="29" t="inlineStr">
        <is>
          <t>Evet</t>
        </is>
      </c>
      <c r="J388" s="29" t="inlineStr">
        <is>
          <t>Lisans kanıtları/kaynaklar/380ad0344e63d8b9fd304f17c951e066e53f94f83538a739fb9da3b8221968e6.html</t>
        </is>
      </c>
      <c r="K388" s="29" t="inlineStr">
        <is>
          <t>380ad0344e63d8b9fd304f17c951e066e53f94f83538a739fb9da3b8221968e6</t>
        </is>
      </c>
    </row>
    <row r="389" ht="54" customHeight="1">
      <c r="A389" s="29" t="inlineStr">
        <is>
          <t>eindhoven:kaynak:392</t>
        </is>
      </c>
      <c r="B389" s="29" t="inlineStr">
        <is>
          <t>eindhoven</t>
        </is>
      </c>
      <c r="C389" s="29" t="inlineStr">
        <is>
          <t>Contact met GGzE | GGzE</t>
        </is>
      </c>
      <c r="D389" s="29" t="inlineStr">
        <is>
          <t>www.ggze.nl</t>
        </is>
      </c>
      <c r="E389" s="29" t="inlineStr">
        <is>
          <t>https://www.ggze.nl/contact</t>
        </is>
      </c>
      <c r="F389" s="49" t="n">
        <v>46318</v>
      </c>
      <c r="G389" s="29" t="inlineStr">
        <is>
          <t>eindhoven:kesif</t>
        </is>
      </c>
      <c r="H389" s="29" t="inlineStr">
        <is>
          <t>Landgoed De Grote Beek (Doğa ve açık hava): GGzE iletişim sayfası; kurumun randevularının arazideki binalarda olduğu ve resepsiyonun Boschdijk'teki ana girişte bulunduğu</t>
        </is>
      </c>
      <c r="I389" s="29" t="inlineStr">
        <is>
          <t>Evet</t>
        </is>
      </c>
      <c r="J389" s="29" t="inlineStr">
        <is>
          <t>Lisans kanıtları/kaynaklar/644f4b3434f55dcd5ba694cf99a89ff0e7844bb844801c74f69b8eef9f10ccf3.html</t>
        </is>
      </c>
      <c r="K389" s="29" t="inlineStr">
        <is>
          <t>644f4b3434f55dcd5ba694cf99a89ff0e7844bb844801c74f69b8eef9f10ccf3</t>
        </is>
      </c>
    </row>
    <row r="390" ht="54" customHeight="1">
      <c r="A390" s="29" t="inlineStr">
        <is>
          <t>eindhoven:kaynak:393</t>
        </is>
      </c>
      <c r="B390" s="29" t="inlineStr">
        <is>
          <t>eindhoven</t>
        </is>
      </c>
      <c r="C390" s="29" t="inlineStr">
        <is>
          <t>Bed &amp; Paintings</t>
        </is>
      </c>
      <c r="D390" s="29" t="inlineStr">
        <is>
          <t>www.inkijkmuseum.nl</t>
        </is>
      </c>
      <c r="E390" s="29" t="inlineStr">
        <is>
          <t>https://www.inkijkmuseum.nl/nl/bed-paintings</t>
        </is>
      </c>
      <c r="F390" s="49" t="n">
        <v>46318</v>
      </c>
      <c r="G390" s="29" t="inlineStr">
        <is>
          <t>eindhoven:kesif</t>
        </is>
      </c>
      <c r="H390" s="29" t="inlineStr">
        <is>
          <t>Inkijkmuseum (Müzeler): müzenin kendi sitesindeki konaklama sayfası (Bed &amp; Paintings); odalar ve rezervasyon yolu</t>
        </is>
      </c>
      <c r="I390" s="29" t="inlineStr">
        <is>
          <t>Evet</t>
        </is>
      </c>
      <c r="J390" s="29" t="inlineStr">
        <is>
          <t>Lisans kanıtları/kaynaklar/de2d3f3f0810b699c07ebd6a071522b1ba1474ddf18c88f890fad451001f6c14.html</t>
        </is>
      </c>
      <c r="K390" s="29" t="inlineStr">
        <is>
          <t>de2d3f3f0810b699c07ebd6a071522b1ba1474ddf18c88f890fad451001f6c14</t>
        </is>
      </c>
    </row>
    <row r="391" ht="54" customHeight="1">
      <c r="A391" s="29" t="inlineStr">
        <is>
          <t>eindhoven:kaynak:394</t>
        </is>
      </c>
      <c r="B391" s="29" t="inlineStr">
        <is>
          <t>eindhoven</t>
        </is>
      </c>
      <c r="C391" s="29" t="inlineStr">
        <is>
          <t>Next Level Escaperoom Eindhoven: #1 van Nederland en België!</t>
        </is>
      </c>
      <c r="D391" s="29" t="inlineStr">
        <is>
          <t>Next Level Escaperoom</t>
        </is>
      </c>
      <c r="E391" s="29" t="inlineStr">
        <is>
          <t>https://www.escaperoomeindhoven.nl/</t>
        </is>
      </c>
      <c r="F391" s="49" t="n">
        <v>46318</v>
      </c>
      <c r="G391" s="29" t="inlineStr">
        <is>
          <t>eindhoven:kesif</t>
        </is>
      </c>
      <c r="H391" s="29" t="inlineStr">
        <is>
          <t>Next Level Escape Rooms'un resmî sitesi: mevcut iki odanın kapanış duyurusu ve Stratumseind 32 adresi</t>
        </is>
      </c>
      <c r="I391" s="29" t="inlineStr">
        <is>
          <t>Evet</t>
        </is>
      </c>
      <c r="J391" s="29" t="inlineStr">
        <is>
          <t>Lisans kanıtları/kaynaklar/5b31e4f83b894cdfd50fc3db0a43594fb2a004a229c0653e32c7c480a572f569.html</t>
        </is>
      </c>
      <c r="K391" s="29" t="inlineStr">
        <is>
          <t>5b31e4f83b894cdfd50fc3db0a43594fb2a004a229c0653e32c7c480a572f569</t>
        </is>
      </c>
    </row>
    <row r="392" ht="54" customHeight="1">
      <c r="A392" s="29" t="inlineStr">
        <is>
          <t>eindhoven:kaynak:395</t>
        </is>
      </c>
      <c r="B392" s="29" t="inlineStr">
        <is>
          <t>eindhoven</t>
        </is>
      </c>
      <c r="C392" s="29" t="inlineStr">
        <is>
          <t>Samen spelen bij Speeltuin Philipsdorp - Speeltuinvereniging Philipsdorp</t>
        </is>
      </c>
      <c r="D392" s="29" t="inlineStr">
        <is>
          <t>Speeltuinvereniging Philipsdorp</t>
        </is>
      </c>
      <c r="E392" s="29" t="inlineStr">
        <is>
          <t>https://www.speeltuinphilipsdorp.nl/</t>
        </is>
      </c>
      <c r="F392" s="49" t="n">
        <v>46318</v>
      </c>
      <c r="G392" s="29" t="inlineStr">
        <is>
          <t>eindhoven:kesif</t>
        </is>
      </c>
      <c r="H392" s="29" t="inlineStr">
        <is>
          <t>Speeltuin Philipsdorp'un resmî sitesi: güncel açılış durumu (kış arası)</t>
        </is>
      </c>
      <c r="I392" s="29" t="inlineStr">
        <is>
          <t>Evet</t>
        </is>
      </c>
      <c r="J392" s="29" t="inlineStr">
        <is>
          <t>Lisans kanıtları/kaynaklar/2f62c492c8b9ac91cd997ee8c3aa96049da68a232c2f5adf969820af49e08796.html</t>
        </is>
      </c>
      <c r="K392" s="29" t="inlineStr">
        <is>
          <t>2f62c492c8b9ac91cd997ee8c3aa96049da68a232c2f5adf969820af49e08796</t>
        </is>
      </c>
    </row>
    <row r="393" ht="54" customHeight="1">
      <c r="A393" s="29" t="inlineStr">
        <is>
          <t>eindhoven:kaynak:396</t>
        </is>
      </c>
      <c r="B393" s="29" t="inlineStr">
        <is>
          <t>eindhoven</t>
        </is>
      </c>
      <c r="C393" s="29" t="inlineStr">
        <is>
          <t>Openingstijden - Speeltuinvereniging Philipsdorp</t>
        </is>
      </c>
      <c r="D393" s="29" t="inlineStr">
        <is>
          <t>Speeltuinvereniging Philipsdorp</t>
        </is>
      </c>
      <c r="E393" s="29" t="inlineStr">
        <is>
          <t>https://www.speeltuinphilipsdorp.nl/openingstijden</t>
        </is>
      </c>
      <c r="F393" s="49" t="n">
        <v>46318</v>
      </c>
      <c r="G393" s="29" t="inlineStr">
        <is>
          <t>eindhoven:kesif</t>
        </is>
      </c>
      <c r="H393" s="29" t="inlineStr">
        <is>
          <t>Speeltuin Philipsdorp'un açılış saatleri sayfası: sezon Paskalya'dan sonbahar tatiline kadar</t>
        </is>
      </c>
      <c r="I393" s="29" t="inlineStr">
        <is>
          <t>Evet</t>
        </is>
      </c>
      <c r="J393" s="29" t="inlineStr">
        <is>
          <t>Lisans kanıtları/kaynaklar/33e9699fee882dd1d8240c603336bcc062d3977a40b49683d1ba5449deedfc6f.html</t>
        </is>
      </c>
      <c r="K393" s="29" t="inlineStr">
        <is>
          <t>33e9699fee882dd1d8240c603336bcc062d3977a40b49683d1ba5449deedfc6f</t>
        </is>
      </c>
    </row>
    <row r="394" ht="54" customHeight="1">
      <c r="A394" s="29" t="inlineStr">
        <is>
          <t>eindhoven:kaynak:397</t>
        </is>
      </c>
      <c r="B394" s="29" t="inlineStr">
        <is>
          <t>eindhoven</t>
        </is>
      </c>
      <c r="C394" s="29" t="inlineStr">
        <is>
          <t>Openingstijden</t>
        </is>
      </c>
      <c r="D394" s="29" t="inlineStr">
        <is>
          <t>Speeltuinvereniging St. Joseph</t>
        </is>
      </c>
      <c r="E394" s="29" t="inlineStr">
        <is>
          <t>https://sintjosephspeeltuin.nl/openingstijden</t>
        </is>
      </c>
      <c r="F394" s="49" t="n">
        <v>46318</v>
      </c>
      <c r="G394" s="29" t="inlineStr">
        <is>
          <t>eindhoven:kesif</t>
        </is>
      </c>
      <c r="H394" s="29" t="inlineStr">
        <is>
          <t>Sint Joseph Speeltuin'in açılış saatleri ve ücretler sayfası: oyun bahçesi sezonu</t>
        </is>
      </c>
      <c r="I394" s="29" t="inlineStr">
        <is>
          <t>Evet</t>
        </is>
      </c>
      <c r="J394" s="29" t="inlineStr">
        <is>
          <t>Lisans kanıtları/kaynaklar/10958db744389573ae0e9169f963aaf37c6159720c57b3d922be64017860f08c.html</t>
        </is>
      </c>
      <c r="K394" s="29" t="inlineStr">
        <is>
          <t>10958db744389573ae0e9169f963aaf37c6159720c57b3d922be64017860f08c</t>
        </is>
      </c>
    </row>
    <row r="395" ht="54" customHeight="1">
      <c r="A395" s="29" t="inlineStr">
        <is>
          <t>eindhoven:kaynak:398</t>
        </is>
      </c>
      <c r="B395" s="29" t="inlineStr">
        <is>
          <t>eindhoven</t>
        </is>
      </c>
      <c r="C395" s="29" t="inlineStr">
        <is>
          <t>TAC IS HIER – TAC</t>
        </is>
      </c>
      <c r="D395" s="29" t="inlineStr">
        <is>
          <t>TAC (Temporary Art Centre)</t>
        </is>
      </c>
      <c r="E395" s="29" t="inlineStr">
        <is>
          <t>https://www.tac.nu/tac-is-hier/</t>
        </is>
      </c>
      <c r="F395" s="49" t="n">
        <v>46318</v>
      </c>
      <c r="G395" s="29" t="inlineStr">
        <is>
          <t>eindhoven:kesif</t>
        </is>
      </c>
      <c r="H395" s="29" t="inlineStr">
        <is>
          <t>TAC'ın etkinlik sayfası: Paviljoen Ongehoorde Muziek'in (POM) TAC binasına taşındığı</t>
        </is>
      </c>
      <c r="I395" s="29" t="inlineStr">
        <is>
          <t>Evet</t>
        </is>
      </c>
      <c r="J395" s="29" t="inlineStr">
        <is>
          <t>Lisans kanıtları/kaynaklar/61d9170b9058c8c4cf896d371040634a2e29274bcc9d55927cf31e2b6a004f7a.html</t>
        </is>
      </c>
      <c r="K395" s="29" t="inlineStr">
        <is>
          <t>61d9170b9058c8c4cf896d371040634a2e29274bcc9d55927cf31e2b6a004f7a</t>
        </is>
      </c>
    </row>
    <row r="396" ht="54" customHeight="1">
      <c r="A396" s="29" t="inlineStr">
        <is>
          <t>eindhoven:kaynak:399</t>
        </is>
      </c>
      <c r="B396" s="29" t="inlineStr">
        <is>
          <t>eindhoven</t>
        </is>
      </c>
      <c r="C396" s="29" t="inlineStr">
        <is>
          <t>FAQ | POM</t>
        </is>
      </c>
      <c r="D396" s="29" t="inlineStr">
        <is>
          <t>Stichting Paviljoen Ongehoorde Muziek (POM Eindhoven)</t>
        </is>
      </c>
      <c r="E396" s="29" t="inlineStr">
        <is>
          <t>https://www.pomeindhoven.nl/project-02</t>
        </is>
      </c>
      <c r="F396" s="49" t="n">
        <v>46318</v>
      </c>
      <c r="G396" s="29" t="inlineStr">
        <is>
          <t>eindhoven:kesif</t>
        </is>
      </c>
      <c r="H396" s="29" t="inlineStr">
        <is>
          <t>POM'un resmî sitesindeki SSS: adres (TAC binası, Ventoselaan 1) ve ziyaret bilgisi</t>
        </is>
      </c>
      <c r="I396" s="29" t="inlineStr">
        <is>
          <t>Evet</t>
        </is>
      </c>
      <c r="J396" s="29" t="inlineStr">
        <is>
          <t>Lisans kanıtları/kaynaklar/f246c25343010476c4c31ea8a031ad02a13b9df454927ee38cb99061587bea12.html</t>
        </is>
      </c>
      <c r="K396" s="29" t="inlineStr">
        <is>
          <t>f246c25343010476c4c31ea8a031ad02a13b9df454927ee38cb99061587bea12</t>
        </is>
      </c>
    </row>
    <row r="397" ht="54" customHeight="1">
      <c r="A397" s="29" t="inlineStr">
        <is>
          <t>eindhoven:kaynak:400</t>
        </is>
      </c>
      <c r="B397" s="29" t="inlineStr">
        <is>
          <t>eindhoven</t>
        </is>
      </c>
      <c r="C397" s="29" t="inlineStr">
        <is>
          <t>News | POM</t>
        </is>
      </c>
      <c r="D397" s="29" t="inlineStr">
        <is>
          <t>Stichting Paviljoen Ongehoorde Muziek (POM Eindhoven)</t>
        </is>
      </c>
      <c r="E397" s="29" t="inlineStr">
        <is>
          <t>https://www.pomeindhoven.nl/project-01</t>
        </is>
      </c>
      <c r="F397" s="49" t="n">
        <v>46318</v>
      </c>
      <c r="G397" s="29" t="inlineStr">
        <is>
          <t>eindhoven:kesif</t>
        </is>
      </c>
      <c r="H397" s="29" t="inlineStr">
        <is>
          <t>POM'un resmî sitesindeki haber: 27 Mart 2026'dan itibaren TAC binasında kalıcı mekân</t>
        </is>
      </c>
      <c r="I397" s="29" t="inlineStr">
        <is>
          <t>Evet</t>
        </is>
      </c>
      <c r="J397" s="29" t="inlineStr">
        <is>
          <t>Lisans kanıtları/kaynaklar/c5385d11b8e0b84a9cd96d8d81dc6e2880d322f65b7233c03374245b69589070.html</t>
        </is>
      </c>
      <c r="K397" s="29" t="inlineStr">
        <is>
          <t>c5385d11b8e0b84a9cd96d8d81dc6e2880d322f65b7233c03374245b69589070</t>
        </is>
      </c>
    </row>
    <row r="398" ht="54" customHeight="1">
      <c r="A398" s="29" t="inlineStr">
        <is>
          <t>eindhoven:kaynak:401</t>
        </is>
      </c>
      <c r="B398" s="29" t="inlineStr">
        <is>
          <t>eindhoven</t>
        </is>
      </c>
      <c r="C398" s="29" t="inlineStr">
        <is>
          <t>Kano boeken - Happy Canoe</t>
        </is>
      </c>
      <c r="D398" s="29" t="inlineStr">
        <is>
          <t>Happy Canoe</t>
        </is>
      </c>
      <c r="E398" s="29" t="inlineStr">
        <is>
          <t>https://www.happycanoe.nl/boeken</t>
        </is>
      </c>
      <c r="F398" s="49" t="n">
        <v>46318</v>
      </c>
      <c r="G398" s="29" t="inlineStr">
        <is>
          <t>eindhoven:kesif</t>
        </is>
      </c>
      <c r="H398" s="29" t="inlineStr">
        <is>
          <t>Happy Canoe'nun rezervasyon sayfası: 2026 kano sezonunun bitişi ve grup rezervasyonu</t>
        </is>
      </c>
      <c r="I398" s="29" t="inlineStr">
        <is>
          <t>Evet</t>
        </is>
      </c>
      <c r="J398" s="29" t="inlineStr">
        <is>
          <t>Lisans kanıtları/kaynaklar/2e57258ea0f7b7389c77b99fed0356962206bb09339546ca47b624159dd4ccd0.html</t>
        </is>
      </c>
      <c r="K398" s="29" t="inlineStr">
        <is>
          <t>2e57258ea0f7b7389c77b99fed0356962206bb09339546ca47b624159dd4ccd0</t>
        </is>
      </c>
    </row>
    <row r="399" ht="54" customHeight="1">
      <c r="A399" s="29" t="inlineStr">
        <is>
          <t>eindhoven:kaynak:402</t>
        </is>
      </c>
      <c r="B399" s="29" t="inlineStr">
        <is>
          <t>eindhoven</t>
        </is>
      </c>
      <c r="C399" s="29" t="inlineStr">
        <is>
          <t>TAC-genoten – TAC</t>
        </is>
      </c>
      <c r="D399" s="29" t="inlineStr">
        <is>
          <t>TAC (Temporary Art Centre)</t>
        </is>
      </c>
      <c r="E399" s="29" t="inlineStr">
        <is>
          <t>https://www.tac.nu/tac-genoten/</t>
        </is>
      </c>
      <c r="F399" s="49" t="n">
        <v>46318</v>
      </c>
      <c r="G399" s="29" t="inlineStr">
        <is>
          <t>eindhoven:kesif</t>
        </is>
      </c>
      <c r="H399" s="29" t="inlineStr">
        <is>
          <t>TAC'ın kendi sitesindeki atölye sakinleri (TAC-genoten) listesi: Ventoselaan'daki atölyelerde 60'ı aşkın yapımcı</t>
        </is>
      </c>
      <c r="I399" s="29" t="inlineStr">
        <is>
          <t>Evet</t>
        </is>
      </c>
      <c r="J399" s="29" t="inlineStr">
        <is>
          <t>Lisans kanıtları/kaynaklar/927d78823dcf18a57351cd9a3a0dd7a56bfa6f4eea5e408a96556e6af262b26c.html</t>
        </is>
      </c>
      <c r="K399" s="29" t="inlineStr">
        <is>
          <t>927d78823dcf18a57351cd9a3a0dd7a56bfa6f4eea5e408a96556e6af262b26c</t>
        </is>
      </c>
    </row>
    <row r="400" ht="54" customHeight="1">
      <c r="A400" s="29" t="inlineStr">
        <is>
          <t>eindhoven:kaynak:403</t>
        </is>
      </c>
      <c r="B400" s="29" t="inlineStr">
        <is>
          <t>eindhoven</t>
        </is>
      </c>
      <c r="C400" s="29" t="inlineStr">
        <is>
          <t>Open Call: Anonymous 2026 – TAC</t>
        </is>
      </c>
      <c r="D400" s="29" t="inlineStr">
        <is>
          <t>TAC (Temporary Art Centre)</t>
        </is>
      </c>
      <c r="E400" s="29" t="inlineStr">
        <is>
          <t>https://www.tac.nu/open-call-anonymous-2026/</t>
        </is>
      </c>
      <c r="F400" s="49" t="n">
        <v>46318</v>
      </c>
      <c r="G400" s="29" t="inlineStr">
        <is>
          <t>eindhoven:kesif</t>
        </is>
      </c>
      <c r="H400" s="29" t="inlineStr">
        <is>
          <t>TAC'ın kendi duyurusu: sergi salonlarının adresi Ventoselaan 1, 5611 BS</t>
        </is>
      </c>
      <c r="I400" s="29" t="inlineStr">
        <is>
          <t>Evet</t>
        </is>
      </c>
      <c r="J400" s="29" t="inlineStr">
        <is>
          <t>Lisans kanıtları/kaynaklar/c6473a7859b0a93b7dadc1ce7e4c95248f5eef8656356c125f52f02670a4f6d0.html</t>
        </is>
      </c>
      <c r="K400" s="29" t="inlineStr">
        <is>
          <t>c6473a7859b0a93b7dadc1ce7e4c95248f5eef8656356c125f52f02670a4f6d0</t>
        </is>
      </c>
    </row>
    <row r="401" ht="54" customHeight="1">
      <c r="A401" s="29" t="inlineStr">
        <is>
          <t>eindhoven:kaynak:404</t>
        </is>
      </c>
      <c r="B401" s="29" t="inlineStr">
        <is>
          <t>eindhoven</t>
        </is>
      </c>
      <c r="C401" s="29" t="inlineStr">
        <is>
          <t>17-25 oktober 2026 | DDW – TAC</t>
        </is>
      </c>
      <c r="D401" s="29" t="inlineStr">
        <is>
          <t>TAC (Temporary Art Centre)</t>
        </is>
      </c>
      <c r="E401" s="29" t="inlineStr">
        <is>
          <t>https://www.tac.nu/programma/17-25-oktober-ddw/</t>
        </is>
      </c>
      <c r="F401" s="49" t="n">
        <v>46318</v>
      </c>
      <c r="G401" s="29" t="inlineStr">
        <is>
          <t>eindhoven:kesif</t>
        </is>
      </c>
      <c r="H401" s="29" t="inlineStr">
        <is>
          <t>TAC'ın Dutch Design Week 2026 sayfası: etkinlik adresi Vonderweg 1, beş yıllık yenileme, kafe ve restoranın yeniden açılması</t>
        </is>
      </c>
      <c r="I401" s="29" t="inlineStr">
        <is>
          <t>Evet</t>
        </is>
      </c>
      <c r="J401" s="29" t="inlineStr">
        <is>
          <t>Lisans kanıtları/kaynaklar/96cd69b478e40ffefa7d6b0f046b5a120eb93ffe2daa33c718f5826ce31d526d.html</t>
        </is>
      </c>
      <c r="K401" s="29" t="inlineStr">
        <is>
          <t>96cd69b478e40ffefa7d6b0f046b5a120eb93ffe2daa33c718f5826ce31d526d</t>
        </is>
      </c>
    </row>
    <row r="402" ht="54" customHeight="1">
      <c r="A402" s="29" t="inlineStr">
        <is>
          <t>eindhoven:kaynak:405</t>
        </is>
      </c>
      <c r="B402" s="29" t="inlineStr">
        <is>
          <t>eindhoven</t>
        </is>
      </c>
      <c r="C402" s="29" t="inlineStr">
        <is>
          <t>28-30 AUGUSTUS | DE OPENING – TAC</t>
        </is>
      </c>
      <c r="D402" s="29" t="inlineStr">
        <is>
          <t>TAC (Temporary Art Centre)</t>
        </is>
      </c>
      <c r="E402" s="29" t="inlineStr">
        <is>
          <t>https://www.tac.nu/programma/28-30-augustus-de-opening/</t>
        </is>
      </c>
      <c r="F402" s="49" t="n">
        <v>46318</v>
      </c>
      <c r="G402" s="29" t="inlineStr">
        <is>
          <t>eindhoven:kesif</t>
        </is>
      </c>
      <c r="H402" s="29" t="inlineStr">
        <is>
          <t>TAC'ın De Opening 2026 sayfası: binanın adım adım açılması ve Nisan 2027'deki tam açılış haftasonu</t>
        </is>
      </c>
      <c r="I402" s="29" t="inlineStr">
        <is>
          <t>Evet</t>
        </is>
      </c>
      <c r="J402" s="29" t="inlineStr">
        <is>
          <t>Lisans kanıtları/kaynaklar/9804299dee2508387b58c23df51af57f67ef9b771a87b00218e93d7ef95a7bb5.html</t>
        </is>
      </c>
      <c r="K402" s="29" t="inlineStr">
        <is>
          <t>9804299dee2508387b58c23df51af57f67ef9b771a87b00218e93d7ef95a7bb5</t>
        </is>
      </c>
    </row>
    <row r="403" ht="54" customHeight="1">
      <c r="A403" s="29" t="inlineStr">
        <is>
          <t>eindhoven:kaynak:407</t>
        </is>
      </c>
      <c r="B403" s="29" t="inlineStr">
        <is>
          <t>eindhoven</t>
        </is>
      </c>
      <c r="C403" s="29" t="inlineStr">
        <is>
          <t>Over TAC – TAC</t>
        </is>
      </c>
      <c r="D403" s="29" t="inlineStr">
        <is>
          <t>TAC (Temporary Art Centre)</t>
        </is>
      </c>
      <c r="E403" s="29" t="inlineStr">
        <is>
          <t>https://www.tac.nu/over-tac/</t>
        </is>
      </c>
      <c r="F403" s="49" t="n">
        <v>46318</v>
      </c>
      <c r="G403" s="29" t="inlineStr">
        <is>
          <t>eindhoven:kesif</t>
        </is>
      </c>
      <c r="H403" s="29" t="inlineStr">
        <is>
          <t>TAC'ın 'Over TAC' sayfası: yenileme öncesinden kalan metin (80 atölye, 100'ü aşkın yapımcı; yenileme 'önümüzdeki yıllarda' diye anlatılıyor)</t>
        </is>
      </c>
      <c r="I403" s="29" t="inlineStr">
        <is>
          <t>Evet</t>
        </is>
      </c>
      <c r="J403" s="29" t="inlineStr">
        <is>
          <t>Lisans kanıtları/kaynaklar/aef753de772a150ac87e5e50823e5f4b8b6ff0fd387c2d8f62564d001986a9e4.html</t>
        </is>
      </c>
      <c r="K403" s="29" t="inlineStr">
        <is>
          <t>aef753de772a150ac87e5e50823e5f4b8b6ff0fd387c2d8f62564d001986a9e4</t>
        </is>
      </c>
    </row>
    <row r="404" ht="54" customHeight="1">
      <c r="A404" s="29" t="inlineStr">
        <is>
          <t>eindhoven:kaynak:408</t>
        </is>
      </c>
      <c r="B404" s="29" t="inlineStr">
        <is>
          <t>eindhoven</t>
        </is>
      </c>
      <c r="C404" s="29" t="inlineStr">
        <is>
          <t>PROGRAMMA – TAC</t>
        </is>
      </c>
      <c r="D404" s="29" t="inlineStr">
        <is>
          <t>TAC (Temporary Art Centre)</t>
        </is>
      </c>
      <c r="E404" s="29" t="inlineStr">
        <is>
          <t>https://www.tac.nu/programmas/</t>
        </is>
      </c>
      <c r="F404" s="49" t="n">
        <v>46318</v>
      </c>
      <c r="G404" s="29" t="inlineStr">
        <is>
          <t>eindhoven:kesif</t>
        </is>
      </c>
      <c r="H404" s="29" t="inlineStr">
        <is>
          <t>TAC'ın güncel sergi ve etkinlik programı sayfası (ziyaret için bağlantı)</t>
        </is>
      </c>
      <c r="I404" s="29" t="inlineStr">
        <is>
          <t>Evet</t>
        </is>
      </c>
      <c r="J404" s="29" t="inlineStr">
        <is>
          <t>Lisans kanıtları/kaynaklar/812b834f1bffec9a85f62437ee84a036073fbff9676e53e59bce4efef27c72d0.html</t>
        </is>
      </c>
      <c r="K404" s="29" t="inlineStr">
        <is>
          <t>812b834f1bffec9a85f62437ee84a036073fbff9676e53e59bce4efef27c72d0</t>
        </is>
      </c>
    </row>
    <row r="405" ht="54" customHeight="1">
      <c r="A405" s="29" t="n"/>
      <c r="B405" s="29" t="n"/>
      <c r="C405" s="29" t="n"/>
      <c r="D405" s="29" t="n"/>
      <c r="E405" s="29" t="n"/>
      <c r="F405" s="49" t="n"/>
      <c r="G405" s="29" t="n"/>
      <c r="H405" s="29" t="n"/>
      <c r="I405" s="29" t="n"/>
      <c r="J405" s="29" t="n"/>
      <c r="K405" s="29" t="n"/>
    </row>
    <row r="406" ht="54" customHeight="1">
      <c r="A406" s="29" t="n"/>
      <c r="B406" s="29" t="n"/>
      <c r="C406" s="29" t="n"/>
      <c r="D406" s="29" t="n"/>
      <c r="E406" s="29" t="n"/>
      <c r="F406" s="49" t="n"/>
      <c r="G406" s="29" t="n"/>
      <c r="H406" s="29" t="n"/>
      <c r="I406" s="29" t="n"/>
      <c r="J406" s="29" t="n"/>
      <c r="K406" s="29" t="n"/>
    </row>
    <row r="407" ht="54" customHeight="1">
      <c r="A407" s="29" t="n"/>
      <c r="B407" s="29" t="n"/>
      <c r="C407" s="29" t="n"/>
      <c r="D407" s="29" t="n"/>
      <c r="E407" s="29" t="n"/>
      <c r="F407" s="49" t="n"/>
      <c r="G407" s="29" t="n"/>
      <c r="H407" s="29" t="n"/>
      <c r="I407" s="29" t="n"/>
      <c r="J407" s="29" t="n"/>
      <c r="K407" s="29" t="n"/>
    </row>
    <row r="408" ht="54" customHeight="1">
      <c r="A408" s="29" t="n"/>
      <c r="B408" s="29" t="n"/>
      <c r="C408" s="29" t="n"/>
      <c r="D408" s="29" t="n"/>
      <c r="E408" s="29" t="n"/>
      <c r="F408" s="49" t="n"/>
      <c r="G408" s="29" t="n"/>
      <c r="H408" s="29" t="n"/>
      <c r="I408" s="29" t="n"/>
      <c r="J408" s="29" t="n"/>
      <c r="K408" s="29" t="n"/>
    </row>
    <row r="409" ht="54" customHeight="1">
      <c r="A409" s="29" t="n"/>
      <c r="B409" s="29" t="n"/>
      <c r="C409" s="29" t="n"/>
      <c r="D409" s="29" t="n"/>
      <c r="E409" s="29" t="n"/>
      <c r="F409" s="49" t="n"/>
      <c r="G409" s="29" t="n"/>
      <c r="H409" s="29" t="n"/>
      <c r="I409" s="29" t="n"/>
      <c r="J409" s="29" t="n"/>
      <c r="K409" s="29" t="n"/>
    </row>
    <row r="410" ht="54" customHeight="1">
      <c r="A410" s="29" t="n"/>
      <c r="B410" s="29" t="n"/>
      <c r="C410" s="29" t="n"/>
      <c r="D410" s="29" t="n"/>
      <c r="E410" s="29" t="n"/>
      <c r="F410" s="49" t="n"/>
      <c r="G410" s="29" t="n"/>
      <c r="H410" s="29" t="n"/>
      <c r="I410" s="29" t="n"/>
      <c r="J410" s="29" t="n"/>
      <c r="K410" s="29" t="n"/>
    </row>
    <row r="411" ht="54" customHeight="1">
      <c r="A411" s="29" t="n"/>
      <c r="B411" s="29" t="n"/>
      <c r="C411" s="29" t="n"/>
      <c r="D411" s="29" t="n"/>
      <c r="E411" s="29" t="n"/>
      <c r="F411" s="49" t="n"/>
      <c r="G411" s="29" t="n"/>
      <c r="H411" s="29" t="n"/>
      <c r="I411" s="29" t="n"/>
      <c r="J411" s="29" t="n"/>
      <c r="K411" s="29" t="n"/>
    </row>
    <row r="412" ht="54" customHeight="1">
      <c r="A412" s="29" t="n"/>
      <c r="B412" s="29" t="n"/>
      <c r="C412" s="29" t="n"/>
      <c r="D412" s="29" t="n"/>
      <c r="E412" s="29" t="n"/>
      <c r="F412" s="49" t="n"/>
      <c r="G412" s="29" t="n"/>
      <c r="H412" s="29" t="n"/>
      <c r="I412" s="29" t="n"/>
      <c r="J412" s="29" t="n"/>
      <c r="K412" s="29" t="n"/>
    </row>
    <row r="413" ht="54" customHeight="1">
      <c r="A413" s="29" t="n"/>
      <c r="B413" s="29" t="n"/>
      <c r="C413" s="29" t="n"/>
      <c r="D413" s="29" t="n"/>
      <c r="E413" s="29" t="n"/>
      <c r="F413" s="49" t="n"/>
      <c r="G413" s="29" t="n"/>
      <c r="H413" s="29" t="n"/>
      <c r="I413" s="29" t="n"/>
      <c r="J413" s="29" t="n"/>
      <c r="K413" s="29" t="n"/>
    </row>
    <row r="414" ht="54" customHeight="1">
      <c r="A414" s="29" t="n"/>
      <c r="B414" s="29" t="n"/>
      <c r="C414" s="29" t="n"/>
      <c r="D414" s="29" t="n"/>
      <c r="E414" s="29" t="n"/>
      <c r="F414" s="49" t="n"/>
      <c r="G414" s="29" t="n"/>
      <c r="H414" s="29" t="n"/>
      <c r="I414" s="29" t="n"/>
      <c r="J414" s="29" t="n"/>
      <c r="K414" s="29" t="n"/>
    </row>
    <row r="415" ht="54" customHeight="1">
      <c r="A415" s="29" t="n"/>
      <c r="B415" s="29" t="n"/>
      <c r="C415" s="29" t="n"/>
      <c r="D415" s="29" t="n"/>
      <c r="E415" s="29" t="n"/>
      <c r="F415" s="49" t="n"/>
      <c r="G415" s="29" t="n"/>
      <c r="H415" s="29" t="n"/>
      <c r="I415" s="29" t="n"/>
      <c r="J415" s="29" t="n"/>
      <c r="K415" s="29" t="n"/>
    </row>
    <row r="416" ht="54" customHeight="1">
      <c r="A416" s="29" t="n"/>
      <c r="B416" s="29" t="n"/>
      <c r="C416" s="29" t="n"/>
      <c r="D416" s="29" t="n"/>
      <c r="E416" s="29" t="n"/>
      <c r="F416" s="49" t="n"/>
      <c r="G416" s="29" t="n"/>
      <c r="H416" s="29" t="n"/>
      <c r="I416" s="29" t="n"/>
      <c r="J416" s="29" t="n"/>
      <c r="K416" s="29" t="n"/>
    </row>
    <row r="417" ht="54" customHeight="1">
      <c r="A417" s="29" t="n"/>
      <c r="B417" s="29" t="n"/>
      <c r="C417" s="29" t="n"/>
      <c r="D417" s="29" t="n"/>
      <c r="E417" s="29" t="n"/>
      <c r="F417" s="49" t="n"/>
      <c r="G417" s="29" t="n"/>
      <c r="H417" s="29" t="n"/>
      <c r="I417" s="29" t="n"/>
      <c r="J417" s="29" t="n"/>
      <c r="K417" s="29" t="n"/>
    </row>
    <row r="418" ht="54" customHeight="1">
      <c r="A418" s="29" t="n"/>
      <c r="B418" s="29" t="n"/>
      <c r="C418" s="29" t="n"/>
      <c r="D418" s="29" t="n"/>
      <c r="E418" s="29" t="n"/>
      <c r="F418" s="49" t="n"/>
      <c r="G418" s="29" t="n"/>
      <c r="H418" s="29" t="n"/>
      <c r="I418" s="29" t="n"/>
      <c r="J418" s="29" t="n"/>
      <c r="K418" s="29" t="n"/>
    </row>
    <row r="419" ht="54" customHeight="1">
      <c r="A419" s="29" t="n"/>
      <c r="B419" s="29" t="n"/>
      <c r="C419" s="29" t="n"/>
      <c r="D419" s="29" t="n"/>
      <c r="E419" s="29" t="n"/>
      <c r="F419" s="49" t="n"/>
      <c r="G419" s="29" t="n"/>
      <c r="H419" s="29" t="n"/>
      <c r="I419" s="29" t="n"/>
      <c r="J419" s="29" t="n"/>
      <c r="K419" s="29" t="n"/>
    </row>
    <row r="420" ht="54" customHeight="1">
      <c r="A420" s="29" t="n"/>
      <c r="B420" s="29" t="n"/>
      <c r="C420" s="29" t="n"/>
      <c r="D420" s="29" t="n"/>
      <c r="E420" s="29" t="n"/>
      <c r="F420" s="49" t="n"/>
      <c r="G420" s="29" t="n"/>
      <c r="H420" s="29" t="n"/>
      <c r="I420" s="29" t="n"/>
      <c r="J420" s="29" t="n"/>
      <c r="K420" s="29" t="n"/>
    </row>
    <row r="421" ht="54" customHeight="1">
      <c r="A421" s="29" t="n"/>
      <c r="B421" s="29" t="n"/>
      <c r="C421" s="29" t="n"/>
      <c r="D421" s="29" t="n"/>
      <c r="E421" s="29" t="n"/>
      <c r="F421" s="49" t="n"/>
      <c r="G421" s="29" t="n"/>
      <c r="H421" s="29" t="n"/>
      <c r="I421" s="29" t="n"/>
      <c r="J421" s="29" t="n"/>
      <c r="K421" s="29" t="n"/>
    </row>
    <row r="422" ht="54" customHeight="1">
      <c r="A422" s="29" t="n"/>
      <c r="B422" s="29" t="n"/>
      <c r="C422" s="29" t="n"/>
      <c r="D422" s="29" t="n"/>
      <c r="E422" s="29" t="n"/>
      <c r="F422" s="49" t="n"/>
      <c r="G422" s="29" t="n"/>
      <c r="H422" s="29" t="n"/>
      <c r="I422" s="29" t="n"/>
      <c r="J422" s="29" t="n"/>
      <c r="K422" s="29" t="n"/>
    </row>
    <row r="423" ht="54" customHeight="1">
      <c r="A423" s="29" t="n"/>
      <c r="B423" s="29" t="n"/>
      <c r="C423" s="29" t="n"/>
      <c r="D423" s="29" t="n"/>
      <c r="E423" s="29" t="n"/>
      <c r="F423" s="49" t="n"/>
      <c r="G423" s="29" t="n"/>
      <c r="H423" s="29" t="n"/>
      <c r="I423" s="29" t="n"/>
      <c r="J423" s="29" t="n"/>
      <c r="K423" s="29" t="n"/>
    </row>
    <row r="424" ht="54" customHeight="1">
      <c r="A424" s="29" t="n"/>
      <c r="B424" s="29" t="n"/>
      <c r="C424" s="29" t="n"/>
      <c r="D424" s="29" t="n"/>
      <c r="E424" s="29" t="n"/>
      <c r="F424" s="49" t="n"/>
      <c r="G424" s="29" t="n"/>
      <c r="H424" s="29" t="n"/>
      <c r="I424" s="29" t="n"/>
      <c r="J424" s="29" t="n"/>
      <c r="K424" s="29" t="n"/>
    </row>
    <row r="425" ht="54" customHeight="1">
      <c r="A425" s="29" t="n"/>
      <c r="B425" s="29" t="n"/>
      <c r="C425" s="29" t="n"/>
      <c r="D425" s="29" t="n"/>
      <c r="E425" s="29" t="n"/>
      <c r="F425" s="49" t="n"/>
      <c r="G425" s="29" t="n"/>
      <c r="H425" s="29" t="n"/>
      <c r="I425" s="29" t="n"/>
      <c r="J425" s="29" t="n"/>
      <c r="K425" s="29" t="n"/>
    </row>
    <row r="426" ht="54" customHeight="1">
      <c r="A426" s="29" t="n"/>
      <c r="B426" s="29" t="n"/>
      <c r="C426" s="29" t="n"/>
      <c r="D426" s="29" t="n"/>
      <c r="E426" s="29" t="n"/>
      <c r="F426" s="49" t="n"/>
      <c r="G426" s="29" t="n"/>
      <c r="H426" s="29" t="n"/>
      <c r="I426" s="29" t="n"/>
      <c r="J426" s="29" t="n"/>
      <c r="K426" s="29" t="n"/>
    </row>
    <row r="427" ht="54" customHeight="1">
      <c r="A427" s="29" t="n"/>
      <c r="B427" s="29" t="n"/>
      <c r="C427" s="29" t="n"/>
      <c r="D427" s="29" t="n"/>
      <c r="E427" s="29" t="n"/>
      <c r="F427" s="49" t="n"/>
      <c r="G427" s="29" t="n"/>
      <c r="H427" s="29" t="n"/>
      <c r="I427" s="29" t="n"/>
      <c r="J427" s="29" t="n"/>
      <c r="K427" s="29" t="n"/>
    </row>
    <row r="428" ht="54" customHeight="1">
      <c r="A428" s="29" t="n"/>
      <c r="B428" s="29" t="n"/>
      <c r="C428" s="29" t="n"/>
      <c r="D428" s="29" t="n"/>
      <c r="E428" s="29" t="n"/>
      <c r="F428" s="49" t="n"/>
      <c r="G428" s="29" t="n"/>
      <c r="H428" s="29" t="n"/>
      <c r="I428" s="29" t="n"/>
      <c r="J428" s="29" t="n"/>
      <c r="K428" s="29" t="n"/>
    </row>
    <row r="429" ht="54" customHeight="1">
      <c r="A429" s="29" t="n"/>
      <c r="B429" s="29" t="n"/>
      <c r="C429" s="29" t="n"/>
      <c r="D429" s="29" t="n"/>
      <c r="E429" s="29" t="n"/>
      <c r="F429" s="49" t="n"/>
      <c r="G429" s="29" t="n"/>
      <c r="H429" s="29" t="n"/>
      <c r="I429" s="29" t="n"/>
      <c r="J429" s="29" t="n"/>
      <c r="K429" s="29" t="n"/>
    </row>
    <row r="430" ht="54" customHeight="1">
      <c r="A430" s="29" t="n"/>
      <c r="B430" s="29" t="n"/>
      <c r="C430" s="29" t="n"/>
      <c r="D430" s="29" t="n"/>
      <c r="E430" s="29" t="n"/>
      <c r="F430" s="49" t="n"/>
      <c r="G430" s="29" t="n"/>
      <c r="H430" s="29" t="n"/>
      <c r="I430" s="29" t="n"/>
      <c r="J430" s="29" t="n"/>
      <c r="K430" s="29" t="n"/>
    </row>
    <row r="431" ht="54" customHeight="1">
      <c r="A431" s="29" t="n"/>
      <c r="B431" s="29" t="n"/>
      <c r="C431" s="29" t="n"/>
      <c r="D431" s="29" t="n"/>
      <c r="E431" s="29" t="n"/>
      <c r="F431" s="49" t="n"/>
      <c r="G431" s="29" t="n"/>
      <c r="H431" s="29" t="n"/>
      <c r="I431" s="29" t="n"/>
      <c r="J431" s="29" t="n"/>
      <c r="K431" s="29" t="n"/>
    </row>
    <row r="432" ht="54" customHeight="1">
      <c r="A432" s="29" t="n"/>
      <c r="B432" s="29" t="n"/>
      <c r="C432" s="29" t="n"/>
      <c r="D432" s="29" t="n"/>
      <c r="E432" s="29" t="n"/>
      <c r="F432" s="49" t="n"/>
      <c r="G432" s="29" t="n"/>
      <c r="H432" s="29" t="n"/>
      <c r="I432" s="29" t="n"/>
      <c r="J432" s="29" t="n"/>
      <c r="K432" s="29" t="n"/>
    </row>
    <row r="433" ht="54" customHeight="1">
      <c r="A433" s="29" t="n"/>
      <c r="B433" s="29" t="n"/>
      <c r="C433" s="29" t="n"/>
      <c r="D433" s="29" t="n"/>
      <c r="E433" s="29" t="n"/>
      <c r="F433" s="49" t="n"/>
      <c r="G433" s="29" t="n"/>
      <c r="H433" s="29" t="n"/>
      <c r="I433" s="29" t="n"/>
      <c r="J433" s="29" t="n"/>
      <c r="K433" s="29" t="n"/>
    </row>
    <row r="434" ht="54" customHeight="1">
      <c r="A434" s="29" t="n"/>
      <c r="B434" s="29" t="n"/>
      <c r="C434" s="29" t="n"/>
      <c r="D434" s="29" t="n"/>
      <c r="E434" s="29" t="n"/>
      <c r="F434" s="49" t="n"/>
      <c r="G434" s="29" t="n"/>
      <c r="H434" s="29" t="n"/>
      <c r="I434" s="29" t="n"/>
      <c r="J434" s="29" t="n"/>
      <c r="K434" s="29" t="n"/>
    </row>
    <row r="435" ht="54" customHeight="1">
      <c r="A435" s="29" t="n"/>
      <c r="B435" s="29" t="n"/>
      <c r="C435" s="29" t="n"/>
      <c r="D435" s="29" t="n"/>
      <c r="E435" s="29" t="n"/>
      <c r="F435" s="49" t="n"/>
      <c r="G435" s="29" t="n"/>
      <c r="H435" s="29" t="n"/>
      <c r="I435" s="29" t="n"/>
      <c r="J435" s="29" t="n"/>
      <c r="K435" s="29" t="n"/>
    </row>
    <row r="436" ht="54" customHeight="1">
      <c r="A436" s="29" t="n"/>
      <c r="B436" s="29" t="n"/>
      <c r="C436" s="29" t="n"/>
      <c r="D436" s="29" t="n"/>
      <c r="E436" s="29" t="n"/>
      <c r="F436" s="49" t="n"/>
      <c r="G436" s="29" t="n"/>
      <c r="H436" s="29" t="n"/>
      <c r="I436" s="29" t="n"/>
      <c r="J436" s="29" t="n"/>
      <c r="K436" s="29" t="n"/>
    </row>
    <row r="437" ht="54" customHeight="1">
      <c r="A437" s="29" t="n"/>
      <c r="B437" s="29" t="n"/>
      <c r="C437" s="29" t="n"/>
      <c r="D437" s="29" t="n"/>
      <c r="E437" s="29" t="n"/>
      <c r="F437" s="49" t="n"/>
      <c r="G437" s="29" t="n"/>
      <c r="H437" s="29" t="n"/>
      <c r="I437" s="29" t="n"/>
      <c r="J437" s="29" t="n"/>
      <c r="K437" s="29" t="n"/>
    </row>
    <row r="438" ht="54" customHeight="1">
      <c r="A438" s="29" t="n"/>
      <c r="B438" s="29" t="n"/>
      <c r="C438" s="29" t="n"/>
      <c r="D438" s="29" t="n"/>
      <c r="E438" s="29" t="n"/>
      <c r="F438" s="49" t="n"/>
      <c r="G438" s="29" t="n"/>
      <c r="H438" s="29" t="n"/>
      <c r="I438" s="29" t="n"/>
      <c r="J438" s="29" t="n"/>
      <c r="K438" s="29" t="n"/>
    </row>
    <row r="439" ht="54" customHeight="1">
      <c r="A439" s="29" t="n"/>
      <c r="B439" s="29" t="n"/>
      <c r="C439" s="29" t="n"/>
      <c r="D439" s="29" t="n"/>
      <c r="E439" s="29" t="n"/>
      <c r="F439" s="49" t="n"/>
      <c r="G439" s="29" t="n"/>
      <c r="H439" s="29" t="n"/>
      <c r="I439" s="29" t="n"/>
      <c r="J439" s="29" t="n"/>
      <c r="K439" s="29" t="n"/>
    </row>
    <row r="440" ht="54" customHeight="1">
      <c r="A440" s="29" t="n"/>
      <c r="B440" s="29" t="n"/>
      <c r="C440" s="29" t="n"/>
      <c r="D440" s="29" t="n"/>
      <c r="E440" s="29" t="n"/>
      <c r="F440" s="49" t="n"/>
      <c r="G440" s="29" t="n"/>
      <c r="H440" s="29" t="n"/>
      <c r="I440" s="29" t="n"/>
      <c r="J440" s="29" t="n"/>
      <c r="K440" s="29" t="n"/>
    </row>
    <row r="441" ht="54" customHeight="1">
      <c r="A441" s="29" t="n"/>
      <c r="B441" s="29" t="n"/>
      <c r="C441" s="29" t="n"/>
      <c r="D441" s="29" t="n"/>
      <c r="E441" s="29" t="n"/>
      <c r="F441" s="49" t="n"/>
      <c r="G441" s="29" t="n"/>
      <c r="H441" s="29" t="n"/>
      <c r="I441" s="29" t="n"/>
      <c r="J441" s="29" t="n"/>
      <c r="K441" s="29" t="n"/>
    </row>
    <row r="442" ht="54" customHeight="1">
      <c r="A442" s="29" t="n"/>
      <c r="B442" s="29" t="n"/>
      <c r="C442" s="29" t="n"/>
      <c r="D442" s="29" t="n"/>
      <c r="E442" s="29" t="n"/>
      <c r="F442" s="49" t="n"/>
      <c r="G442" s="29" t="n"/>
      <c r="H442" s="29" t="n"/>
      <c r="I442" s="29" t="n"/>
      <c r="J442" s="29" t="n"/>
      <c r="K442" s="29" t="n"/>
    </row>
    <row r="443" ht="54" customHeight="1">
      <c r="A443" s="29" t="n"/>
      <c r="B443" s="29" t="n"/>
      <c r="C443" s="29" t="n"/>
      <c r="D443" s="29" t="n"/>
      <c r="E443" s="29" t="n"/>
      <c r="F443" s="49" t="n"/>
      <c r="G443" s="29" t="n"/>
      <c r="H443" s="29" t="n"/>
      <c r="I443" s="29" t="n"/>
      <c r="J443" s="29" t="n"/>
      <c r="K443" s="29" t="n"/>
    </row>
    <row r="444" ht="54" customHeight="1">
      <c r="A444" s="29" t="n"/>
      <c r="B444" s="29" t="n"/>
      <c r="C444" s="29" t="n"/>
      <c r="D444" s="29" t="n"/>
      <c r="E444" s="29" t="n"/>
      <c r="F444" s="49" t="n"/>
      <c r="G444" s="29" t="n"/>
      <c r="H444" s="29" t="n"/>
      <c r="I444" s="29" t="n"/>
      <c r="J444" s="29" t="n"/>
      <c r="K444" s="29" t="n"/>
    </row>
    <row r="445" ht="54" customHeight="1">
      <c r="A445" s="29" t="n"/>
      <c r="B445" s="29" t="n"/>
      <c r="C445" s="29" t="n"/>
      <c r="D445" s="29" t="n"/>
      <c r="E445" s="29" t="n"/>
      <c r="F445" s="49" t="n"/>
      <c r="G445" s="29" t="n"/>
      <c r="H445" s="29" t="n"/>
      <c r="I445" s="29" t="n"/>
      <c r="J445" s="29" t="n"/>
      <c r="K445" s="29" t="n"/>
    </row>
    <row r="446" ht="54" customHeight="1">
      <c r="A446" s="29" t="n"/>
      <c r="B446" s="29" t="n"/>
      <c r="C446" s="29" t="n"/>
      <c r="D446" s="29" t="n"/>
      <c r="E446" s="29" t="n"/>
      <c r="F446" s="49" t="n"/>
      <c r="G446" s="29" t="n"/>
      <c r="H446" s="29" t="n"/>
      <c r="I446" s="29" t="n"/>
      <c r="J446" s="29" t="n"/>
      <c r="K446" s="29" t="n"/>
    </row>
    <row r="447" ht="54" customHeight="1">
      <c r="A447" s="29" t="n"/>
      <c r="B447" s="29" t="n"/>
      <c r="C447" s="29" t="n"/>
      <c r="D447" s="29" t="n"/>
      <c r="E447" s="29" t="n"/>
      <c r="F447" s="49" t="n"/>
      <c r="G447" s="29" t="n"/>
      <c r="H447" s="29" t="n"/>
      <c r="I447" s="29" t="n"/>
      <c r="J447" s="29" t="n"/>
      <c r="K447" s="29" t="n"/>
    </row>
    <row r="448" ht="54" customHeight="1">
      <c r="A448" s="29" t="n"/>
      <c r="B448" s="29" t="n"/>
      <c r="C448" s="29" t="n"/>
      <c r="D448" s="29" t="n"/>
      <c r="E448" s="29" t="n"/>
      <c r="F448" s="49" t="n"/>
      <c r="G448" s="29" t="n"/>
      <c r="H448" s="29" t="n"/>
      <c r="I448" s="29" t="n"/>
      <c r="J448" s="29" t="n"/>
      <c r="K448" s="29" t="n"/>
    </row>
    <row r="449" ht="54" customHeight="1">
      <c r="A449" s="29" t="n"/>
      <c r="B449" s="29" t="n"/>
      <c r="C449" s="29" t="n"/>
      <c r="D449" s="29" t="n"/>
      <c r="E449" s="29" t="n"/>
      <c r="F449" s="49" t="n"/>
      <c r="G449" s="29" t="n"/>
      <c r="H449" s="29" t="n"/>
      <c r="I449" s="29" t="n"/>
      <c r="J449" s="29" t="n"/>
      <c r="K449" s="29" t="n"/>
    </row>
    <row r="450" ht="54" customHeight="1">
      <c r="A450" s="29" t="n"/>
      <c r="B450" s="29" t="n"/>
      <c r="C450" s="29" t="n"/>
      <c r="D450" s="29" t="n"/>
      <c r="E450" s="29" t="n"/>
      <c r="F450" s="49" t="n"/>
      <c r="G450" s="29" t="n"/>
      <c r="H450" s="29" t="n"/>
      <c r="I450" s="29" t="n"/>
      <c r="J450" s="29" t="n"/>
      <c r="K450" s="29" t="n"/>
    </row>
    <row r="451" ht="54" customHeight="1">
      <c r="A451" s="29" t="n"/>
      <c r="B451" s="29" t="n"/>
      <c r="C451" s="29" t="n"/>
      <c r="D451" s="29" t="n"/>
      <c r="E451" s="29" t="n"/>
      <c r="F451" s="49" t="n"/>
      <c r="G451" s="29" t="n"/>
      <c r="H451" s="29" t="n"/>
      <c r="I451" s="29" t="n"/>
      <c r="J451" s="29" t="n"/>
      <c r="K451" s="29" t="n"/>
    </row>
    <row r="452" ht="54" customHeight="1">
      <c r="A452" s="29" t="n"/>
      <c r="B452" s="29" t="n"/>
      <c r="C452" s="29" t="n"/>
      <c r="D452" s="29" t="n"/>
      <c r="E452" s="29" t="n"/>
      <c r="F452" s="49" t="n"/>
      <c r="G452" s="29" t="n"/>
      <c r="H452" s="29" t="n"/>
      <c r="I452" s="29" t="n"/>
      <c r="J452" s="29" t="n"/>
      <c r="K452" s="29" t="n"/>
    </row>
    <row r="453" ht="54" customHeight="1">
      <c r="A453" s="29" t="n"/>
      <c r="B453" s="29" t="n"/>
      <c r="C453" s="29" t="n"/>
      <c r="D453" s="29" t="n"/>
      <c r="E453" s="29" t="n"/>
      <c r="F453" s="49" t="n"/>
      <c r="G453" s="29" t="n"/>
      <c r="H453" s="29" t="n"/>
      <c r="I453" s="29" t="n"/>
      <c r="J453" s="29" t="n"/>
      <c r="K453" s="29" t="n"/>
    </row>
    <row r="454" ht="54" customHeight="1">
      <c r="A454" s="29" t="n"/>
      <c r="B454" s="29" t="n"/>
      <c r="C454" s="29" t="n"/>
      <c r="D454" s="29" t="n"/>
      <c r="E454" s="29" t="n"/>
      <c r="F454" s="49" t="n"/>
      <c r="G454" s="29" t="n"/>
      <c r="H454" s="29" t="n"/>
      <c r="I454" s="29" t="n"/>
      <c r="J454" s="29" t="n"/>
      <c r="K454" s="29" t="n"/>
    </row>
    <row r="455" ht="54" customHeight="1">
      <c r="A455" s="29" t="n"/>
      <c r="B455" s="29" t="n"/>
      <c r="C455" s="29" t="n"/>
      <c r="D455" s="29" t="n"/>
      <c r="E455" s="29" t="n"/>
      <c r="F455" s="49" t="n"/>
      <c r="G455" s="29" t="n"/>
      <c r="H455" s="29" t="n"/>
      <c r="I455" s="29" t="n"/>
      <c r="J455" s="29" t="n"/>
      <c r="K455" s="29" t="n"/>
    </row>
    <row r="456" ht="54" customHeight="1">
      <c r="A456" s="29" t="n"/>
      <c r="B456" s="29" t="n"/>
      <c r="C456" s="29" t="n"/>
      <c r="D456" s="29" t="n"/>
      <c r="E456" s="29" t="n"/>
      <c r="F456" s="49" t="n"/>
      <c r="G456" s="29" t="n"/>
      <c r="H456" s="29" t="n"/>
      <c r="I456" s="29" t="n"/>
      <c r="J456" s="29" t="n"/>
      <c r="K456" s="29" t="n"/>
    </row>
    <row r="457" ht="54" customHeight="1">
      <c r="A457" s="29" t="n"/>
      <c r="B457" s="29" t="n"/>
      <c r="C457" s="29" t="n"/>
      <c r="D457" s="29" t="n"/>
      <c r="E457" s="29" t="n"/>
      <c r="F457" s="49" t="n"/>
      <c r="G457" s="29" t="n"/>
      <c r="H457" s="29" t="n"/>
      <c r="I457" s="29" t="n"/>
      <c r="J457" s="29" t="n"/>
      <c r="K457" s="29" t="n"/>
    </row>
    <row r="458" ht="54" customHeight="1">
      <c r="A458" s="29" t="n"/>
      <c r="B458" s="29" t="n"/>
      <c r="C458" s="29" t="n"/>
      <c r="D458" s="29" t="n"/>
      <c r="E458" s="29" t="n"/>
      <c r="F458" s="49" t="n"/>
      <c r="G458" s="29" t="n"/>
      <c r="H458" s="29" t="n"/>
      <c r="I458" s="29" t="n"/>
      <c r="J458" s="29" t="n"/>
      <c r="K458" s="29" t="n"/>
    </row>
    <row r="459" ht="54" customHeight="1">
      <c r="A459" s="29" t="n"/>
      <c r="B459" s="29" t="n"/>
      <c r="C459" s="29" t="n"/>
      <c r="D459" s="29" t="n"/>
      <c r="E459" s="29" t="n"/>
      <c r="F459" s="49" t="n"/>
      <c r="G459" s="29" t="n"/>
      <c r="H459" s="29" t="n"/>
      <c r="I459" s="29" t="n"/>
      <c r="J459" s="29" t="n"/>
      <c r="K459" s="29" t="n"/>
    </row>
    <row r="460" ht="54" customHeight="1">
      <c r="A460" s="29" t="n"/>
      <c r="B460" s="29" t="n"/>
      <c r="C460" s="29" t="n"/>
      <c r="D460" s="29" t="n"/>
      <c r="E460" s="29" t="n"/>
      <c r="F460" s="49" t="n"/>
      <c r="G460" s="29" t="n"/>
      <c r="H460" s="29" t="n"/>
      <c r="I460" s="29" t="n"/>
      <c r="J460" s="29" t="n"/>
      <c r="K460" s="29" t="n"/>
    </row>
    <row r="461" ht="54" customHeight="1">
      <c r="A461" s="29" t="n"/>
      <c r="B461" s="29" t="n"/>
      <c r="C461" s="29" t="n"/>
      <c r="D461" s="29" t="n"/>
      <c r="E461" s="29" t="n"/>
      <c r="F461" s="49" t="n"/>
      <c r="G461" s="29" t="n"/>
      <c r="H461" s="29" t="n"/>
      <c r="I461" s="29" t="n"/>
      <c r="J461" s="29" t="n"/>
      <c r="K461" s="29" t="n"/>
    </row>
    <row r="462" ht="54" customHeight="1">
      <c r="A462" s="29" t="n"/>
      <c r="B462" s="29" t="n"/>
      <c r="C462" s="29" t="n"/>
      <c r="D462" s="29" t="n"/>
      <c r="E462" s="29" t="n"/>
      <c r="F462" s="49" t="n"/>
      <c r="G462" s="29" t="n"/>
      <c r="H462" s="29" t="n"/>
      <c r="I462" s="29" t="n"/>
      <c r="J462" s="29" t="n"/>
      <c r="K462" s="29" t="n"/>
    </row>
    <row r="463" ht="54" customHeight="1">
      <c r="A463" s="29" t="n"/>
      <c r="B463" s="29" t="n"/>
      <c r="C463" s="29" t="n"/>
      <c r="D463" s="29" t="n"/>
      <c r="E463" s="29" t="n"/>
      <c r="F463" s="49" t="n"/>
      <c r="G463" s="29" t="n"/>
      <c r="H463" s="29" t="n"/>
      <c r="I463" s="29" t="n"/>
      <c r="J463" s="29" t="n"/>
      <c r="K463" s="29" t="n"/>
    </row>
    <row r="464" ht="54" customHeight="1">
      <c r="A464" s="29" t="n"/>
      <c r="B464" s="29" t="n"/>
      <c r="C464" s="29" t="n"/>
      <c r="D464" s="29" t="n"/>
      <c r="E464" s="29" t="n"/>
      <c r="F464" s="49" t="n"/>
      <c r="G464" s="29" t="n"/>
      <c r="H464" s="29" t="n"/>
      <c r="I464" s="29" t="n"/>
      <c r="J464" s="29" t="n"/>
      <c r="K464" s="29" t="n"/>
    </row>
    <row r="465" ht="54" customHeight="1">
      <c r="A465" s="29" t="n"/>
      <c r="B465" s="29" t="n"/>
      <c r="C465" s="29" t="n"/>
      <c r="D465" s="29" t="n"/>
      <c r="E465" s="29" t="n"/>
      <c r="F465" s="49" t="n"/>
      <c r="G465" s="29" t="n"/>
      <c r="H465" s="29" t="n"/>
      <c r="I465" s="29" t="n"/>
      <c r="J465" s="29" t="n"/>
      <c r="K465" s="29" t="n"/>
    </row>
    <row r="466" ht="54" customHeight="1">
      <c r="A466" s="29" t="n"/>
      <c r="B466" s="29" t="n"/>
      <c r="C466" s="29" t="n"/>
      <c r="D466" s="29" t="n"/>
      <c r="E466" s="29" t="n"/>
      <c r="F466" s="49" t="n"/>
      <c r="G466" s="29" t="n"/>
      <c r="H466" s="29" t="n"/>
      <c r="I466" s="29" t="n"/>
      <c r="J466" s="29" t="n"/>
      <c r="K466" s="29" t="n"/>
    </row>
    <row r="467" ht="54" customHeight="1">
      <c r="A467" s="29" t="n"/>
      <c r="B467" s="29" t="n"/>
      <c r="C467" s="29" t="n"/>
      <c r="D467" s="29" t="n"/>
      <c r="E467" s="29" t="n"/>
      <c r="F467" s="49" t="n"/>
      <c r="G467" s="29" t="n"/>
      <c r="H467" s="29" t="n"/>
      <c r="I467" s="29" t="n"/>
      <c r="J467" s="29" t="n"/>
      <c r="K467" s="29" t="n"/>
    </row>
    <row r="468" ht="54" customHeight="1">
      <c r="A468" s="29" t="n"/>
      <c r="B468" s="29" t="n"/>
      <c r="C468" s="29" t="n"/>
      <c r="D468" s="29" t="n"/>
      <c r="E468" s="29" t="n"/>
      <c r="F468" s="49" t="n"/>
      <c r="G468" s="29" t="n"/>
      <c r="H468" s="29" t="n"/>
      <c r="I468" s="29" t="n"/>
      <c r="J468" s="29" t="n"/>
      <c r="K468" s="29" t="n"/>
    </row>
    <row r="469" ht="54" customHeight="1">
      <c r="A469" s="29" t="n"/>
      <c r="B469" s="29" t="n"/>
      <c r="C469" s="29" t="n"/>
      <c r="D469" s="29" t="n"/>
      <c r="E469" s="29" t="n"/>
      <c r="F469" s="49" t="n"/>
      <c r="G469" s="29" t="n"/>
      <c r="H469" s="29" t="n"/>
      <c r="I469" s="29" t="n"/>
      <c r="J469" s="29" t="n"/>
      <c r="K469" s="29" t="n"/>
    </row>
    <row r="470" ht="54" customHeight="1">
      <c r="A470" s="29" t="n"/>
      <c r="B470" s="29" t="n"/>
      <c r="C470" s="29" t="n"/>
      <c r="D470" s="29" t="n"/>
      <c r="E470" s="29" t="n"/>
      <c r="F470" s="49" t="n"/>
      <c r="G470" s="29" t="n"/>
      <c r="H470" s="29" t="n"/>
      <c r="I470" s="29" t="n"/>
      <c r="J470" s="29" t="n"/>
      <c r="K470" s="29" t="n"/>
    </row>
    <row r="471" ht="54" customHeight="1">
      <c r="A471" s="29" t="n"/>
      <c r="B471" s="29" t="n"/>
      <c r="C471" s="29" t="n"/>
      <c r="D471" s="29" t="n"/>
      <c r="E471" s="29" t="n"/>
      <c r="F471" s="49" t="n"/>
      <c r="G471" s="29" t="n"/>
      <c r="H471" s="29" t="n"/>
      <c r="I471" s="29" t="n"/>
      <c r="J471" s="29" t="n"/>
      <c r="K471" s="29" t="n"/>
    </row>
    <row r="472" ht="54" customHeight="1">
      <c r="A472" s="29" t="n"/>
      <c r="B472" s="29" t="n"/>
      <c r="C472" s="29" t="n"/>
      <c r="D472" s="29" t="n"/>
      <c r="E472" s="29" t="n"/>
      <c r="F472" s="49" t="n"/>
      <c r="G472" s="29" t="n"/>
      <c r="H472" s="29" t="n"/>
      <c r="I472" s="29" t="n"/>
      <c r="J472" s="29" t="n"/>
      <c r="K472" s="29" t="n"/>
    </row>
    <row r="473" ht="54" customHeight="1">
      <c r="A473" s="29" t="n"/>
      <c r="B473" s="29" t="n"/>
      <c r="C473" s="29" t="n"/>
      <c r="D473" s="29" t="n"/>
      <c r="E473" s="29" t="n"/>
      <c r="F473" s="49" t="n"/>
      <c r="G473" s="29" t="n"/>
      <c r="H473" s="29" t="n"/>
      <c r="I473" s="29" t="n"/>
      <c r="J473" s="29" t="n"/>
      <c r="K473" s="29" t="n"/>
    </row>
    <row r="474" ht="54" customHeight="1">
      <c r="A474" s="29" t="n"/>
      <c r="B474" s="29" t="n"/>
      <c r="C474" s="29" t="n"/>
      <c r="D474" s="29" t="n"/>
      <c r="E474" s="29" t="n"/>
      <c r="F474" s="49" t="n"/>
      <c r="G474" s="29" t="n"/>
      <c r="H474" s="29" t="n"/>
      <c r="I474" s="29" t="n"/>
      <c r="J474" s="29" t="n"/>
      <c r="K474" s="29" t="n"/>
    </row>
    <row r="475" ht="54" customHeight="1">
      <c r="A475" s="29" t="n"/>
      <c r="B475" s="29" t="n"/>
      <c r="C475" s="29" t="n"/>
      <c r="D475" s="29" t="n"/>
      <c r="E475" s="29" t="n"/>
      <c r="F475" s="49" t="n"/>
      <c r="G475" s="29" t="n"/>
      <c r="H475" s="29" t="n"/>
      <c r="I475" s="29" t="n"/>
      <c r="J475" s="29" t="n"/>
      <c r="K475" s="29" t="n"/>
    </row>
    <row r="476" ht="54" customHeight="1">
      <c r="A476" s="29" t="n"/>
      <c r="B476" s="29" t="n"/>
      <c r="C476" s="29" t="n"/>
      <c r="D476" s="29" t="n"/>
      <c r="E476" s="29" t="n"/>
      <c r="F476" s="49" t="n"/>
      <c r="G476" s="29" t="n"/>
      <c r="H476" s="29" t="n"/>
      <c r="I476" s="29" t="n"/>
      <c r="J476" s="29" t="n"/>
      <c r="K476" s="29" t="n"/>
    </row>
    <row r="477" ht="54" customHeight="1">
      <c r="A477" s="29" t="n"/>
      <c r="B477" s="29" t="n"/>
      <c r="C477" s="29" t="n"/>
      <c r="D477" s="29" t="n"/>
      <c r="E477" s="29" t="n"/>
      <c r="F477" s="49" t="n"/>
      <c r="G477" s="29" t="n"/>
      <c r="H477" s="29" t="n"/>
      <c r="I477" s="29" t="n"/>
      <c r="J477" s="29" t="n"/>
      <c r="K477" s="29" t="n"/>
    </row>
    <row r="478" ht="54" customHeight="1">
      <c r="A478" s="29" t="n"/>
      <c r="B478" s="29" t="n"/>
      <c r="C478" s="29" t="n"/>
      <c r="D478" s="29" t="n"/>
      <c r="E478" s="29" t="n"/>
      <c r="F478" s="49" t="n"/>
      <c r="G478" s="29" t="n"/>
      <c r="H478" s="29" t="n"/>
      <c r="I478" s="29" t="n"/>
      <c r="J478" s="29" t="n"/>
      <c r="K478" s="29" t="n"/>
    </row>
    <row r="479" ht="54" customHeight="1">
      <c r="A479" s="29" t="n"/>
      <c r="B479" s="29" t="n"/>
      <c r="C479" s="29" t="n"/>
      <c r="D479" s="29" t="n"/>
      <c r="E479" s="29" t="n"/>
      <c r="F479" s="49" t="n"/>
      <c r="G479" s="29" t="n"/>
      <c r="H479" s="29" t="n"/>
      <c r="I479" s="29" t="n"/>
      <c r="J479" s="29" t="n"/>
      <c r="K479" s="29" t="n"/>
    </row>
    <row r="480" ht="54" customHeight="1">
      <c r="A480" s="29" t="n"/>
      <c r="B480" s="29" t="n"/>
      <c r="C480" s="29" t="n"/>
      <c r="D480" s="29" t="n"/>
      <c r="E480" s="29" t="n"/>
      <c r="F480" s="49" t="n"/>
      <c r="G480" s="29" t="n"/>
      <c r="H480" s="29" t="n"/>
      <c r="I480" s="29" t="n"/>
      <c r="J480" s="29" t="n"/>
      <c r="K480" s="29" t="n"/>
    </row>
    <row r="481" ht="54" customHeight="1">
      <c r="A481" s="29" t="n"/>
      <c r="B481" s="29" t="n"/>
      <c r="C481" s="29" t="n"/>
      <c r="D481" s="29" t="n"/>
      <c r="E481" s="29" t="n"/>
      <c r="F481" s="49" t="n"/>
      <c r="G481" s="29" t="n"/>
      <c r="H481" s="29" t="n"/>
      <c r="I481" s="29" t="n"/>
      <c r="J481" s="29" t="n"/>
      <c r="K481" s="29" t="n"/>
    </row>
    <row r="482" ht="54" customHeight="1">
      <c r="A482" s="29" t="n"/>
      <c r="B482" s="29" t="n"/>
      <c r="C482" s="29" t="n"/>
      <c r="D482" s="29" t="n"/>
      <c r="E482" s="29" t="n"/>
      <c r="F482" s="49" t="n"/>
      <c r="G482" s="29" t="n"/>
      <c r="H482" s="29" t="n"/>
      <c r="I482" s="29" t="n"/>
      <c r="J482" s="29" t="n"/>
      <c r="K482" s="29" t="n"/>
    </row>
    <row r="483" ht="54" customHeight="1">
      <c r="A483" s="29" t="n"/>
      <c r="B483" s="29" t="n"/>
      <c r="C483" s="29" t="n"/>
      <c r="D483" s="29" t="n"/>
      <c r="E483" s="29" t="n"/>
      <c r="F483" s="49" t="n"/>
      <c r="G483" s="29" t="n"/>
      <c r="H483" s="29" t="n"/>
      <c r="I483" s="29" t="n"/>
      <c r="J483" s="29" t="n"/>
      <c r="K483" s="29" t="n"/>
    </row>
    <row r="484" ht="54" customHeight="1">
      <c r="A484" s="29" t="n"/>
      <c r="B484" s="29" t="n"/>
      <c r="C484" s="29" t="n"/>
      <c r="D484" s="29" t="n"/>
      <c r="E484" s="29" t="n"/>
      <c r="F484" s="49" t="n"/>
      <c r="G484" s="29" t="n"/>
      <c r="H484" s="29" t="n"/>
      <c r="I484" s="29" t="n"/>
      <c r="J484" s="29" t="n"/>
      <c r="K484" s="29" t="n"/>
    </row>
    <row r="485" ht="54" customHeight="1">
      <c r="A485" s="29" t="n"/>
      <c r="B485" s="29" t="n"/>
      <c r="C485" s="29" t="n"/>
      <c r="D485" s="29" t="n"/>
      <c r="E485" s="29" t="n"/>
      <c r="F485" s="49" t="n"/>
      <c r="G485" s="29" t="n"/>
      <c r="H485" s="29" t="n"/>
      <c r="I485" s="29" t="n"/>
      <c r="J485" s="29" t="n"/>
      <c r="K485" s="29" t="n"/>
    </row>
    <row r="486" ht="54" customHeight="1">
      <c r="A486" s="29" t="n"/>
      <c r="B486" s="29" t="n"/>
      <c r="C486" s="29" t="n"/>
      <c r="D486" s="29" t="n"/>
      <c r="E486" s="29" t="n"/>
      <c r="F486" s="49" t="n"/>
      <c r="G486" s="29" t="n"/>
      <c r="H486" s="29" t="n"/>
      <c r="I486" s="29" t="n"/>
      <c r="J486" s="29" t="n"/>
      <c r="K486" s="29" t="n"/>
    </row>
    <row r="487" ht="54" customHeight="1">
      <c r="A487" s="29" t="n"/>
      <c r="B487" s="29" t="n"/>
      <c r="C487" s="29" t="n"/>
      <c r="D487" s="29" t="n"/>
      <c r="E487" s="29" t="n"/>
      <c r="F487" s="49" t="n"/>
      <c r="G487" s="29" t="n"/>
      <c r="H487" s="29" t="n"/>
      <c r="I487" s="29" t="n"/>
      <c r="J487" s="29" t="n"/>
      <c r="K487" s="29" t="n"/>
    </row>
    <row r="488" ht="54" customHeight="1">
      <c r="A488" s="29" t="n"/>
      <c r="B488" s="29" t="n"/>
      <c r="C488" s="29" t="n"/>
      <c r="D488" s="29" t="n"/>
      <c r="E488" s="29" t="n"/>
      <c r="F488" s="49" t="n"/>
      <c r="G488" s="29" t="n"/>
      <c r="H488" s="29" t="n"/>
      <c r="I488" s="29" t="n"/>
      <c r="J488" s="29" t="n"/>
      <c r="K488" s="29" t="n"/>
    </row>
    <row r="489" ht="54" customHeight="1">
      <c r="A489" s="29" t="n"/>
      <c r="B489" s="29" t="n"/>
      <c r="C489" s="29" t="n"/>
      <c r="D489" s="29" t="n"/>
      <c r="E489" s="29" t="n"/>
      <c r="F489" s="49" t="n"/>
      <c r="G489" s="29" t="n"/>
      <c r="H489" s="29" t="n"/>
      <c r="I489" s="29" t="n"/>
      <c r="J489" s="29" t="n"/>
      <c r="K489" s="29" t="n"/>
    </row>
    <row r="490" ht="54" customHeight="1">
      <c r="A490" s="29" t="n"/>
      <c r="B490" s="29" t="n"/>
      <c r="C490" s="29" t="n"/>
      <c r="D490" s="29" t="n"/>
      <c r="E490" s="29" t="n"/>
      <c r="F490" s="49" t="n"/>
      <c r="G490" s="29" t="n"/>
      <c r="H490" s="29" t="n"/>
      <c r="I490" s="29" t="n"/>
      <c r="J490" s="29" t="n"/>
      <c r="K490" s="29" t="n"/>
    </row>
    <row r="491" ht="54" customHeight="1">
      <c r="A491" s="29" t="n"/>
      <c r="B491" s="29" t="n"/>
      <c r="C491" s="29" t="n"/>
      <c r="D491" s="29" t="n"/>
      <c r="E491" s="29" t="n"/>
      <c r="F491" s="49" t="n"/>
      <c r="G491" s="29" t="n"/>
      <c r="H491" s="29" t="n"/>
      <c r="I491" s="29" t="n"/>
      <c r="J491" s="29" t="n"/>
      <c r="K491" s="29" t="n"/>
    </row>
    <row r="492" ht="54" customHeight="1">
      <c r="A492" s="29" t="n"/>
      <c r="B492" s="29" t="n"/>
      <c r="C492" s="29" t="n"/>
      <c r="D492" s="29" t="n"/>
      <c r="E492" s="29" t="n"/>
      <c r="F492" s="49" t="n"/>
      <c r="G492" s="29" t="n"/>
      <c r="H492" s="29" t="n"/>
      <c r="I492" s="29" t="n"/>
      <c r="J492" s="29" t="n"/>
      <c r="K492" s="29" t="n"/>
    </row>
    <row r="493" ht="54" customHeight="1">
      <c r="A493" s="29" t="n"/>
      <c r="B493" s="29" t="n"/>
      <c r="C493" s="29" t="n"/>
      <c r="D493" s="29" t="n"/>
      <c r="E493" s="29" t="n"/>
      <c r="F493" s="49" t="n"/>
      <c r="G493" s="29" t="n"/>
      <c r="H493" s="29" t="n"/>
      <c r="I493" s="29" t="n"/>
      <c r="J493" s="29" t="n"/>
      <c r="K493" s="29" t="n"/>
    </row>
    <row r="494" ht="54" customHeight="1">
      <c r="A494" s="29" t="n"/>
      <c r="B494" s="29" t="n"/>
      <c r="C494" s="29" t="n"/>
      <c r="D494" s="29" t="n"/>
      <c r="E494" s="29" t="n"/>
      <c r="F494" s="49" t="n"/>
      <c r="G494" s="29" t="n"/>
      <c r="H494" s="29" t="n"/>
      <c r="I494" s="29" t="n"/>
      <c r="J494" s="29" t="n"/>
      <c r="K494" s="29" t="n"/>
    </row>
    <row r="495" ht="54" customHeight="1">
      <c r="A495" s="29" t="n"/>
      <c r="B495" s="29" t="n"/>
      <c r="C495" s="29" t="n"/>
      <c r="D495" s="29" t="n"/>
      <c r="E495" s="29" t="n"/>
      <c r="F495" s="49" t="n"/>
      <c r="G495" s="29" t="n"/>
      <c r="H495" s="29" t="n"/>
      <c r="I495" s="29" t="n"/>
      <c r="J495" s="29" t="n"/>
      <c r="K495" s="29" t="n"/>
    </row>
    <row r="496" ht="54" customHeight="1">
      <c r="A496" s="29" t="n"/>
      <c r="B496" s="29" t="n"/>
      <c r="C496" s="29" t="n"/>
      <c r="D496" s="29" t="n"/>
      <c r="E496" s="29" t="n"/>
      <c r="F496" s="49" t="n"/>
      <c r="G496" s="29" t="n"/>
      <c r="H496" s="29" t="n"/>
      <c r="I496" s="29" t="n"/>
      <c r="J496" s="29" t="n"/>
      <c r="K496" s="29" t="n"/>
    </row>
    <row r="497" ht="54" customHeight="1">
      <c r="A497" s="29" t="n"/>
      <c r="B497" s="29" t="n"/>
      <c r="C497" s="29" t="n"/>
      <c r="D497" s="29" t="n"/>
      <c r="E497" s="29" t="n"/>
      <c r="F497" s="49" t="n"/>
      <c r="G497" s="29" t="n"/>
      <c r="H497" s="29" t="n"/>
      <c r="I497" s="29" t="n"/>
      <c r="J497" s="29" t="n"/>
      <c r="K497" s="29" t="n"/>
    </row>
    <row r="498" ht="54" customHeight="1">
      <c r="A498" s="29" t="n"/>
      <c r="B498" s="29" t="n"/>
      <c r="C498" s="29" t="n"/>
      <c r="D498" s="29" t="n"/>
      <c r="E498" s="29" t="n"/>
      <c r="F498" s="49" t="n"/>
      <c r="G498" s="29" t="n"/>
      <c r="H498" s="29" t="n"/>
      <c r="I498" s="29" t="n"/>
      <c r="J498" s="29" t="n"/>
      <c r="K498" s="29" t="n"/>
    </row>
    <row r="499" ht="54" customHeight="1">
      <c r="A499" s="29" t="n"/>
      <c r="B499" s="29" t="n"/>
      <c r="C499" s="29" t="n"/>
      <c r="D499" s="29" t="n"/>
      <c r="E499" s="29" t="n"/>
      <c r="F499" s="49" t="n"/>
      <c r="G499" s="29" t="n"/>
      <c r="H499" s="29" t="n"/>
      <c r="I499" s="29" t="n"/>
      <c r="J499" s="29" t="n"/>
      <c r="K499" s="29" t="n"/>
    </row>
    <row r="500" ht="54" customHeight="1">
      <c r="A500" s="29" t="n"/>
      <c r="B500" s="29" t="n"/>
      <c r="C500" s="29" t="n"/>
      <c r="D500" s="29" t="n"/>
      <c r="E500" s="29" t="n"/>
      <c r="F500" s="49" t="n"/>
      <c r="G500" s="29" t="n"/>
      <c r="H500" s="29" t="n"/>
      <c r="I500" s="29" t="n"/>
      <c r="J500" s="29" t="n"/>
      <c r="K500" s="29" t="n"/>
    </row>
    <row r="501" ht="54" customHeight="1">
      <c r="A501" s="29" t="n"/>
      <c r="B501" s="29" t="n"/>
      <c r="C501" s="29" t="n"/>
      <c r="D501" s="29" t="n"/>
      <c r="E501" s="29" t="n"/>
      <c r="F501" s="49" t="n"/>
      <c r="G501" s="29" t="n"/>
      <c r="H501" s="29" t="n"/>
      <c r="I501" s="29" t="n"/>
      <c r="J501" s="29" t="n"/>
      <c r="K501" s="29" t="n"/>
    </row>
    <row r="502" ht="54" customHeight="1">
      <c r="A502" s="29" t="n"/>
      <c r="B502" s="29" t="n"/>
      <c r="C502" s="29" t="n"/>
      <c r="D502" s="29" t="n"/>
      <c r="E502" s="29" t="n"/>
      <c r="F502" s="49" t="n"/>
      <c r="G502" s="29" t="n"/>
      <c r="H502" s="29" t="n"/>
      <c r="I502" s="29" t="n"/>
      <c r="J502" s="29" t="n"/>
      <c r="K502" s="29" t="n"/>
    </row>
    <row r="503" ht="54" customHeight="1">
      <c r="A503" s="29" t="n"/>
      <c r="B503" s="29" t="n"/>
      <c r="C503" s="29" t="n"/>
      <c r="D503" s="29" t="n"/>
      <c r="E503" s="29" t="n"/>
      <c r="F503" s="49" t="n"/>
      <c r="G503" s="29" t="n"/>
      <c r="H503" s="29" t="n"/>
      <c r="I503" s="29" t="n"/>
      <c r="J503" s="29" t="n"/>
      <c r="K503" s="29" t="n"/>
    </row>
    <row r="504" ht="54" customHeight="1">
      <c r="A504" s="29" t="n"/>
      <c r="B504" s="29" t="n"/>
      <c r="C504" s="29" t="n"/>
      <c r="D504" s="29" t="n"/>
      <c r="E504" s="29" t="n"/>
      <c r="F504" s="49" t="n"/>
      <c r="G504" s="29" t="n"/>
      <c r="H504" s="29" t="n"/>
      <c r="I504" s="29" t="n"/>
      <c r="J504" s="29" t="n"/>
      <c r="K504" s="29" t="n"/>
    </row>
    <row r="505" ht="54" customHeight="1">
      <c r="A505" s="29" t="n"/>
      <c r="B505" s="29" t="n"/>
      <c r="C505" s="29" t="n"/>
      <c r="D505" s="29" t="n"/>
      <c r="E505" s="29" t="n"/>
      <c r="F505" s="49" t="n"/>
      <c r="G505" s="29" t="n"/>
      <c r="H505" s="29" t="n"/>
      <c r="I505" s="29" t="n"/>
      <c r="J505" s="29" t="n"/>
      <c r="K505" s="29" t="n"/>
    </row>
    <row r="506" ht="54" customHeight="1">
      <c r="A506" s="29" t="n"/>
      <c r="B506" s="29" t="n"/>
      <c r="C506" s="29" t="n"/>
      <c r="D506" s="29" t="n"/>
      <c r="E506" s="29" t="n"/>
      <c r="F506" s="49" t="n"/>
      <c r="G506" s="29" t="n"/>
      <c r="H506" s="29" t="n"/>
      <c r="I506" s="29" t="n"/>
      <c r="J506" s="29" t="n"/>
      <c r="K506" s="29" t="n"/>
    </row>
    <row r="507" ht="54" customHeight="1">
      <c r="A507" s="29" t="n"/>
      <c r="B507" s="29" t="n"/>
      <c r="C507" s="29" t="n"/>
      <c r="D507" s="29" t="n"/>
      <c r="E507" s="29" t="n"/>
      <c r="F507" s="49" t="n"/>
      <c r="G507" s="29" t="n"/>
      <c r="H507" s="29" t="n"/>
      <c r="I507" s="29" t="n"/>
      <c r="J507" s="29" t="n"/>
      <c r="K507" s="29" t="n"/>
    </row>
  </sheetData>
  <mergeCells count="1">
    <mergeCell ref="A3:H3"/>
  </mergeCells>
  <conditionalFormatting sqref="A8:A507">
    <cfRule type="expression" priority="1" dxfId="1">
      <formula>AND($A8&lt;&gt;"",ISBLANK(A8))</formula>
    </cfRule>
  </conditionalFormatting>
  <conditionalFormatting sqref="B8:B507">
    <cfRule type="expression" priority="2" dxfId="1">
      <formula>AND($A8&lt;&gt;"",ISBLANK(B8))</formula>
    </cfRule>
  </conditionalFormatting>
  <conditionalFormatting sqref="C8:C507">
    <cfRule type="expression" priority="3" dxfId="1">
      <formula>AND($A8&lt;&gt;"",ISBLANK(C8))</formula>
    </cfRule>
  </conditionalFormatting>
  <conditionalFormatting sqref="D8:D507">
    <cfRule type="expression" priority="4" dxfId="1">
      <formula>AND($A8&lt;&gt;"",ISBLANK(D8))</formula>
    </cfRule>
  </conditionalFormatting>
  <conditionalFormatting sqref="E8:E507">
    <cfRule type="expression" priority="5" dxfId="1">
      <formula>AND($A8&lt;&gt;"",ISBLANK(E8))</formula>
    </cfRule>
  </conditionalFormatting>
  <conditionalFormatting sqref="F8:F507">
    <cfRule type="expression" priority="6" dxfId="1">
      <formula>AND($A8&lt;&gt;"",ISBLANK(F8))</formula>
    </cfRule>
  </conditionalFormatting>
  <conditionalFormatting sqref="I8:I507">
    <cfRule type="expression" priority="7" dxfId="1">
      <formula>AND($A8&lt;&gt;"",ISBLANK(I8))</formula>
    </cfRule>
  </conditionalFormatting>
  <dataValidations count="1">
    <dataValidation sqref="I8:I50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T6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32" customWidth="1" min="4" max="4"/>
    <col width="28" customWidth="1" min="5" max="5"/>
    <col width="32" customWidth="1" min="6" max="6"/>
    <col width="28" customWidth="1" min="7" max="7"/>
    <col width="28" customWidth="1" min="8" max="8"/>
    <col width="28" customWidth="1" min="9" max="9"/>
    <col width="48" customWidth="1" min="10" max="10"/>
    <col width="48" customWidth="1" min="11" max="11"/>
    <col width="20" customWidth="1" min="12" max="12"/>
    <col width="20" customWidth="1" min="13" max="13"/>
    <col width="58" customWidth="1" min="14" max="14"/>
    <col width="32" customWidth="1" min="15" max="15"/>
    <col width="28" customWidth="1" min="16" max="16"/>
    <col width="28" customWidth="1" min="17" max="17"/>
    <col width="28" customWidth="1" min="18" max="18"/>
    <col width="26" customWidth="1" min="19" max="19"/>
    <col width="26"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Gerçek fotoğraf teslimi</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İsteğe bağlı</t>
        </is>
      </c>
      <c r="E5" s="22" t="inlineStr">
        <is>
          <t>Zorunlu</t>
        </is>
      </c>
      <c r="F5" s="22" t="inlineStr">
        <is>
          <t>Zorunlu</t>
        </is>
      </c>
      <c r="G5" s="22" t="inlineStr">
        <is>
          <t>Zorunlu</t>
        </is>
      </c>
      <c r="H5" s="22" t="inlineStr">
        <is>
          <t>Zorunlu</t>
        </is>
      </c>
      <c r="I5" s="22" t="inlineStr">
        <is>
          <t>Zorunlu</t>
        </is>
      </c>
      <c r="J5" s="22" t="inlineStr">
        <is>
          <t>Zorunlu</t>
        </is>
      </c>
      <c r="K5" s="22" t="inlineStr">
        <is>
          <t>Zorunlu</t>
        </is>
      </c>
      <c r="L5" s="22" t="inlineStr">
        <is>
          <t>İsteğe bağlı · tarih</t>
        </is>
      </c>
      <c r="M5" s="22" t="inlineStr">
        <is>
          <t>Zorunlu · tarih</t>
        </is>
      </c>
      <c r="N5" s="22" t="inlineStr">
        <is>
          <t>Zorunlu</t>
        </is>
      </c>
      <c r="O5" s="22" t="inlineStr">
        <is>
          <t>Zorunlu</t>
        </is>
      </c>
      <c r="P5" s="22" t="inlineStr">
        <is>
          <t>Zorunlu</t>
        </is>
      </c>
      <c r="Q5" s="22" t="inlineStr">
        <is>
          <t>Zorunlu</t>
        </is>
      </c>
      <c r="R5" s="22" t="inlineStr">
        <is>
          <t>Zorunlu</t>
        </is>
      </c>
      <c r="S5" s="22" t="inlineStr">
        <is>
          <t>Hesap · değiştirmeyin</t>
        </is>
      </c>
      <c r="T5" s="22" t="inlineStr">
        <is>
          <t>Hesap · değiştirmeyin</t>
        </is>
      </c>
    </row>
    <row r="6" ht="44" customHeight="1">
      <c r="A6" s="25" t="inlineStr">
        <is>
          <t>Fotoğraf kimliği</t>
        </is>
      </c>
      <c r="B6" s="25" t="inlineStr">
        <is>
          <t>Şehir kimliği</t>
        </is>
      </c>
      <c r="C6" s="25" t="inlineStr">
        <is>
          <t>Kullanım</t>
        </is>
      </c>
      <c r="D6" s="25" t="inlineStr">
        <is>
          <t>Mekân / mahalle kimliği</t>
        </is>
      </c>
      <c r="E6" s="25" t="inlineStr">
        <is>
          <t>Görsel dosyası</t>
        </is>
      </c>
      <c r="F6" s="25" t="inlineStr">
        <is>
          <t>Görsel SHA-256</t>
        </is>
      </c>
      <c r="G6" s="25" t="inlineStr">
        <is>
          <t>Türkçe açıklama</t>
        </is>
      </c>
      <c r="H6" s="25" t="inlineStr">
        <is>
          <t>Fotoğrafçı / atıf</t>
        </is>
      </c>
      <c r="I6" s="25" t="inlineStr">
        <is>
          <t>Ücretsiz ticari lisans</t>
        </is>
      </c>
      <c r="J6" s="25" t="inlineStr">
        <is>
          <t>Lisans bağlantısı</t>
        </is>
      </c>
      <c r="K6" s="25" t="inlineStr">
        <is>
          <t>Fotoğraf kaynak sayfası</t>
        </is>
      </c>
      <c r="L6" s="25" t="inlineStr">
        <is>
          <t>Varsa çekim tarihi</t>
        </is>
      </c>
      <c r="M6" s="25" t="inlineStr">
        <is>
          <t>Hak / kaynak kontrol tarihi</t>
        </is>
      </c>
      <c r="N6" s="25" t="inlineStr">
        <is>
          <t>Yapılan değişiklikler</t>
        </is>
      </c>
      <c r="O6" s="25" t="inlineStr">
        <is>
          <t>Kanıt kimliği</t>
        </is>
      </c>
      <c r="P6" s="25" t="inlineStr">
        <is>
          <t>Sayımda kullanılabilir</t>
        </is>
      </c>
      <c r="Q6" s="25" t="inlineStr">
        <is>
          <t>Galeri sırası</t>
        </is>
      </c>
      <c r="R6" s="25" t="inlineStr">
        <is>
          <t>Editör durumu</t>
        </is>
      </c>
      <c r="S6" s="25" t="inlineStr">
        <is>
          <t>Farklı mekân fotoğrafı (hesap)</t>
        </is>
      </c>
      <c r="T6" s="25" t="inlineStr">
        <is>
          <t>Farklı kapak fotoğrafı (hesap)</t>
        </is>
      </c>
    </row>
    <row r="7" ht="32" customHeight="1">
      <c r="A7" s="28" t="inlineStr">
        <is>
          <t>photo_id</t>
        </is>
      </c>
      <c r="B7" s="28" t="inlineStr">
        <is>
          <t>city_id</t>
        </is>
      </c>
      <c r="C7" s="28" t="inlineStr">
        <is>
          <t>role</t>
        </is>
      </c>
      <c r="D7" s="28" t="inlineStr">
        <is>
          <t>entry_id</t>
        </is>
      </c>
      <c r="E7" s="28" t="inlineStr">
        <is>
          <t>file</t>
        </is>
      </c>
      <c r="F7" s="28" t="inlineStr">
        <is>
          <t>sha256</t>
        </is>
      </c>
      <c r="G7" s="28" t="inlineStr">
        <is>
          <t>caption</t>
        </is>
      </c>
      <c r="H7" s="28" t="inlineStr">
        <is>
          <t>author</t>
        </is>
      </c>
      <c r="I7" s="28" t="inlineStr">
        <is>
          <t>license</t>
        </is>
      </c>
      <c r="J7" s="28" t="inlineStr">
        <is>
          <t>license_url</t>
        </is>
      </c>
      <c r="K7" s="28" t="inlineStr">
        <is>
          <t>source_url</t>
        </is>
      </c>
      <c r="L7" s="28" t="inlineStr">
        <is>
          <t>capture_date</t>
        </is>
      </c>
      <c r="M7" s="28" t="inlineStr">
        <is>
          <t>source_checked_on</t>
        </is>
      </c>
      <c r="N7" s="28" t="inlineStr">
        <is>
          <t>modifications</t>
        </is>
      </c>
      <c r="O7" s="28" t="inlineStr">
        <is>
          <t>evidence_id</t>
        </is>
      </c>
      <c r="P7" s="28" t="inlineStr">
        <is>
          <t>completion_credit</t>
        </is>
      </c>
      <c r="Q7" s="28" t="inlineStr">
        <is>
          <t>order</t>
        </is>
      </c>
      <c r="R7" s="28" t="inlineStr">
        <is>
          <t>editorial_status</t>
        </is>
      </c>
      <c r="S7" s="28" t="inlineStr">
        <is>
          <t>unique_venue_count</t>
        </is>
      </c>
      <c r="T7" s="28" t="inlineStr">
        <is>
          <t>unique_hero_count</t>
        </is>
      </c>
    </row>
    <row r="8" ht="54" customHeight="1">
      <c r="A8" s="29" t="inlineStr">
        <is>
          <t>eindhoven:photo:van-abbemuseum-01</t>
        </is>
      </c>
      <c r="B8" s="29" t="inlineStr">
        <is>
          <t>eindhoven</t>
        </is>
      </c>
      <c r="C8" s="29" t="inlineStr">
        <is>
          <t>Mekân</t>
        </is>
      </c>
      <c r="D8" s="29" t="inlineStr">
        <is>
          <t>eindhoven:van-abbemuseum</t>
        </is>
      </c>
      <c r="E8" s="29" t="inlineStr">
        <is>
          <t>Fotoğraflar/eindhoven_van-abbemuseum_01.jpg</t>
        </is>
      </c>
      <c r="F8" s="29" t="inlineStr">
        <is>
          <t>7c80a77a90fe71284b3cf5e9698bcae03d8b1c3a0c853dc1ffc02bf2ff701957</t>
        </is>
      </c>
      <c r="G8" s="29" t="inlineStr">
        <is>
          <t>Gri taş plakalarla kaplı köşeli müze binası, cephesinde asılı büyük sergi afişi ve önündeki sazlıklı su kenarı</t>
        </is>
      </c>
      <c r="H8" s="29" t="inlineStr">
        <is>
          <t>Michielverbeek</t>
        </is>
      </c>
      <c r="I8" s="29" t="inlineStr">
        <is>
          <t>CC BY-SA 4.0</t>
        </is>
      </c>
      <c r="J8" s="29" t="inlineStr">
        <is>
          <t>https://creativecommons.org/licenses/by-sa/4.0/</t>
        </is>
      </c>
      <c r="K8" s="29" t="inlineStr">
        <is>
          <t>https://commons.wikimedia.org/wiki/File:Eindhoven,_het_Van_Abbemuseum_IMG_8587_2019-01-20_10.50.jpg</t>
        </is>
      </c>
      <c r="L8" s="49" t="n">
        <v>43485</v>
      </c>
      <c r="M8" s="49" t="n">
        <v>46317</v>
      </c>
      <c r="N8" s="29" t="inlineStr">
        <is>
          <t>Wikimedia Commons'taki "Eindhoven, het Van Abbemuseum IMG 8587 2019-01-20 10.50.jpg" (4754×3387 px) özgün dosyasının 1280×912 px küçültülmüş kopyası indirildi; kırpma, rötuş ve renk düzeltmesi yapılmadı.</t>
        </is>
      </c>
      <c r="O8" s="29" t="inlineStr">
        <is>
          <t>eindhoven:evidence:van-abbemuseum-01</t>
        </is>
      </c>
      <c r="P8" s="29" t="inlineStr">
        <is>
          <t>Evet</t>
        </is>
      </c>
      <c r="Q8" s="51" t="n">
        <v>1</v>
      </c>
      <c r="R8" s="29" t="inlineStr">
        <is>
          <t>Taslak</t>
        </is>
      </c>
      <c r="S8" s="52">
        <f>IF(OR(A8="",F8="",C8&lt;&gt;"Mekân"),0,IF(COUNTIFS($F$8:F8,F8,$C$8:C8,"Mekân")=1,1,0))</f>
        <v/>
      </c>
      <c r="T8" s="52">
        <f>IF(OR(A8="",F8="",C8&lt;&gt;"Kapak"),0,IF(COUNTIFS($F$8:F8,F8,$C$8:C8,"Kapak")=1,1,0))</f>
        <v/>
      </c>
    </row>
    <row r="9" ht="54" customHeight="1">
      <c r="A9" s="29" t="inlineStr">
        <is>
          <t>eindhoven:photo:van-abbemuseum-02</t>
        </is>
      </c>
      <c r="B9" s="29" t="inlineStr">
        <is>
          <t>eindhoven</t>
        </is>
      </c>
      <c r="C9" s="29" t="inlineStr">
        <is>
          <t>Mekân</t>
        </is>
      </c>
      <c r="D9" s="29" t="inlineStr">
        <is>
          <t>eindhoven:van-abbemuseum</t>
        </is>
      </c>
      <c r="E9" s="29" t="inlineStr">
        <is>
          <t>Fotoğraflar/eindhoven_van-abbemuseum_02.jpg</t>
        </is>
      </c>
      <c r="F9" s="29" t="inlineStr">
        <is>
          <t>d1a487530503a444ab9b9d0830f0107ae1e2a0a81988d2a37ab9f6374a3b5a12</t>
        </is>
      </c>
      <c r="G9" s="29" t="inlineStr">
        <is>
          <t>Gri taş kaplı köşeli müze binalarının önünde çiçekli çimen tümsek, çıplak bir ağaç ve bisiklet park yeri</t>
        </is>
      </c>
      <c r="H9" s="29" t="inlineStr">
        <is>
          <t>G.Lanting</t>
        </is>
      </c>
      <c r="I9" s="29" t="inlineStr">
        <is>
          <t>CC BY-SA 3.0</t>
        </is>
      </c>
      <c r="J9" s="29" t="inlineStr">
        <is>
          <t>https://creativecommons.org/licenses/by-sa/3.0/</t>
        </is>
      </c>
      <c r="K9" s="29" t="inlineStr">
        <is>
          <t>https://commons.wikimedia.org/wiki/File:P1010998van_Abbemuseum.JPG</t>
        </is>
      </c>
      <c r="L9" s="49" t="n"/>
      <c r="M9" s="49" t="n">
        <v>46317</v>
      </c>
      <c r="N9" s="29" t="inlineStr">
        <is>
          <t>Wikimedia Commons'taki "P1010998van Abbemuseum.JPG" (3264×2448 px) özgün dosyasının 1280×960 px küçültülmüş kopyası indirildi; kırpma, rötuş ve renk düzeltmesi yapılmadı.</t>
        </is>
      </c>
      <c r="O9" s="29" t="inlineStr">
        <is>
          <t>eindhoven:evidence:van-abbemuseum-02</t>
        </is>
      </c>
      <c r="P9" s="29" t="inlineStr">
        <is>
          <t>Evet</t>
        </is>
      </c>
      <c r="Q9" s="51" t="n">
        <v>2</v>
      </c>
      <c r="R9" s="29" t="inlineStr">
        <is>
          <t>Taslak</t>
        </is>
      </c>
      <c r="S9" s="52">
        <f>IF(OR(A9="",F9="",C9&lt;&gt;"Mekân"),0,IF(COUNTIFS($F$8:F9,F9,$C$8:C9,"Mekân")=1,1,0))</f>
        <v/>
      </c>
      <c r="T9" s="52">
        <f>IF(OR(A9="",F9="",C9&lt;&gt;"Kapak"),0,IF(COUNTIFS($F$8:F9,F9,$C$8:C9,"Kapak")=1,1,0))</f>
        <v/>
      </c>
    </row>
    <row r="10" ht="54" customHeight="1">
      <c r="A10" s="29" t="inlineStr">
        <is>
          <t>eindhoven:photo:van-abbemuseum-03</t>
        </is>
      </c>
      <c r="B10" s="29" t="inlineStr">
        <is>
          <t>eindhoven</t>
        </is>
      </c>
      <c r="C10" s="29" t="inlineStr">
        <is>
          <t>Mekân</t>
        </is>
      </c>
      <c r="D10" s="29" t="inlineStr">
        <is>
          <t>eindhoven:van-abbemuseum</t>
        </is>
      </c>
      <c r="E10" s="29" t="inlineStr">
        <is>
          <t>Fotoğraflar/eindhoven_van-abbemuseum_03.jpg</t>
        </is>
      </c>
      <c r="F10" s="29" t="inlineStr">
        <is>
          <t>5b7bb1a887f86730dcc46c45d232c1db83d9f3240430bda60d90c2e9d1c55d66</t>
        </is>
      </c>
      <c r="G10" s="29" t="inlineStr">
        <is>
          <t>Sazlıklı su kenarından görülen, gri taş plakalarla kaplı köşeli ve çıkıntılı müze binası; sağ arkada çok katlı bir bina</t>
        </is>
      </c>
      <c r="H10" s="29" t="inlineStr">
        <is>
          <t>Choinowski</t>
        </is>
      </c>
      <c r="I10" s="29" t="inlineStr">
        <is>
          <t>CC BY-SA 4.0</t>
        </is>
      </c>
      <c r="J10" s="29" t="inlineStr">
        <is>
          <t>https://creativecommons.org/licenses/by-sa/4.0/</t>
        </is>
      </c>
      <c r="K10" s="29" t="inlineStr">
        <is>
          <t>https://commons.wikimedia.org/wiki/File:Uitbreiding_Van_Abbemuseum.jpg</t>
        </is>
      </c>
      <c r="L10" s="49" t="n">
        <v>42021</v>
      </c>
      <c r="M10" s="49" t="n">
        <v>46317</v>
      </c>
      <c r="N10" s="29" t="inlineStr">
        <is>
          <t>Wikimedia Commons'taki "Uitbreiding Van Abbemuseum.jpg" (5351×3567 px) özgün dosyasının 1280×853 px küçültülmüş kopyası indirildi; kırpma, rötuş ve renk düzeltmesi yapılmadı.</t>
        </is>
      </c>
      <c r="O10" s="29" t="inlineStr">
        <is>
          <t>eindhoven:evidence:van-abbemuseum-03</t>
        </is>
      </c>
      <c r="P10" s="29" t="inlineStr">
        <is>
          <t>Evet</t>
        </is>
      </c>
      <c r="Q10" s="51" t="n">
        <v>3</v>
      </c>
      <c r="R10" s="29" t="inlineStr">
        <is>
          <t>Taslak</t>
        </is>
      </c>
      <c r="S10" s="52">
        <f>IF(OR(A10="",F10="",C10&lt;&gt;"Mekân"),0,IF(COUNTIFS($F$8:F10,F10,$C$8:C10,"Mekân")=1,1,0))</f>
        <v/>
      </c>
      <c r="T10" s="52">
        <f>IF(OR(A10="",F10="",C10&lt;&gt;"Kapak"),0,IF(COUNTIFS($F$8:F10,F10,$C$8:C10,"Kapak")=1,1,0))</f>
        <v/>
      </c>
    </row>
    <row r="11" ht="54" customHeight="1">
      <c r="A11" s="29" t="inlineStr">
        <is>
          <t>eindhoven:photo:philips-museum-01</t>
        </is>
      </c>
      <c r="B11" s="29" t="inlineStr">
        <is>
          <t>eindhoven</t>
        </is>
      </c>
      <c r="C11" s="29" t="inlineStr">
        <is>
          <t>Mekân</t>
        </is>
      </c>
      <c r="D11" s="29" t="inlineStr">
        <is>
          <t>eindhoven:philips-museum</t>
        </is>
      </c>
      <c r="E11" s="29" t="inlineStr">
        <is>
          <t>Fotoğraflar/eindhoven_philips-museum_01.jpg</t>
        </is>
      </c>
      <c r="F11" s="29" t="inlineStr">
        <is>
          <t>60e24d3c0ebde63fa619d5f57b7b35a9177bad3580aabc9c91c6fa04192856b7</t>
        </is>
      </c>
      <c r="G11" s="29" t="inlineStr">
        <is>
          <t>Tüplü televizyon, eski tip radyo, ahşap büfe, yuvarlak sehpa ve halıyla döşenmiş, eski bir oturma odasını canlandıran sergi köşesi</t>
        </is>
      </c>
      <c r="H11" s="29" t="inlineStr">
        <is>
          <t>FaceMePLS from The Hague, The Netherlands</t>
        </is>
      </c>
      <c r="I11" s="29" t="inlineStr">
        <is>
          <t>CC BY 2.0</t>
        </is>
      </c>
      <c r="J11" s="29" t="inlineStr">
        <is>
          <t>https://creativecommons.org/licenses/by/2.0/</t>
        </is>
      </c>
      <c r="K11" s="29" t="inlineStr">
        <is>
          <t>https://commons.wikimedia.org/wiki/File:%27Huiskamer_jaren_50%27_(16183341671).jpg</t>
        </is>
      </c>
      <c r="L11" s="49" t="n">
        <v>41982</v>
      </c>
      <c r="M11" s="49" t="n">
        <v>46317</v>
      </c>
      <c r="N11" s="29" t="inlineStr">
        <is>
          <t>Wikimedia Commons'taki "'Huiskamer jaren 50' (16183341671).jpg" (3264×2448 px) özgün dosyasının 1280×960 px küçültülmüş kopyası indirildi; kırpma, rötuş ve renk düzeltmesi yapılmadı.</t>
        </is>
      </c>
      <c r="O11" s="29" t="inlineStr">
        <is>
          <t>eindhoven:evidence:philips-museum-01</t>
        </is>
      </c>
      <c r="P11" s="29" t="inlineStr">
        <is>
          <t>Evet</t>
        </is>
      </c>
      <c r="Q11" s="51" t="n">
        <v>1</v>
      </c>
      <c r="R11" s="29" t="inlineStr">
        <is>
          <t>Taslak</t>
        </is>
      </c>
      <c r="S11" s="52">
        <f>IF(OR(A11="",F11="",C11&lt;&gt;"Mekân"),0,IF(COUNTIFS($F$8:F11,F11,$C$8:C11,"Mekân")=1,1,0))</f>
        <v/>
      </c>
      <c r="T11" s="52">
        <f>IF(OR(A11="",F11="",C11&lt;&gt;"Kapak"),0,IF(COUNTIFS($F$8:F11,F11,$C$8:C11,"Kapak")=1,1,0))</f>
        <v/>
      </c>
    </row>
    <row r="12" ht="54" customHeight="1">
      <c r="A12" s="29" t="inlineStr">
        <is>
          <t>eindhoven:photo:philips-museum-02</t>
        </is>
      </c>
      <c r="B12" s="29" t="inlineStr">
        <is>
          <t>eindhoven</t>
        </is>
      </c>
      <c r="C12" s="29" t="inlineStr">
        <is>
          <t>Mekân</t>
        </is>
      </c>
      <c r="D12" s="29" t="inlineStr">
        <is>
          <t>eindhoven:philips-museum</t>
        </is>
      </c>
      <c r="E12" s="29" t="inlineStr">
        <is>
          <t>Fotoğraflar/eindhoven_philips-museum_02.jpg</t>
        </is>
      </c>
      <c r="F12" s="29" t="inlineStr">
        <is>
          <t>631d28d214d0ad47704c33838f16b1a12eecfb99f03d0ee673011adb0f753102</t>
        </is>
      </c>
      <c r="G12" s="29" t="inlineStr">
        <is>
          <t>Beyaz badanalı, kıvrık alınlıklı iki katlı eski bina ve hemen arkasında yükselen çok katlı beyaz kule</t>
        </is>
      </c>
      <c r="H12" s="29" t="inlineStr">
        <is>
          <t>Ralf Roletschek</t>
        </is>
      </c>
      <c r="I12" s="29" t="inlineStr">
        <is>
          <t>CC BY 3.0</t>
        </is>
      </c>
      <c r="J12" s="29" t="inlineStr">
        <is>
          <t>https://creativecommons.org/licenses/by/3.0/</t>
        </is>
      </c>
      <c r="K12" s="29" t="inlineStr">
        <is>
          <t>https://commons.wikimedia.org/wiki/File:13-06-28-eindhoven-by-RalfR-30.jpg</t>
        </is>
      </c>
      <c r="L12" s="49" t="n">
        <v>41453</v>
      </c>
      <c r="M12" s="49" t="n">
        <v>46317</v>
      </c>
      <c r="N12" s="29" t="inlineStr">
        <is>
          <t>Wikimedia Commons'taki "13-06-28-eindhoven-by-RalfR-30.jpg" (2848×4288 px) özgün dosyasının 1280×1927 px küçültülmüş kopyası indirildi; kırpma, rötuş ve renk düzeltmesi yapılmadı.</t>
        </is>
      </c>
      <c r="O12" s="29" t="inlineStr">
        <is>
          <t>eindhoven:evidence:philips-museum-02</t>
        </is>
      </c>
      <c r="P12" s="29" t="inlineStr">
        <is>
          <t>Evet</t>
        </is>
      </c>
      <c r="Q12" s="51" t="n">
        <v>2</v>
      </c>
      <c r="R12" s="29" t="inlineStr">
        <is>
          <t>Taslak</t>
        </is>
      </c>
      <c r="S12" s="52">
        <f>IF(OR(A12="",F12="",C12&lt;&gt;"Mekân"),0,IF(COUNTIFS($F$8:F12,F12,$C$8:C12,"Mekân")=1,1,0))</f>
        <v/>
      </c>
      <c r="T12" s="52">
        <f>IF(OR(A12="",F12="",C12&lt;&gt;"Kapak"),0,IF(COUNTIFS($F$8:F12,F12,$C$8:C12,"Kapak")=1,1,0))</f>
        <v/>
      </c>
    </row>
    <row r="13" ht="54" customHeight="1">
      <c r="A13" s="29" t="inlineStr">
        <is>
          <t>eindhoven:photo:philips-museum-03</t>
        </is>
      </c>
      <c r="B13" s="29" t="inlineStr">
        <is>
          <t>eindhoven</t>
        </is>
      </c>
      <c r="C13" s="29" t="inlineStr">
        <is>
          <t>Mekân</t>
        </is>
      </c>
      <c r="D13" s="29" t="inlineStr">
        <is>
          <t>eindhoven:philips-museum</t>
        </is>
      </c>
      <c r="E13" s="29" t="inlineStr">
        <is>
          <t>Fotoğraflar/eindhoven_philips-museum_03.jpg</t>
        </is>
      </c>
      <c r="F13" s="29" t="inlineStr">
        <is>
          <t>c08a55aaed020ccb0104adba5b9043aa47bcc488b5911e5a9c1307fa900bc511</t>
        </is>
      </c>
      <c r="G13" s="29" t="inlineStr">
        <is>
          <t>Cam çatılı yaya geçidinin sonunda 'Philips museum' yazılı giriş ve üstünde asılı büyük 'open' afişi</t>
        </is>
      </c>
      <c r="H13" s="29" t="inlineStr">
        <is>
          <t>Michielverbeek</t>
        </is>
      </c>
      <c r="I13" s="29" t="inlineStr">
        <is>
          <t>CC BY-SA 4.0</t>
        </is>
      </c>
      <c r="J13" s="29" t="inlineStr">
        <is>
          <t>https://creativecommons.org/licenses/by-sa/4.0/</t>
        </is>
      </c>
      <c r="K13" s="29" t="inlineStr">
        <is>
          <t>https://commons.wikimedia.org/wiki/File:Eindhoven,_het_Philps_Museum_IMG_8543_2019-01-20_09.44.jpg</t>
        </is>
      </c>
      <c r="L13" s="49" t="n">
        <v>43485</v>
      </c>
      <c r="M13" s="49" t="n">
        <v>46317</v>
      </c>
      <c r="N13" s="29" t="inlineStr">
        <is>
          <t>Wikimedia Commons'taki "Eindhoven, het Philps Museum IMG 8543 2019-01-20 09.44.jpg" (3145×4556 px) özgün dosyasının 1280×1854 px küçültülmüş kopyası indirildi; kırpma, rötuş ve renk düzeltmesi yapılmadı.</t>
        </is>
      </c>
      <c r="O13" s="29" t="inlineStr">
        <is>
          <t>eindhoven:evidence:philips-museum-03</t>
        </is>
      </c>
      <c r="P13" s="29" t="inlineStr">
        <is>
          <t>Evet</t>
        </is>
      </c>
      <c r="Q13" s="51" t="n">
        <v>3</v>
      </c>
      <c r="R13" s="29" t="inlineStr">
        <is>
          <t>Taslak</t>
        </is>
      </c>
      <c r="S13" s="52">
        <f>IF(OR(A13="",F13="",C13&lt;&gt;"Mekân"),0,IF(COUNTIFS($F$8:F13,F13,$C$8:C13,"Mekân")=1,1,0))</f>
        <v/>
      </c>
      <c r="T13" s="52">
        <f>IF(OR(A13="",F13="",C13&lt;&gt;"Kapak"),0,IF(COUNTIFS($F$8:F13,F13,$C$8:C13,"Kapak")=1,1,0))</f>
        <v/>
      </c>
    </row>
    <row r="14" ht="54" customHeight="1">
      <c r="A14" s="29" t="inlineStr">
        <is>
          <t>eindhoven:photo:daf-museum-01</t>
        </is>
      </c>
      <c r="B14" s="29" t="inlineStr">
        <is>
          <t>eindhoven</t>
        </is>
      </c>
      <c r="C14" s="29" t="inlineStr">
        <is>
          <t>Mekân</t>
        </is>
      </c>
      <c r="D14" s="29" t="inlineStr">
        <is>
          <t>eindhoven:daf-museum</t>
        </is>
      </c>
      <c r="E14" s="29" t="inlineStr">
        <is>
          <t>Fotoğraflar/eindhoven_daf-museum_01.jpg</t>
        </is>
      </c>
      <c r="F14" s="29" t="inlineStr">
        <is>
          <t>76c641e99d2c79c496ff68a4da517f07b4ff9012206789ff2029f130085e0abd</t>
        </is>
      </c>
      <c r="G14" s="29" t="inlineStr">
        <is>
          <t>Cephesinde uzun kemerli nişler olan yüksek tuğla bina, yanındaki alçak tuğla yapılar ve önünden geçen kırmızı bisiklet yolu</t>
        </is>
      </c>
      <c r="H14" s="29" t="inlineStr">
        <is>
          <t>Johan Bakker</t>
        </is>
      </c>
      <c r="I14" s="29" t="inlineStr">
        <is>
          <t>CC BY-SA 4.0</t>
        </is>
      </c>
      <c r="J14" s="29" t="inlineStr">
        <is>
          <t>https://creativecommons.org/licenses/by-sa/4.0/</t>
        </is>
      </c>
      <c r="K14" s="29" t="inlineStr">
        <is>
          <t>https://commons.wikimedia.org/wiki/File:518825_Stoombierbrouwerij_De_Valk_(later_DAF_Museum).jpg</t>
        </is>
      </c>
      <c r="L14" s="49" t="n">
        <v>42950</v>
      </c>
      <c r="M14" s="49" t="n">
        <v>46317</v>
      </c>
      <c r="N14" s="29" t="inlineStr">
        <is>
          <t>Wikimedia Commons'taki "518825 Stoombierbrouwerij De Valk (later DAF Museum).jpg" (7042×4412 px) özgün dosyasının 1280×802 px küçültülmüş kopyası indirildi; kırpma, rötuş ve renk düzeltmesi yapılmadı.</t>
        </is>
      </c>
      <c r="O14" s="29" t="inlineStr">
        <is>
          <t>eindhoven:evidence:daf-museum-01</t>
        </is>
      </c>
      <c r="P14" s="29" t="inlineStr">
        <is>
          <t>Evet</t>
        </is>
      </c>
      <c r="Q14" s="51" t="n">
        <v>1</v>
      </c>
      <c r="R14" s="29" t="inlineStr">
        <is>
          <t>Taslak</t>
        </is>
      </c>
      <c r="S14" s="52">
        <f>IF(OR(A14="",F14="",C14&lt;&gt;"Mekân"),0,IF(COUNTIFS($F$8:F14,F14,$C$8:C14,"Mekân")=1,1,0))</f>
        <v/>
      </c>
      <c r="T14" s="52">
        <f>IF(OR(A14="",F14="",C14&lt;&gt;"Kapak"),0,IF(COUNTIFS($F$8:F14,F14,$C$8:C14,"Kapak")=1,1,0))</f>
        <v/>
      </c>
    </row>
    <row r="15" ht="54" customHeight="1">
      <c r="A15" s="29" t="inlineStr">
        <is>
          <t>eindhoven:photo:daf-museum-02</t>
        </is>
      </c>
      <c r="B15" s="29" t="inlineStr">
        <is>
          <t>eindhoven</t>
        </is>
      </c>
      <c r="C15" s="29" t="inlineStr">
        <is>
          <t>Mekân</t>
        </is>
      </c>
      <c r="D15" s="29" t="inlineStr">
        <is>
          <t>eindhoven:daf-museum</t>
        </is>
      </c>
      <c r="E15" s="29" t="inlineStr">
        <is>
          <t>Fotoğraflar/eindhoven_daf-museum_02.jpg</t>
        </is>
      </c>
      <c r="F15" s="29" t="inlineStr">
        <is>
          <t>d51c139c8fcd3646644be903c783da8b057490059e17e9213dd3331312a84ac7</t>
        </is>
      </c>
      <c r="G15" s="29" t="inlineStr">
        <is>
          <t>Cephesinde 'DAF Museum' yazan beyaz bina, yanındaki uzun tuğla yapı ve önünden geçen yol</t>
        </is>
      </c>
      <c r="H15" s="29" t="inlineStr">
        <is>
          <t>S. Perquin</t>
        </is>
      </c>
      <c r="I15" s="29" t="inlineStr">
        <is>
          <t>CC BY-SA 4.0</t>
        </is>
      </c>
      <c r="J15" s="29" t="inlineStr">
        <is>
          <t>https://creativecommons.org/licenses/by-sa/4.0/</t>
        </is>
      </c>
      <c r="K15" s="29" t="inlineStr">
        <is>
          <t>https://commons.wikimedia.org/wiki/File:DAF_Museum_(2024).jpg</t>
        </is>
      </c>
      <c r="L15" s="49" t="n">
        <v>45416</v>
      </c>
      <c r="M15" s="49" t="n">
        <v>46317</v>
      </c>
      <c r="N15" s="29" t="inlineStr">
        <is>
          <t>Wikimedia Commons'taki "DAF Museum (2024).jpg" (6000×4000 px) özgün dosyasının 1280×853 px küçültülmüş kopyası indirildi; kırpma, rötuş ve renk düzeltmesi yapılmadı.</t>
        </is>
      </c>
      <c r="O15" s="29" t="inlineStr">
        <is>
          <t>eindhoven:evidence:daf-museum-02</t>
        </is>
      </c>
      <c r="P15" s="29" t="inlineStr">
        <is>
          <t>Evet</t>
        </is>
      </c>
      <c r="Q15" s="51" t="n">
        <v>2</v>
      </c>
      <c r="R15" s="29" t="inlineStr">
        <is>
          <t>Taslak</t>
        </is>
      </c>
      <c r="S15" s="52">
        <f>IF(OR(A15="",F15="",C15&lt;&gt;"Mekân"),0,IF(COUNTIFS($F$8:F15,F15,$C$8:C15,"Mekân")=1,1,0))</f>
        <v/>
      </c>
      <c r="T15" s="52">
        <f>IF(OR(A15="",F15="",C15&lt;&gt;"Kapak"),0,IF(COUNTIFS($F$8:F15,F15,$C$8:C15,"Kapak")=1,1,0))</f>
        <v/>
      </c>
    </row>
    <row r="16" ht="54" customHeight="1">
      <c r="A16" s="29" t="inlineStr">
        <is>
          <t>eindhoven:photo:next-nature-museum-01</t>
        </is>
      </c>
      <c r="B16" s="29" t="inlineStr">
        <is>
          <t>eindhoven</t>
        </is>
      </c>
      <c r="C16" s="29" t="inlineStr">
        <is>
          <t>Mekân</t>
        </is>
      </c>
      <c r="D16" s="29" t="inlineStr">
        <is>
          <t>eindhoven:next-nature-museum</t>
        </is>
      </c>
      <c r="E16" s="29" t="inlineStr">
        <is>
          <t>Fotoğraflar/eindhoven_next-nature-museum_01.jpg</t>
        </is>
      </c>
      <c r="F16" s="29" t="inlineStr">
        <is>
          <t>e26613c4a69b54e61797a970a3410ed3304ab4352690214f4f3ecf9c22a80b5b</t>
        </is>
      </c>
      <c r="G16" s="29" t="inlineStr">
        <is>
          <t>Petek desenli kubbe tavanın altında katlara yayılan sergi alanı; 'The Future Repeats' ve 'Castles in the Sky' yazılı panolar</t>
        </is>
      </c>
      <c r="H16" s="29" t="inlineStr">
        <is>
          <t>Solches</t>
        </is>
      </c>
      <c r="I16" s="29" t="inlineStr">
        <is>
          <t>CC BY-SA 4.0</t>
        </is>
      </c>
      <c r="J16" s="29" t="inlineStr">
        <is>
          <t>https://creativecommons.org/licenses/by-sa/4.0/</t>
        </is>
      </c>
      <c r="K16" s="29" t="inlineStr">
        <is>
          <t>https://commons.wikimedia.org/wiki/File:Eindhoven-Evoluon-2023.jpg</t>
        </is>
      </c>
      <c r="L16" s="49" t="n">
        <v>45224</v>
      </c>
      <c r="M16" s="49" t="n">
        <v>46317</v>
      </c>
      <c r="N16" s="29" t="inlineStr">
        <is>
          <t>Wikimedia Commons'taki "Eindhoven-Evoluon-2023.jpg" (3514×2196 px) özgün dosyasının 1280×800 px küçültülmüş kopyası indirildi; kırpma, rötuş ve renk düzeltmesi yapılmadı.</t>
        </is>
      </c>
      <c r="O16" s="29" t="inlineStr">
        <is>
          <t>eindhoven:evidence:next-nature-museum-01</t>
        </is>
      </c>
      <c r="P16" s="29" t="inlineStr">
        <is>
          <t>Evet</t>
        </is>
      </c>
      <c r="Q16" s="51" t="n">
        <v>1</v>
      </c>
      <c r="R16" s="29" t="inlineStr">
        <is>
          <t>Taslak</t>
        </is>
      </c>
      <c r="S16" s="52">
        <f>IF(OR(A16="",F16="",C16&lt;&gt;"Mekân"),0,IF(COUNTIFS($F$8:F16,F16,$C$8:C16,"Mekân")=1,1,0))</f>
        <v/>
      </c>
      <c r="T16" s="52">
        <f>IF(OR(A16="",F16="",C16&lt;&gt;"Kapak"),0,IF(COUNTIFS($F$8:F16,F16,$C$8:C16,"Kapak")=1,1,0))</f>
        <v/>
      </c>
    </row>
    <row r="17" ht="54" customHeight="1">
      <c r="A17" s="29" t="inlineStr">
        <is>
          <t>eindhoven:photo:next-nature-museum-02</t>
        </is>
      </c>
      <c r="B17" s="29" t="inlineStr">
        <is>
          <t>eindhoven</t>
        </is>
      </c>
      <c r="C17" s="29" t="inlineStr">
        <is>
          <t>Mekân</t>
        </is>
      </c>
      <c r="D17" s="29" t="inlineStr">
        <is>
          <t>eindhoven:next-nature-museum</t>
        </is>
      </c>
      <c r="E17" s="29" t="inlineStr">
        <is>
          <t>Fotoğraflar/eindhoven_next-nature-museum_02.jpg</t>
        </is>
      </c>
      <c r="F17" s="29" t="inlineStr">
        <is>
          <t>f565390ff7f978a0bd6506ea36f9210a1dffd1a5d5bbb91715fd908eb3f58ceb</t>
        </is>
      </c>
      <c r="G17" s="29" t="inlineStr">
        <is>
          <t>Kavisli beton saçağın altında cam kapılı giriş ve ortada bronz kabartmalı büyük kapı</t>
        </is>
      </c>
      <c r="H17" s="29" t="inlineStr">
        <is>
          <t>Lempkesfabriek</t>
        </is>
      </c>
      <c r="I17" s="29" t="inlineStr">
        <is>
          <t>CC BY-SA 3.0</t>
        </is>
      </c>
      <c r="J17" s="29" t="inlineStr">
        <is>
          <t>https://creativecommons.org/licenses/by-sa/3.0/</t>
        </is>
      </c>
      <c r="K17" s="29" t="inlineStr">
        <is>
          <t>https://commons.wikimedia.org/wiki/File:Evoluon_kunstwerk_Carasso02.jpg</t>
        </is>
      </c>
      <c r="L17" s="49" t="n"/>
      <c r="M17" s="49" t="n">
        <v>46317</v>
      </c>
      <c r="N17" s="29" t="inlineStr">
        <is>
          <t>Wikimedia Commons'taki "Evoluon kunstwerk Carasso02.jpg" (2832×2128 px) özgün dosyasının 1280×962 px küçültülmüş kopyası indirildi; kırpma, rötuş ve renk düzeltmesi yapılmadı.</t>
        </is>
      </c>
      <c r="O17" s="29" t="inlineStr">
        <is>
          <t>eindhoven:evidence:next-nature-museum-02</t>
        </is>
      </c>
      <c r="P17" s="29" t="inlineStr">
        <is>
          <t>Evet</t>
        </is>
      </c>
      <c r="Q17" s="51" t="n">
        <v>2</v>
      </c>
      <c r="R17" s="29" t="inlineStr">
        <is>
          <t>Taslak</t>
        </is>
      </c>
      <c r="S17" s="52">
        <f>IF(OR(A17="",F17="",C17&lt;&gt;"Mekân"),0,IF(COUNTIFS($F$8:F17,F17,$C$8:C17,"Mekân")=1,1,0))</f>
        <v/>
      </c>
      <c r="T17" s="52">
        <f>IF(OR(A17="",F17="",C17&lt;&gt;"Kapak"),0,IF(COUNTIFS($F$8:F17,F17,$C$8:C17,"Kapak")=1,1,0))</f>
        <v/>
      </c>
    </row>
    <row r="18" ht="54" customHeight="1">
      <c r="A18" s="29" t="inlineStr">
        <is>
          <t>eindhoven:photo:psv-museum-01</t>
        </is>
      </c>
      <c r="B18" s="29" t="inlineStr">
        <is>
          <t>eindhoven</t>
        </is>
      </c>
      <c r="C18" s="29" t="inlineStr">
        <is>
          <t>Mekân</t>
        </is>
      </c>
      <c r="D18" s="29" t="inlineStr">
        <is>
          <t>eindhoven:psv-museum</t>
        </is>
      </c>
      <c r="E18" s="29" t="inlineStr">
        <is>
          <t>Fotoğraflar/eindhoven_psv-museum_01.jpg</t>
        </is>
      </c>
      <c r="F18" s="29" t="inlineStr">
        <is>
          <t>8d400e1b199307dd9e11be9d626c20299b0feb3b8a0680b9b64f6bfa978768c6</t>
        </is>
      </c>
      <c r="G18" s="29" t="inlineStr">
        <is>
          <t>Kemerinde 'Eendracht Maakt Macht' yazan, ortasında PSV arması bulunan siyah ferforje stadyum kapısı</t>
        </is>
      </c>
      <c r="H18" s="29" t="inlineStr">
        <is>
          <t>Maurizio Pesce from Milan, Italia</t>
        </is>
      </c>
      <c r="I18" s="29" t="inlineStr">
        <is>
          <t>CC BY 2.0</t>
        </is>
      </c>
      <c r="J18" s="29" t="inlineStr">
        <is>
          <t>https://creativecommons.org/licenses/by/2.0/</t>
        </is>
      </c>
      <c r="K18" s="29" t="inlineStr">
        <is>
          <t>https://commons.wikimedia.org/wiki/File:Eendracht_Maakt_Macht_(5020112117).jpg</t>
        </is>
      </c>
      <c r="L18" s="49" t="n">
        <v>40438</v>
      </c>
      <c r="M18" s="49" t="n">
        <v>46317</v>
      </c>
      <c r="N18" s="29" t="inlineStr">
        <is>
          <t>Wikimedia Commons'taki "Eendracht Maakt Macht (5020112117).jpg" (3008×2000 px) özgün dosyasının 1280×851 px küçültülmüş kopyası indirildi; kırpma, rötuş ve renk düzeltmesi yapılmadı.</t>
        </is>
      </c>
      <c r="O18" s="29" t="inlineStr">
        <is>
          <t>eindhoven:evidence:psv-museum-01</t>
        </is>
      </c>
      <c r="P18" s="29" t="inlineStr">
        <is>
          <t>Evet</t>
        </is>
      </c>
      <c r="Q18" s="51" t="n">
        <v>1</v>
      </c>
      <c r="R18" s="29" t="inlineStr">
        <is>
          <t>Taslak</t>
        </is>
      </c>
      <c r="S18" s="52">
        <f>IF(OR(A18="",F18="",C18&lt;&gt;"Mekân"),0,IF(COUNTIFS($F$8:F18,F18,$C$8:C18,"Mekân")=1,1,0))</f>
        <v/>
      </c>
      <c r="T18" s="52">
        <f>IF(OR(A18="",F18="",C18&lt;&gt;"Kapak"),0,IF(COUNTIFS($F$8:F18,F18,$C$8:C18,"Kapak")=1,1,0))</f>
        <v/>
      </c>
    </row>
    <row r="19" ht="54" customHeight="1">
      <c r="A19" s="29" t="inlineStr">
        <is>
          <t>eindhoven:photo:psv-museum-02</t>
        </is>
      </c>
      <c r="B19" s="29" t="inlineStr">
        <is>
          <t>eindhoven</t>
        </is>
      </c>
      <c r="C19" s="29" t="inlineStr">
        <is>
          <t>Mekân</t>
        </is>
      </c>
      <c r="D19" s="29" t="inlineStr">
        <is>
          <t>eindhoven:psv-museum</t>
        </is>
      </c>
      <c r="E19" s="29" t="inlineStr">
        <is>
          <t>Fotoğraflar/eindhoven_psv-museum_02.jpg</t>
        </is>
      </c>
      <c r="F19" s="29" t="inlineStr">
        <is>
          <t>8c67d2c944784507071114ded9f76608798ba8ce130641caf6b94cf7eb10c8a4</t>
        </is>
      </c>
      <c r="G19" s="29" t="inlineStr">
        <is>
          <t>Gümüş renkli kavisli çatısı ve beyaz çelik pilonlarıyla büyük stadyum binası; önünde kavşak, trafik levhası ve park etmiş arabalar</t>
        </is>
      </c>
      <c r="H19" s="29" t="inlineStr">
        <is>
          <t>Maurizio Pesce from Milan, Italia</t>
        </is>
      </c>
      <c r="I19" s="29" t="inlineStr">
        <is>
          <t>CC BY 2.0</t>
        </is>
      </c>
      <c r="J19" s="29" t="inlineStr">
        <is>
          <t>https://creativecommons.org/licenses/by/2.0/</t>
        </is>
      </c>
      <c r="K19" s="29" t="inlineStr">
        <is>
          <t>https://commons.wikimedia.org/wiki/File:Philips_Stadion_(5020111085).jpg</t>
        </is>
      </c>
      <c r="L19" s="49" t="n">
        <v>40438</v>
      </c>
      <c r="M19" s="49" t="n">
        <v>46317</v>
      </c>
      <c r="N19" s="29" t="inlineStr">
        <is>
          <t>Wikimedia Commons'taki "Philips Stadion (5020111085).jpg" (3008×2000 px) özgün dosyasının 1280×851 px küçültülmüş kopyası indirildi; kırpma, rötuş ve renk düzeltmesi yapılmadı.</t>
        </is>
      </c>
      <c r="O19" s="29" t="inlineStr">
        <is>
          <t>eindhoven:evidence:psv-museum-02</t>
        </is>
      </c>
      <c r="P19" s="29" t="inlineStr">
        <is>
          <t>Evet</t>
        </is>
      </c>
      <c r="Q19" s="51" t="n">
        <v>2</v>
      </c>
      <c r="R19" s="29" t="inlineStr">
        <is>
          <t>Taslak</t>
        </is>
      </c>
      <c r="S19" s="52">
        <f>IF(OR(A19="",F19="",C19&lt;&gt;"Mekân"),0,IF(COUNTIFS($F$8:F19,F19,$C$8:C19,"Mekân")=1,1,0))</f>
        <v/>
      </c>
      <c r="T19" s="52">
        <f>IF(OR(A19="",F19="",C19&lt;&gt;"Kapak"),0,IF(COUNTIFS($F$8:F19,F19,$C$8:C19,"Kapak")=1,1,0))</f>
        <v/>
      </c>
    </row>
    <row r="20" ht="54" customHeight="1">
      <c r="A20" s="29" t="inlineStr">
        <is>
          <t>eindhoven:photo:erfgoedhuis-eindhoven-01</t>
        </is>
      </c>
      <c r="B20" s="29" t="inlineStr">
        <is>
          <t>eindhoven</t>
        </is>
      </c>
      <c r="C20" s="29" t="inlineStr">
        <is>
          <t>Mekân</t>
        </is>
      </c>
      <c r="D20" s="29" t="inlineStr">
        <is>
          <t>eindhoven:erfgoedhuis-eindhoven</t>
        </is>
      </c>
      <c r="E20" s="29" t="inlineStr">
        <is>
          <t>Fotoğraflar/eindhoven_erfgoedhuis-eindhoven_01.jpg</t>
        </is>
      </c>
      <c r="F20" s="29" t="inlineStr">
        <is>
          <t>503bcd00360e5495f7df8618253349878598df1e917755465864cf2c3c169b20</t>
        </is>
      </c>
      <c r="G20" s="29" t="inlineStr">
        <is>
          <t>Üzerinde yıl aralıkları yazan uzun cam vitrinde dizili çömlekler, vazolar, kafatasları ve kazı buluntuları</t>
        </is>
      </c>
      <c r="H20" s="29" t="inlineStr">
        <is>
          <t>S. Perquin</t>
        </is>
      </c>
      <c r="I20" s="29" t="inlineStr">
        <is>
          <t>CC BY-SA 4.0</t>
        </is>
      </c>
      <c r="J20" s="29" t="inlineStr">
        <is>
          <t>https://creativecommons.org/licenses/by-sa/4.0/</t>
        </is>
      </c>
      <c r="K20" s="29" t="inlineStr">
        <is>
          <t>https://commons.wikimedia.org/wiki/File:Erfgoedhuis_Eindhoven,_voorwerpen_1200-1600.jpg</t>
        </is>
      </c>
      <c r="L20" s="49" t="n">
        <v>45343</v>
      </c>
      <c r="M20" s="49" t="n">
        <v>46317</v>
      </c>
      <c r="N20" s="29" t="inlineStr">
        <is>
          <t>Wikimedia Commons'taki "Erfgoedhuis Eindhoven, voorwerpen 1200-1600.jpg" (5628×3752 px) özgün dosyasının 1280×853 px küçültülmüş kopyası indirildi; kırpma, rötuş ve renk düzeltmesi yapılmadı.</t>
        </is>
      </c>
      <c r="O20" s="29" t="inlineStr">
        <is>
          <t>eindhoven:evidence:erfgoedhuis-eindhoven-01</t>
        </is>
      </c>
      <c r="P20" s="29" t="inlineStr">
        <is>
          <t>Evet</t>
        </is>
      </c>
      <c r="Q20" s="51" t="n">
        <v>1</v>
      </c>
      <c r="R20" s="29" t="inlineStr">
        <is>
          <t>Taslak</t>
        </is>
      </c>
      <c r="S20" s="52">
        <f>IF(OR(A20="",F20="",C20&lt;&gt;"Mekân"),0,IF(COUNTIFS($F$8:F20,F20,$C$8:C20,"Mekân")=1,1,0))</f>
        <v/>
      </c>
      <c r="T20" s="52">
        <f>IF(OR(A20="",F20="",C20&lt;&gt;"Kapak"),0,IF(COUNTIFS($F$8:F20,F20,$C$8:C20,"Kapak")=1,1,0))</f>
        <v/>
      </c>
    </row>
    <row r="21" ht="54" customHeight="1">
      <c r="A21" s="29" t="inlineStr">
        <is>
          <t>eindhoven:photo:dr-a-f-philips-sterrenwacht-01</t>
        </is>
      </c>
      <c r="B21" s="29" t="inlineStr">
        <is>
          <t>eindhoven</t>
        </is>
      </c>
      <c r="C21" s="29" t="inlineStr">
        <is>
          <t>Mekân</t>
        </is>
      </c>
      <c r="D21" s="29" t="inlineStr">
        <is>
          <t>eindhoven:dr-a-f-philips-sterrenwacht</t>
        </is>
      </c>
      <c r="E21" s="29" t="inlineStr">
        <is>
          <t>Fotoğraflar/eindhoven_dr-a-f-philips-sterrenwacht_01.jpg</t>
        </is>
      </c>
      <c r="F21" s="29" t="inlineStr">
        <is>
          <t>9a9f3213888af4b184f6b7af14264fe49f75e05caaf515b8d8552de746a29976</t>
        </is>
      </c>
      <c r="G21" s="29" t="inlineStr">
        <is>
          <t>Parkın çimenleri ve ağaçları arasında yükselen, yeşil bakır kubbeli beyaz silindir gözlemevi kulesi</t>
        </is>
      </c>
      <c r="H21" s="29" t="inlineStr">
        <is>
          <t>Johan Bakker</t>
        </is>
      </c>
      <c r="I21" s="29" t="inlineStr">
        <is>
          <t>CC BY-SA 4.0</t>
        </is>
      </c>
      <c r="J21" s="29" t="inlineStr">
        <is>
          <t>https://creativecommons.org/licenses/by-sa/4.0/</t>
        </is>
      </c>
      <c r="K21" s="29" t="inlineStr">
        <is>
          <t>https://commons.wikimedia.org/wiki/File:518824_Dr._A.F._Philips_Observatorium.jpg</t>
        </is>
      </c>
      <c r="L21" s="49" t="n">
        <v>42922</v>
      </c>
      <c r="M21" s="49" t="n">
        <v>46317</v>
      </c>
      <c r="N21" s="29" t="inlineStr">
        <is>
          <t>Wikimedia Commons'taki "518824 Dr. A.F. Philips Observatorium.jpg" (5184×3456 px) özgün dosyasının 1280×853 px küçültülmüş kopyası indirildi; kırpma, rötuş ve renk düzeltmesi yapılmadı.</t>
        </is>
      </c>
      <c r="O21" s="29" t="inlineStr">
        <is>
          <t>eindhoven:evidence:dr-a-f-philips-sterrenwacht-01</t>
        </is>
      </c>
      <c r="P21" s="29" t="inlineStr">
        <is>
          <t>Evet</t>
        </is>
      </c>
      <c r="Q21" s="51" t="n">
        <v>1</v>
      </c>
      <c r="R21" s="29" t="inlineStr">
        <is>
          <t>Taslak</t>
        </is>
      </c>
      <c r="S21" s="52">
        <f>IF(OR(A21="",F21="",C21&lt;&gt;"Mekân"),0,IF(COUNTIFS($F$8:F21,F21,$C$8:C21,"Mekân")=1,1,0))</f>
        <v/>
      </c>
      <c r="T21" s="52">
        <f>IF(OR(A21="",F21="",C21&lt;&gt;"Kapak"),0,IF(COUNTIFS($F$8:F21,F21,$C$8:C21,"Kapak")=1,1,0))</f>
        <v/>
      </c>
    </row>
    <row r="22" ht="54" customHeight="1">
      <c r="A22" s="29" t="inlineStr">
        <is>
          <t>eindhoven:photo:dr-a-f-philips-sterrenwacht-02</t>
        </is>
      </c>
      <c r="B22" s="29" t="inlineStr">
        <is>
          <t>eindhoven</t>
        </is>
      </c>
      <c r="C22" s="29" t="inlineStr">
        <is>
          <t>Mekân</t>
        </is>
      </c>
      <c r="D22" s="29" t="inlineStr">
        <is>
          <t>eindhoven:dr-a-f-philips-sterrenwacht</t>
        </is>
      </c>
      <c r="E22" s="29" t="inlineStr">
        <is>
          <t>Fotoğraflar/eindhoven_dr-a-f-philips-sterrenwacht_02.jpg</t>
        </is>
      </c>
      <c r="F22" s="29" t="inlineStr">
        <is>
          <t>e12e70bb93f97d240741358104efac7b201bc889d7b6d83c929ddb754f399640</t>
        </is>
      </c>
      <c r="G22" s="29" t="inlineStr">
        <is>
          <t>Yeşil kubbeli beyaz silindir kule; alt katında 'Dr. A.F. Philips Observatorium' yazısı, önünde çit ve çalılar</t>
        </is>
      </c>
      <c r="H22" s="29" t="inlineStr">
        <is>
          <t>Rosemoon</t>
        </is>
      </c>
      <c r="I22" s="29" t="inlineStr">
        <is>
          <t>CC BY-SA 3.0</t>
        </is>
      </c>
      <c r="J22" s="29" t="inlineStr">
        <is>
          <t>https://creativecommons.org/licenses/by-sa/3.0/</t>
        </is>
      </c>
      <c r="K22" s="29" t="inlineStr">
        <is>
          <t>https://commons.wikimedia.org/wiki/File:Dr._A.F._Philipsobservatorium_Eindhoven.JPG</t>
        </is>
      </c>
      <c r="L22" s="49" t="n">
        <v>40888</v>
      </c>
      <c r="M22" s="49" t="n">
        <v>46317</v>
      </c>
      <c r="N22" s="29" t="inlineStr">
        <is>
          <t>Wikimedia Commons'taki "Dr. A.F. Philipsobservatorium Eindhoven.JPG" (3240×4320 px) özgün dosyasının 1280×1707 px küçültülmüş kopyası indirildi; kırpma, rötuş ve renk düzeltmesi yapılmadı.</t>
        </is>
      </c>
      <c r="O22" s="29" t="inlineStr">
        <is>
          <t>eindhoven:evidence:dr-a-f-philips-sterrenwacht-02</t>
        </is>
      </c>
      <c r="P22" s="29" t="inlineStr">
        <is>
          <t>Evet</t>
        </is>
      </c>
      <c r="Q22" s="51" t="n">
        <v>2</v>
      </c>
      <c r="R22" s="29" t="inlineStr">
        <is>
          <t>Taslak</t>
        </is>
      </c>
      <c r="S22" s="52">
        <f>IF(OR(A22="",F22="",C22&lt;&gt;"Mekân"),0,IF(COUNTIFS($F$8:F22,F22,$C$8:C22,"Mekân")=1,1,0))</f>
        <v/>
      </c>
      <c r="T22" s="52">
        <f>IF(OR(A22="",F22="",C22&lt;&gt;"Kapak"),0,IF(COUNTIFS($F$8:F22,F22,$C$8:C22,"Kapak")=1,1,0))</f>
        <v/>
      </c>
    </row>
    <row r="23" ht="54" customHeight="1">
      <c r="A23" s="29" t="inlineStr">
        <is>
          <t>eindhoven:photo:dr-a-f-philips-sterrenwacht-03</t>
        </is>
      </c>
      <c r="B23" s="29" t="inlineStr">
        <is>
          <t>eindhoven</t>
        </is>
      </c>
      <c r="C23" s="29" t="inlineStr">
        <is>
          <t>Mekân</t>
        </is>
      </c>
      <c r="D23" s="29" t="inlineStr">
        <is>
          <t>eindhoven:dr-a-f-philips-sterrenwacht</t>
        </is>
      </c>
      <c r="E23" s="29" t="inlineStr">
        <is>
          <t>Fotoğraflar/eindhoven_dr-a-f-philips-sterrenwacht_03.jpg</t>
        </is>
      </c>
      <c r="F23" s="29" t="inlineStr">
        <is>
          <t>459b05965f2fa4e731d7394b7731c1d93bfcf103513bd81051208b76c5dbc0d1</t>
        </is>
      </c>
      <c r="G23" s="29" t="inlineStr">
        <is>
          <t>Kubbenin kaburgalı iç yüzeyi altında, ayağı üzerinde duran turuncu renkli büyük teleskop</t>
        </is>
      </c>
      <c r="H23" s="29" t="inlineStr">
        <is>
          <t>T.W. Tukker</t>
        </is>
      </c>
      <c r="I23" s="29" t="inlineStr">
        <is>
          <t>Public domain</t>
        </is>
      </c>
      <c r="J23" s="29" t="inlineStr">
        <is>
          <t>https://commons.wikimedia.org/wiki/File:Telescoop_Sterrenwacht_Eindhoven.jpg</t>
        </is>
      </c>
      <c r="K23" s="29" t="inlineStr">
        <is>
          <t>https://commons.wikimedia.org/wiki/File:Telescoop_Sterrenwacht_Eindhoven.jpg</t>
        </is>
      </c>
      <c r="L23" s="49" t="n"/>
      <c r="M23" s="49" t="n">
        <v>46317</v>
      </c>
      <c r="N23" s="29" t="inlineStr">
        <is>
          <t>Wikimedia Commons'taki "Telescoop Sterrenwacht Eindhoven.jpg" (3840×5760 px) özgün dosyasının 1280×1920 px küçültülmüş kopyası indirildi; kırpma, rötuş ve renk düzeltmesi yapılmadı.</t>
        </is>
      </c>
      <c r="O23" s="29" t="inlineStr">
        <is>
          <t>eindhoven:evidence:dr-a-f-philips-sterrenwacht-03</t>
        </is>
      </c>
      <c r="P23" s="29" t="inlineStr">
        <is>
          <t>Evet</t>
        </is>
      </c>
      <c r="Q23" s="51" t="n">
        <v>3</v>
      </c>
      <c r="R23" s="29" t="inlineStr">
        <is>
          <t>Taslak</t>
        </is>
      </c>
      <c r="S23" s="52">
        <f>IF(OR(A23="",F23="",C23&lt;&gt;"Mekân"),0,IF(COUNTIFS($F$8:F23,F23,$C$8:C23,"Mekân")=1,1,0))</f>
        <v/>
      </c>
      <c r="T23" s="52">
        <f>IF(OR(A23="",F23="",C23&lt;&gt;"Kapak"),0,IF(COUNTIFS($F$8:F23,F23,$C$8:C23,"Kapak")=1,1,0))</f>
        <v/>
      </c>
    </row>
    <row r="24" ht="54" customHeight="1">
      <c r="A24" s="29" t="inlineStr">
        <is>
          <t>eindhoven:photo:museumpark-vonk-prehistorisch-dorp-01</t>
        </is>
      </c>
      <c r="B24" s="29" t="inlineStr">
        <is>
          <t>eindhoven</t>
        </is>
      </c>
      <c r="C24" s="29" t="inlineStr">
        <is>
          <t>Mekân</t>
        </is>
      </c>
      <c r="D24" s="29" t="inlineStr">
        <is>
          <t>eindhoven:museumpark-vonk-prehistorisch-dorp</t>
        </is>
      </c>
      <c r="E24" s="29" t="inlineStr">
        <is>
          <t>Fotoğraflar/eindhoven_museumpark-vonk-prehistorisch-dorp_01.jpg</t>
        </is>
      </c>
      <c r="F24" s="29" t="inlineStr">
        <is>
          <t>40d405c36a973dea828232acbbfc4e73d25c7235997c952a3d1b70225d373fbf</t>
        </is>
      </c>
      <c r="G24" s="29" t="inlineStr">
        <is>
          <t>Eğimli yeşil çatılı, toprak tonlarında yatay katmanlı cepheli uzun bina; önünde kumlu inşaat alanı ve şantiye konteynerleri</t>
        </is>
      </c>
      <c r="H24" s="29" t="inlineStr">
        <is>
          <t>Sander Perquin</t>
        </is>
      </c>
      <c r="I24" s="29" t="inlineStr">
        <is>
          <t>CC BY 4.0</t>
        </is>
      </c>
      <c r="J24" s="29" t="inlineStr">
        <is>
          <t>https://creativecommons.org/licenses/by/4.0/</t>
        </is>
      </c>
      <c r="K24" s="29" t="inlineStr">
        <is>
          <t>https://commons.wikimedia.org/wiki/File:Gebouw_Museumpark_VONK_(2026)_(1).jpg</t>
        </is>
      </c>
      <c r="L24" s="49" t="n">
        <v>46221</v>
      </c>
      <c r="M24" s="49" t="n">
        <v>46317</v>
      </c>
      <c r="N24" s="29" t="inlineStr">
        <is>
          <t>Wikimedia Commons'taki "Gebouw Museumpark VONK (2026) (1).jpg" (6000×4000 px) özgün dosyasının 1280×853 px küçültülmüş kopyası indirildi; kırpma, rötuş ve renk düzeltmesi yapılmadı.</t>
        </is>
      </c>
      <c r="O24" s="29" t="inlineStr">
        <is>
          <t>eindhoven:evidence:museumpark-vonk-prehistorisch-dorp-01</t>
        </is>
      </c>
      <c r="P24" s="29" t="inlineStr">
        <is>
          <t>Evet</t>
        </is>
      </c>
      <c r="Q24" s="51" t="n">
        <v>1</v>
      </c>
      <c r="R24" s="29" t="inlineStr">
        <is>
          <t>Taslak</t>
        </is>
      </c>
      <c r="S24" s="52">
        <f>IF(OR(A24="",F24="",C24&lt;&gt;"Mekân"),0,IF(COUNTIFS($F$8:F24,F24,$C$8:C24,"Mekân")=1,1,0))</f>
        <v/>
      </c>
      <c r="T24" s="52">
        <f>IF(OR(A24="",F24="",C24&lt;&gt;"Kapak"),0,IF(COUNTIFS($F$8:F24,F24,$C$8:C24,"Kapak")=1,1,0))</f>
        <v/>
      </c>
    </row>
    <row r="25" ht="54" customHeight="1">
      <c r="A25" s="29" t="inlineStr">
        <is>
          <t>eindhoven:photo:museumpark-vonk-prehistorisch-dorp-02</t>
        </is>
      </c>
      <c r="B25" s="29" t="inlineStr">
        <is>
          <t>eindhoven</t>
        </is>
      </c>
      <c r="C25" s="29" t="inlineStr">
        <is>
          <t>Mekân</t>
        </is>
      </c>
      <c r="D25" s="29" t="inlineStr">
        <is>
          <t>eindhoven:museumpark-vonk-prehistorisch-dorp</t>
        </is>
      </c>
      <c r="E25" s="29" t="inlineStr">
        <is>
          <t>Fotoğraflar/eindhoven_museumpark-vonk-prehistorisch-dorp_02.jpg</t>
        </is>
      </c>
      <c r="F25" s="29" t="inlineStr">
        <is>
          <t>467d851bedfef77e9be487b79e0ac96ce6357b1e94681fd88e88839f0a3df2bd</t>
        </is>
      </c>
      <c r="G25" s="29" t="inlineStr">
        <is>
          <t>Bir ucu yükselen eğik çatılı uzun bina; önde kum yığınları, moloz ve ağaçlar</t>
        </is>
      </c>
      <c r="H25" s="29" t="inlineStr">
        <is>
          <t>Sander Perquin</t>
        </is>
      </c>
      <c r="I25" s="29" t="inlineStr">
        <is>
          <t>CC BY 4.0</t>
        </is>
      </c>
      <c r="J25" s="29" t="inlineStr">
        <is>
          <t>https://creativecommons.org/licenses/by/4.0/</t>
        </is>
      </c>
      <c r="K25" s="29" t="inlineStr">
        <is>
          <t>https://commons.wikimedia.org/wiki/File:Gebouw_Museumpark_VONK_(2026)_(2).jpg</t>
        </is>
      </c>
      <c r="L25" s="49" t="n">
        <v>46221</v>
      </c>
      <c r="M25" s="49" t="n">
        <v>46317</v>
      </c>
      <c r="N25" s="29" t="inlineStr">
        <is>
          <t>Wikimedia Commons'taki "Gebouw Museumpark VONK (2026) (2).jpg" (6000×4000 px) özgün dosyasının 1280×853 px küçültülmüş kopyası indirildi; kırpma, rötuş ve renk düzeltmesi yapılmadı.</t>
        </is>
      </c>
      <c r="O25" s="29" t="inlineStr">
        <is>
          <t>eindhoven:evidence:museumpark-vonk-prehistorisch-dorp-02</t>
        </is>
      </c>
      <c r="P25" s="29" t="inlineStr">
        <is>
          <t>Evet</t>
        </is>
      </c>
      <c r="Q25" s="51" t="n">
        <v>2</v>
      </c>
      <c r="R25" s="29" t="inlineStr">
        <is>
          <t>Taslak</t>
        </is>
      </c>
      <c r="S25" s="52">
        <f>IF(OR(A25="",F25="",C25&lt;&gt;"Mekân"),0,IF(COUNTIFS($F$8:F25,F25,$C$8:C25,"Mekân")=1,1,0))</f>
        <v/>
      </c>
      <c r="T25" s="52">
        <f>IF(OR(A25="",F25="",C25&lt;&gt;"Kapak"),0,IF(COUNTIFS($F$8:F25,F25,$C$8:C25,"Kapak")=1,1,0))</f>
        <v/>
      </c>
    </row>
    <row r="26" ht="54" customHeight="1">
      <c r="A26" s="29" t="inlineStr">
        <is>
          <t>eindhoven:photo:museumpark-vonk-prehistorisch-dorp-03</t>
        </is>
      </c>
      <c r="B26" s="29" t="inlineStr">
        <is>
          <t>eindhoven</t>
        </is>
      </c>
      <c r="C26" s="29" t="inlineStr">
        <is>
          <t>Mekân</t>
        </is>
      </c>
      <c r="D26" s="29" t="inlineStr">
        <is>
          <t>eindhoven:museumpark-vonk-prehistorisch-dorp</t>
        </is>
      </c>
      <c r="E26" s="29" t="inlineStr">
        <is>
          <t>Fotoğraflar/eindhoven_museumpark-vonk-prehistorisch-dorp_03.jpg</t>
        </is>
      </c>
      <c r="F26" s="29" t="inlineStr">
        <is>
          <t>9190d4ca4402264ec8755d3bf79acec383300fb1f6979e5efae90e64ad18af76</t>
        </is>
      </c>
      <c r="G26" s="29" t="inlineStr">
        <is>
          <t>Eğimli yeşil çatılı, toprak tonlarında katmanlı cepheli uzun bina; yüksek ucunun altı camlı, önünde düzleştirilmemiş kumlu zemin</t>
        </is>
      </c>
      <c r="H26" s="29" t="inlineStr">
        <is>
          <t>Sander Perquin</t>
        </is>
      </c>
      <c r="I26" s="29" t="inlineStr">
        <is>
          <t>CC BY 4.0</t>
        </is>
      </c>
      <c r="J26" s="29" t="inlineStr">
        <is>
          <t>https://creativecommons.org/licenses/by/4.0/</t>
        </is>
      </c>
      <c r="K26" s="29" t="inlineStr">
        <is>
          <t>https://commons.wikimedia.org/wiki/File:Gebouw_Museumpark_VONK_(2026)_(4).jpg</t>
        </is>
      </c>
      <c r="L26" s="49" t="n">
        <v>46221</v>
      </c>
      <c r="M26" s="49" t="n">
        <v>46317</v>
      </c>
      <c r="N26" s="29" t="inlineStr">
        <is>
          <t>Wikimedia Commons'taki "Gebouw Museumpark VONK (2026) (4).jpg" (6000×4000 px) özgün dosyasının 1280×853 px küçültülmüş kopyası indirildi; kırpma, rötuş ve renk düzeltmesi yapılmadı.</t>
        </is>
      </c>
      <c r="O26" s="29" t="inlineStr">
        <is>
          <t>eindhoven:evidence:museumpark-vonk-prehistorisch-dorp-03</t>
        </is>
      </c>
      <c r="P26" s="29" t="inlineStr">
        <is>
          <t>Evet</t>
        </is>
      </c>
      <c r="Q26" s="51" t="n">
        <v>3</v>
      </c>
      <c r="R26" s="29" t="inlineStr">
        <is>
          <t>Taslak</t>
        </is>
      </c>
      <c r="S26" s="52">
        <f>IF(OR(A26="",F26="",C26&lt;&gt;"Mekân"),0,IF(COUNTIFS($F$8:F26,F26,$C$8:C26,"Mekân")=1,1,0))</f>
        <v/>
      </c>
      <c r="T26" s="52">
        <f>IF(OR(A26="",F26="",C26&lt;&gt;"Kapak"),0,IF(COUNTIFS($F$8:F26,F26,$C$8:C26,"Kapak")=1,1,0))</f>
        <v/>
      </c>
    </row>
    <row r="27" ht="54" customHeight="1">
      <c r="A27" s="29" t="inlineStr">
        <is>
          <t>eindhoven:photo:kevn-kelderman-en-van-noort-01</t>
        </is>
      </c>
      <c r="B27" s="29" t="inlineStr">
        <is>
          <t>eindhoven</t>
        </is>
      </c>
      <c r="C27" s="29" t="inlineStr">
        <is>
          <t>Mekân</t>
        </is>
      </c>
      <c r="D27" s="29" t="inlineStr">
        <is>
          <t>eindhoven:kevn-kelderman-en-van-noort</t>
        </is>
      </c>
      <c r="E27" s="29" t="inlineStr">
        <is>
          <t>Fotoğraflar/eindhoven_kevn-kelderman-en-van-noort_01.jpg</t>
        </is>
      </c>
      <c r="F27" s="29" t="inlineStr">
        <is>
          <t>c93c17d831860a6751db6fb057070db39a8b89092d003b96333a25fe7f6807f4</t>
        </is>
      </c>
      <c r="G27" s="29" t="inlineStr">
        <is>
          <t>Ağaçların arasında, köşesinde kare tuğla kule ve kemerli mavi kapısı olan iki katlı uzun tuğla bina</t>
        </is>
      </c>
      <c r="H27" s="29" t="inlineStr">
        <is>
          <t>Rosemoon</t>
        </is>
      </c>
      <c r="I27" s="29" t="inlineStr">
        <is>
          <t>CC BY-SA 4.0</t>
        </is>
      </c>
      <c r="J27" s="29" t="inlineStr">
        <is>
          <t>https://creativecommons.org/licenses/by-sa/4.0/</t>
        </is>
      </c>
      <c r="K27" s="29" t="inlineStr">
        <is>
          <t>https://commons.wikimedia.org/wiki/File:RM518797_Galileistraat_2,_Eindhoven.jpg</t>
        </is>
      </c>
      <c r="L27" s="49" t="n"/>
      <c r="M27" s="49" t="n">
        <v>46317</v>
      </c>
      <c r="N27" s="29" t="inlineStr">
        <is>
          <t>Wikimedia Commons'taki "RM518797 Galileistraat 2, Eindhoven.jpg" (6000×4000 px) özgün dosyasının 1280×853 px küçültülmüş kopyası indirildi; kırpma, rötuş ve renk düzeltmesi yapılmadı.</t>
        </is>
      </c>
      <c r="O27" s="29" t="inlineStr">
        <is>
          <t>eindhoven:evidence:kevn-kelderman-en-van-noort-01</t>
        </is>
      </c>
      <c r="P27" s="29" t="inlineStr">
        <is>
          <t>Evet</t>
        </is>
      </c>
      <c r="Q27" s="51" t="n">
        <v>1</v>
      </c>
      <c r="R27" s="29" t="inlineStr">
        <is>
          <t>Taslak</t>
        </is>
      </c>
      <c r="S27" s="52">
        <f>IF(OR(A27="",F27="",C27&lt;&gt;"Mekân"),0,IF(COUNTIFS($F$8:F27,F27,$C$8:C27,"Mekân")=1,1,0))</f>
        <v/>
      </c>
      <c r="T27" s="52">
        <f>IF(OR(A27="",F27="",C27&lt;&gt;"Kapak"),0,IF(COUNTIFS($F$8:F27,F27,$C$8:C27,"Kapak")=1,1,0))</f>
        <v/>
      </c>
    </row>
    <row r="28" ht="54" customHeight="1">
      <c r="A28" s="29" t="inlineStr">
        <is>
          <t>eindhoven:photo:baltan-laboratories-01</t>
        </is>
      </c>
      <c r="B28" s="29" t="inlineStr">
        <is>
          <t>eindhoven</t>
        </is>
      </c>
      <c r="C28" s="29" t="inlineStr">
        <is>
          <t>Mekân</t>
        </is>
      </c>
      <c r="D28" s="29" t="inlineStr">
        <is>
          <t>eindhoven:baltan-laboratories</t>
        </is>
      </c>
      <c r="E28" s="29" t="inlineStr">
        <is>
          <t>Fotoğraflar/eindhoven_baltan-laboratories_01.jpg</t>
        </is>
      </c>
      <c r="F28" s="29" t="inlineStr">
        <is>
          <t>aeee38b26a1fc4a59774fc1d28ce0706051c7eb9a2ebb27b454c7f47aac92454</t>
        </is>
      </c>
      <c r="G28" s="29" t="inlineStr">
        <is>
          <t>Sütunlar üzerinde öne taşan, dikey şeritli üst katı ve yanında yükselen tuğla bacasıyla modernist bina</t>
        </is>
      </c>
      <c r="H28" s="29" t="inlineStr">
        <is>
          <t>Rosemoon</t>
        </is>
      </c>
      <c r="I28" s="29" t="inlineStr">
        <is>
          <t>CC BY-SA 3.0</t>
        </is>
      </c>
      <c r="J28" s="29" t="inlineStr">
        <is>
          <t>https://creativecommons.org/licenses/by-sa/3.0/</t>
        </is>
      </c>
      <c r="K28" s="29" t="inlineStr">
        <is>
          <t>https://commons.wikimedia.org/wiki/File:NatLab_Strijp_S_Eindhoven_ingang_2.JPG</t>
        </is>
      </c>
      <c r="L28" s="49" t="n">
        <v>41139</v>
      </c>
      <c r="M28" s="49" t="n">
        <v>46317</v>
      </c>
      <c r="N28" s="29" t="inlineStr">
        <is>
          <t>Wikimedia Commons'taki "NatLab Strijp S Eindhoven ingang 2.JPG" (4320×3240 px) özgün dosyasının 1280×960 px küçültülmüş kopyası indirildi; kırpma, rötuş ve renk düzeltmesi yapılmadı.</t>
        </is>
      </c>
      <c r="O28" s="29" t="inlineStr">
        <is>
          <t>eindhoven:evidence:baltan-laboratories-01</t>
        </is>
      </c>
      <c r="P28" s="29" t="inlineStr">
        <is>
          <t>Evet</t>
        </is>
      </c>
      <c r="Q28" s="51" t="n">
        <v>1</v>
      </c>
      <c r="R28" s="29" t="inlineStr">
        <is>
          <t>Taslak</t>
        </is>
      </c>
      <c r="S28" s="52">
        <f>IF(OR(A28="",F28="",C28&lt;&gt;"Mekân"),0,IF(COUNTIFS($F$8:F28,F28,$C$8:C28,"Mekân")=1,1,0))</f>
        <v/>
      </c>
      <c r="T28" s="52">
        <f>IF(OR(A28="",F28="",C28&lt;&gt;"Kapak"),0,IF(COUNTIFS($F$8:F28,F28,$C$8:C28,"Kapak")=1,1,0))</f>
        <v/>
      </c>
    </row>
    <row r="29" ht="54" customHeight="1">
      <c r="A29" s="29" t="inlineStr">
        <is>
          <t>eindhoven:photo:baltan-laboratories-02</t>
        </is>
      </c>
      <c r="B29" s="29" t="inlineStr">
        <is>
          <t>eindhoven</t>
        </is>
      </c>
      <c r="C29" s="29" t="inlineStr">
        <is>
          <t>Mekân</t>
        </is>
      </c>
      <c r="D29" s="29" t="inlineStr">
        <is>
          <t>eindhoven:baltan-laboratories</t>
        </is>
      </c>
      <c r="E29" s="29" t="inlineStr">
        <is>
          <t>Fotoğraflar/eindhoven_baltan-laboratories_02.jpg</t>
        </is>
      </c>
      <c r="F29" s="29" t="inlineStr">
        <is>
          <t>b4d79294591ded35855bfd40bb67cddc9df435608b28a95fc9e91bd9b9a20f8b</t>
        </is>
      </c>
      <c r="G29" s="29" t="inlineStr">
        <is>
          <t>Geniş beton saçağın altında basamaklarla çıkılan camlı giriş ve yanındaki vitrinde asılı afiş</t>
        </is>
      </c>
      <c r="H29" s="29" t="inlineStr">
        <is>
          <t>Rosemoon</t>
        </is>
      </c>
      <c r="I29" s="29" t="inlineStr">
        <is>
          <t>CC BY-SA 3.0</t>
        </is>
      </c>
      <c r="J29" s="29" t="inlineStr">
        <is>
          <t>https://creativecommons.org/licenses/by-sa/3.0/</t>
        </is>
      </c>
      <c r="K29" s="29" t="inlineStr">
        <is>
          <t>https://commons.wikimedia.org/wiki/File:NatLab_Strijp_S_Eindhoven_ingang.JPG</t>
        </is>
      </c>
      <c r="L29" s="49" t="n">
        <v>41139</v>
      </c>
      <c r="M29" s="49" t="n">
        <v>46317</v>
      </c>
      <c r="N29" s="29" t="inlineStr">
        <is>
          <t>Wikimedia Commons'taki "NatLab Strijp S Eindhoven ingang.JPG" (4320×3240 px) özgün dosyasının 1280×960 px küçültülmüş kopyası indirildi; kırpma, rötuş ve renk düzeltmesi yapılmadı.</t>
        </is>
      </c>
      <c r="O29" s="29" t="inlineStr">
        <is>
          <t>eindhoven:evidence:baltan-laboratories-02</t>
        </is>
      </c>
      <c r="P29" s="29" t="inlineStr">
        <is>
          <t>Evet</t>
        </is>
      </c>
      <c r="Q29" s="51" t="n">
        <v>2</v>
      </c>
      <c r="R29" s="29" t="inlineStr">
        <is>
          <t>Taslak</t>
        </is>
      </c>
      <c r="S29" s="52">
        <f>IF(OR(A29="",F29="",C29&lt;&gt;"Mekân"),0,IF(COUNTIFS($F$8:F29,F29,$C$8:C29,"Mekân")=1,1,0))</f>
        <v/>
      </c>
      <c r="T29" s="52">
        <f>IF(OR(A29="",F29="",C29&lt;&gt;"Kapak"),0,IF(COUNTIFS($F$8:F29,F29,$C$8:C29,"Kapak")=1,1,0))</f>
        <v/>
      </c>
    </row>
    <row r="30" ht="54" customHeight="1">
      <c r="A30" s="29" t="inlineStr">
        <is>
          <t>eindhoven:photo:muziekgebouw-eindhoven-01</t>
        </is>
      </c>
      <c r="B30" s="29" t="inlineStr">
        <is>
          <t>eindhoven</t>
        </is>
      </c>
      <c r="C30" s="29" t="inlineStr">
        <is>
          <t>Mekân</t>
        </is>
      </c>
      <c r="D30" s="29" t="inlineStr">
        <is>
          <t>eindhoven:muziekgebouw-eindhoven</t>
        </is>
      </c>
      <c r="E30" s="29" t="inlineStr">
        <is>
          <t>Fotoğraflar/eindhoven_muziekgebouw-eindhoven_01.jpg</t>
        </is>
      </c>
      <c r="F30" s="29" t="inlineStr">
        <is>
          <t>4fc58a015241d134f9b1b66424db8de4b2ec247b5baa7d1389dcce9511125088</t>
        </is>
      </c>
      <c r="G30" s="29" t="inlineStr">
        <is>
          <t>Muziekgebouw Eindhoven'ın büyük konser salonu yukarıdan: sahnede orkestra, onu çevreleyen kademeli ahşap balkonlar ve dolu seyirci sıraları</t>
        </is>
      </c>
      <c r="H30" s="29" t="inlineStr">
        <is>
          <t>Marketingmuziekgebouweindhoven</t>
        </is>
      </c>
      <c r="I30" s="29" t="inlineStr">
        <is>
          <t>CC BY-SA 4.0</t>
        </is>
      </c>
      <c r="J30" s="29" t="inlineStr">
        <is>
          <t>https://creativecommons.org/licenses/by-sa/4.0/</t>
        </is>
      </c>
      <c r="K30" s="29" t="inlineStr">
        <is>
          <t>https://commons.wikimedia.org/wiki/File:Grote_Zaal_Muziekgebouw_Eindhoven_door_Bram_Saeys.jpg</t>
        </is>
      </c>
      <c r="L30" s="49" t="n">
        <v>40467</v>
      </c>
      <c r="M30" s="49" t="n">
        <v>46317</v>
      </c>
      <c r="N30" s="29" t="inlineStr">
        <is>
          <t>Wikimedia Commons'taki "Grote Zaal Muziekgebouw Eindhoven door Bram Saeys.jpg" (4896×3264 px) özgün dosyasının 1280×853 px küçültülmüş kopyası indirildi; kırpma, rötuş ve renk düzeltmesi yapılmadı.</t>
        </is>
      </c>
      <c r="O30" s="29" t="inlineStr">
        <is>
          <t>eindhoven:evidence:muziekgebouw-eindhoven-01</t>
        </is>
      </c>
      <c r="P30" s="29" t="inlineStr">
        <is>
          <t>Evet</t>
        </is>
      </c>
      <c r="Q30" s="51" t="n">
        <v>1</v>
      </c>
      <c r="R30" s="29" t="inlineStr">
        <is>
          <t>Taslak</t>
        </is>
      </c>
      <c r="S30" s="52">
        <f>IF(OR(A30="",F30="",C30&lt;&gt;"Mekân"),0,IF(COUNTIFS($F$8:F30,F30,$C$8:C30,"Mekân")=1,1,0))</f>
        <v/>
      </c>
      <c r="T30" s="52">
        <f>IF(OR(A30="",F30="",C30&lt;&gt;"Kapak"),0,IF(COUNTIFS($F$8:F30,F30,$C$8:C30,"Kapak")=1,1,0))</f>
        <v/>
      </c>
    </row>
    <row r="31" ht="54" customHeight="1">
      <c r="A31" s="29" t="inlineStr">
        <is>
          <t>eindhoven:photo:muziekgebouw-eindhoven-02</t>
        </is>
      </c>
      <c r="B31" s="29" t="inlineStr">
        <is>
          <t>eindhoven</t>
        </is>
      </c>
      <c r="C31" s="29" t="inlineStr">
        <is>
          <t>Mekân</t>
        </is>
      </c>
      <c r="D31" s="29" t="inlineStr">
        <is>
          <t>eindhoven:muziekgebouw-eindhoven</t>
        </is>
      </c>
      <c r="E31" s="29" t="inlineStr">
        <is>
          <t>Fotoğraflar/eindhoven_muziekgebouw-eindhoven_02.jpg</t>
        </is>
      </c>
      <c r="F31" s="29" t="inlineStr">
        <is>
          <t>b69a96d56910e95b94b2b594d5041e18858e9a520443b6985949167cd79f5b2c</t>
        </is>
      </c>
      <c r="G31" s="29" t="inlineStr">
        <is>
          <t>Muziekgebouw Eindhoven'ın bej taş sütunlu yüksek cephesi; solda camlı çatılı pasaj girişi, önünde turuncu şemsiyeli kafe terası</t>
        </is>
      </c>
      <c r="H31" s="29" t="inlineStr">
        <is>
          <t>Mark Bergsma</t>
        </is>
      </c>
      <c r="I31" s="29" t="inlineStr">
        <is>
          <t>CC BY-SA 3.0</t>
        </is>
      </c>
      <c r="J31" s="29" t="inlineStr">
        <is>
          <t>https://creativecommons.org/licenses/by-sa/3.0/</t>
        </is>
      </c>
      <c r="K31" s="29" t="inlineStr">
        <is>
          <t>https://commons.wikimedia.org/wiki/File:MuziekcentrumFritsPhilipsEindhoven.JPG</t>
        </is>
      </c>
      <c r="L31" s="49" t="n">
        <v>40076</v>
      </c>
      <c r="M31" s="49" t="n">
        <v>46317</v>
      </c>
      <c r="N31" s="29" t="inlineStr">
        <is>
          <t>Wikimedia Commons'taki "MuziekcentrumFritsPhilipsEindhoven.JPG" (3968×2232 px) özgün dosyasının 1280×720 px küçültülmüş kopyası indirildi; kırpma, rötuş ve renk düzeltmesi yapılmadı.</t>
        </is>
      </c>
      <c r="O31" s="29" t="inlineStr">
        <is>
          <t>eindhoven:evidence:muziekgebouw-eindhoven-02</t>
        </is>
      </c>
      <c r="P31" s="29" t="inlineStr">
        <is>
          <t>Evet</t>
        </is>
      </c>
      <c r="Q31" s="51" t="n">
        <v>2</v>
      </c>
      <c r="R31" s="29" t="inlineStr">
        <is>
          <t>Taslak</t>
        </is>
      </c>
      <c r="S31" s="52">
        <f>IF(OR(A31="",F31="",C31&lt;&gt;"Mekân"),0,IF(COUNTIFS($F$8:F31,F31,$C$8:C31,"Mekân")=1,1,0))</f>
        <v/>
      </c>
      <c r="T31" s="52">
        <f>IF(OR(A31="",F31="",C31&lt;&gt;"Kapak"),0,IF(COUNTIFS($F$8:F31,F31,$C$8:C31,"Kapak")=1,1,0))</f>
        <v/>
      </c>
    </row>
    <row r="32" ht="54" customHeight="1">
      <c r="A32" s="29" t="inlineStr">
        <is>
          <t>eindhoven:photo:parktheater-eindhoven-01</t>
        </is>
      </c>
      <c r="B32" s="29" t="inlineStr">
        <is>
          <t>eindhoven</t>
        </is>
      </c>
      <c r="C32" s="29" t="inlineStr">
        <is>
          <t>Mekân</t>
        </is>
      </c>
      <c r="D32" s="29" t="inlineStr">
        <is>
          <t>eindhoven:parktheater-eindhoven</t>
        </is>
      </c>
      <c r="E32" s="29" t="inlineStr">
        <is>
          <t>Fotoğraflar/eindhoven_parktheater-eindhoven_01.jpg</t>
        </is>
      </c>
      <c r="F32" s="29" t="inlineStr">
        <is>
          <t>f6e0677113568f7726b426c3efa5df2c949a42e219ee90507f9841b45b72efce</t>
        </is>
      </c>
      <c r="G32" s="29" t="inlineStr">
        <is>
          <t>Parktheater Eindhoven'ın cam cepheli fuaye katı ve arkasında yükselen, üzerinde 'PARKTHEATER' yazan desenli açık gri blok; sağ altta yeşil camlı bölüm</t>
        </is>
      </c>
      <c r="H32" s="29" t="inlineStr">
        <is>
          <t>Ralf Roletschek</t>
        </is>
      </c>
      <c r="I32" s="29" t="inlineStr">
        <is>
          <t>CC BY 3.0</t>
        </is>
      </c>
      <c r="J32" s="29" t="inlineStr">
        <is>
          <t>https://creativecommons.org/licenses/by/3.0/</t>
        </is>
      </c>
      <c r="K32" s="29" t="inlineStr">
        <is>
          <t>https://commons.wikimedia.org/wiki/File:13-06-29-eindhoven-50mm-52.jpg</t>
        </is>
      </c>
      <c r="L32" s="49" t="n">
        <v>41454</v>
      </c>
      <c r="M32" s="49" t="n">
        <v>46317</v>
      </c>
      <c r="N32" s="29" t="inlineStr">
        <is>
          <t>Wikimedia Commons'taki "13-06-29-eindhoven-50mm-52.jpg" (4288×2848 px) özgün dosyasının 1280×850 px küçültülmüş kopyası indirildi; kırpma, rötuş ve renk düzeltmesi yapılmadı.</t>
        </is>
      </c>
      <c r="O32" s="29" t="inlineStr">
        <is>
          <t>eindhoven:evidence:parktheater-eindhoven-01</t>
        </is>
      </c>
      <c r="P32" s="29" t="inlineStr">
        <is>
          <t>Evet</t>
        </is>
      </c>
      <c r="Q32" s="51" t="n">
        <v>1</v>
      </c>
      <c r="R32" s="29" t="inlineStr">
        <is>
          <t>Taslak</t>
        </is>
      </c>
      <c r="S32" s="52">
        <f>IF(OR(A32="",F32="",C32&lt;&gt;"Mekân"),0,IF(COUNTIFS($F$8:F32,F32,$C$8:C32,"Mekân")=1,1,0))</f>
        <v/>
      </c>
      <c r="T32" s="52">
        <f>IF(OR(A32="",F32="",C32&lt;&gt;"Kapak"),0,IF(COUNTIFS($F$8:F32,F32,$C$8:C32,"Kapak")=1,1,0))</f>
        <v/>
      </c>
    </row>
    <row r="33" ht="54" customHeight="1">
      <c r="A33" s="29" t="inlineStr">
        <is>
          <t>eindhoven:photo:parktheater-eindhoven-02</t>
        </is>
      </c>
      <c r="B33" s="29" t="inlineStr">
        <is>
          <t>eindhoven</t>
        </is>
      </c>
      <c r="C33" s="29" t="inlineStr">
        <is>
          <t>Mekân</t>
        </is>
      </c>
      <c r="D33" s="29" t="inlineStr">
        <is>
          <t>eindhoven:parktheater-eindhoven</t>
        </is>
      </c>
      <c r="E33" s="29" t="inlineStr">
        <is>
          <t>Fotoğraflar/eindhoven_parktheater-eindhoven_02.jpg</t>
        </is>
      </c>
      <c r="F33" s="29" t="inlineStr">
        <is>
          <t>0d6a502b661dc60d3a0d0d1c4269e72f7976d794f0d8b2b0ecb142350fdc9024</t>
        </is>
      </c>
      <c r="G33" s="29" t="inlineStr">
        <is>
          <t>Kavşağın karşısından Parktheater Eindhoven: uzun cam fuaye cephesi, arkasında yükselen iki yüksek blok ve sağdaki gri blokta 'PARKTHEATER' yazısı; önde geniş yol ve beyaz yol çizgileri</t>
        </is>
      </c>
      <c r="H33" s="29" t="inlineStr">
        <is>
          <t>Ralf Roletschek</t>
        </is>
      </c>
      <c r="I33" s="29" t="inlineStr">
        <is>
          <t>CC BY 3.0</t>
        </is>
      </c>
      <c r="J33" s="29" t="inlineStr">
        <is>
          <t>https://creativecommons.org/licenses/by/3.0/</t>
        </is>
      </c>
      <c r="K33" s="29" t="inlineStr">
        <is>
          <t>https://commons.wikimedia.org/wiki/File:13-06-29-eindhoven-50mm-53.jpg</t>
        </is>
      </c>
      <c r="L33" s="49" t="n">
        <v>41454</v>
      </c>
      <c r="M33" s="49" t="n">
        <v>46317</v>
      </c>
      <c r="N33" s="29" t="inlineStr">
        <is>
          <t>Wikimedia Commons'taki "13-06-29-eindhoven-50mm-53.jpg" (4288×2848 px) özgün dosyasının 1280×850 px küçültülmüş kopyası indirildi; kırpma, rötuş ve renk düzeltmesi yapılmadı.</t>
        </is>
      </c>
      <c r="O33" s="29" t="inlineStr">
        <is>
          <t>eindhoven:evidence:parktheater-eindhoven-02</t>
        </is>
      </c>
      <c r="P33" s="29" t="inlineStr">
        <is>
          <t>Evet</t>
        </is>
      </c>
      <c r="Q33" s="51" t="n">
        <v>2</v>
      </c>
      <c r="R33" s="29" t="inlineStr">
        <is>
          <t>Taslak</t>
        </is>
      </c>
      <c r="S33" s="52">
        <f>IF(OR(A33="",F33="",C33&lt;&gt;"Mekân"),0,IF(COUNTIFS($F$8:F33,F33,$C$8:C33,"Mekân")=1,1,0))</f>
        <v/>
      </c>
      <c r="T33" s="52">
        <f>IF(OR(A33="",F33="",C33&lt;&gt;"Kapak"),0,IF(COUNTIFS($F$8:F33,F33,$C$8:C33,"Kapak")=1,1,0))</f>
        <v/>
      </c>
    </row>
    <row r="34" ht="54" customHeight="1">
      <c r="A34" s="29" t="inlineStr">
        <is>
          <t>eindhoven:photo:natlab-01</t>
        </is>
      </c>
      <c r="B34" s="29" t="inlineStr">
        <is>
          <t>eindhoven</t>
        </is>
      </c>
      <c r="C34" s="29" t="inlineStr">
        <is>
          <t>Mekân</t>
        </is>
      </c>
      <c r="D34" s="29" t="inlineStr">
        <is>
          <t>eindhoven:natlab</t>
        </is>
      </c>
      <c r="E34" s="29" t="inlineStr">
        <is>
          <t>Fotoğraflar/eindhoven_natlab_01.jpg</t>
        </is>
      </c>
      <c r="F34" s="29" t="inlineStr">
        <is>
          <t>4d8789ca1e6469da9c36cd2a1d42b3585dff0952a3cfcb67151eece679ad24d9</t>
        </is>
      </c>
      <c r="G34" s="29" t="inlineStr">
        <is>
          <t>Natlab'ın tuğla cepheli binası: köşede yüksek pencereli kübik bölüm, zemin katta camlı giriş, önünde budanmış çit ve ağaçlı yol</t>
        </is>
      </c>
      <c r="H34" s="29" t="inlineStr">
        <is>
          <t>Johan Bakker</t>
        </is>
      </c>
      <c r="I34" s="29" t="inlineStr">
        <is>
          <t>CC BY-SA 4.0</t>
        </is>
      </c>
      <c r="J34" s="29" t="inlineStr">
        <is>
          <t>https://creativecommons.org/licenses/by-sa/4.0/</t>
        </is>
      </c>
      <c r="K34" s="29" t="inlineStr">
        <is>
          <t>https://commons.wikimedia.org/wiki/File:0772GM0277_Natlab_Eindhoven.jpg</t>
        </is>
      </c>
      <c r="L34" s="49" t="n">
        <v>42922</v>
      </c>
      <c r="M34" s="49" t="n">
        <v>46317</v>
      </c>
      <c r="N34" s="29" t="inlineStr">
        <is>
          <t>Wikimedia Commons'taki "0772GM0277 Natlab Eindhoven.jpg" (3000×2000 px) özgün dosyasının 1280×853 px küçültülmüş kopyası indirildi; kırpma, rötuş ve renk düzeltmesi yapılmadı.</t>
        </is>
      </c>
      <c r="O34" s="29" t="inlineStr">
        <is>
          <t>eindhoven:evidence:natlab-01</t>
        </is>
      </c>
      <c r="P34" s="29" t="inlineStr">
        <is>
          <t>Evet</t>
        </is>
      </c>
      <c r="Q34" s="51" t="n">
        <v>1</v>
      </c>
      <c r="R34" s="29" t="inlineStr">
        <is>
          <t>Taslak</t>
        </is>
      </c>
      <c r="S34" s="52">
        <f>IF(OR(A34="",F34="",C34&lt;&gt;"Mekân"),0,IF(COUNTIFS($F$8:F34,F34,$C$8:C34,"Mekân")=1,1,0))</f>
        <v/>
      </c>
      <c r="T34" s="52">
        <f>IF(OR(A34="",F34="",C34&lt;&gt;"Kapak"),0,IF(COUNTIFS($F$8:F34,F34,$C$8:C34,"Kapak")=1,1,0))</f>
        <v/>
      </c>
    </row>
    <row r="35" ht="54" customHeight="1">
      <c r="A35" s="29" t="inlineStr">
        <is>
          <t>eindhoven:photo:natlab-02</t>
        </is>
      </c>
      <c r="B35" s="29" t="inlineStr">
        <is>
          <t>eindhoven</t>
        </is>
      </c>
      <c r="C35" s="29" t="inlineStr">
        <is>
          <t>Mekân</t>
        </is>
      </c>
      <c r="D35" s="29" t="inlineStr">
        <is>
          <t>eindhoven:natlab</t>
        </is>
      </c>
      <c r="E35" s="29" t="inlineStr">
        <is>
          <t>Fotoğraflar/eindhoven_natlab_02.jpg</t>
        </is>
      </c>
      <c r="F35" s="29" t="inlineStr">
        <is>
          <t>be8be7471b87ce63445a6d4a70ba873e8a791406c669af9800c4a810c76353d9</t>
        </is>
      </c>
      <c r="G35" s="29" t="inlineStr">
        <is>
          <t>Natlab binasının tuğla duvarındaki plaket: 'Natuurkundig Laboratorium N.V. Philips' Gloeilampenfabrieken 1923' yazısı ve altında iki süs motifi</t>
        </is>
      </c>
      <c r="H35" s="29" t="inlineStr">
        <is>
          <t>Rosemoon</t>
        </is>
      </c>
      <c r="I35" s="29" t="inlineStr">
        <is>
          <t>CC BY-SA 3.0</t>
        </is>
      </c>
      <c r="J35" s="29" t="inlineStr">
        <is>
          <t>https://creativecommons.org/licenses/by-sa/3.0/</t>
        </is>
      </c>
      <c r="K35" s="29" t="inlineStr">
        <is>
          <t>https://commons.wikimedia.org/wiki/File:NatLab_Strijp_S_Eindhoven_gevelplaquette.JPG</t>
        </is>
      </c>
      <c r="L35" s="49" t="n">
        <v>41139</v>
      </c>
      <c r="M35" s="49" t="n">
        <v>46317</v>
      </c>
      <c r="N35" s="29" t="inlineStr">
        <is>
          <t>Wikimedia Commons'taki "NatLab Strijp S Eindhoven gevelplaquette.JPG" (3240×4320 px) özgün dosyasının 1280×1707 px küçültülmüş kopyası indirildi; kırpma, rötuş ve renk düzeltmesi yapılmadı.</t>
        </is>
      </c>
      <c r="O35" s="29" t="inlineStr">
        <is>
          <t>eindhoven:evidence:natlab-02</t>
        </is>
      </c>
      <c r="P35" s="29" t="inlineStr">
        <is>
          <t>Evet</t>
        </is>
      </c>
      <c r="Q35" s="51" t="n">
        <v>2</v>
      </c>
      <c r="R35" s="29" t="inlineStr">
        <is>
          <t>Taslak</t>
        </is>
      </c>
      <c r="S35" s="52">
        <f>IF(OR(A35="",F35="",C35&lt;&gt;"Mekân"),0,IF(COUNTIFS($F$8:F35,F35,$C$8:C35,"Mekân")=1,1,0))</f>
        <v/>
      </c>
      <c r="T35" s="52">
        <f>IF(OR(A35="",F35="",C35&lt;&gt;"Kapak"),0,IF(COUNTIFS($F$8:F35,F35,$C$8:C35,"Kapak")=1,1,0))</f>
        <v/>
      </c>
    </row>
    <row r="36" ht="54" customHeight="1">
      <c r="A36" s="29" t="inlineStr">
        <is>
          <t>eindhoven:photo:pathe-eindhoven-01</t>
        </is>
      </c>
      <c r="B36" s="29" t="inlineStr">
        <is>
          <t>eindhoven</t>
        </is>
      </c>
      <c r="C36" s="29" t="inlineStr">
        <is>
          <t>Mekân</t>
        </is>
      </c>
      <c r="D36" s="29" t="inlineStr">
        <is>
          <t>eindhoven:pathe-eindhoven</t>
        </is>
      </c>
      <c r="E36" s="29" t="inlineStr">
        <is>
          <t>Fotoğraflar/eindhoven_pathe-eindhoven_01.jpg</t>
        </is>
      </c>
      <c r="F36" s="29" t="inlineStr">
        <is>
          <t>606246854794fc26b71c708b5fa0770166197afabfdec785bb6a96b94ed3d510</t>
        </is>
      </c>
      <c r="G36" s="29" t="inlineStr">
        <is>
          <t>Pathé Eindhoven'ın cam cepheli köşesi: üstte büyük sarı Pathé logosu, altında mavi ışıklı IMAX yazısı</t>
        </is>
      </c>
      <c r="H36" s="29" t="inlineStr">
        <is>
          <t>Ralf Roletschek</t>
        </is>
      </c>
      <c r="I36" s="29" t="inlineStr">
        <is>
          <t>CC BY 3.0</t>
        </is>
      </c>
      <c r="J36" s="29" t="inlineStr">
        <is>
          <t>https://creativecommons.org/licenses/by/3.0/</t>
        </is>
      </c>
      <c r="K36" s="29" t="inlineStr">
        <is>
          <t>https://commons.wikimedia.org/wiki/File:13-06-29-eindhoven-50mm-26.jpg</t>
        </is>
      </c>
      <c r="L36" s="49" t="n">
        <v>41454</v>
      </c>
      <c r="M36" s="49" t="n">
        <v>46317</v>
      </c>
      <c r="N36" s="29" t="inlineStr">
        <is>
          <t>Wikimedia Commons'taki "13-06-29-eindhoven-50mm-26.jpg" (2848×4288 px) özgün dosyasının 1280×1927 px küçültülmüş kopyası indirildi; kırpma, rötuş ve renk düzeltmesi yapılmadı.</t>
        </is>
      </c>
      <c r="O36" s="29" t="inlineStr">
        <is>
          <t>eindhoven:evidence:pathe-eindhoven-01</t>
        </is>
      </c>
      <c r="P36" s="29" t="inlineStr">
        <is>
          <t>Evet</t>
        </is>
      </c>
      <c r="Q36" s="51" t="n">
        <v>1</v>
      </c>
      <c r="R36" s="29" t="inlineStr">
        <is>
          <t>Taslak</t>
        </is>
      </c>
      <c r="S36" s="52">
        <f>IF(OR(A36="",F36="",C36&lt;&gt;"Mekân"),0,IF(COUNTIFS($F$8:F36,F36,$C$8:C36,"Mekân")=1,1,0))</f>
        <v/>
      </c>
      <c r="T36" s="52">
        <f>IF(OR(A36="",F36="",C36&lt;&gt;"Kapak"),0,IF(COUNTIFS($F$8:F36,F36,$C$8:C36,"Kapak")=1,1,0))</f>
        <v/>
      </c>
    </row>
    <row r="37" ht="54" customHeight="1">
      <c r="A37" s="29" t="inlineStr">
        <is>
          <t>eindhoven:photo:pathe-eindhoven-02</t>
        </is>
      </c>
      <c r="B37" s="29" t="inlineStr">
        <is>
          <t>eindhoven</t>
        </is>
      </c>
      <c r="C37" s="29" t="inlineStr">
        <is>
          <t>Mekân</t>
        </is>
      </c>
      <c r="D37" s="29" t="inlineStr">
        <is>
          <t>eindhoven:pathe-eindhoven</t>
        </is>
      </c>
      <c r="E37" s="29" t="inlineStr">
        <is>
          <t>Fotoğraflar/eindhoven_pathe-eindhoven_02.jpg</t>
        </is>
      </c>
      <c r="F37" s="29" t="inlineStr">
        <is>
          <t>ba57ce61ee27911bbde112d8c39904fee42a640c768b0f771bd0bf204e5c3187</t>
        </is>
      </c>
      <c r="G37" s="29" t="inlineStr">
        <is>
          <t>Meydandan Pathé Eindhoven: cam kaplı sinema kulesinde sarı Pathé logosu ve IMAX yazısı, altta giriş, önünde çiçekli saksılar ve bisikletler</t>
        </is>
      </c>
      <c r="H37" s="29" t="inlineStr">
        <is>
          <t>Rosemoon</t>
        </is>
      </c>
      <c r="I37" s="29" t="inlineStr">
        <is>
          <t>CC BY-SA 3.0</t>
        </is>
      </c>
      <c r="J37" s="29" t="inlineStr">
        <is>
          <t>https://creativecommons.org/licenses/by-sa/3.0/</t>
        </is>
      </c>
      <c r="K37" s="29" t="inlineStr">
        <is>
          <t>https://commons.wikimedia.org/wiki/File:Pathe_Eindhoven.JPG</t>
        </is>
      </c>
      <c r="L37" s="49" t="n">
        <v>41161</v>
      </c>
      <c r="M37" s="49" t="n">
        <v>46317</v>
      </c>
      <c r="N37" s="29" t="inlineStr">
        <is>
          <t>Wikimedia Commons'taki "Pathe Eindhoven.JPG" (4320×3240 px) özgün dosyasının 1280×960 px küçültülmüş kopyası indirildi; kırpma, rötuş ve renk düzeltmesi yapılmadı.</t>
        </is>
      </c>
      <c r="O37" s="29" t="inlineStr">
        <is>
          <t>eindhoven:evidence:pathe-eindhoven-02</t>
        </is>
      </c>
      <c r="P37" s="29" t="inlineStr">
        <is>
          <t>Evet</t>
        </is>
      </c>
      <c r="Q37" s="51" t="n">
        <v>2</v>
      </c>
      <c r="R37" s="29" t="inlineStr">
        <is>
          <t>Taslak</t>
        </is>
      </c>
      <c r="S37" s="52">
        <f>IF(OR(A37="",F37="",C37&lt;&gt;"Mekân"),0,IF(COUNTIFS($F$8:F37,F37,$C$8:C37,"Mekân")=1,1,0))</f>
        <v/>
      </c>
      <c r="T37" s="52">
        <f>IF(OR(A37="",F37="",C37&lt;&gt;"Kapak"),0,IF(COUNTIFS($F$8:F37,F37,$C$8:C37,"Kapak")=1,1,0))</f>
        <v/>
      </c>
    </row>
    <row r="38" ht="54" customHeight="1">
      <c r="A38" s="29" t="inlineStr">
        <is>
          <t>eindhoven:photo:dynamo-01</t>
        </is>
      </c>
      <c r="B38" s="29" t="inlineStr">
        <is>
          <t>eindhoven</t>
        </is>
      </c>
      <c r="C38" s="29" t="inlineStr">
        <is>
          <t>Mekân</t>
        </is>
      </c>
      <c r="D38" s="29" t="inlineStr">
        <is>
          <t>eindhoven:dynamo</t>
        </is>
      </c>
      <c r="E38" s="29" t="inlineStr">
        <is>
          <t>Fotoğraflar/eindhoven_dynamo_01.jpg</t>
        </is>
      </c>
      <c r="F38" s="29" t="inlineStr">
        <is>
          <t>0057f9399694b6f6a98ac404826a0ba3660f69d8386fe2671533a161bc7a19c2</t>
        </is>
      </c>
      <c r="G38" s="29" t="inlineStr">
        <is>
          <t>Dynamo'nun gri-kahverengi panellerle kaplı cephesi ve üstündeki kabartma 'DYNAMO' harfleri; önde ağaçlar ve meydan</t>
        </is>
      </c>
      <c r="H38" s="29" t="inlineStr">
        <is>
          <t>Rosemoon</t>
        </is>
      </c>
      <c r="I38" s="29" t="inlineStr">
        <is>
          <t>CC BY-SA 3.0</t>
        </is>
      </c>
      <c r="J38" s="29" t="inlineStr">
        <is>
          <t>https://creativecommons.org/licenses/by-sa/3.0/</t>
        </is>
      </c>
      <c r="K38" s="29" t="inlineStr">
        <is>
          <t>https://commons.wikimedia.org/wiki/File:Dynamo_Eindhoven_2.JPG</t>
        </is>
      </c>
      <c r="L38" s="49" t="n">
        <v>41161</v>
      </c>
      <c r="M38" s="49" t="n">
        <v>46317</v>
      </c>
      <c r="N38" s="29" t="inlineStr">
        <is>
          <t>Wikimedia Commons'taki "Dynamo Eindhoven 2.JPG" (4320×3240 px) özgün dosyasının 1280×960 px küçültülmüş kopyası indirildi; kırpma, rötuş ve renk düzeltmesi yapılmadı.</t>
        </is>
      </c>
      <c r="O38" s="29" t="inlineStr">
        <is>
          <t>eindhoven:evidence:dynamo-01</t>
        </is>
      </c>
      <c r="P38" s="29" t="inlineStr">
        <is>
          <t>Evet</t>
        </is>
      </c>
      <c r="Q38" s="51" t="n">
        <v>1</v>
      </c>
      <c r="R38" s="29" t="inlineStr">
        <is>
          <t>Taslak</t>
        </is>
      </c>
      <c r="S38" s="52">
        <f>IF(OR(A38="",F38="",C38&lt;&gt;"Mekân"),0,IF(COUNTIFS($F$8:F38,F38,$C$8:C38,"Mekân")=1,1,0))</f>
        <v/>
      </c>
      <c r="T38" s="52">
        <f>IF(OR(A38="",F38="",C38&lt;&gt;"Kapak"),0,IF(COUNTIFS($F$8:F38,F38,$C$8:C38,"Kapak")=1,1,0))</f>
        <v/>
      </c>
    </row>
    <row r="39" ht="54" customHeight="1">
      <c r="A39" s="29" t="inlineStr">
        <is>
          <t>eindhoven:photo:dynamo-02</t>
        </is>
      </c>
      <c r="B39" s="29" t="inlineStr">
        <is>
          <t>eindhoven</t>
        </is>
      </c>
      <c r="C39" s="29" t="inlineStr">
        <is>
          <t>Mekân</t>
        </is>
      </c>
      <c r="D39" s="29" t="inlineStr">
        <is>
          <t>eindhoven:dynamo</t>
        </is>
      </c>
      <c r="E39" s="29" t="inlineStr">
        <is>
          <t>Fotoğraflar/eindhoven_dynamo_02.jpg</t>
        </is>
      </c>
      <c r="F39" s="29" t="inlineStr">
        <is>
          <t>e1b74972cf12ef08edc51c080031f0d7d1a2d60bcc8557f99e4f50a4ae0fabbc</t>
        </is>
      </c>
      <c r="G39" s="29" t="inlineStr">
        <is>
          <t>Dynamo'nun koyu kahverengi panellerle kaplı köşeli binası; zemin katta kırmızı çerçeveli giriş, önünde taş döşeli meydan</t>
        </is>
      </c>
      <c r="H39" s="29" t="inlineStr">
        <is>
          <t>Rosemoon</t>
        </is>
      </c>
      <c r="I39" s="29" t="inlineStr">
        <is>
          <t>CC BY-SA 3.0</t>
        </is>
      </c>
      <c r="J39" s="29" t="inlineStr">
        <is>
          <t>https://creativecommons.org/licenses/by-sa/3.0/</t>
        </is>
      </c>
      <c r="K39" s="29" t="inlineStr">
        <is>
          <t>https://commons.wikimedia.org/wiki/File:Dynamo_Eindhoven.JPG</t>
        </is>
      </c>
      <c r="L39" s="49" t="n">
        <v>41161</v>
      </c>
      <c r="M39" s="49" t="n">
        <v>46317</v>
      </c>
      <c r="N39" s="29" t="inlineStr">
        <is>
          <t>Wikimedia Commons'taki "Dynamo Eindhoven.JPG" (3240×4320 px) özgün dosyasının 1280×1707 px küçültülmüş kopyası indirildi; kırpma, rötuş ve renk düzeltmesi yapılmadı.</t>
        </is>
      </c>
      <c r="O39" s="29" t="inlineStr">
        <is>
          <t>eindhoven:evidence:dynamo-02</t>
        </is>
      </c>
      <c r="P39" s="29" t="inlineStr">
        <is>
          <t>Evet</t>
        </is>
      </c>
      <c r="Q39" s="51" t="n">
        <v>2</v>
      </c>
      <c r="R39" s="29" t="inlineStr">
        <is>
          <t>Taslak</t>
        </is>
      </c>
      <c r="S39" s="52">
        <f>IF(OR(A39="",F39="",C39&lt;&gt;"Mekân"),0,IF(COUNTIFS($F$8:F39,F39,$C$8:C39,"Mekân")=1,1,0))</f>
        <v/>
      </c>
      <c r="T39" s="52">
        <f>IF(OR(A39="",F39="",C39&lt;&gt;"Kapak"),0,IF(COUNTIFS($F$8:F39,F39,$C$8:C39,"Kapak")=1,1,0))</f>
        <v/>
      </c>
    </row>
    <row r="40" ht="54" customHeight="1">
      <c r="A40" s="29" t="inlineStr">
        <is>
          <t>eindhoven:photo:philips-stadion-psv-01</t>
        </is>
      </c>
      <c r="B40" s="29" t="inlineStr">
        <is>
          <t>eindhoven</t>
        </is>
      </c>
      <c r="C40" s="29" t="inlineStr">
        <is>
          <t>Mekân</t>
        </is>
      </c>
      <c r="D40" s="29" t="inlineStr">
        <is>
          <t>eindhoven:philips-stadion-psv</t>
        </is>
      </c>
      <c r="E40" s="29" t="inlineStr">
        <is>
          <t>Fotoğraflar/eindhoven_philips-stadion-psv_01.jpg</t>
        </is>
      </c>
      <c r="F40" s="29" t="inlineStr">
        <is>
          <t>ea39600d49eaf7b6a3a92f06fe7162baad17e3e540bfa3e0f2310279b9ac680c</t>
        </is>
      </c>
      <c r="G40" s="29" t="inlineStr">
        <is>
          <t>Philips Stadion'un dış cephesi: çatıyı taşıyan dev çelik kafes kirişler ve kolonlar, önde ağaçlar, arkada yüksek bir kule</t>
        </is>
      </c>
      <c r="H40" s="29" t="inlineStr">
        <is>
          <t>Ralf Roletschek</t>
        </is>
      </c>
      <c r="I40" s="29" t="inlineStr">
        <is>
          <t>CC BY 3.0</t>
        </is>
      </c>
      <c r="J40" s="29" t="inlineStr">
        <is>
          <t>https://creativecommons.org/licenses/by/3.0/</t>
        </is>
      </c>
      <c r="K40" s="29" t="inlineStr">
        <is>
          <t>https://commons.wikimedia.org/wiki/File:13-06-28-eindhoven-by-RalfR-75.jpg</t>
        </is>
      </c>
      <c r="L40" s="49" t="n">
        <v>41453</v>
      </c>
      <c r="M40" s="49" t="n">
        <v>46317</v>
      </c>
      <c r="N40" s="29" t="inlineStr">
        <is>
          <t>Wikimedia Commons'taki "13-06-28-eindhoven-by-RalfR-75.jpg" (4288×2848 px) özgün dosyasının 1280×850 px küçültülmüş kopyası indirildi; kırpma, rötuş ve renk düzeltmesi yapılmadı.</t>
        </is>
      </c>
      <c r="O40" s="29" t="inlineStr">
        <is>
          <t>eindhoven:evidence:philips-stadion-psv-01</t>
        </is>
      </c>
      <c r="P40" s="29" t="inlineStr">
        <is>
          <t>Evet</t>
        </is>
      </c>
      <c r="Q40" s="51" t="n">
        <v>1</v>
      </c>
      <c r="R40" s="29" t="inlineStr">
        <is>
          <t>Taslak</t>
        </is>
      </c>
      <c r="S40" s="52">
        <f>IF(OR(A40="",F40="",C40&lt;&gt;"Mekân"),0,IF(COUNTIFS($F$8:F40,F40,$C$8:C40,"Mekân")=1,1,0))</f>
        <v/>
      </c>
      <c r="T40" s="52">
        <f>IF(OR(A40="",F40="",C40&lt;&gt;"Kapak"),0,IF(COUNTIFS($F$8:F40,F40,$C$8:C40,"Kapak")=1,1,0))</f>
        <v/>
      </c>
    </row>
    <row r="41" ht="54" customHeight="1">
      <c r="A41" s="29" t="inlineStr">
        <is>
          <t>eindhoven:photo:philips-stadion-psv-02</t>
        </is>
      </c>
      <c r="B41" s="29" t="inlineStr">
        <is>
          <t>eindhoven</t>
        </is>
      </c>
      <c r="C41" s="29" t="inlineStr">
        <is>
          <t>Mekân</t>
        </is>
      </c>
      <c r="D41" s="29" t="inlineStr">
        <is>
          <t>eindhoven:philips-stadion-psv</t>
        </is>
      </c>
      <c r="E41" s="29" t="inlineStr">
        <is>
          <t>Fotoğraflar/eindhoven_philips-stadion-psv_02.jpg</t>
        </is>
      </c>
      <c r="F41" s="29" t="inlineStr">
        <is>
          <t>4df9475b5e7006732e939f16efed5c22127de9e92c3ab2196e853fa9a5db0b10</t>
        </is>
      </c>
      <c r="G41" s="29" t="inlineStr">
        <is>
          <t>Yüksekten görülen ağaçlı cadde ve sonunda Philips Stadion'un çelik kafesli çatısı; caddenin iki yanında çok katlı binalar</t>
        </is>
      </c>
      <c r="H41" s="29" t="inlineStr">
        <is>
          <t>Ralf Roletschek</t>
        </is>
      </c>
      <c r="I41" s="29" t="inlineStr">
        <is>
          <t>CC BY 3.0</t>
        </is>
      </c>
      <c r="J41" s="29" t="inlineStr">
        <is>
          <t>https://creativecommons.org/licenses/by/3.0/</t>
        </is>
      </c>
      <c r="K41" s="29" t="inlineStr">
        <is>
          <t>https://commons.wikimedia.org/wiki/File:13-06-29-eindhoven-50mm-04.jpg</t>
        </is>
      </c>
      <c r="L41" s="49" t="n">
        <v>41454</v>
      </c>
      <c r="M41" s="49" t="n">
        <v>46317</v>
      </c>
      <c r="N41" s="29" t="inlineStr">
        <is>
          <t>Wikimedia Commons'taki "13-06-29-eindhoven-50mm-04.jpg" (4288×2848 px) özgün dosyasının 1280×850 px küçültülmüş kopyası indirildi; kırpma, rötuş ve renk düzeltmesi yapılmadı.</t>
        </is>
      </c>
      <c r="O41" s="29" t="inlineStr">
        <is>
          <t>eindhoven:evidence:philips-stadion-psv-02</t>
        </is>
      </c>
      <c r="P41" s="29" t="inlineStr">
        <is>
          <t>Evet</t>
        </is>
      </c>
      <c r="Q41" s="51" t="n">
        <v>2</v>
      </c>
      <c r="R41" s="29" t="inlineStr">
        <is>
          <t>Taslak</t>
        </is>
      </c>
      <c r="S41" s="52">
        <f>IF(OR(A41="",F41="",C41&lt;&gt;"Mekân"),0,IF(COUNTIFS($F$8:F41,F41,$C$8:C41,"Mekân")=1,1,0))</f>
        <v/>
      </c>
      <c r="T41" s="52">
        <f>IF(OR(A41="",F41="",C41&lt;&gt;"Kapak"),0,IF(COUNTIFS($F$8:F41,F41,$C$8:C41,"Kapak")=1,1,0))</f>
        <v/>
      </c>
    </row>
    <row r="42" ht="54" customHeight="1">
      <c r="A42" s="29" t="inlineStr">
        <is>
          <t>eindhoven:photo:nationaal-zwemcentrum-de-tongelreep-01</t>
        </is>
      </c>
      <c r="B42" s="29" t="inlineStr">
        <is>
          <t>eindhoven</t>
        </is>
      </c>
      <c r="C42" s="29" t="inlineStr">
        <is>
          <t>Mekân</t>
        </is>
      </c>
      <c r="D42" s="29" t="inlineStr">
        <is>
          <t>eindhoven:nationaal-zwemcentrum-de-tongelreep</t>
        </is>
      </c>
      <c r="E42" s="29" t="inlineStr">
        <is>
          <t>Fotoğraflar/eindhoven_nationaal-zwemcentrum-de-tongelreep_01.jpg</t>
        </is>
      </c>
      <c r="F42" s="29" t="inlineStr">
        <is>
          <t>f2486d5f8ba442cf4626361f84ca6634fa346d3f4c3296b875efa8cc81b430ba</t>
        </is>
      </c>
      <c r="G42" s="29" t="inlineStr">
        <is>
          <t>Çimenlikteki koyu renkli 'Nationaal Zwemcentrum De Tongelreep' tabelası; arkada direklerin üzerinde üç beyaz küre ve ağaçlar</t>
        </is>
      </c>
      <c r="H42" s="29" t="inlineStr">
        <is>
          <t>S. Perquin</t>
        </is>
      </c>
      <c r="I42" s="29" t="inlineStr">
        <is>
          <t>CC BY-SA 4.0</t>
        </is>
      </c>
      <c r="J42" s="29" t="inlineStr">
        <is>
          <t>https://creativecommons.org/licenses/by-sa/4.0/</t>
        </is>
      </c>
      <c r="K42" s="29" t="inlineStr">
        <is>
          <t>https://commons.wikimedia.org/wiki/File:Nationaal_Zwemcentrum_de_Tongelreep_(2025)_(2).jpg</t>
        </is>
      </c>
      <c r="L42" s="49" t="n">
        <v>45759</v>
      </c>
      <c r="M42" s="49" t="n">
        <v>46317</v>
      </c>
      <c r="N42" s="29" t="inlineStr">
        <is>
          <t>Wikimedia Commons'taki "Nationaal Zwemcentrum de Tongelreep (2025) (2).jpg" (6000×4000 px) özgün dosyasının 1280×853 px küçültülmüş kopyası indirildi; kırpma, rötuş ve renk düzeltmesi yapılmadı.</t>
        </is>
      </c>
      <c r="O42" s="29" t="inlineStr">
        <is>
          <t>eindhoven:evidence:nationaal-zwemcentrum-de-tongelreep-01</t>
        </is>
      </c>
      <c r="P42" s="29" t="inlineStr">
        <is>
          <t>Evet</t>
        </is>
      </c>
      <c r="Q42" s="51" t="n">
        <v>1</v>
      </c>
      <c r="R42" s="29" t="inlineStr">
        <is>
          <t>Taslak</t>
        </is>
      </c>
      <c r="S42" s="52">
        <f>IF(OR(A42="",F42="",C42&lt;&gt;"Mekân"),0,IF(COUNTIFS($F$8:F42,F42,$C$8:C42,"Mekân")=1,1,0))</f>
        <v/>
      </c>
      <c r="T42" s="52">
        <f>IF(OR(A42="",F42="",C42&lt;&gt;"Kapak"),0,IF(COUNTIFS($F$8:F42,F42,$C$8:C42,"Kapak")=1,1,0))</f>
        <v/>
      </c>
    </row>
    <row r="43" ht="54" customHeight="1">
      <c r="A43" s="29" t="inlineStr">
        <is>
          <t>eindhoven:photo:indoor-sportcentrum-eindhoven-01</t>
        </is>
      </c>
      <c r="B43" s="29" t="inlineStr">
        <is>
          <t>eindhoven</t>
        </is>
      </c>
      <c r="C43" s="29" t="inlineStr">
        <is>
          <t>Mekân</t>
        </is>
      </c>
      <c r="D43" s="29" t="inlineStr">
        <is>
          <t>eindhoven:indoor-sportcentrum-eindhoven</t>
        </is>
      </c>
      <c r="E43" s="29" t="inlineStr">
        <is>
          <t>Fotoğraflar/eindhoven_indoor-sportcentrum-eindhoven_01.jpg</t>
        </is>
      </c>
      <c r="F43" s="29" t="inlineStr">
        <is>
          <t>3c3380781b54c44efc4a1d67cefac52346dc76999e7d8e93d43d49f3027dc3e2</t>
        </is>
      </c>
      <c r="G43" s="29" t="inlineStr">
        <is>
          <t>Indoor-Sportcentrum Eindhoven'ın çok yüzlü gri çatılı büyük salonu; önünde bayrak direkleri, ağaçlar ve damalı daire desenli yol</t>
        </is>
      </c>
      <c r="H43" s="29" t="inlineStr">
        <is>
          <t>Lempkesfabriek</t>
        </is>
      </c>
      <c r="I43" s="29" t="inlineStr">
        <is>
          <t>CC BY-SA 3.0</t>
        </is>
      </c>
      <c r="J43" s="29" t="inlineStr">
        <is>
          <t>https://creativecommons.org/licenses/by-sa/3.0/</t>
        </is>
      </c>
      <c r="K43" s="29" t="inlineStr">
        <is>
          <t>https://commons.wikimedia.org/wiki/File:Indoor_Sportcentrum_Eindhoven.jpg</t>
        </is>
      </c>
      <c r="L43" s="49" t="n"/>
      <c r="M43" s="49" t="n">
        <v>46317</v>
      </c>
      <c r="N43" s="29" t="inlineStr">
        <is>
          <t>Wikimedia Commons'taki "Indoor Sportcentrum Eindhoven.jpg" özgün dosyası (991×745 px) değiştirilmeden indirildi.</t>
        </is>
      </c>
      <c r="O43" s="29" t="inlineStr">
        <is>
          <t>eindhoven:evidence:indoor-sportcentrum-eindhoven-01</t>
        </is>
      </c>
      <c r="P43" s="29" t="inlineStr">
        <is>
          <t>Evet</t>
        </is>
      </c>
      <c r="Q43" s="51" t="n">
        <v>1</v>
      </c>
      <c r="R43" s="29" t="inlineStr">
        <is>
          <t>Taslak</t>
        </is>
      </c>
      <c r="S43" s="52">
        <f>IF(OR(A43="",F43="",C43&lt;&gt;"Mekân"),0,IF(COUNTIFS($F$8:F43,F43,$C$8:C43,"Mekân")=1,1,0))</f>
        <v/>
      </c>
      <c r="T43" s="52">
        <f>IF(OR(A43="",F43="",C43&lt;&gt;"Kapak"),0,IF(COUNTIFS($F$8:F43,F43,$C$8:C43,"Kapak")=1,1,0))</f>
        <v/>
      </c>
    </row>
    <row r="44" ht="54" customHeight="1">
      <c r="A44" s="29" t="inlineStr">
        <is>
          <t>eindhoven:photo:indoor-sportcentrum-eindhoven-02</t>
        </is>
      </c>
      <c r="B44" s="29" t="inlineStr">
        <is>
          <t>eindhoven</t>
        </is>
      </c>
      <c r="C44" s="29" t="inlineStr">
        <is>
          <t>Mekân</t>
        </is>
      </c>
      <c r="D44" s="29" t="inlineStr">
        <is>
          <t>eindhoven:indoor-sportcentrum-eindhoven</t>
        </is>
      </c>
      <c r="E44" s="29" t="inlineStr">
        <is>
          <t>Fotoğraflar/eindhoven_indoor-sportcentrum-eindhoven_02.jpg</t>
        </is>
      </c>
      <c r="F44" s="29" t="inlineStr">
        <is>
          <t>e3d78d0f7bf6097be9ad40bb93c845d0b03924711368979f95991dd650999bb3</t>
        </is>
      </c>
      <c r="G44" s="29" t="inlineStr">
        <is>
          <t>Indoor-Sportcentrum Eindhoven girişi: sarı çerçeveli cam kapıların üstünde 'Indoor Sportcentrum Eindhoven' yazısı, arkada çok yüzlü gri çatı</t>
        </is>
      </c>
      <c r="H44" s="29" t="inlineStr">
        <is>
          <t>Lempkesfabriek</t>
        </is>
      </c>
      <c r="I44" s="29" t="inlineStr">
        <is>
          <t>CC BY-SA 3.0</t>
        </is>
      </c>
      <c r="J44" s="29" t="inlineStr">
        <is>
          <t>https://creativecommons.org/licenses/by-sa/3.0/</t>
        </is>
      </c>
      <c r="K44" s="29" t="inlineStr">
        <is>
          <t>https://commons.wikimedia.org/wiki/File:Indoor_Sportcentrum_Eindhoven02.jpg</t>
        </is>
      </c>
      <c r="L44" s="49" t="n"/>
      <c r="M44" s="49" t="n">
        <v>46317</v>
      </c>
      <c r="N44" s="29" t="inlineStr">
        <is>
          <t>Wikimedia Commons'taki "Indoor Sportcentrum Eindhoven02.jpg" özgün dosyası (991×745 px) değiştirilmeden indirildi.</t>
        </is>
      </c>
      <c r="O44" s="29" t="inlineStr">
        <is>
          <t>eindhoven:evidence:indoor-sportcentrum-eindhoven-02</t>
        </is>
      </c>
      <c r="P44" s="29" t="inlineStr">
        <is>
          <t>Evet</t>
        </is>
      </c>
      <c r="Q44" s="51" t="n">
        <v>2</v>
      </c>
      <c r="R44" s="29" t="inlineStr">
        <is>
          <t>Taslak</t>
        </is>
      </c>
      <c r="S44" s="52">
        <f>IF(OR(A44="",F44="",C44&lt;&gt;"Mekân"),0,IF(COUNTIFS($F$8:F44,F44,$C$8:C44,"Mekân")=1,1,0))</f>
        <v/>
      </c>
      <c r="T44" s="52">
        <f>IF(OR(A44="",F44="",C44&lt;&gt;"Kapak"),0,IF(COUNTIFS($F$8:F44,F44,$C$8:C44,"Kapak")=1,1,0))</f>
        <v/>
      </c>
    </row>
    <row r="45" ht="54" customHeight="1">
      <c r="A45" s="29" t="inlineStr">
        <is>
          <t>eindhoven:photo:ir-ottenbad-01</t>
        </is>
      </c>
      <c r="B45" s="29" t="inlineStr">
        <is>
          <t>eindhoven</t>
        </is>
      </c>
      <c r="C45" s="29" t="inlineStr">
        <is>
          <t>Mekân</t>
        </is>
      </c>
      <c r="D45" s="29" t="inlineStr">
        <is>
          <t>eindhoven:ir-ottenbad</t>
        </is>
      </c>
      <c r="E45" s="29" t="inlineStr">
        <is>
          <t>Fotoğraflar/eindhoven_ir-ottenbad_01.jpg</t>
        </is>
      </c>
      <c r="F45" s="29" t="inlineStr">
        <is>
          <t>626b0dd9e58db1059e321188b99998a866e5f1d4a480430fe2217c64f6aad9ae</t>
        </is>
      </c>
      <c r="G45" s="29" t="inlineStr">
        <is>
          <t>Taş istinat duvarı ve çit ardında Ir. Ottenbad'ın düz çatılı binası; giriş saçağının üstünde sarı 'Ir. Ottenbad' tabelası</t>
        </is>
      </c>
      <c r="H45" s="29" t="inlineStr">
        <is>
          <t>TheGreyWanderer2025</t>
        </is>
      </c>
      <c r="I45" s="29" t="inlineStr">
        <is>
          <t>CC BY-SA 4.0</t>
        </is>
      </c>
      <c r="J45" s="29" t="inlineStr">
        <is>
          <t>https://creativecommons.org/licenses/by-sa/4.0/</t>
        </is>
      </c>
      <c r="K45" s="29" t="inlineStr">
        <is>
          <t>https://commons.wikimedia.org/wiki/File:Ir._Ottenbad_001.jpg</t>
        </is>
      </c>
      <c r="L45" s="49" t="n">
        <v>46288</v>
      </c>
      <c r="M45" s="49" t="n">
        <v>46317</v>
      </c>
      <c r="N45" s="29" t="inlineStr">
        <is>
          <t>Wikimedia Commons'taki "Ir. Ottenbad 001.jpg" (6000×4000 px) özgün dosyasının 1280×853 px küçültülmüş kopyası indirildi; kırpma, rötuş ve renk düzeltmesi yapılmadı.</t>
        </is>
      </c>
      <c r="O45" s="29" t="inlineStr">
        <is>
          <t>eindhoven:evidence:ir-ottenbad-01</t>
        </is>
      </c>
      <c r="P45" s="29" t="inlineStr">
        <is>
          <t>Evet</t>
        </is>
      </c>
      <c r="Q45" s="51" t="n">
        <v>1</v>
      </c>
      <c r="R45" s="29" t="inlineStr">
        <is>
          <t>Taslak</t>
        </is>
      </c>
      <c r="S45" s="52">
        <f>IF(OR(A45="",F45="",C45&lt;&gt;"Mekân"),0,IF(COUNTIFS($F$8:F45,F45,$C$8:C45,"Mekân")=1,1,0))</f>
        <v/>
      </c>
      <c r="T45" s="52">
        <f>IF(OR(A45="",F45="",C45&lt;&gt;"Kapak"),0,IF(COUNTIFS($F$8:F45,F45,$C$8:C45,"Kapak")=1,1,0))</f>
        <v/>
      </c>
    </row>
    <row r="46" ht="54" customHeight="1">
      <c r="A46" s="29" t="inlineStr">
        <is>
          <t>eindhoven:photo:ir-ottenbad-02</t>
        </is>
      </c>
      <c r="B46" s="29" t="inlineStr">
        <is>
          <t>eindhoven</t>
        </is>
      </c>
      <c r="C46" s="29" t="inlineStr">
        <is>
          <t>Mekân</t>
        </is>
      </c>
      <c r="D46" s="29" t="inlineStr">
        <is>
          <t>eindhoven:ir-ottenbad</t>
        </is>
      </c>
      <c r="E46" s="29" t="inlineStr">
        <is>
          <t>Fotoğraflar/eindhoven_ir-ottenbad_02.jpg</t>
        </is>
      </c>
      <c r="F46" s="29" t="inlineStr">
        <is>
          <t>e99e1a6ed68781a68ecfc1bb6d0f5292d9e217da322c29ce783b73815c20f591</t>
        </is>
      </c>
      <c r="G46" s="29" t="inlineStr">
        <is>
          <t>Çalıların ardında Ir. Ottenbad binasının cam cepheli köşesi; uzakta sarı 'Ottenbad' tabelası ve ağaçlar</t>
        </is>
      </c>
      <c r="H46" s="29" t="inlineStr">
        <is>
          <t>TheGreyWanderer2025</t>
        </is>
      </c>
      <c r="I46" s="29" t="inlineStr">
        <is>
          <t>CC BY-SA 4.0</t>
        </is>
      </c>
      <c r="J46" s="29" t="inlineStr">
        <is>
          <t>https://creativecommons.org/licenses/by-sa/4.0/</t>
        </is>
      </c>
      <c r="K46" s="29" t="inlineStr">
        <is>
          <t>https://commons.wikimedia.org/wiki/File:Ir._Ottenbad_002.jpg</t>
        </is>
      </c>
      <c r="L46" s="49" t="n">
        <v>46288</v>
      </c>
      <c r="M46" s="49" t="n">
        <v>46317</v>
      </c>
      <c r="N46" s="29" t="inlineStr">
        <is>
          <t>Wikimedia Commons'taki "Ir. Ottenbad 002.jpg" (6000×4000 px) özgün dosyasının 1280×853 px küçültülmüş kopyası indirildi; kırpma, rötuş ve renk düzeltmesi yapılmadı.</t>
        </is>
      </c>
      <c r="O46" s="29" t="inlineStr">
        <is>
          <t>eindhoven:evidence:ir-ottenbad-02</t>
        </is>
      </c>
      <c r="P46" s="29" t="inlineStr">
        <is>
          <t>Evet</t>
        </is>
      </c>
      <c r="Q46" s="51" t="n">
        <v>2</v>
      </c>
      <c r="R46" s="29" t="inlineStr">
        <is>
          <t>Taslak</t>
        </is>
      </c>
      <c r="S46" s="52">
        <f>IF(OR(A46="",F46="",C46&lt;&gt;"Mekân"),0,IF(COUNTIFS($F$8:F46,F46,$C$8:C46,"Mekân")=1,1,0))</f>
        <v/>
      </c>
      <c r="T46" s="52">
        <f>IF(OR(A46="",F46="",C46&lt;&gt;"Kapak"),0,IF(COUNTIFS($F$8:F46,F46,$C$8:C46,"Kapak")=1,1,0))</f>
        <v/>
      </c>
    </row>
    <row r="47" ht="54" customHeight="1">
      <c r="A47" s="29" t="inlineStr">
        <is>
          <t>eindhoven:photo:jan-louwers-stadion-01</t>
        </is>
      </c>
      <c r="B47" s="29" t="inlineStr">
        <is>
          <t>eindhoven</t>
        </is>
      </c>
      <c r="C47" s="29" t="inlineStr">
        <is>
          <t>Mekân</t>
        </is>
      </c>
      <c r="D47" s="29" t="inlineStr">
        <is>
          <t>eindhoven:jan-louwers-stadion</t>
        </is>
      </c>
      <c r="E47" s="29" t="inlineStr">
        <is>
          <t>Fotoğraflar/eindhoven_jan-louwers-stadion_01.jpg</t>
        </is>
      </c>
      <c r="F47" s="29" t="inlineStr">
        <is>
          <t>b8d18624a8e2083bcf66f5a2b5aa5f62f18d538d0b81d7571f9029c63feb0c89</t>
        </is>
      </c>
      <c r="G47" s="29" t="inlineStr">
        <is>
          <t>Jan Louwers Stadion'da tribünden görülen yeşil saha; karşıda mavi koltuklu çatılı tribün, köşede ışık direği, önde reklam panoları</t>
        </is>
      </c>
      <c r="H47" s="29" t="inlineStr">
        <is>
          <t>Tb1994</t>
        </is>
      </c>
      <c r="I47" s="29" t="inlineStr">
        <is>
          <t>CC BY-SA 4.0</t>
        </is>
      </c>
      <c r="J47" s="29" t="inlineStr">
        <is>
          <t>https://creativecommons.org/licenses/by-sa/4.0/</t>
        </is>
      </c>
      <c r="K47" s="29" t="inlineStr">
        <is>
          <t>https://commons.wikimedia.org/wiki/File:Jan_Louwers_Stadion_1.jpg</t>
        </is>
      </c>
      <c r="L47" s="49" t="n">
        <v>42272</v>
      </c>
      <c r="M47" s="49" t="n">
        <v>46317</v>
      </c>
      <c r="N47" s="29" t="inlineStr">
        <is>
          <t>Wikimedia Commons'taki "Jan Louwers Stadion 1.jpg" (4912×3264 px) özgün dosyasının 1280×851 px küçültülmüş kopyası indirildi; kırpma, rötuş ve renk düzeltmesi yapılmadı.</t>
        </is>
      </c>
      <c r="O47" s="29" t="inlineStr">
        <is>
          <t>eindhoven:evidence:jan-louwers-stadion-01</t>
        </is>
      </c>
      <c r="P47" s="29" t="inlineStr">
        <is>
          <t>Evet</t>
        </is>
      </c>
      <c r="Q47" s="51" t="n">
        <v>1</v>
      </c>
      <c r="R47" s="29" t="inlineStr">
        <is>
          <t>Taslak</t>
        </is>
      </c>
      <c r="S47" s="52">
        <f>IF(OR(A47="",F47="",C47&lt;&gt;"Mekân"),0,IF(COUNTIFS($F$8:F47,F47,$C$8:C47,"Mekân")=1,1,0))</f>
        <v/>
      </c>
      <c r="T47" s="52">
        <f>IF(OR(A47="",F47="",C47&lt;&gt;"Kapak"),0,IF(COUNTIFS($F$8:F47,F47,$C$8:C47,"Kapak")=1,1,0))</f>
        <v/>
      </c>
    </row>
    <row r="48" ht="54" customHeight="1">
      <c r="A48" s="29" t="inlineStr">
        <is>
          <t>eindhoven:photo:jan-louwers-stadion-02</t>
        </is>
      </c>
      <c r="B48" s="29" t="inlineStr">
        <is>
          <t>eindhoven</t>
        </is>
      </c>
      <c r="C48" s="29" t="inlineStr">
        <is>
          <t>Mekân</t>
        </is>
      </c>
      <c r="D48" s="29" t="inlineStr">
        <is>
          <t>eindhoven:jan-louwers-stadion</t>
        </is>
      </c>
      <c r="E48" s="29" t="inlineStr">
        <is>
          <t>Fotoğraflar/eindhoven_jan-louwers-stadion_02.jpg</t>
        </is>
      </c>
      <c r="F48" s="29" t="inlineStr">
        <is>
          <t>7132383d86de27984467c16653d06b547540e36f247a97cdd206cb97b3414573</t>
        </is>
      </c>
      <c r="G48" s="29" t="inlineStr">
        <is>
          <t>Gece projektör ışığında Jan Louwers Stadion: yeşil saha, mavi koltuklu ana tribün, önde tel çit ve saha kenarında reklam panoları</t>
        </is>
      </c>
      <c r="H48" s="29" t="inlineStr">
        <is>
          <t>Mark92 at Dutch Wikipedia</t>
        </is>
      </c>
      <c r="I48" s="29" t="inlineStr">
        <is>
          <t>CC BY-SA 3.0</t>
        </is>
      </c>
      <c r="J48" s="29" t="inlineStr">
        <is>
          <t>https://creativecommons.org/licenses/by-sa/3.0/</t>
        </is>
      </c>
      <c r="K48" s="29" t="inlineStr">
        <is>
          <t>https://commons.wikimedia.org/wiki/File:Jan_Louwers_Stadion.JPG</t>
        </is>
      </c>
      <c r="L48" s="49" t="n">
        <v>39764</v>
      </c>
      <c r="M48" s="49" t="n">
        <v>46317</v>
      </c>
      <c r="N48" s="29" t="inlineStr">
        <is>
          <t>Wikimedia Commons'taki "Jan Louwers Stadion.JPG" özgün dosyası (1229×922 px) değiştirilmeden indirildi.</t>
        </is>
      </c>
      <c r="O48" s="29" t="inlineStr">
        <is>
          <t>eindhoven:evidence:jan-louwers-stadion-02</t>
        </is>
      </c>
      <c r="P48" s="29" t="inlineStr">
        <is>
          <t>Evet</t>
        </is>
      </c>
      <c r="Q48" s="51" t="n">
        <v>2</v>
      </c>
      <c r="R48" s="29" t="inlineStr">
        <is>
          <t>Taslak</t>
        </is>
      </c>
      <c r="S48" s="52">
        <f>IF(OR(A48="",F48="",C48&lt;&gt;"Mekân"),0,IF(COUNTIFS($F$8:F48,F48,$C$8:C48,"Mekân")=1,1,0))</f>
        <v/>
      </c>
      <c r="T48" s="52">
        <f>IF(OR(A48="",F48="",C48&lt;&gt;"Kapak"),0,IF(COUNTIFS($F$8:F48,F48,$C$8:C48,"Kapak")=1,1,0))</f>
        <v/>
      </c>
    </row>
    <row r="49" ht="54" customHeight="1">
      <c r="A49" s="29" t="inlineStr">
        <is>
          <t>eindhoven:photo:genneper-parken-01</t>
        </is>
      </c>
      <c r="B49" s="29" t="inlineStr">
        <is>
          <t>eindhoven</t>
        </is>
      </c>
      <c r="C49" s="29" t="inlineStr">
        <is>
          <t>Mekân</t>
        </is>
      </c>
      <c r="D49" s="29" t="inlineStr">
        <is>
          <t>eindhoven:genneper-parken</t>
        </is>
      </c>
      <c r="E49" s="29" t="inlineStr">
        <is>
          <t>Fotoğraflar/eindhoven_genneper-parken_01.jpg</t>
        </is>
      </c>
      <c r="F49" s="29" t="inlineStr">
        <is>
          <t>599137a6e4fe37acb00d3d8fd0386a36ffc6141a7ba887074edd7916354aa3c7</t>
        </is>
      </c>
      <c r="G49" s="29" t="inlineStr">
        <is>
          <t>Ön planda sazlar, ortada sıra halinde budanmış söğütler ve geniş bir çayır; ağaçların ardında uzakta koyu renkli yüksek bir bina</t>
        </is>
      </c>
      <c r="H49" s="29" t="inlineStr">
        <is>
          <t>Lempkesfabriek</t>
        </is>
      </c>
      <c r="I49" s="29" t="inlineStr">
        <is>
          <t>CC BY-SA 3.0</t>
        </is>
      </c>
      <c r="J49" s="29" t="inlineStr">
        <is>
          <t>https://creativecommons.org/licenses/by-sa/3.0/</t>
        </is>
      </c>
      <c r="K49" s="29" t="inlineStr">
        <is>
          <t>https://commons.wikimedia.org/wiki/File:Genneper_Parken02.jpg</t>
        </is>
      </c>
      <c r="L49" s="49" t="n"/>
      <c r="M49" s="49" t="n">
        <v>46317</v>
      </c>
      <c r="N49" s="29" t="inlineStr">
        <is>
          <t>Wikimedia Commons'taki "Genneper Parken02.jpg" özgün dosyası (850×638 px) değiştirilmeden indirildi.</t>
        </is>
      </c>
      <c r="O49" s="29" t="inlineStr">
        <is>
          <t>eindhoven:evidence:genneper-parken-01</t>
        </is>
      </c>
      <c r="P49" s="29" t="inlineStr">
        <is>
          <t>Evet</t>
        </is>
      </c>
      <c r="Q49" s="51" t="n">
        <v>1</v>
      </c>
      <c r="R49" s="29" t="inlineStr">
        <is>
          <t>Taslak</t>
        </is>
      </c>
      <c r="S49" s="52">
        <f>IF(OR(A49="",F49="",C49&lt;&gt;"Mekân"),0,IF(COUNTIFS($F$8:F49,F49,$C$8:C49,"Mekân")=1,1,0))</f>
        <v/>
      </c>
      <c r="T49" s="52">
        <f>IF(OR(A49="",F49="",C49&lt;&gt;"Kapak"),0,IF(COUNTIFS($F$8:F49,F49,$C$8:C49,"Kapak")=1,1,0))</f>
        <v/>
      </c>
    </row>
    <row r="50" ht="54" customHeight="1">
      <c r="A50" s="29" t="inlineStr">
        <is>
          <t>eindhoven:photo:genneper-parken-02</t>
        </is>
      </c>
      <c r="B50" s="29" t="inlineStr">
        <is>
          <t>eindhoven</t>
        </is>
      </c>
      <c r="C50" s="29" t="inlineStr">
        <is>
          <t>Mekân</t>
        </is>
      </c>
      <c r="D50" s="29" t="inlineStr">
        <is>
          <t>eindhoven:genneper-parken</t>
        </is>
      </c>
      <c r="E50" s="29" t="inlineStr">
        <is>
          <t>Fotoğraflar/eindhoven_genneper-parken_02.jpg</t>
        </is>
      </c>
      <c r="F50" s="29" t="inlineStr">
        <is>
          <t>8b5337cc8e91f6db9a3f8e15e4145182663b24a7d97050b128e9ed50d49e9ee1</t>
        </is>
      </c>
      <c r="G50" s="29" t="inlineStr">
        <is>
          <t>Ağaç yapraklarının arasından görünen gölet; arkada su çarkı olan siyah ahşap değirmen binası ve çimenlikte bir bank</t>
        </is>
      </c>
      <c r="H50" s="29" t="inlineStr">
        <is>
          <t>Lempkesfabriek</t>
        </is>
      </c>
      <c r="I50" s="29" t="inlineStr">
        <is>
          <t>CC BY-SA 3.0</t>
        </is>
      </c>
      <c r="J50" s="29" t="inlineStr">
        <is>
          <t>https://creativecommons.org/licenses/by-sa/3.0/</t>
        </is>
      </c>
      <c r="K50" s="29" t="inlineStr">
        <is>
          <t>https://commons.wikimedia.org/wiki/File:Genneper_Watermolen.jpg</t>
        </is>
      </c>
      <c r="L50" s="49" t="n"/>
      <c r="M50" s="49" t="n">
        <v>46317</v>
      </c>
      <c r="N50" s="29" t="inlineStr">
        <is>
          <t>Wikimedia Commons'taki "Genneper Watermolen.jpg" özgün dosyası (1064×1416 px) değiştirilmeden indirildi.</t>
        </is>
      </c>
      <c r="O50" s="29" t="inlineStr">
        <is>
          <t>eindhoven:evidence:genneper-parken-02</t>
        </is>
      </c>
      <c r="P50" s="29" t="inlineStr">
        <is>
          <t>Evet</t>
        </is>
      </c>
      <c r="Q50" s="51" t="n">
        <v>2</v>
      </c>
      <c r="R50" s="29" t="inlineStr">
        <is>
          <t>Taslak</t>
        </is>
      </c>
      <c r="S50" s="52">
        <f>IF(OR(A50="",F50="",C50&lt;&gt;"Mekân"),0,IF(COUNTIFS($F$8:F50,F50,$C$8:C50,"Mekân")=1,1,0))</f>
        <v/>
      </c>
      <c r="T50" s="52">
        <f>IF(OR(A50="",F50="",C50&lt;&gt;"Kapak"),0,IF(COUNTIFS($F$8:F50,F50,$C$8:C50,"Kapak")=1,1,0))</f>
        <v/>
      </c>
    </row>
    <row r="51" ht="54" customHeight="1">
      <c r="A51" s="29" t="inlineStr">
        <is>
          <t>eindhoven:photo:stadswandelpark-01</t>
        </is>
      </c>
      <c r="B51" s="29" t="inlineStr">
        <is>
          <t>eindhoven</t>
        </is>
      </c>
      <c r="C51" s="29" t="inlineStr">
        <is>
          <t>Mekân</t>
        </is>
      </c>
      <c r="D51" s="29" t="inlineStr">
        <is>
          <t>eindhoven:stadswandelpark</t>
        </is>
      </c>
      <c r="E51" s="29" t="inlineStr">
        <is>
          <t>Fotoğraflar/eindhoven_stadswandelpark_01.jpg</t>
        </is>
      </c>
      <c r="F51" s="29" t="inlineStr">
        <is>
          <t>f7daa5b684bc62474d77d661e68f0a491f2dcb6b403e102df8eb55fbd53295b4</t>
        </is>
      </c>
      <c r="G51" s="29" t="inlineStr">
        <is>
          <t>Kırağı tutmuş çimenlik, çıplak ağaçların yansıdığı gölet ve kıyıda küçük bir çardak</t>
        </is>
      </c>
      <c r="H51" s="29" t="inlineStr">
        <is>
          <t>Rosemoon</t>
        </is>
      </c>
      <c r="I51" s="29" t="inlineStr">
        <is>
          <t>CC BY-SA 4.0</t>
        </is>
      </c>
      <c r="J51" s="29" t="inlineStr">
        <is>
          <t>https://creativecommons.org/licenses/by-sa/4.0/</t>
        </is>
      </c>
      <c r="K51" s="29" t="inlineStr">
        <is>
          <t>https://commons.wikimedia.org/wiki/File:0772_WN011_Stadswandelpark_Eindhoven-2.jpg</t>
        </is>
      </c>
      <c r="L51" s="49" t="n">
        <v>43906</v>
      </c>
      <c r="M51" s="49" t="n">
        <v>46317</v>
      </c>
      <c r="N51" s="29" t="inlineStr">
        <is>
          <t>Wikimedia Commons'taki "0772 WN011 Stadswandelpark Eindhoven-2.jpg" (6000×4000 px) özgün dosyasının 1280×853 px küçültülmüş kopyası indirildi; kırpma, rötuş ve renk düzeltmesi yapılmadı.</t>
        </is>
      </c>
      <c r="O51" s="29" t="inlineStr">
        <is>
          <t>eindhoven:evidence:stadswandelpark-01</t>
        </is>
      </c>
      <c r="P51" s="29" t="inlineStr">
        <is>
          <t>Evet</t>
        </is>
      </c>
      <c r="Q51" s="51" t="n">
        <v>1</v>
      </c>
      <c r="R51" s="29" t="inlineStr">
        <is>
          <t>Taslak</t>
        </is>
      </c>
      <c r="S51" s="52">
        <f>IF(OR(A51="",F51="",C51&lt;&gt;"Mekân"),0,IF(COUNTIFS($F$8:F51,F51,$C$8:C51,"Mekân")=1,1,0))</f>
        <v/>
      </c>
      <c r="T51" s="52">
        <f>IF(OR(A51="",F51="",C51&lt;&gt;"Kapak"),0,IF(COUNTIFS($F$8:F51,F51,$C$8:C51,"Kapak")=1,1,0))</f>
        <v/>
      </c>
    </row>
    <row r="52" ht="54" customHeight="1">
      <c r="A52" s="29" t="inlineStr">
        <is>
          <t>eindhoven:photo:stadswandelpark-02</t>
        </is>
      </c>
      <c r="B52" s="29" t="inlineStr">
        <is>
          <t>eindhoven</t>
        </is>
      </c>
      <c r="C52" s="29" t="inlineStr">
        <is>
          <t>Mekân</t>
        </is>
      </c>
      <c r="D52" s="29" t="inlineStr">
        <is>
          <t>eindhoven:stadswandelpark</t>
        </is>
      </c>
      <c r="E52" s="29" t="inlineStr">
        <is>
          <t>Fotoğraflar/eindhoven_stadswandelpark_02.jpg</t>
        </is>
      </c>
      <c r="F52" s="29" t="inlineStr">
        <is>
          <t>0fae132d6361e9625c3e47d01f40577b87e7017b4040f770dd301ec9564f0da7</t>
        </is>
      </c>
      <c r="G52" s="29" t="inlineStr">
        <is>
          <t>Ağaçlar arasında kıvrılan yürüyüş yolu, sokak lambası ve gölet; solda su kenarında çatılı küçük bir köşk, arkada beyaz apartman blokları</t>
        </is>
      </c>
      <c r="H52" s="29" t="inlineStr">
        <is>
          <t>Rosemoon</t>
        </is>
      </c>
      <c r="I52" s="29" t="inlineStr">
        <is>
          <t>CC BY-SA 4.0</t>
        </is>
      </c>
      <c r="J52" s="29" t="inlineStr">
        <is>
          <t>https://creativecommons.org/licenses/by-sa/4.0/</t>
        </is>
      </c>
      <c r="K52" s="29" t="inlineStr">
        <is>
          <t>https://commons.wikimedia.org/wiki/File:0772_WN011_Stadswandelpark_Eindhoven-3.jpg</t>
        </is>
      </c>
      <c r="L52" s="49" t="n">
        <v>43906</v>
      </c>
      <c r="M52" s="49" t="n">
        <v>46317</v>
      </c>
      <c r="N52" s="29" t="inlineStr">
        <is>
          <t>Wikimedia Commons'taki "0772 WN011 Stadswandelpark Eindhoven-3.jpg" (6000×4000 px) özgün dosyasının 1280×853 px küçültülmüş kopyası indirildi; kırpma, rötuş ve renk düzeltmesi yapılmadı.</t>
        </is>
      </c>
      <c r="O52" s="29" t="inlineStr">
        <is>
          <t>eindhoven:evidence:stadswandelpark-02</t>
        </is>
      </c>
      <c r="P52" s="29" t="inlineStr">
        <is>
          <t>Evet</t>
        </is>
      </c>
      <c r="Q52" s="51" t="n">
        <v>2</v>
      </c>
      <c r="R52" s="29" t="inlineStr">
        <is>
          <t>Taslak</t>
        </is>
      </c>
      <c r="S52" s="52">
        <f>IF(OR(A52="",F52="",C52&lt;&gt;"Mekân"),0,IF(COUNTIFS($F$8:F52,F52,$C$8:C52,"Mekân")=1,1,0))</f>
        <v/>
      </c>
      <c r="T52" s="52">
        <f>IF(OR(A52="",F52="",C52&lt;&gt;"Kapak"),0,IF(COUNTIFS($F$8:F52,F52,$C$8:C52,"Kapak")=1,1,0))</f>
        <v/>
      </c>
    </row>
    <row r="53" ht="54" customHeight="1">
      <c r="A53" s="29" t="inlineStr">
        <is>
          <t>eindhoven:photo:stadswandelpark-03</t>
        </is>
      </c>
      <c r="B53" s="29" t="inlineStr">
        <is>
          <t>eindhoven</t>
        </is>
      </c>
      <c r="C53" s="29" t="inlineStr">
        <is>
          <t>Mekân</t>
        </is>
      </c>
      <c r="D53" s="29" t="inlineStr">
        <is>
          <t>eindhoven:stadswandelpark</t>
        </is>
      </c>
      <c r="E53" s="29" t="inlineStr">
        <is>
          <t>Fotoğraflar/eindhoven_stadswandelpark_03.jpg</t>
        </is>
      </c>
      <c r="F53" s="29" t="inlineStr">
        <is>
          <t>0d7e570dc63995b6410e1445ca6c41c3cf835666704043eb5974a17a6af568f1</t>
        </is>
      </c>
      <c r="G53" s="29" t="inlineStr">
        <is>
          <t>Çimenlikte frizbi oynayan ve yürüyen insanlar; arkada pas renkli çelik bir heykel, önde beton kaidede bank biçiminde metal bir eser</t>
        </is>
      </c>
      <c r="H53" s="29" t="inlineStr">
        <is>
          <t>Ralf Roletschek</t>
        </is>
      </c>
      <c r="I53" s="29" t="inlineStr">
        <is>
          <t>CC BY 3.0</t>
        </is>
      </c>
      <c r="J53" s="29" t="inlineStr">
        <is>
          <t>https://creativecommons.org/licenses/by/3.0/</t>
        </is>
      </c>
      <c r="K53" s="29" t="inlineStr">
        <is>
          <t>https://commons.wikimedia.org/wiki/File:13-06-29-eindhoven-50mm-54.jpg</t>
        </is>
      </c>
      <c r="L53" s="49" t="n">
        <v>41454</v>
      </c>
      <c r="M53" s="49" t="n">
        <v>46317</v>
      </c>
      <c r="N53" s="29" t="inlineStr">
        <is>
          <t>Wikimedia Commons'taki "13-06-29-eindhoven-50mm-54.jpg" (4288×2848 px) özgün dosyasının 1280×850 px küçültülmüş kopyası indirildi; kırpma, rötuş ve renk düzeltmesi yapılmadı.</t>
        </is>
      </c>
      <c r="O53" s="29" t="inlineStr">
        <is>
          <t>eindhoven:evidence:stadswandelpark-03</t>
        </is>
      </c>
      <c r="P53" s="29" t="inlineStr">
        <is>
          <t>Evet</t>
        </is>
      </c>
      <c r="Q53" s="51" t="n">
        <v>3</v>
      </c>
      <c r="R53" s="29" t="inlineStr">
        <is>
          <t>Taslak</t>
        </is>
      </c>
      <c r="S53" s="52">
        <f>IF(OR(A53="",F53="",C53&lt;&gt;"Mekân"),0,IF(COUNTIFS($F$8:F53,F53,$C$8:C53,"Mekân")=1,1,0))</f>
        <v/>
      </c>
      <c r="T53" s="52">
        <f>IF(OR(A53="",F53="",C53&lt;&gt;"Kapak"),0,IF(COUNTIFS($F$8:F53,F53,$C$8:C53,"Kapak")=1,1,0))</f>
        <v/>
      </c>
    </row>
    <row r="54" ht="54" customHeight="1">
      <c r="A54" s="29" t="inlineStr">
        <is>
          <t>eindhoven:photo:philips-de-jongh-wandelpark-01</t>
        </is>
      </c>
      <c r="B54" s="29" t="inlineStr">
        <is>
          <t>eindhoven</t>
        </is>
      </c>
      <c r="C54" s="29" t="inlineStr">
        <is>
          <t>Mekân</t>
        </is>
      </c>
      <c r="D54" s="29" t="inlineStr">
        <is>
          <t>eindhoven:philips-de-jongh-wandelpark</t>
        </is>
      </c>
      <c r="E54" s="29" t="inlineStr">
        <is>
          <t>Fotoğraflar/eindhoven_philips-de-jongh-wandelpark_01.jpg</t>
        </is>
      </c>
      <c r="F54" s="29" t="inlineStr">
        <is>
          <t>181b3e70fae750d01a0242b0c2f6e0848153d927a8449501df7a64cdada98c65</t>
        </is>
      </c>
      <c r="G54" s="29" t="inlineStr">
        <is>
          <t>Uzun gövdeli yaşlı ağaçlar ve iğne yapraklı bir ağaçla çevrili geniş çimenlik; sağda kıvrılan çakıllı yol ve bir bank</t>
        </is>
      </c>
      <c r="H54" s="29" t="inlineStr">
        <is>
          <t>Lempkesfabriek</t>
        </is>
      </c>
      <c r="I54" s="29" t="inlineStr">
        <is>
          <t>CC BY-SA 3.0</t>
        </is>
      </c>
      <c r="J54" s="29" t="inlineStr">
        <is>
          <t>https://creativecommons.org/licenses/by-sa/3.0/</t>
        </is>
      </c>
      <c r="K54" s="29" t="inlineStr">
        <is>
          <t>https://commons.wikimedia.org/wiki/File:PhilipsDeJonghWandelpark.jpg</t>
        </is>
      </c>
      <c r="L54" s="49" t="n"/>
      <c r="M54" s="49" t="n">
        <v>46317</v>
      </c>
      <c r="N54" s="29" t="inlineStr">
        <is>
          <t>Wikimedia Commons'taki "PhilipsDeJonghWandelpark.jpg" özgün dosyası (991×745 px) değiştirilmeden indirildi.</t>
        </is>
      </c>
      <c r="O54" s="29" t="inlineStr">
        <is>
          <t>eindhoven:evidence:philips-de-jongh-wandelpark-01</t>
        </is>
      </c>
      <c r="P54" s="29" t="inlineStr">
        <is>
          <t>Evet</t>
        </is>
      </c>
      <c r="Q54" s="51" t="n">
        <v>1</v>
      </c>
      <c r="R54" s="29" t="inlineStr">
        <is>
          <t>Taslak</t>
        </is>
      </c>
      <c r="S54" s="52">
        <f>IF(OR(A54="",F54="",C54&lt;&gt;"Mekân"),0,IF(COUNTIFS($F$8:F54,F54,$C$8:C54,"Mekân")=1,1,0))</f>
        <v/>
      </c>
      <c r="T54" s="52">
        <f>IF(OR(A54="",F54="",C54&lt;&gt;"Kapak"),0,IF(COUNTIFS($F$8:F54,F54,$C$8:C54,"Kapak")=1,1,0))</f>
        <v/>
      </c>
    </row>
    <row r="55" ht="54" customHeight="1">
      <c r="A55" s="29" t="inlineStr">
        <is>
          <t>eindhoven:photo:philips-de-jongh-wandelpark-02</t>
        </is>
      </c>
      <c r="B55" s="29" t="inlineStr">
        <is>
          <t>eindhoven</t>
        </is>
      </c>
      <c r="C55" s="29" t="inlineStr">
        <is>
          <t>Mekân</t>
        </is>
      </c>
      <c r="D55" s="29" t="inlineStr">
        <is>
          <t>eindhoven:philips-de-jongh-wandelpark</t>
        </is>
      </c>
      <c r="E55" s="29" t="inlineStr">
        <is>
          <t>Fotoğraflar/eindhoven_philips-de-jongh-wandelpark_02.jpg</t>
        </is>
      </c>
      <c r="F55" s="29" t="inlineStr">
        <is>
          <t>790739b0548872d8386324207e8312e5e8f0a39fcad59164450f62c7f40a32a5</t>
        </is>
      </c>
      <c r="G55" s="29" t="inlineStr">
        <is>
          <t>Ağaç dallarının altından görülen geniş çimenlik; arkada yeşil şemsiyeli küçük bir köşk ve birkaç yürüyüşçü</t>
        </is>
      </c>
      <c r="H55" s="29" t="inlineStr">
        <is>
          <t>Lempkesfabriek</t>
        </is>
      </c>
      <c r="I55" s="29" t="inlineStr">
        <is>
          <t>CC BY-SA 3.0</t>
        </is>
      </c>
      <c r="J55" s="29" t="inlineStr">
        <is>
          <t>https://creativecommons.org/licenses/by-sa/3.0/</t>
        </is>
      </c>
      <c r="K55" s="29" t="inlineStr">
        <is>
          <t>https://commons.wikimedia.org/wiki/File:PhilipsDeJonghWandelpark02.jpg</t>
        </is>
      </c>
      <c r="L55" s="49" t="n"/>
      <c r="M55" s="49" t="n">
        <v>46317</v>
      </c>
      <c r="N55" s="29" t="inlineStr">
        <is>
          <t>Wikimedia Commons'taki "PhilipsDeJonghWandelpark02.jpg" özgün dosyası (991×745 px) değiştirilmeden indirildi.</t>
        </is>
      </c>
      <c r="O55" s="29" t="inlineStr">
        <is>
          <t>eindhoven:evidence:philips-de-jongh-wandelpark-02</t>
        </is>
      </c>
      <c r="P55" s="29" t="inlineStr">
        <is>
          <t>Evet</t>
        </is>
      </c>
      <c r="Q55" s="51" t="n">
        <v>2</v>
      </c>
      <c r="R55" s="29" t="inlineStr">
        <is>
          <t>Taslak</t>
        </is>
      </c>
      <c r="S55" s="52">
        <f>IF(OR(A55="",F55="",C55&lt;&gt;"Mekân"),0,IF(COUNTIFS($F$8:F55,F55,$C$8:C55,"Mekân")=1,1,0))</f>
        <v/>
      </c>
      <c r="T55" s="52">
        <f>IF(OR(A55="",F55="",C55&lt;&gt;"Kapak"),0,IF(COUNTIFS($F$8:F55,F55,$C$8:C55,"Kapak")=1,1,0))</f>
        <v/>
      </c>
    </row>
    <row r="56" ht="54" customHeight="1">
      <c r="A56" s="29" t="inlineStr">
        <is>
          <t>eindhoven:photo:philips-de-jongh-wandelpark-03</t>
        </is>
      </c>
      <c r="B56" s="29" t="inlineStr">
        <is>
          <t>eindhoven</t>
        </is>
      </c>
      <c r="C56" s="29" t="inlineStr">
        <is>
          <t>Mekân</t>
        </is>
      </c>
      <c r="D56" s="29" t="inlineStr">
        <is>
          <t>eindhoven:philips-de-jongh-wandelpark</t>
        </is>
      </c>
      <c r="E56" s="29" t="inlineStr">
        <is>
          <t>Fotoğraflar/eindhoven_philips-de-jongh-wandelpark_03.jpg</t>
        </is>
      </c>
      <c r="F56" s="29" t="inlineStr">
        <is>
          <t>6f98ac3d84ea4d0c42f0064f74d64041928619fd904d1481476c71ea225d43e2</t>
        </is>
      </c>
      <c r="G56" s="29" t="inlineStr">
        <is>
          <t>İki yanı uzun ağaçlarla sıralı çakıllı yürüyüş yolu, kenarda banklar ve uzakta köpeklerini gezdiren biri</t>
        </is>
      </c>
      <c r="H56" s="29" t="inlineStr">
        <is>
          <t>Lempkesfabriek</t>
        </is>
      </c>
      <c r="I56" s="29" t="inlineStr">
        <is>
          <t>CC BY-SA 3.0</t>
        </is>
      </c>
      <c r="J56" s="29" t="inlineStr">
        <is>
          <t>https://creativecommons.org/licenses/by-sa/3.0/</t>
        </is>
      </c>
      <c r="K56" s="29" t="inlineStr">
        <is>
          <t>https://commons.wikimedia.org/wiki/File:PhilipsDeJonghWandelpark03.jpg</t>
        </is>
      </c>
      <c r="L56" s="49" t="n"/>
      <c r="M56" s="49" t="n">
        <v>46317</v>
      </c>
      <c r="N56" s="29" t="inlineStr">
        <is>
          <t>Wikimedia Commons'taki "PhilipsDeJonghWandelpark03.jpg" özgün dosyası (745×991 px) değiştirilmeden indirildi.</t>
        </is>
      </c>
      <c r="O56" s="29" t="inlineStr">
        <is>
          <t>eindhoven:evidence:philips-de-jongh-wandelpark-03</t>
        </is>
      </c>
      <c r="P56" s="29" t="inlineStr">
        <is>
          <t>Evet</t>
        </is>
      </c>
      <c r="Q56" s="51" t="n">
        <v>3</v>
      </c>
      <c r="R56" s="29" t="inlineStr">
        <is>
          <t>Taslak</t>
        </is>
      </c>
      <c r="S56" s="52">
        <f>IF(OR(A56="",F56="",C56&lt;&gt;"Mekân"),0,IF(COUNTIFS($F$8:F56,F56,$C$8:C56,"Mekân")=1,1,0))</f>
        <v/>
      </c>
      <c r="T56" s="52">
        <f>IF(OR(A56="",F56="",C56&lt;&gt;"Kapak"),0,IF(COUNTIFS($F$8:F56,F56,$C$8:C56,"Kapak")=1,1,0))</f>
        <v/>
      </c>
    </row>
    <row r="57" ht="54" customHeight="1">
      <c r="A57" s="29" t="inlineStr">
        <is>
          <t>eindhoven:photo:henri-dunantpark-01</t>
        </is>
      </c>
      <c r="B57" s="29" t="inlineStr">
        <is>
          <t>eindhoven</t>
        </is>
      </c>
      <c r="C57" s="29" t="inlineStr">
        <is>
          <t>Mekân</t>
        </is>
      </c>
      <c r="D57" s="29" t="inlineStr">
        <is>
          <t>eindhoven:henri-dunantpark</t>
        </is>
      </c>
      <c r="E57" s="29" t="inlineStr">
        <is>
          <t>Fotoğraflar/eindhoven_henri-dunantpark_01.jpg</t>
        </is>
      </c>
      <c r="F57" s="29" t="inlineStr">
        <is>
          <t>99597a9a72bfdebd093ee9b2be28cdc0071b4108c37cc17547dcc3ae93d1cd2a</t>
        </is>
      </c>
      <c r="G57" s="29" t="inlineStr">
        <is>
          <t>Kızıl-kahve tonlu ağaçlarla çevrili gölet ve kıyıda suya yansıyan uzun, ince, gümüş renkli dikey bir heykel</t>
        </is>
      </c>
      <c r="H57" s="29" t="inlineStr">
        <is>
          <t>WVDW95</t>
        </is>
      </c>
      <c r="I57" s="29" t="inlineStr">
        <is>
          <t>CC0 1.0</t>
        </is>
      </c>
      <c r="J57" s="29" t="inlineStr">
        <is>
          <t>https://creativecommons.org/publicdomain/zero/1.0/</t>
        </is>
      </c>
      <c r="K57" s="29" t="inlineStr">
        <is>
          <t>https://commons.wikimedia.org/wiki/File:HenriDunantPark.jpg</t>
        </is>
      </c>
      <c r="L57" s="49" t="n">
        <v>46119</v>
      </c>
      <c r="M57" s="49" t="n">
        <v>46317</v>
      </c>
      <c r="N57" s="29" t="inlineStr">
        <is>
          <t>Wikimedia Commons'taki "HenriDunantPark.jpg" (5234×3473 px) özgün dosyasının 1280×849 px küçültülmüş kopyası indirildi; kırpma, rötuş ve renk düzeltmesi yapılmadı.</t>
        </is>
      </c>
      <c r="O57" s="29" t="inlineStr">
        <is>
          <t>eindhoven:evidence:henri-dunantpark-01</t>
        </is>
      </c>
      <c r="P57" s="29" t="inlineStr">
        <is>
          <t>Evet</t>
        </is>
      </c>
      <c r="Q57" s="51" t="n">
        <v>1</v>
      </c>
      <c r="R57" s="29" t="inlineStr">
        <is>
          <t>Taslak</t>
        </is>
      </c>
      <c r="S57" s="52">
        <f>IF(OR(A57="",F57="",C57&lt;&gt;"Mekân"),0,IF(COUNTIFS($F$8:F57,F57,$C$8:C57,"Mekân")=1,1,0))</f>
        <v/>
      </c>
      <c r="T57" s="52">
        <f>IF(OR(A57="",F57="",C57&lt;&gt;"Kapak"),0,IF(COUNTIFS($F$8:F57,F57,$C$8:C57,"Kapak")=1,1,0))</f>
        <v/>
      </c>
    </row>
    <row r="58" ht="54" customHeight="1">
      <c r="A58" s="29" t="inlineStr">
        <is>
          <t>eindhoven:photo:landgoed-de-wielewaal-01</t>
        </is>
      </c>
      <c r="B58" s="29" t="inlineStr">
        <is>
          <t>eindhoven</t>
        </is>
      </c>
      <c r="C58" s="29" t="inlineStr">
        <is>
          <t>Mekân</t>
        </is>
      </c>
      <c r="D58" s="29" t="inlineStr">
        <is>
          <t>eindhoven:landgoed-de-wielewaal</t>
        </is>
      </c>
      <c r="E58" s="29" t="inlineStr">
        <is>
          <t>Fotoğraflar/eindhoven_landgoed-de-wielewaal_01.jpg</t>
        </is>
      </c>
      <c r="F58" s="29" t="inlineStr">
        <is>
          <t>10eda6cec5365d170c03b3b692020199ea46b8adbfd9ae751478013ac9f31f3f</t>
        </is>
      </c>
      <c r="G58" s="29" t="inlineStr">
        <is>
          <t>Kırağı tutmuş geniş çimenliğin ardında, ağaçların arasında yüksek bacalı ve kiremit çatılı büyük bir tuğla köşk</t>
        </is>
      </c>
      <c r="H58" s="29" t="inlineStr">
        <is>
          <t>Chescargot</t>
        </is>
      </c>
      <c r="I58" s="29" t="inlineStr">
        <is>
          <t>CC BY 4.0</t>
        </is>
      </c>
      <c r="J58" s="29" t="inlineStr">
        <is>
          <t>https://creativecommons.org/licenses/by/4.0/</t>
        </is>
      </c>
      <c r="K58" s="29" t="inlineStr">
        <is>
          <t>https://commons.wikimedia.org/wiki/File:Lichtbos_Eindhoven_januari_2026_14.jpg</t>
        </is>
      </c>
      <c r="L58" s="49" t="n">
        <v>46040</v>
      </c>
      <c r="M58" s="49" t="n">
        <v>46317</v>
      </c>
      <c r="N58" s="29" t="inlineStr">
        <is>
          <t>Wikimedia Commons'taki "Lichtbos Eindhoven januari 2026 14.jpg" (3060×4080 px) özgün dosyasının 1280×1707 px küçültülmüş kopyası indirildi; kırpma, rötuş ve renk düzeltmesi yapılmadı.</t>
        </is>
      </c>
      <c r="O58" s="29" t="inlineStr">
        <is>
          <t>eindhoven:evidence:landgoed-de-wielewaal-01</t>
        </is>
      </c>
      <c r="P58" s="29" t="inlineStr">
        <is>
          <t>Evet</t>
        </is>
      </c>
      <c r="Q58" s="51" t="n">
        <v>1</v>
      </c>
      <c r="R58" s="29" t="inlineStr">
        <is>
          <t>Taslak</t>
        </is>
      </c>
      <c r="S58" s="52">
        <f>IF(OR(A58="",F58="",C58&lt;&gt;"Mekân"),0,IF(COUNTIFS($F$8:F58,F58,$C$8:C58,"Mekân")=1,1,0))</f>
        <v/>
      </c>
      <c r="T58" s="52">
        <f>IF(OR(A58="",F58="",C58&lt;&gt;"Kapak"),0,IF(COUNTIFS($F$8:F58,F58,$C$8:C58,"Kapak")=1,1,0))</f>
        <v/>
      </c>
    </row>
    <row r="59" ht="54" customHeight="1">
      <c r="A59" s="29" t="inlineStr">
        <is>
          <t>eindhoven:photo:de-ontdekfabriek-01</t>
        </is>
      </c>
      <c r="B59" s="29" t="inlineStr">
        <is>
          <t>eindhoven</t>
        </is>
      </c>
      <c r="C59" s="29" t="inlineStr">
        <is>
          <t>Mekân</t>
        </is>
      </c>
      <c r="D59" s="29" t="inlineStr">
        <is>
          <t>eindhoven:de-ontdekfabriek</t>
        </is>
      </c>
      <c r="E59" s="29" t="inlineStr">
        <is>
          <t>Fotoğraflar/eindhoven_de-ontdekfabriek_01.jpg</t>
        </is>
      </c>
      <c r="F59" s="29" t="inlineStr">
        <is>
          <t>868175b3eb8ac5c1e21740cee56e4694e6e062a6985770ebfc838152699c27e6</t>
        </is>
      </c>
      <c r="G59" s="29" t="inlineStr">
        <is>
          <t>Kemerli pencerelerin üzerinde 'De Ontdekfabriek' yazısı olan beyaz bina girişi; sağda yuvarlak, parlak metal bir disk ve önde bisiklet demirleri</t>
        </is>
      </c>
      <c r="H59" s="29" t="inlineStr">
        <is>
          <t>S. Perquin</t>
        </is>
      </c>
      <c r="I59" s="29" t="inlineStr">
        <is>
          <t>CC BY-SA 4.0</t>
        </is>
      </c>
      <c r="J59" s="29" t="inlineStr">
        <is>
          <t>https://creativecommons.org/licenses/by-sa/4.0/</t>
        </is>
      </c>
      <c r="K59" s="29" t="inlineStr">
        <is>
          <t>https://commons.wikimedia.org/wiki/File:De_Ontdekfabriek.jpg</t>
        </is>
      </c>
      <c r="L59" s="49" t="n">
        <v>44998</v>
      </c>
      <c r="M59" s="49" t="n">
        <v>46317</v>
      </c>
      <c r="N59" s="29" t="inlineStr">
        <is>
          <t>Wikimedia Commons'taki "De Ontdekfabriek.jpg" (4608×3456 px) özgün dosyasının 1280×960 px küçültülmüş kopyası indirildi; kırpma, rötuş ve renk düzeltmesi yapılmadı.</t>
        </is>
      </c>
      <c r="O59" s="29" t="inlineStr">
        <is>
          <t>eindhoven:evidence:de-ontdekfabriek-01</t>
        </is>
      </c>
      <c r="P59" s="29" t="inlineStr">
        <is>
          <t>Evet</t>
        </is>
      </c>
      <c r="Q59" s="51" t="n">
        <v>1</v>
      </c>
      <c r="R59" s="29" t="inlineStr">
        <is>
          <t>Taslak</t>
        </is>
      </c>
      <c r="S59" s="52">
        <f>IF(OR(A59="",F59="",C59&lt;&gt;"Mekân"),0,IF(COUNTIFS($F$8:F59,F59,$C$8:C59,"Mekân")=1,1,0))</f>
        <v/>
      </c>
      <c r="T59" s="52">
        <f>IF(OR(A59="",F59="",C59&lt;&gt;"Kapak"),0,IF(COUNTIFS($F$8:F59,F59,$C$8:C59,"Kapak")=1,1,0))</f>
        <v/>
      </c>
    </row>
    <row r="60" ht="54" customHeight="1">
      <c r="A60" s="29" t="inlineStr">
        <is>
          <t>eindhoven:photo:de-ontdekfabriek-02</t>
        </is>
      </c>
      <c r="B60" s="29" t="inlineStr">
        <is>
          <t>eindhoven</t>
        </is>
      </c>
      <c r="C60" s="29" t="inlineStr">
        <is>
          <t>Mekân</t>
        </is>
      </c>
      <c r="D60" s="29" t="inlineStr">
        <is>
          <t>eindhoven:de-ontdekfabriek</t>
        </is>
      </c>
      <c r="E60" s="29" t="inlineStr">
        <is>
          <t>Fotoğraflar/eindhoven_de-ontdekfabriek_02.jpg</t>
        </is>
      </c>
      <c r="F60" s="29" t="inlineStr">
        <is>
          <t>fee8c8e7e5e1f3b7a9699bc56aef4983e5b3ed20a45cdd8e2987a4ed16e4e48f</t>
        </is>
      </c>
      <c r="G60" s="29" t="inlineStr">
        <is>
          <t>Sıra sıra pencereli, çok katlı büyük beyaz fabrika binası; zemin kattaki kemerlerden birinin üzerinde 'De Ontdekfabriek' yazısı</t>
        </is>
      </c>
      <c r="H60" s="29" t="inlineStr">
        <is>
          <t>olafpictures</t>
        </is>
      </c>
      <c r="I60" s="29" t="inlineStr">
        <is>
          <t>CC0 1.0</t>
        </is>
      </c>
      <c r="J60" s="29" t="inlineStr">
        <is>
          <t>https://creativecommons.org/publicdomain/zero/1.0/</t>
        </is>
      </c>
      <c r="K60" s="29" t="inlineStr">
        <is>
          <t>https://commons.wikimedia.org/wiki/File:Netherlands_Office_Philips_Eindhoven_Building.jpg</t>
        </is>
      </c>
      <c r="L60" s="49" t="n">
        <v>41000</v>
      </c>
      <c r="M60" s="49" t="n">
        <v>46317</v>
      </c>
      <c r="N60" s="29" t="inlineStr">
        <is>
          <t>Wikimedia Commons'taki "Netherlands Office Philips Eindhoven Building.jpg" (5172×3448 px) özgün dosyasının 1280×853 px küçültülmüş kopyası indirildi; kırpma, rötuş ve renk düzeltmesi yapılmadı.</t>
        </is>
      </c>
      <c r="O60" s="29" t="inlineStr">
        <is>
          <t>eindhoven:evidence:de-ontdekfabriek-02</t>
        </is>
      </c>
      <c r="P60" s="29" t="inlineStr">
        <is>
          <t>Evet</t>
        </is>
      </c>
      <c r="Q60" s="51" t="n">
        <v>2</v>
      </c>
      <c r="R60" s="29" t="inlineStr">
        <is>
          <t>Taslak</t>
        </is>
      </c>
      <c r="S60" s="52">
        <f>IF(OR(A60="",F60="",C60&lt;&gt;"Mekân"),0,IF(COUNTIFS($F$8:F60,F60,$C$8:C60,"Mekân")=1,1,0))</f>
        <v/>
      </c>
      <c r="T60" s="52">
        <f>IF(OR(A60="",F60="",C60&lt;&gt;"Kapak"),0,IF(COUNTIFS($F$8:F60,F60,$C$8:C60,"Kapak")=1,1,0))</f>
        <v/>
      </c>
    </row>
    <row r="61" ht="54" customHeight="1">
      <c r="A61" s="29" t="inlineStr">
        <is>
          <t>eindhoven:photo:speelpark-de-splinter-01</t>
        </is>
      </c>
      <c r="B61" s="29" t="inlineStr">
        <is>
          <t>eindhoven</t>
        </is>
      </c>
      <c r="C61" s="29" t="inlineStr">
        <is>
          <t>Mekân</t>
        </is>
      </c>
      <c r="D61" s="29" t="inlineStr">
        <is>
          <t>eindhoven:speelpark-de-splinter</t>
        </is>
      </c>
      <c r="E61" s="29" t="inlineStr">
        <is>
          <t>Fotoğraflar/eindhoven_speelpark-de-splinter_01.jpg</t>
        </is>
      </c>
      <c r="F61" s="29" t="inlineStr">
        <is>
          <t>b7177946fd4110134031cb1a7b5e8877244a272129c0efdc42224f87046fe442</t>
        </is>
      </c>
      <c r="G61" s="29" t="inlineStr">
        <is>
          <t>Kum zeminli oyun alanında direkleri ve kaydıraklarıyla korsan gemisi biçiminde büyük ahşap bir oyun yapısı; arkada ağaçlar</t>
        </is>
      </c>
      <c r="H61" s="29" t="inlineStr">
        <is>
          <t>S. Perquin</t>
        </is>
      </c>
      <c r="I61" s="29" t="inlineStr">
        <is>
          <t>CC BY-SA 4.0</t>
        </is>
      </c>
      <c r="J61" s="29" t="inlineStr">
        <is>
          <t>https://creativecommons.org/licenses/by-sa/4.0/</t>
        </is>
      </c>
      <c r="K61" s="29" t="inlineStr">
        <is>
          <t>https://commons.wikimedia.org/wiki/File:Speelpark_De_Splinter_(2025)_(10).jpg</t>
        </is>
      </c>
      <c r="L61" s="49" t="n">
        <v>45793</v>
      </c>
      <c r="M61" s="49" t="n">
        <v>46317</v>
      </c>
      <c r="N61" s="29" t="inlineStr">
        <is>
          <t>Wikimedia Commons'taki "Speelpark De Splinter (2025) (10).jpg" (6000×4000 px) özgün dosyasının 1280×853 px küçültülmüş kopyası indirildi; kırpma, rötuş ve renk düzeltmesi yapılmadı.</t>
        </is>
      </c>
      <c r="O61" s="29" t="inlineStr">
        <is>
          <t>eindhoven:evidence:speelpark-de-splinter-01</t>
        </is>
      </c>
      <c r="P61" s="29" t="inlineStr">
        <is>
          <t>Evet</t>
        </is>
      </c>
      <c r="Q61" s="51" t="n">
        <v>1</v>
      </c>
      <c r="R61" s="29" t="inlineStr">
        <is>
          <t>Taslak</t>
        </is>
      </c>
      <c r="S61" s="52">
        <f>IF(OR(A61="",F61="",C61&lt;&gt;"Mekân"),0,IF(COUNTIFS($F$8:F61,F61,$C$8:C61,"Mekân")=1,1,0))</f>
        <v/>
      </c>
      <c r="T61" s="52">
        <f>IF(OR(A61="",F61="",C61&lt;&gt;"Kapak"),0,IF(COUNTIFS($F$8:F61,F61,$C$8:C61,"Kapak")=1,1,0))</f>
        <v/>
      </c>
    </row>
    <row r="62" ht="54" customHeight="1">
      <c r="A62" s="29" t="inlineStr">
        <is>
          <t>eindhoven:photo:speelpark-de-splinter-02</t>
        </is>
      </c>
      <c r="B62" s="29" t="inlineStr">
        <is>
          <t>eindhoven</t>
        </is>
      </c>
      <c r="C62" s="29" t="inlineStr">
        <is>
          <t>Mekân</t>
        </is>
      </c>
      <c r="D62" s="29" t="inlineStr">
        <is>
          <t>eindhoven:speelpark-de-splinter</t>
        </is>
      </c>
      <c r="E62" s="29" t="inlineStr">
        <is>
          <t>Fotoğraflar/eindhoven_speelpark-de-splinter_02.jpg</t>
        </is>
      </c>
      <c r="F62" s="29" t="inlineStr">
        <is>
          <t>11de563d0d84615604f83ff9a576e19c652c7ea91ac7b0016d6d04915df3ba90</t>
        </is>
      </c>
      <c r="G62" s="29" t="inlineStr">
        <is>
          <t>Ağaçlarla çevrili kumluk alanda çok kişilik bir salıncak takımı; arkada ahşap oyun yapıları</t>
        </is>
      </c>
      <c r="H62" s="29" t="inlineStr">
        <is>
          <t>S. Perquin</t>
        </is>
      </c>
      <c r="I62" s="29" t="inlineStr">
        <is>
          <t>CC BY-SA 4.0</t>
        </is>
      </c>
      <c r="J62" s="29" t="inlineStr">
        <is>
          <t>https://creativecommons.org/licenses/by-sa/4.0/</t>
        </is>
      </c>
      <c r="K62" s="29" t="inlineStr">
        <is>
          <t>https://commons.wikimedia.org/wiki/File:Speelpark_De_Splinter_(2025)_(11).jpg</t>
        </is>
      </c>
      <c r="L62" s="49" t="n">
        <v>45793</v>
      </c>
      <c r="M62" s="49" t="n">
        <v>46317</v>
      </c>
      <c r="N62" s="29" t="inlineStr">
        <is>
          <t>Wikimedia Commons'taki "Speelpark De Splinter (2025) (11).jpg" (6000×4000 px) özgün dosyasının 1280×853 px küçültülmüş kopyası indirildi; kırpma, rötuş ve renk düzeltmesi yapılmadı.</t>
        </is>
      </c>
      <c r="O62" s="29" t="inlineStr">
        <is>
          <t>eindhoven:evidence:speelpark-de-splinter-02</t>
        </is>
      </c>
      <c r="P62" s="29" t="inlineStr">
        <is>
          <t>Evet</t>
        </is>
      </c>
      <c r="Q62" s="51" t="n">
        <v>2</v>
      </c>
      <c r="R62" s="29" t="inlineStr">
        <is>
          <t>Taslak</t>
        </is>
      </c>
      <c r="S62" s="52">
        <f>IF(OR(A62="",F62="",C62&lt;&gt;"Mekân"),0,IF(COUNTIFS($F$8:F62,F62,$C$8:C62,"Mekân")=1,1,0))</f>
        <v/>
      </c>
      <c r="T62" s="52">
        <f>IF(OR(A62="",F62="",C62&lt;&gt;"Kapak"),0,IF(COUNTIFS($F$8:F62,F62,$C$8:C62,"Kapak")=1,1,0))</f>
        <v/>
      </c>
    </row>
    <row r="63" ht="54" customHeight="1">
      <c r="A63" s="29" t="inlineStr">
        <is>
          <t>eindhoven:photo:speelpark-de-splinter-03</t>
        </is>
      </c>
      <c r="B63" s="29" t="inlineStr">
        <is>
          <t>eindhoven</t>
        </is>
      </c>
      <c r="C63" s="29" t="inlineStr">
        <is>
          <t>Mekân</t>
        </is>
      </c>
      <c r="D63" s="29" t="inlineStr">
        <is>
          <t>eindhoven:speelpark-de-splinter</t>
        </is>
      </c>
      <c r="E63" s="29" t="inlineStr">
        <is>
          <t>Fotoğraflar/eindhoven_speelpark-de-splinter_03.jpg</t>
        </is>
      </c>
      <c r="F63" s="29" t="inlineStr">
        <is>
          <t>f604848d1e05ad428c204c9e2d06f7796e05b135bfe5a49159f3f9d7c97ce409</t>
        </is>
      </c>
      <c r="G63" s="29" t="inlineStr">
        <is>
          <t>Söğütler ve yeşillikler arasında, kumluk alanda ahşap bir tekne biçiminde oyun yapısı ve direkleri</t>
        </is>
      </c>
      <c r="H63" s="29" t="inlineStr">
        <is>
          <t>S. Perquin</t>
        </is>
      </c>
      <c r="I63" s="29" t="inlineStr">
        <is>
          <t>CC BY-SA 4.0</t>
        </is>
      </c>
      <c r="J63" s="29" t="inlineStr">
        <is>
          <t>https://creativecommons.org/licenses/by-sa/4.0/</t>
        </is>
      </c>
      <c r="K63" s="29" t="inlineStr">
        <is>
          <t>https://commons.wikimedia.org/wiki/File:Speelpark_De_Splinter_(2025)_(12).jpg</t>
        </is>
      </c>
      <c r="L63" s="49" t="n">
        <v>45793</v>
      </c>
      <c r="M63" s="49" t="n">
        <v>46317</v>
      </c>
      <c r="N63" s="29" t="inlineStr">
        <is>
          <t>Wikimedia Commons'taki "Speelpark De Splinter (2025) (12).jpg" (6000×4000 px) özgün dosyasının 1280×853 px küçültülmüş kopyası indirildi; kırpma, rötuş ve renk düzeltmesi yapılmadı.</t>
        </is>
      </c>
      <c r="O63" s="29" t="inlineStr">
        <is>
          <t>eindhoven:evidence:speelpark-de-splinter-03</t>
        </is>
      </c>
      <c r="P63" s="29" t="inlineStr">
        <is>
          <t>Evet</t>
        </is>
      </c>
      <c r="Q63" s="51" t="n">
        <v>3</v>
      </c>
      <c r="R63" s="29" t="inlineStr">
        <is>
          <t>Taslak</t>
        </is>
      </c>
      <c r="S63" s="52">
        <f>IF(OR(A63="",F63="",C63&lt;&gt;"Mekân"),0,IF(COUNTIFS($F$8:F63,F63,$C$8:C63,"Mekân")=1,1,0))</f>
        <v/>
      </c>
      <c r="T63" s="52">
        <f>IF(OR(A63="",F63="",C63&lt;&gt;"Kapak"),0,IF(COUNTIFS($F$8:F63,F63,$C$8:C63,"Kapak")=1,1,0))</f>
        <v/>
      </c>
    </row>
    <row r="64" ht="54" customHeight="1">
      <c r="A64" s="29" t="inlineStr">
        <is>
          <t>eindhoven:photo:genneper-hoeve-01</t>
        </is>
      </c>
      <c r="B64" s="29" t="inlineStr">
        <is>
          <t>eindhoven</t>
        </is>
      </c>
      <c r="C64" s="29" t="inlineStr">
        <is>
          <t>Mekân</t>
        </is>
      </c>
      <c r="D64" s="29" t="inlineStr">
        <is>
          <t>eindhoven:genneper-hoeve</t>
        </is>
      </c>
      <c r="E64" s="29" t="inlineStr">
        <is>
          <t>Fotoğraflar/eindhoven_genneper-hoeve_01.jpg</t>
        </is>
      </c>
      <c r="F64" s="29" t="inlineStr">
        <is>
          <t>f696f71000e818289b860a182610d14c3da8d1a77a0f655f7cd8ac4bf0afc7e7</t>
        </is>
      </c>
      <c r="G64" s="29" t="inlineStr">
        <is>
          <t>Ahşap kazıklı çayırın ardında kırmızı kiremit çatılı yeşil ahşap ambarlar ve tuğla çiftlik binaları</t>
        </is>
      </c>
      <c r="H64" s="29" t="inlineStr">
        <is>
          <t>Rosemoon</t>
        </is>
      </c>
      <c r="I64" s="29" t="inlineStr">
        <is>
          <t>CC BY-SA 3.0</t>
        </is>
      </c>
      <c r="J64" s="29" t="inlineStr">
        <is>
          <t>https://creativecommons.org/licenses/by-sa/3.0/</t>
        </is>
      </c>
      <c r="K64" s="29" t="inlineStr">
        <is>
          <t>https://commons.wikimedia.org/wiki/File:Tongelreeppad_1,_Eindhoven_achterzijde_GM.JPG</t>
        </is>
      </c>
      <c r="L64" s="49" t="n">
        <v>41381</v>
      </c>
      <c r="M64" s="49" t="n">
        <v>46317</v>
      </c>
      <c r="N64" s="29" t="inlineStr">
        <is>
          <t>Wikimedia Commons'taki "Tongelreeppad 1, Eindhoven achterzijde GM.JPG" (4320×3240 px) özgün dosyasının 1280×960 px küçültülmüş kopyası indirildi; kırpma, rötuş ve renk düzeltmesi yapılmadı.</t>
        </is>
      </c>
      <c r="O64" s="29" t="inlineStr">
        <is>
          <t>eindhoven:evidence:genneper-hoeve-01</t>
        </is>
      </c>
      <c r="P64" s="29" t="inlineStr">
        <is>
          <t>Evet</t>
        </is>
      </c>
      <c r="Q64" s="51" t="n">
        <v>1</v>
      </c>
      <c r="R64" s="29" t="inlineStr">
        <is>
          <t>Taslak</t>
        </is>
      </c>
      <c r="S64" s="52">
        <f>IF(OR(A64="",F64="",C64&lt;&gt;"Mekân"),0,IF(COUNTIFS($F$8:F64,F64,$C$8:C64,"Mekân")=1,1,0))</f>
        <v/>
      </c>
      <c r="T64" s="52">
        <f>IF(OR(A64="",F64="",C64&lt;&gt;"Kapak"),0,IF(COUNTIFS($F$8:F64,F64,$C$8:C64,"Kapak")=1,1,0))</f>
        <v/>
      </c>
    </row>
    <row r="65" ht="54" customHeight="1">
      <c r="A65" s="29" t="inlineStr">
        <is>
          <t>eindhoven:photo:genneper-hoeve-02</t>
        </is>
      </c>
      <c r="B65" s="29" t="inlineStr">
        <is>
          <t>eindhoven</t>
        </is>
      </c>
      <c r="C65" s="29" t="inlineStr">
        <is>
          <t>Mekân</t>
        </is>
      </c>
      <c r="D65" s="29" t="inlineStr">
        <is>
          <t>eindhoven:genneper-hoeve</t>
        </is>
      </c>
      <c r="E65" s="29" t="inlineStr">
        <is>
          <t>Fotoğraflar/eindhoven_genneper-hoeve_02.jpg</t>
        </is>
      </c>
      <c r="F65" s="29" t="inlineStr">
        <is>
          <t>cecf64c7ec288c4686b9b424cd1ed97c18629f7377f48bb4d2d2bbe4ad6ceef6</t>
        </is>
      </c>
      <c r="G65" s="29" t="inlineStr">
        <is>
          <t>Tuğla çiftlik binasının önünde yeşil-beyaz bir minibüs, kızıl-kahve yapraklı çit ve çimenlikte beyaz kuşlar</t>
        </is>
      </c>
      <c r="H65" s="29" t="inlineStr">
        <is>
          <t>Rosemoon</t>
        </is>
      </c>
      <c r="I65" s="29" t="inlineStr">
        <is>
          <t>CC BY-SA 3.0</t>
        </is>
      </c>
      <c r="J65" s="29" t="inlineStr">
        <is>
          <t>https://creativecommons.org/licenses/by-sa/3.0/</t>
        </is>
      </c>
      <c r="K65" s="29" t="inlineStr">
        <is>
          <t>https://commons.wikimedia.org/wiki/File:Tongelreeppad_1,_Eindhoven_voorzijde_GM_(2).JPG</t>
        </is>
      </c>
      <c r="L65" s="49" t="n">
        <v>41381</v>
      </c>
      <c r="M65" s="49" t="n">
        <v>46317</v>
      </c>
      <c r="N65" s="29" t="inlineStr">
        <is>
          <t>Wikimedia Commons'taki "Tongelreeppad 1, Eindhoven voorzijde GM (2).JPG" (4320×3240 px) özgün dosyasının 1280×960 px küçültülmüş kopyası indirildi; kırpma, rötuş ve renk düzeltmesi yapılmadı.</t>
        </is>
      </c>
      <c r="O65" s="29" t="inlineStr">
        <is>
          <t>eindhoven:evidence:genneper-hoeve-02</t>
        </is>
      </c>
      <c r="P65" s="29" t="inlineStr">
        <is>
          <t>Evet</t>
        </is>
      </c>
      <c r="Q65" s="51" t="n">
        <v>2</v>
      </c>
      <c r="R65" s="29" t="inlineStr">
        <is>
          <t>Taslak</t>
        </is>
      </c>
      <c r="S65" s="52">
        <f>IF(OR(A65="",F65="",C65&lt;&gt;"Mekân"),0,IF(COUNTIFS($F$8:F65,F65,$C$8:C65,"Mekân")=1,1,0))</f>
        <v/>
      </c>
      <c r="T65" s="52">
        <f>IF(OR(A65="",F65="",C65&lt;&gt;"Kapak"),0,IF(COUNTIFS($F$8:F65,F65,$C$8:C65,"Kapak")=1,1,0))</f>
        <v/>
      </c>
    </row>
    <row r="66" ht="54" customHeight="1">
      <c r="A66" s="29" t="inlineStr">
        <is>
          <t>eindhoven:photo:genneper-hoeve-03</t>
        </is>
      </c>
      <c r="B66" s="29" t="inlineStr">
        <is>
          <t>eindhoven</t>
        </is>
      </c>
      <c r="C66" s="29" t="inlineStr">
        <is>
          <t>Mekân</t>
        </is>
      </c>
      <c r="D66" s="29" t="inlineStr">
        <is>
          <t>eindhoven:genneper-hoeve</t>
        </is>
      </c>
      <c r="E66" s="29" t="inlineStr">
        <is>
          <t>Fotoğraflar/eindhoven_genneper-hoeve_03.jpg</t>
        </is>
      </c>
      <c r="F66" s="29" t="inlineStr">
        <is>
          <t>84733bfbd5a0b8accfbb09ed649c70aafb894b135632c49deb9b90ecb29af678</t>
        </is>
      </c>
      <c r="G66" s="29" t="inlineStr">
        <is>
          <t>Önde kızıl-kahve yapraklı alçak bir çit; arkada uzun, alçak çatılı tuğla çiftlik binası ve yeşil-beyaz bir minibüs</t>
        </is>
      </c>
      <c r="H66" s="29" t="inlineStr">
        <is>
          <t>Rosemoon</t>
        </is>
      </c>
      <c r="I66" s="29" t="inlineStr">
        <is>
          <t>CC BY-SA 3.0</t>
        </is>
      </c>
      <c r="J66" s="29" t="inlineStr">
        <is>
          <t>https://creativecommons.org/licenses/by-sa/3.0/</t>
        </is>
      </c>
      <c r="K66" s="29" t="inlineStr">
        <is>
          <t>https://commons.wikimedia.org/wiki/File:Tongelreeppad_1,_Eindhoven_voorzijde_GM.JPG</t>
        </is>
      </c>
      <c r="L66" s="49" t="n">
        <v>41381</v>
      </c>
      <c r="M66" s="49" t="n">
        <v>46317</v>
      </c>
      <c r="N66" s="29" t="inlineStr">
        <is>
          <t>Wikimedia Commons'taki "Tongelreeppad 1, Eindhoven voorzijde GM.JPG" (4320×3240 px) özgün dosyasının 1280×960 px küçültülmüş kopyası indirildi; kırpma, rötuş ve renk düzeltmesi yapılmadı.</t>
        </is>
      </c>
      <c r="O66" s="29" t="inlineStr">
        <is>
          <t>eindhoven:evidence:genneper-hoeve-03</t>
        </is>
      </c>
      <c r="P66" s="29" t="inlineStr">
        <is>
          <t>Evet</t>
        </is>
      </c>
      <c r="Q66" s="51" t="n">
        <v>3</v>
      </c>
      <c r="R66" s="29" t="inlineStr">
        <is>
          <t>Taslak</t>
        </is>
      </c>
      <c r="S66" s="52">
        <f>IF(OR(A66="",F66="",C66&lt;&gt;"Mekân"),0,IF(COUNTIFS($F$8:F66,F66,$C$8:C66,"Mekân")=1,1,0))</f>
        <v/>
      </c>
      <c r="T66" s="52">
        <f>IF(OR(A66="",F66="",C66&lt;&gt;"Kapak"),0,IF(COUNTIFS($F$8:F66,F66,$C$8:C66,"Kapak")=1,1,0))</f>
        <v/>
      </c>
    </row>
    <row r="67" ht="54" customHeight="1">
      <c r="A67" s="29" t="inlineStr">
        <is>
          <t>eindhoven:photo:stratumseind-01</t>
        </is>
      </c>
      <c r="B67" s="29" t="inlineStr">
        <is>
          <t>eindhoven</t>
        </is>
      </c>
      <c r="C67" s="29" t="inlineStr">
        <is>
          <t>Mekân</t>
        </is>
      </c>
      <c r="D67" s="29" t="inlineStr">
        <is>
          <t>eindhoven:stratumseind</t>
        </is>
      </c>
      <c r="E67" s="29" t="inlineStr">
        <is>
          <t>Fotoğraflar/eindhoven_stratumseind_01.jpg</t>
        </is>
      </c>
      <c r="F67" s="29" t="inlineStr">
        <is>
          <t>5114655a408eb0c701e5531899c7673a04303b348a13b60d124be96d68c03f0f</t>
        </is>
      </c>
      <c r="G67" s="29" t="inlineStr">
        <is>
          <t>Çatısında sıra sıra çatı pencereleri bulunan üç katlı beyaz köşe binası ve önündeki taş döşeli sokak</t>
        </is>
      </c>
      <c r="H67" s="29" t="inlineStr">
        <is>
          <t>Rosemoon</t>
        </is>
      </c>
      <c r="I67" s="29" t="inlineStr">
        <is>
          <t>CC BY-SA 3.0</t>
        </is>
      </c>
      <c r="J67" s="29" t="inlineStr">
        <is>
          <t>https://creativecommons.org/licenses/by-sa/3.0/</t>
        </is>
      </c>
      <c r="K67" s="29" t="inlineStr">
        <is>
          <t>https://commons.wikimedia.org/wiki/File:Stratumseind_101-105,_Eindhoven.JPG</t>
        </is>
      </c>
      <c r="L67" s="49" t="n">
        <v>41385</v>
      </c>
      <c r="M67" s="49" t="n">
        <v>46317</v>
      </c>
      <c r="N67" s="29" t="inlineStr">
        <is>
          <t>Wikimedia Commons'taki "Stratumseind 101-105, Eindhoven.JPG" (4320×3240 px) özgün dosyasının 1280×960 px küçültülmüş kopyası indirildi; kırpma, rötuş ve renk düzeltmesi yapılmadı.</t>
        </is>
      </c>
      <c r="O67" s="29" t="inlineStr">
        <is>
          <t>eindhoven:evidence:stratumseind-01</t>
        </is>
      </c>
      <c r="P67" s="29" t="inlineStr">
        <is>
          <t>Evet</t>
        </is>
      </c>
      <c r="Q67" s="51" t="n">
        <v>1</v>
      </c>
      <c r="R67" s="29" t="inlineStr">
        <is>
          <t>Taslak</t>
        </is>
      </c>
      <c r="S67" s="52">
        <f>IF(OR(A67="",F67="",C67&lt;&gt;"Mekân"),0,IF(COUNTIFS($F$8:F67,F67,$C$8:C67,"Mekân")=1,1,0))</f>
        <v/>
      </c>
      <c r="T67" s="52">
        <f>IF(OR(A67="",F67="",C67&lt;&gt;"Kapak"),0,IF(COUNTIFS($F$8:F67,F67,$C$8:C67,"Kapak")=1,1,0))</f>
        <v/>
      </c>
    </row>
    <row r="68" ht="54" customHeight="1">
      <c r="A68" s="29" t="inlineStr">
        <is>
          <t>eindhoven:photo:stratumseind-02</t>
        </is>
      </c>
      <c r="B68" s="29" t="inlineStr">
        <is>
          <t>eindhoven</t>
        </is>
      </c>
      <c r="C68" s="29" t="inlineStr">
        <is>
          <t>Mekân</t>
        </is>
      </c>
      <c r="D68" s="29" t="inlineStr">
        <is>
          <t>eindhoven:stratumseind</t>
        </is>
      </c>
      <c r="E68" s="29" t="inlineStr">
        <is>
          <t>Fotoğraflar/eindhoven_stratumseind_02.jpg</t>
        </is>
      </c>
      <c r="F68" s="29" t="inlineStr">
        <is>
          <t>9276bbb60cb13cd88df1333952142037d3b0bcc403d236ce51de3a777bdbe7ae</t>
        </is>
      </c>
      <c r="G68" s="29" t="inlineStr">
        <is>
          <t>Cephesine kırmızı-beyaz damalı pankart asılmış, 't Lempke tabelalı beyaz kafe binası ve önüne park edilmiş gri bir otomobil</t>
        </is>
      </c>
      <c r="H68" s="29" t="inlineStr">
        <is>
          <t>Rosemoon</t>
        </is>
      </c>
      <c r="I68" s="29" t="inlineStr">
        <is>
          <t>CC BY-SA 3.0</t>
        </is>
      </c>
      <c r="J68" s="29" t="inlineStr">
        <is>
          <t>https://creativecommons.org/licenses/by-sa/3.0/</t>
        </is>
      </c>
      <c r="K68" s="29" t="inlineStr">
        <is>
          <t>https://commons.wikimedia.org/wiki/File:Stratumseind_14,_Eindhoven.JPG</t>
        </is>
      </c>
      <c r="L68" s="49" t="n">
        <v>41385</v>
      </c>
      <c r="M68" s="49" t="n">
        <v>46317</v>
      </c>
      <c r="N68" s="29" t="inlineStr">
        <is>
          <t>Wikimedia Commons'taki "Stratumseind 14, Eindhoven.JPG" (3240×4320 px) özgün dosyasının 1280×1707 px küçültülmüş kopyası indirildi; kırpma, rötuş ve renk düzeltmesi yapılmadı.</t>
        </is>
      </c>
      <c r="O68" s="29" t="inlineStr">
        <is>
          <t>eindhoven:evidence:stratumseind-02</t>
        </is>
      </c>
      <c r="P68" s="29" t="inlineStr">
        <is>
          <t>Evet</t>
        </is>
      </c>
      <c r="Q68" s="51" t="n">
        <v>2</v>
      </c>
      <c r="R68" s="29" t="inlineStr">
        <is>
          <t>Taslak</t>
        </is>
      </c>
      <c r="S68" s="52">
        <f>IF(OR(A68="",F68="",C68&lt;&gt;"Mekân"),0,IF(COUNTIFS($F$8:F68,F68,$C$8:C68,"Mekân")=1,1,0))</f>
        <v/>
      </c>
      <c r="T68" s="52">
        <f>IF(OR(A68="",F68="",C68&lt;&gt;"Kapak"),0,IF(COUNTIFS($F$8:F68,F68,$C$8:C68,"Kapak")=1,1,0))</f>
        <v/>
      </c>
    </row>
    <row r="69" ht="54" customHeight="1">
      <c r="A69" s="29" t="inlineStr">
        <is>
          <t>eindhoven:photo:stratumseind-03</t>
        </is>
      </c>
      <c r="B69" s="29" t="inlineStr">
        <is>
          <t>eindhoven</t>
        </is>
      </c>
      <c r="C69" s="29" t="inlineStr">
        <is>
          <t>Mekân</t>
        </is>
      </c>
      <c r="D69" s="29" t="inlineStr">
        <is>
          <t>eindhoven:stratumseind</t>
        </is>
      </c>
      <c r="E69" s="29" t="inlineStr">
        <is>
          <t>Fotoğraflar/eindhoven_stratumseind_03.jpg</t>
        </is>
      </c>
      <c r="F69" s="29" t="inlineStr">
        <is>
          <t>e8136cf26b8f1cbfd5892f3cf0c59136be4be2489064a733f5d349920d2f9b2d</t>
        </is>
      </c>
      <c r="G69" s="29" t="inlineStr">
        <is>
          <t>Yan yana dizilmiş kafe cepheleri: tabelalı tuğla bina, kıvrımlı alınlıklı koyu gri cephe, kapalı lacivert şemsiyeler ve taş döşeli sokak</t>
        </is>
      </c>
      <c r="H69" s="29" t="inlineStr">
        <is>
          <t>Rosemoon</t>
        </is>
      </c>
      <c r="I69" s="29" t="inlineStr">
        <is>
          <t>CC BY-SA 3.0</t>
        </is>
      </c>
      <c r="J69" s="29" t="inlineStr">
        <is>
          <t>https://creativecommons.org/licenses/by-sa/3.0/</t>
        </is>
      </c>
      <c r="K69" s="29" t="inlineStr">
        <is>
          <t>https://commons.wikimedia.org/wiki/File:Stratumseind_15-21,_Eindhoven.JPG</t>
        </is>
      </c>
      <c r="L69" s="49" t="n">
        <v>41385</v>
      </c>
      <c r="M69" s="49" t="n">
        <v>46317</v>
      </c>
      <c r="N69" s="29" t="inlineStr">
        <is>
          <t>Wikimedia Commons'taki "Stratumseind 15-21, Eindhoven.JPG" (4320×3240 px) özgün dosyasının 1280×960 px küçültülmüş kopyası indirildi; kırpma, rötuş ve renk düzeltmesi yapılmadı.</t>
        </is>
      </c>
      <c r="O69" s="29" t="inlineStr">
        <is>
          <t>eindhoven:evidence:stratumseind-03</t>
        </is>
      </c>
      <c r="P69" s="29" t="inlineStr">
        <is>
          <t>Evet</t>
        </is>
      </c>
      <c r="Q69" s="51" t="n">
        <v>3</v>
      </c>
      <c r="R69" s="29" t="inlineStr">
        <is>
          <t>Taslak</t>
        </is>
      </c>
      <c r="S69" s="52">
        <f>IF(OR(A69="",F69="",C69&lt;&gt;"Mekân"),0,IF(COUNTIFS($F$8:F69,F69,$C$8:C69,"Mekân")=1,1,0))</f>
        <v/>
      </c>
      <c r="T69" s="52">
        <f>IF(OR(A69="",F69="",C69&lt;&gt;"Kapak"),0,IF(COUNTIFS($F$8:F69,F69,$C$8:C69,"Kapak")=1,1,0))</f>
        <v/>
      </c>
    </row>
    <row r="70" ht="54" customHeight="1">
      <c r="A70" s="29" t="inlineStr">
        <is>
          <t>eindhoven:photo:de-mispelhoef-01</t>
        </is>
      </c>
      <c r="B70" s="29" t="inlineStr">
        <is>
          <t>eindhoven</t>
        </is>
      </c>
      <c r="C70" s="29" t="inlineStr">
        <is>
          <t>Mekân</t>
        </is>
      </c>
      <c r="D70" s="29" t="inlineStr">
        <is>
          <t>eindhoven:de-mispelhoef</t>
        </is>
      </c>
      <c r="E70" s="29" t="inlineStr">
        <is>
          <t>Fotoğraflar/eindhoven_de-mispelhoef_01.jpg</t>
        </is>
      </c>
      <c r="F70" s="29" t="inlineStr">
        <is>
          <t>aa0e003b32d09fef1d7eae9672be31260c239618cabfbe1730a2fe818b6ef779</t>
        </is>
      </c>
      <c r="G70" s="29" t="inlineStr">
        <is>
          <t>Saz ve kiremit çatılı kırmızı tuğlalı çiftlik evi binası, önündeki teras masaları ve yol kenarındaki mavi tabelalar</t>
        </is>
      </c>
      <c r="H70" s="29" t="inlineStr">
        <is>
          <t>Sloddervos</t>
        </is>
      </c>
      <c r="I70" s="29" t="inlineStr">
        <is>
          <t>CC BY-SA 3.0</t>
        </is>
      </c>
      <c r="J70" s="29" t="inlineStr">
        <is>
          <t>https://creativecommons.org/licenses/by-sa/3.0/</t>
        </is>
      </c>
      <c r="K70" s="29" t="inlineStr">
        <is>
          <t>https://commons.wikimedia.org/wiki/File:Mispelhoeve.JPG</t>
        </is>
      </c>
      <c r="L70" s="49" t="n">
        <v>40943</v>
      </c>
      <c r="M70" s="49" t="n">
        <v>46317</v>
      </c>
      <c r="N70" s="29" t="inlineStr">
        <is>
          <t>Wikimedia Commons'taki "Mispelhoeve.JPG" (4000×3000 px) özgün dosyasının 1280×960 px küçültülmüş kopyası indirildi; kırpma, rötuş ve renk düzeltmesi yapılmadı.</t>
        </is>
      </c>
      <c r="O70" s="29" t="inlineStr">
        <is>
          <t>eindhoven:evidence:de-mispelhoef-01</t>
        </is>
      </c>
      <c r="P70" s="29" t="inlineStr">
        <is>
          <t>Evet</t>
        </is>
      </c>
      <c r="Q70" s="51" t="n">
        <v>1</v>
      </c>
      <c r="R70" s="29" t="inlineStr">
        <is>
          <t>Taslak</t>
        </is>
      </c>
      <c r="S70" s="52">
        <f>IF(OR(A70="",F70="",C70&lt;&gt;"Mekân"),0,IF(COUNTIFS($F$8:F70,F70,$C$8:C70,"Mekân")=1,1,0))</f>
        <v/>
      </c>
      <c r="T70" s="52">
        <f>IF(OR(A70="",F70="",C70&lt;&gt;"Kapak"),0,IF(COUNTIFS($F$8:F70,F70,$C$8:C70,"Kapak")=1,1,0))</f>
        <v/>
      </c>
    </row>
    <row r="71" ht="54" customHeight="1">
      <c r="A71" s="29" t="inlineStr">
        <is>
          <t>eindhoven:photo:de-mispelhoef-02</t>
        </is>
      </c>
      <c r="B71" s="29" t="inlineStr">
        <is>
          <t>eindhoven</t>
        </is>
      </c>
      <c r="C71" s="29" t="inlineStr">
        <is>
          <t>Mekân</t>
        </is>
      </c>
      <c r="D71" s="29" t="inlineStr">
        <is>
          <t>eindhoven:de-mispelhoef</t>
        </is>
      </c>
      <c r="E71" s="29" t="inlineStr">
        <is>
          <t>Fotoğraflar/eindhoven_de-mispelhoef_02.jpg</t>
        </is>
      </c>
      <c r="F71" s="29" t="inlineStr">
        <is>
          <t>a6b9460beb40c6663ccdf1eeb9b75c86df33eb162100e06423dc2ca1648b34be</t>
        </is>
      </c>
      <c r="G71" s="29" t="inlineStr">
        <is>
          <t>Ağaç dallarının arasından görünen saz çatılı tuğla çiftlik evi, önündeki fıçı saksılar ve geniş yol</t>
        </is>
      </c>
      <c r="H71" s="29" t="inlineStr">
        <is>
          <t>Rosemoon</t>
        </is>
      </c>
      <c r="I71" s="29" t="inlineStr">
        <is>
          <t>CC BY-SA 3.0 nl</t>
        </is>
      </c>
      <c r="J71" s="29" t="inlineStr">
        <is>
          <t>https://creativecommons.org/licenses/by-sa/3.0/nl/deed.en/</t>
        </is>
      </c>
      <c r="K71" s="29" t="inlineStr">
        <is>
          <t>https://commons.wikimedia.org/wiki/File:Monument_14638,_Oirschotsedijk_9_Eindhoven.jpg</t>
        </is>
      </c>
      <c r="L71" s="49" t="n">
        <v>40811</v>
      </c>
      <c r="M71" s="49" t="n">
        <v>46317</v>
      </c>
      <c r="N71" s="29" t="inlineStr">
        <is>
          <t>Wikimedia Commons'taki "Monument 14638, Oirschotsedijk 9 Eindhoven.jpg" (4320×3240 px) özgün dosyasının 1280×960 px küçültülmüş kopyası indirildi; kırpma, rötuş ve renk düzeltmesi yapılmadı.</t>
        </is>
      </c>
      <c r="O71" s="29" t="inlineStr">
        <is>
          <t>eindhoven:evidence:de-mispelhoef-02</t>
        </is>
      </c>
      <c r="P71" s="29" t="inlineStr">
        <is>
          <t>Evet</t>
        </is>
      </c>
      <c r="Q71" s="51" t="n">
        <v>2</v>
      </c>
      <c r="R71" s="29" t="inlineStr">
        <is>
          <t>Taslak</t>
        </is>
      </c>
      <c r="S71" s="52">
        <f>IF(OR(A71="",F71="",C71&lt;&gt;"Mekân"),0,IF(COUNTIFS($F$8:F71,F71,$C$8:C71,"Mekân")=1,1,0))</f>
        <v/>
      </c>
      <c r="T71" s="52">
        <f>IF(OR(A71="",F71="",C71&lt;&gt;"Kapak"),0,IF(COUNTIFS($F$8:F71,F71,$C$8:C71,"Kapak")=1,1,0))</f>
        <v/>
      </c>
    </row>
    <row r="72" ht="54" customHeight="1">
      <c r="A72" s="29" t="inlineStr">
        <is>
          <t>eindhoven:photo:sint-catharinakerk-01</t>
        </is>
      </c>
      <c r="B72" s="29" t="inlineStr">
        <is>
          <t>eindhoven</t>
        </is>
      </c>
      <c r="C72" s="29" t="inlineStr">
        <is>
          <t>Mekân</t>
        </is>
      </c>
      <c r="D72" s="29" t="inlineStr">
        <is>
          <t>eindhoven:sint-catharinakerk</t>
        </is>
      </c>
      <c r="E72" s="29" t="inlineStr">
        <is>
          <t>Fotoğraflar/eindhoven_sint-catharinakerk_01.jpg</t>
        </is>
      </c>
      <c r="F72" s="29" t="inlineStr">
        <is>
          <t>8e0ba366a7259e2922c27ffe27bf6798288b0267f02a38aacf931be5147b7e3a</t>
        </is>
      </c>
      <c r="G72" s="29" t="inlineStr">
        <is>
          <t>Mavi gökyüzüne yükselen sivri tepeli iki kilise kulesi, tuğla duvarlar ve sağda yeşil bir ağaç</t>
        </is>
      </c>
      <c r="H72" s="29" t="inlineStr">
        <is>
          <t>Johan Bakker</t>
        </is>
      </c>
      <c r="I72" s="29" t="inlineStr">
        <is>
          <t>CC BY-SA 4.0</t>
        </is>
      </c>
      <c r="J72" s="29" t="inlineStr">
        <is>
          <t>https://creativecommons.org/licenses/by-sa/4.0/</t>
        </is>
      </c>
      <c r="K72" s="29" t="inlineStr">
        <is>
          <t>https://commons.wikimedia.org/wiki/File:14635_Catharinakerk_Eindhoven.jpg</t>
        </is>
      </c>
      <c r="L72" s="49" t="n">
        <v>42288</v>
      </c>
      <c r="M72" s="49" t="n">
        <v>46317</v>
      </c>
      <c r="N72" s="29" t="inlineStr">
        <is>
          <t>Wikimedia Commons'taki "14635 Catharinakerk Eindhoven.jpg" (2000×3000 px) özgün dosyasının 1280×1920 px küçültülmüş kopyası indirildi; kırpma, rötuş ve renk düzeltmesi yapılmadı.</t>
        </is>
      </c>
      <c r="O72" s="29" t="inlineStr">
        <is>
          <t>eindhoven:evidence:sint-catharinakerk-01</t>
        </is>
      </c>
      <c r="P72" s="29" t="inlineStr">
        <is>
          <t>Evet</t>
        </is>
      </c>
      <c r="Q72" s="51" t="n">
        <v>1</v>
      </c>
      <c r="R72" s="29" t="inlineStr">
        <is>
          <t>Taslak</t>
        </is>
      </c>
      <c r="S72" s="52">
        <f>IF(OR(A72="",F72="",C72&lt;&gt;"Mekân"),0,IF(COUNTIFS($F$8:F72,F72,$C$8:C72,"Mekân")=1,1,0))</f>
        <v/>
      </c>
      <c r="T72" s="52">
        <f>IF(OR(A72="",F72="",C72&lt;&gt;"Kapak"),0,IF(COUNTIFS($F$8:F72,F72,$C$8:C72,"Kapak")=1,1,0))</f>
        <v/>
      </c>
    </row>
    <row r="73" ht="54" customHeight="1">
      <c r="A73" s="29" t="inlineStr">
        <is>
          <t>eindhoven:photo:strijp-s-01</t>
        </is>
      </c>
      <c r="B73" s="29" t="inlineStr">
        <is>
          <t>eindhoven</t>
        </is>
      </c>
      <c r="C73" s="29" t="inlineStr">
        <is>
          <t>Mekân</t>
        </is>
      </c>
      <c r="D73" s="29" t="inlineStr">
        <is>
          <t>eindhoven:strijp-s</t>
        </is>
      </c>
      <c r="E73" s="29" t="inlineStr">
        <is>
          <t>Fotoğraflar/eindhoven_strijp-s_01.jpg</t>
        </is>
      </c>
      <c r="F73" s="29" t="inlineStr">
        <is>
          <t>2b8136d8c1bd250c5d037ee013159c1ca8ef4eb8ace8317c573c2309b0211320</t>
        </is>
      </c>
      <c r="G73" s="29" t="inlineStr">
        <is>
          <t>Gece pencereleri ışıl ışıl yanan çok katlı uzun bina ve önünden geçen turuncu ışıklı yol</t>
        </is>
      </c>
      <c r="H73" s="29" t="inlineStr">
        <is>
          <t>point'n'shoot</t>
        </is>
      </c>
      <c r="I73" s="29" t="inlineStr">
        <is>
          <t>CC BY-SA 3.0</t>
        </is>
      </c>
      <c r="J73" s="29" t="inlineStr">
        <is>
          <t>https://creativecommons.org/licenses/by-sa/3.0/</t>
        </is>
      </c>
      <c r="K73" s="29" t="inlineStr">
        <is>
          <t>https://commons.wikimedia.org/wiki/File:Anton_loft_building_in_Strip-S_-_panoramio.jpg</t>
        </is>
      </c>
      <c r="L73" s="49" t="n"/>
      <c r="M73" s="49" t="n">
        <v>46317</v>
      </c>
      <c r="N73" s="29" t="inlineStr">
        <is>
          <t>Wikimedia Commons'taki "Anton loft building in Strip-S - panoramio.jpg" (4000×2664 px) özgün dosyasının 1280×852 px küçültülmüş kopyası indirildi; kırpma, rötuş ve renk düzeltmesi yapılmadı.</t>
        </is>
      </c>
      <c r="O73" s="29" t="inlineStr">
        <is>
          <t>eindhoven:evidence:strijp-s-01</t>
        </is>
      </c>
      <c r="P73" s="29" t="inlineStr">
        <is>
          <t>Evet</t>
        </is>
      </c>
      <c r="Q73" s="51" t="n">
        <v>1</v>
      </c>
      <c r="R73" s="29" t="inlineStr">
        <is>
          <t>Taslak</t>
        </is>
      </c>
      <c r="S73" s="52">
        <f>IF(OR(A73="",F73="",C73&lt;&gt;"Mekân"),0,IF(COUNTIFS($F$8:F73,F73,$C$8:C73,"Mekân")=1,1,0))</f>
        <v/>
      </c>
      <c r="T73" s="52">
        <f>IF(OR(A73="",F73="",C73&lt;&gt;"Kapak"),0,IF(COUNTIFS($F$8:F73,F73,$C$8:C73,"Kapak")=1,1,0))</f>
        <v/>
      </c>
    </row>
    <row r="74" ht="54" customHeight="1">
      <c r="A74" s="29" t="inlineStr">
        <is>
          <t>eindhoven:photo:klokgebouw-01</t>
        </is>
      </c>
      <c r="B74" s="29" t="inlineStr">
        <is>
          <t>eindhoven</t>
        </is>
      </c>
      <c r="C74" s="29" t="inlineStr">
        <is>
          <t>Mekân</t>
        </is>
      </c>
      <c r="D74" s="29" t="inlineStr">
        <is>
          <t>eindhoven:klokgebouw</t>
        </is>
      </c>
      <c r="E74" s="29" t="inlineStr">
        <is>
          <t>Fotoğraflar/eindhoven_klokgebouw_01.jpg</t>
        </is>
      </c>
      <c r="F74" s="29" t="inlineStr">
        <is>
          <t>1fc733f5ed2d132f614125049de77331a7e61f71d092ecee0db023f8cf73ed78</t>
        </is>
      </c>
      <c r="G74" s="29" t="inlineStr">
        <is>
          <t>Tepesinde saat bulunan kulesiyle uzun beyaz bina, önündeki yol ve demir korkuluk</t>
        </is>
      </c>
      <c r="H74" s="29" t="inlineStr">
        <is>
          <t>Johan Bakker</t>
        </is>
      </c>
      <c r="I74" s="29" t="inlineStr">
        <is>
          <t>CC BY-SA 4.0</t>
        </is>
      </c>
      <c r="J74" s="29" t="inlineStr">
        <is>
          <t>https://creativecommons.org/licenses/by-sa/4.0/</t>
        </is>
      </c>
      <c r="K74" s="29" t="inlineStr">
        <is>
          <t>https://commons.wikimedia.org/wiki/File:518769_Eindhoven_Klokgebouw_(Philipsgebouw_SA).jpg</t>
        </is>
      </c>
      <c r="L74" s="49" t="n">
        <v>42922</v>
      </c>
      <c r="M74" s="49" t="n">
        <v>46317</v>
      </c>
      <c r="N74" s="29" t="inlineStr">
        <is>
          <t>Wikimedia Commons'taki "518769 Eindhoven Klokgebouw (Philipsgebouw SA).jpg" (4494×3472 px) özgün dosyasının 1280×989 px küçültülmüş kopyası indirildi; kırpma, rötuş ve renk düzeltmesi yapılmadı.</t>
        </is>
      </c>
      <c r="O74" s="29" t="inlineStr">
        <is>
          <t>eindhoven:evidence:klokgebouw-01</t>
        </is>
      </c>
      <c r="P74" s="29" t="inlineStr">
        <is>
          <t>Evet</t>
        </is>
      </c>
      <c r="Q74" s="51" t="n">
        <v>1</v>
      </c>
      <c r="R74" s="29" t="inlineStr">
        <is>
          <t>Taslak</t>
        </is>
      </c>
      <c r="S74" s="52">
        <f>IF(OR(A74="",F74="",C74&lt;&gt;"Mekân"),0,IF(COUNTIFS($F$8:F74,F74,$C$8:C74,"Mekân")=1,1,0))</f>
        <v/>
      </c>
      <c r="T74" s="52">
        <f>IF(OR(A74="",F74="",C74&lt;&gt;"Kapak"),0,IF(COUNTIFS($F$8:F74,F74,$C$8:C74,"Kapak")=1,1,0))</f>
        <v/>
      </c>
    </row>
    <row r="75" ht="54" customHeight="1">
      <c r="A75" s="29" t="inlineStr">
        <is>
          <t>eindhoven:photo:klokgebouw-02</t>
        </is>
      </c>
      <c r="B75" s="29" t="inlineStr">
        <is>
          <t>eindhoven</t>
        </is>
      </c>
      <c r="C75" s="29" t="inlineStr">
        <is>
          <t>Mekân</t>
        </is>
      </c>
      <c r="D75" s="29" t="inlineStr">
        <is>
          <t>eindhoven:klokgebouw</t>
        </is>
      </c>
      <c r="E75" s="29" t="inlineStr">
        <is>
          <t>Fotoğraflar/eindhoven_klokgebouw_02.jpg</t>
        </is>
      </c>
      <c r="F75" s="29" t="inlineStr">
        <is>
          <t>a5718b043bfc3615bddc22c5ccc99ac642df028a5269c3c47c0e625ab6f16d7f</t>
        </is>
      </c>
      <c r="G75" s="29" t="inlineStr">
        <is>
          <t>Saatli kulesi öne çıkan beyaz, çok katlı bina; önünde ağaçlar ve demir çit, sağ kenarda yüksek bir binanın köşesi</t>
        </is>
      </c>
      <c r="H75" s="29" t="inlineStr">
        <is>
          <t>S. Perquin</t>
        </is>
      </c>
      <c r="I75" s="29" t="inlineStr">
        <is>
          <t>CC BY-SA 4.0</t>
        </is>
      </c>
      <c r="J75" s="29" t="inlineStr">
        <is>
          <t>https://creativecommons.org/licenses/by-sa/4.0/</t>
        </is>
      </c>
      <c r="K75" s="29" t="inlineStr">
        <is>
          <t>https://commons.wikimedia.org/wiki/File:Klokgebouw_(2024)_(2).jpg</t>
        </is>
      </c>
      <c r="L75" s="49" t="n">
        <v>45578</v>
      </c>
      <c r="M75" s="49" t="n">
        <v>46317</v>
      </c>
      <c r="N75" s="29" t="inlineStr">
        <is>
          <t>Wikimedia Commons'taki "Klokgebouw (2024) (2).jpg" (6000×4000 px) özgün dosyasının 1280×853 px küçültülmüş kopyası indirildi; kırpma, rötuş ve renk düzeltmesi yapılmadı.</t>
        </is>
      </c>
      <c r="O75" s="29" t="inlineStr">
        <is>
          <t>eindhoven:evidence:klokgebouw-02</t>
        </is>
      </c>
      <c r="P75" s="29" t="inlineStr">
        <is>
          <t>Evet</t>
        </is>
      </c>
      <c r="Q75" s="51" t="n">
        <v>2</v>
      </c>
      <c r="R75" s="29" t="inlineStr">
        <is>
          <t>Taslak</t>
        </is>
      </c>
      <c r="S75" s="52">
        <f>IF(OR(A75="",F75="",C75&lt;&gt;"Mekân"),0,IF(COUNTIFS($F$8:F75,F75,$C$8:C75,"Mekân")=1,1,0))</f>
        <v/>
      </c>
      <c r="T75" s="52">
        <f>IF(OR(A75="",F75="",C75&lt;&gt;"Kapak"),0,IF(COUNTIFS($F$8:F75,F75,$C$8:C75,"Kapak")=1,1,0))</f>
        <v/>
      </c>
    </row>
    <row r="76" ht="54" customHeight="1">
      <c r="A76" s="29" t="inlineStr">
        <is>
          <t>eindhoven:photo:klokgebouw-03</t>
        </is>
      </c>
      <c r="B76" s="29" t="inlineStr">
        <is>
          <t>eindhoven</t>
        </is>
      </c>
      <c r="C76" s="29" t="inlineStr">
        <is>
          <t>Mekân</t>
        </is>
      </c>
      <c r="D76" s="29" t="inlineStr">
        <is>
          <t>eindhoven:klokgebouw</t>
        </is>
      </c>
      <c r="E76" s="29" t="inlineStr">
        <is>
          <t>Fotoğraflar/eindhoven_klokgebouw_03.jpg</t>
        </is>
      </c>
      <c r="F76" s="29" t="inlineStr">
        <is>
          <t>855df4b7b2f6662a4d802ba47f0f27e3e472e429f27060961a6c3e25b03733c9</t>
        </is>
      </c>
      <c r="G76" s="29" t="inlineStr">
        <is>
          <t>Çimenlik alanın ardında uzanan çok pencereli uzun beyaz bina ve arka planda saatli kule</t>
        </is>
      </c>
      <c r="H76" s="29" t="inlineStr">
        <is>
          <t>Choinowski</t>
        </is>
      </c>
      <c r="I76" s="29" t="inlineStr">
        <is>
          <t>CC BY-SA 4.0</t>
        </is>
      </c>
      <c r="J76" s="29" t="inlineStr">
        <is>
          <t>https://creativecommons.org/licenses/by-sa/4.0/</t>
        </is>
      </c>
      <c r="K76" s="29" t="inlineStr">
        <is>
          <t>https://commons.wikimedia.org/wiki/File:Klokgebouw_Eindhoven.jpg</t>
        </is>
      </c>
      <c r="L76" s="49" t="n">
        <v>42619</v>
      </c>
      <c r="M76" s="49" t="n">
        <v>46317</v>
      </c>
      <c r="N76" s="29" t="inlineStr">
        <is>
          <t>Wikimedia Commons'taki "Klokgebouw Eindhoven.jpg" (5059×3373 px) özgün dosyasının 1280×853 px küçültülmüş kopyası indirildi; kırpma, rötuş ve renk düzeltmesi yapılmadı.</t>
        </is>
      </c>
      <c r="O76" s="29" t="inlineStr">
        <is>
          <t>eindhoven:evidence:klokgebouw-03</t>
        </is>
      </c>
      <c r="P76" s="29" t="inlineStr">
        <is>
          <t>Evet</t>
        </is>
      </c>
      <c r="Q76" s="51" t="n">
        <v>3</v>
      </c>
      <c r="R76" s="29" t="inlineStr">
        <is>
          <t>Taslak</t>
        </is>
      </c>
      <c r="S76" s="52">
        <f>IF(OR(A76="",F76="",C76&lt;&gt;"Mekân"),0,IF(COUNTIFS($F$8:F76,F76,$C$8:C76,"Mekân")=1,1,0))</f>
        <v/>
      </c>
      <c r="T76" s="52">
        <f>IF(OR(A76="",F76="",C76&lt;&gt;"Kapak"),0,IF(COUNTIFS($F$8:F76,F76,$C$8:C76,"Kapak")=1,1,0))</f>
        <v/>
      </c>
    </row>
    <row r="77" ht="54" customHeight="1">
      <c r="A77" s="29" t="inlineStr">
        <is>
          <t>eindhoven:photo:genneper-watermolen-01</t>
        </is>
      </c>
      <c r="B77" s="29" t="inlineStr">
        <is>
          <t>eindhoven</t>
        </is>
      </c>
      <c r="C77" s="29" t="inlineStr">
        <is>
          <t>Mekân</t>
        </is>
      </c>
      <c r="D77" s="29" t="inlineStr">
        <is>
          <t>eindhoven:genneper-watermolen</t>
        </is>
      </c>
      <c r="E77" s="29" t="inlineStr">
        <is>
          <t>Fotoğraflar/eindhoven_genneper-watermolen_01.jpg</t>
        </is>
      </c>
      <c r="F77" s="29" t="inlineStr">
        <is>
          <t>38b980ddb9928d4b8c733f598a6068a9098555c59cf55a8d7cd8f22f415dd02a</t>
        </is>
      </c>
      <c r="G77" s="29" t="inlineStr">
        <is>
          <t>Ağaçların arasında siyah ahşap su değirmeni; önünde toprak yol, küçük bir köprü ve çimenlik</t>
        </is>
      </c>
      <c r="H77" s="29" t="inlineStr">
        <is>
          <t>Johan Bakker</t>
        </is>
      </c>
      <c r="I77" s="29" t="inlineStr">
        <is>
          <t>CC BY-SA 4.0</t>
        </is>
      </c>
      <c r="J77" s="29" t="inlineStr">
        <is>
          <t>https://creativecommons.org/licenses/by-sa/4.0/</t>
        </is>
      </c>
      <c r="K77" s="29" t="inlineStr">
        <is>
          <t>https://commons.wikimedia.org/wiki/File:14639_Genneper_watermolen.jpg</t>
        </is>
      </c>
      <c r="L77" s="49" t="n">
        <v>42922</v>
      </c>
      <c r="M77" s="49" t="n">
        <v>46317</v>
      </c>
      <c r="N77" s="29" t="inlineStr">
        <is>
          <t>Wikimedia Commons'taki "14639 Genneper watermolen.jpg" (5184×3456 px) özgün dosyasının 1280×853 px küçültülmüş kopyası indirildi; kırpma, rötuş ve renk düzeltmesi yapılmadı.</t>
        </is>
      </c>
      <c r="O77" s="29" t="inlineStr">
        <is>
          <t>eindhoven:evidence:genneper-watermolen-01</t>
        </is>
      </c>
      <c r="P77" s="29" t="inlineStr">
        <is>
          <t>Evet</t>
        </is>
      </c>
      <c r="Q77" s="51" t="n">
        <v>1</v>
      </c>
      <c r="R77" s="29" t="inlineStr">
        <is>
          <t>Taslak</t>
        </is>
      </c>
      <c r="S77" s="52">
        <f>IF(OR(A77="",F77="",C77&lt;&gt;"Mekân"),0,IF(COUNTIFS($F$8:F77,F77,$C$8:C77,"Mekân")=1,1,0))</f>
        <v/>
      </c>
      <c r="T77" s="52">
        <f>IF(OR(A77="",F77="",C77&lt;&gt;"Kapak"),0,IF(COUNTIFS($F$8:F77,F77,$C$8:C77,"Kapak")=1,1,0))</f>
        <v/>
      </c>
    </row>
    <row r="78" ht="54" customHeight="1">
      <c r="A78" s="29" t="inlineStr">
        <is>
          <t>eindhoven:photo:genneper-watermolen-02</t>
        </is>
      </c>
      <c r="B78" s="29" t="inlineStr">
        <is>
          <t>eindhoven</t>
        </is>
      </c>
      <c r="C78" s="29" t="inlineStr">
        <is>
          <t>Mekân</t>
        </is>
      </c>
      <c r="D78" s="29" t="inlineStr">
        <is>
          <t>eindhoven:genneper-watermolen</t>
        </is>
      </c>
      <c r="E78" s="29" t="inlineStr">
        <is>
          <t>Fotoğraflar/eindhoven_genneper-watermolen_02.jpg</t>
        </is>
      </c>
      <c r="F78" s="29" t="inlineStr">
        <is>
          <t>f7f072b197199b96af9439b1cb33618dae7e586734c5e4557ec4d831fc7430b1</t>
        </is>
      </c>
      <c r="G78" s="29" t="inlineStr">
        <is>
          <t>Yol kenarındaki siyah ahşap su değirmeni, yanındaki büyük su çarkı ve cephesindeki 'De Genneper Watermolen' yazısı</t>
        </is>
      </c>
      <c r="H78" s="29" t="inlineStr">
        <is>
          <t>Romaine</t>
        </is>
      </c>
      <c r="I78" s="29" t="inlineStr">
        <is>
          <t>CC0 1.0</t>
        </is>
      </c>
      <c r="J78" s="29" t="inlineStr">
        <is>
          <t>https://creativecommons.org/publicdomain/zero/1.0/</t>
        </is>
      </c>
      <c r="K78" s="29" t="inlineStr">
        <is>
          <t>https://commons.wikimedia.org/wiki/File:Eindhoven-Genneper_watermolen_(1).jpg</t>
        </is>
      </c>
      <c r="L78" s="49" t="n">
        <v>41017</v>
      </c>
      <c r="M78" s="49" t="n">
        <v>46317</v>
      </c>
      <c r="N78" s="29" t="inlineStr">
        <is>
          <t>Wikimedia Commons'taki "Eindhoven-Genneper watermolen (1).jpg" (4000×3000 px) özgün dosyasının 1280×960 px küçültülmüş kopyası indirildi; kırpma, rötuş ve renk düzeltmesi yapılmadı.</t>
        </is>
      </c>
      <c r="O78" s="29" t="inlineStr">
        <is>
          <t>eindhoven:evidence:genneper-watermolen-02</t>
        </is>
      </c>
      <c r="P78" s="29" t="inlineStr">
        <is>
          <t>Evet</t>
        </is>
      </c>
      <c r="Q78" s="51" t="n">
        <v>2</v>
      </c>
      <c r="R78" s="29" t="inlineStr">
        <is>
          <t>Taslak</t>
        </is>
      </c>
      <c r="S78" s="52">
        <f>IF(OR(A78="",F78="",C78&lt;&gt;"Mekân"),0,IF(COUNTIFS($F$8:F78,F78,$C$8:C78,"Mekân")=1,1,0))</f>
        <v/>
      </c>
      <c r="T78" s="52">
        <f>IF(OR(A78="",F78="",C78&lt;&gt;"Kapak"),0,IF(COUNTIFS($F$8:F78,F78,$C$8:C78,"Kapak")=1,1,0))</f>
        <v/>
      </c>
    </row>
    <row r="79" ht="54" customHeight="1">
      <c r="A79" s="29" t="inlineStr">
        <is>
          <t>eindhoven:photo:genneper-watermolen-03</t>
        </is>
      </c>
      <c r="B79" s="29" t="inlineStr">
        <is>
          <t>eindhoven</t>
        </is>
      </c>
      <c r="C79" s="29" t="inlineStr">
        <is>
          <t>Mekân</t>
        </is>
      </c>
      <c r="D79" s="29" t="inlineStr">
        <is>
          <t>eindhoven:genneper-watermolen</t>
        </is>
      </c>
      <c r="E79" s="29" t="inlineStr">
        <is>
          <t>Fotoğraflar/eindhoven_genneper-watermolen_03.jpg</t>
        </is>
      </c>
      <c r="F79" s="29" t="inlineStr">
        <is>
          <t>439daa2701ce2fffbdfc7434c53fd587fabcff5f181e4b4a82db86fc054fca54</t>
        </is>
      </c>
      <c r="G79" s="29" t="inlineStr">
        <is>
          <t>Sonbahar yapraklarıyla çevrili siyah ahşap değirmen binası, büyük su çarkı ve cephesindeki beyaz harfli yazı</t>
        </is>
      </c>
      <c r="H79" s="29" t="inlineStr">
        <is>
          <t>Wammes Waggel</t>
        </is>
      </c>
      <c r="I79" s="29" t="inlineStr">
        <is>
          <t>CC BY-SA 3.0</t>
        </is>
      </c>
      <c r="J79" s="29" t="inlineStr">
        <is>
          <t>https://creativecommons.org/licenses/by-sa/3.0/</t>
        </is>
      </c>
      <c r="K79" s="29" t="inlineStr">
        <is>
          <t>https://commons.wikimedia.org/wiki/File:Gennepermolen-1.jpg</t>
        </is>
      </c>
      <c r="L79" s="49" t="n"/>
      <c r="M79" s="49" t="n">
        <v>46317</v>
      </c>
      <c r="N79" s="29" t="inlineStr">
        <is>
          <t>Wikimedia Commons'taki "Gennepermolen-1.jpg" (3008×2000 px) özgün dosyasının 1280×851 px küçültülmüş kopyası indirildi; kırpma, rötuş ve renk düzeltmesi yapılmadı.</t>
        </is>
      </c>
      <c r="O79" s="29" t="inlineStr">
        <is>
          <t>eindhoven:evidence:genneper-watermolen-03</t>
        </is>
      </c>
      <c r="P79" s="29" t="inlineStr">
        <is>
          <t>Evet</t>
        </is>
      </c>
      <c r="Q79" s="51" t="n">
        <v>3</v>
      </c>
      <c r="R79" s="29" t="inlineStr">
        <is>
          <t>Taslak</t>
        </is>
      </c>
      <c r="S79" s="52">
        <f>IF(OR(A79="",F79="",C79&lt;&gt;"Mekân"),0,IF(COUNTIFS($F$8:F79,F79,$C$8:C79,"Mekân")=1,1,0))</f>
        <v/>
      </c>
      <c r="T79" s="52">
        <f>IF(OR(A79="",F79="",C79&lt;&gt;"Kapak"),0,IF(COUNTIFS($F$8:F79,F79,$C$8:C79,"Kapak")=1,1,0))</f>
        <v/>
      </c>
    </row>
    <row r="80" ht="54" customHeight="1">
      <c r="A80" s="29" t="inlineStr">
        <is>
          <t>eindhoven:photo:klooster-marienhage-01</t>
        </is>
      </c>
      <c r="B80" s="29" t="inlineStr">
        <is>
          <t>eindhoven</t>
        </is>
      </c>
      <c r="C80" s="29" t="inlineStr">
        <is>
          <t>Mekân</t>
        </is>
      </c>
      <c r="D80" s="29" t="inlineStr">
        <is>
          <t>eindhoven:klooster-marienhage</t>
        </is>
      </c>
      <c r="E80" s="29" t="inlineStr">
        <is>
          <t>Fotoğraflar/eindhoven_klooster-marienhage_01.jpg</t>
        </is>
      </c>
      <c r="F80" s="29" t="inlineStr">
        <is>
          <t>7d19c6a6132543f9748e8c67b97f054096fdba1075c0a2d136739c7ba6b201ca</t>
        </is>
      </c>
      <c r="G80" s="29" t="inlineStr">
        <is>
          <t>Geniş çimenli avluyu çevreleyen kırmızı tuğlalı, çok pencereli manastır binaları ve mavi gökyüzü</t>
        </is>
      </c>
      <c r="H80" s="29" t="inlineStr">
        <is>
          <t>Johan Bakker</t>
        </is>
      </c>
      <c r="I80" s="29" t="inlineStr">
        <is>
          <t>CC BY-SA 4.0</t>
        </is>
      </c>
      <c r="J80" s="29" t="inlineStr">
        <is>
          <t>https://creativecommons.org/licenses/by-sa/4.0/</t>
        </is>
      </c>
      <c r="K80" s="29" t="inlineStr">
        <is>
          <t>https://commons.wikimedia.org/wiki/File:14627_klooster_marienhage.jpg</t>
        </is>
      </c>
      <c r="L80" s="49" t="n">
        <v>42288</v>
      </c>
      <c r="M80" s="49" t="n">
        <v>46317</v>
      </c>
      <c r="N80" s="29" t="inlineStr">
        <is>
          <t>Wikimedia Commons'taki "14627 klooster marienhage.jpg" (3000×2000 px) özgün dosyasının 1280×853 px küçültülmüş kopyası indirildi; kırpma, rötuş ve renk düzeltmesi yapılmadı.</t>
        </is>
      </c>
      <c r="O80" s="29" t="inlineStr">
        <is>
          <t>eindhoven:evidence:klooster-marienhage-01</t>
        </is>
      </c>
      <c r="P80" s="29" t="inlineStr">
        <is>
          <t>Evet</t>
        </is>
      </c>
      <c r="Q80" s="51" t="n">
        <v>1</v>
      </c>
      <c r="R80" s="29" t="inlineStr">
        <is>
          <t>Taslak</t>
        </is>
      </c>
      <c r="S80" s="52">
        <f>IF(OR(A80="",F80="",C80&lt;&gt;"Mekân"),0,IF(COUNTIFS($F$8:F80,F80,$C$8:C80,"Mekân")=1,1,0))</f>
        <v/>
      </c>
      <c r="T80" s="52">
        <f>IF(OR(A80="",F80="",C80&lt;&gt;"Kapak"),0,IF(COUNTIFS($F$8:F80,F80,$C$8:C80,"Kapak")=1,1,0))</f>
        <v/>
      </c>
    </row>
    <row r="81" ht="54" customHeight="1">
      <c r="A81" s="29" t="inlineStr">
        <is>
          <t>eindhoven:photo:klooster-marienhage-02</t>
        </is>
      </c>
      <c r="B81" s="29" t="inlineStr">
        <is>
          <t>eindhoven</t>
        </is>
      </c>
      <c r="C81" s="29" t="inlineStr">
        <is>
          <t>Mekân</t>
        </is>
      </c>
      <c r="D81" s="29" t="inlineStr">
        <is>
          <t>eindhoven:klooster-marienhage</t>
        </is>
      </c>
      <c r="E81" s="29" t="inlineStr">
        <is>
          <t>Fotoğraflar/eindhoven_klooster-marienhage_02.jpg</t>
        </is>
      </c>
      <c r="F81" s="29" t="inlineStr">
        <is>
          <t>d0c567d62613553690733015629bcdb018c549a0f6b825e69a39667140320237</t>
        </is>
      </c>
      <c r="G81" s="29" t="inlineStr">
        <is>
          <t>Kırmızı tuğla cephe, kemerli ahşap kapıya çıkan taş merdiven, demir korkuluklar ve çatıdaki küçük kule</t>
        </is>
      </c>
      <c r="H81" s="29" t="inlineStr">
        <is>
          <t>Wammes Waggel</t>
        </is>
      </c>
      <c r="I81" s="29" t="inlineStr">
        <is>
          <t>CC BY-SA 3.0</t>
        </is>
      </c>
      <c r="J81" s="29" t="inlineStr">
        <is>
          <t>https://creativecommons.org/licenses/by-sa/3.0/</t>
        </is>
      </c>
      <c r="K81" s="29" t="inlineStr">
        <is>
          <t>https://commons.wikimedia.org/wiki/File:Marienhage-oostgevel.jpg</t>
        </is>
      </c>
      <c r="L81" s="49" t="n"/>
      <c r="M81" s="49" t="n">
        <v>46317</v>
      </c>
      <c r="N81" s="29" t="inlineStr">
        <is>
          <t>Wikimedia Commons'taki "Marienhage-oostgevel.jpg" özgün dosyası (738×1423 px) değiştirilmeden indirildi.</t>
        </is>
      </c>
      <c r="O81" s="29" t="inlineStr">
        <is>
          <t>eindhoven:evidence:klooster-marienhage-02</t>
        </is>
      </c>
      <c r="P81" s="29" t="inlineStr">
        <is>
          <t>Evet</t>
        </is>
      </c>
      <c r="Q81" s="51" t="n">
        <v>2</v>
      </c>
      <c r="R81" s="29" t="inlineStr">
        <is>
          <t>Taslak</t>
        </is>
      </c>
      <c r="S81" s="52">
        <f>IF(OR(A81="",F81="",C81&lt;&gt;"Mekân"),0,IF(COUNTIFS($F$8:F81,F81,$C$8:C81,"Mekân")=1,1,0))</f>
        <v/>
      </c>
      <c r="T81" s="52">
        <f>IF(OR(A81="",F81="",C81&lt;&gt;"Kapak"),0,IF(COUNTIFS($F$8:F81,F81,$C$8:C81,"Kapak")=1,1,0))</f>
        <v/>
      </c>
    </row>
    <row r="82" ht="54" customHeight="1">
      <c r="A82" s="29" t="inlineStr">
        <is>
          <t>eindhoven:photo:heilige-hartkerk-hart-van-eindhoven-01</t>
        </is>
      </c>
      <c r="B82" s="29" t="inlineStr">
        <is>
          <t>eindhoven</t>
        </is>
      </c>
      <c r="C82" s="29" t="inlineStr">
        <is>
          <t>Mekân</t>
        </is>
      </c>
      <c r="D82" s="29" t="inlineStr">
        <is>
          <t>eindhoven:heilige-hartkerk-hart-van-eindhoven</t>
        </is>
      </c>
      <c r="E82" s="29" t="inlineStr">
        <is>
          <t>Fotoğraflar/eindhoven_heilige-hartkerk-hart-van-eindhoven_01.jpg</t>
        </is>
      </c>
      <c r="F82" s="29" t="inlineStr">
        <is>
          <t>1efadb532b6327c04a81d6ce2bf82a4e2ea0d2ddc4e7eb6721f6d63be653f55a</t>
        </is>
      </c>
      <c r="G82" s="29" t="inlineStr">
        <is>
          <t>Park yolunun ve çimenliğin ardında ince, sivri külahlı kulesiyle büyük tuğla kilise</t>
        </is>
      </c>
      <c r="H82" s="29" t="inlineStr">
        <is>
          <t>Johan Bakker</t>
        </is>
      </c>
      <c r="I82" s="29" t="inlineStr">
        <is>
          <t>CC BY-SA 4.0</t>
        </is>
      </c>
      <c r="J82" s="29" t="inlineStr">
        <is>
          <t>https://creativecommons.org/licenses/by-sa/4.0/</t>
        </is>
      </c>
      <c r="K82" s="29" t="inlineStr">
        <is>
          <t>https://commons.wikimedia.org/wiki/File:518763_H._Hartkerk_2.jpg</t>
        </is>
      </c>
      <c r="L82" s="49" t="n">
        <v>42288</v>
      </c>
      <c r="M82" s="49" t="n">
        <v>46317</v>
      </c>
      <c r="N82" s="29" t="inlineStr">
        <is>
          <t>Wikimedia Commons'taki "518763 H. Hartkerk 2.jpg" (2000×3000 px) özgün dosyasının 1280×1920 px küçültülmüş kopyası indirildi; kırpma, rötuş ve renk düzeltmesi yapılmadı.</t>
        </is>
      </c>
      <c r="O82" s="29" t="inlineStr">
        <is>
          <t>eindhoven:evidence:heilige-hartkerk-hart-van-eindhoven-01</t>
        </is>
      </c>
      <c r="P82" s="29" t="inlineStr">
        <is>
          <t>Evet</t>
        </is>
      </c>
      <c r="Q82" s="51" t="n">
        <v>1</v>
      </c>
      <c r="R82" s="29" t="inlineStr">
        <is>
          <t>Taslak</t>
        </is>
      </c>
      <c r="S82" s="52">
        <f>IF(OR(A82="",F82="",C82&lt;&gt;"Mekân"),0,IF(COUNTIFS($F$8:F82,F82,$C$8:C82,"Mekân")=1,1,0))</f>
        <v/>
      </c>
      <c r="T82" s="52">
        <f>IF(OR(A82="",F82="",C82&lt;&gt;"Kapak"),0,IF(COUNTIFS($F$8:F82,F82,$C$8:C82,"Kapak")=1,1,0))</f>
        <v/>
      </c>
    </row>
    <row r="83" ht="54" customHeight="1">
      <c r="A83" s="29" t="inlineStr">
        <is>
          <t>eindhoven:photo:heilige-hartkerk-hart-van-eindhoven-02</t>
        </is>
      </c>
      <c r="B83" s="29" t="inlineStr">
        <is>
          <t>eindhoven</t>
        </is>
      </c>
      <c r="C83" s="29" t="inlineStr">
        <is>
          <t>Mekân</t>
        </is>
      </c>
      <c r="D83" s="29" t="inlineStr">
        <is>
          <t>eindhoven:heilige-hartkerk-hart-van-eindhoven</t>
        </is>
      </c>
      <c r="E83" s="29" t="inlineStr">
        <is>
          <t>Fotoğraflar/eindhoven_heilige-hartkerk-hart-van-eindhoven_02.jpg</t>
        </is>
      </c>
      <c r="F83" s="29" t="inlineStr">
        <is>
          <t>f7d81058e84fc84b091492790f55a942fdc90716d70e5d0d92159993fc9b9c82</t>
        </is>
      </c>
      <c r="G83" s="29" t="inlineStr">
        <is>
          <t>Mavi gökyüzünde silindir biçimli yüksek tuğla kule, yanında yeşil bakır çatılı yapı ve önde park etmiş arabalar</t>
        </is>
      </c>
      <c r="H83" s="29" t="inlineStr">
        <is>
          <t>Johan Bakker</t>
        </is>
      </c>
      <c r="I83" s="29" t="inlineStr">
        <is>
          <t>CC BY-SA 4.0</t>
        </is>
      </c>
      <c r="J83" s="29" t="inlineStr">
        <is>
          <t>https://creativecommons.org/licenses/by-sa/4.0/</t>
        </is>
      </c>
      <c r="K83" s="29" t="inlineStr">
        <is>
          <t>https://commons.wikimedia.org/wiki/File:518763_H._Hartkerk.jpg</t>
        </is>
      </c>
      <c r="L83" s="49" t="n">
        <v>42288</v>
      </c>
      <c r="M83" s="49" t="n">
        <v>46317</v>
      </c>
      <c r="N83" s="29" t="inlineStr">
        <is>
          <t>Wikimedia Commons'taki "518763 H. Hartkerk.jpg" (2266×3000 px) özgün dosyasının 1280×1695 px küçültülmüş kopyası indirildi; kırpma, rötuş ve renk düzeltmesi yapılmadı.</t>
        </is>
      </c>
      <c r="O83" s="29" t="inlineStr">
        <is>
          <t>eindhoven:evidence:heilige-hartkerk-hart-van-eindhoven-02</t>
        </is>
      </c>
      <c r="P83" s="29" t="inlineStr">
        <is>
          <t>Evet</t>
        </is>
      </c>
      <c r="Q83" s="51" t="n">
        <v>2</v>
      </c>
      <c r="R83" s="29" t="inlineStr">
        <is>
          <t>Taslak</t>
        </is>
      </c>
      <c r="S83" s="52">
        <f>IF(OR(A83="",F83="",C83&lt;&gt;"Mekân"),0,IF(COUNTIFS($F$8:F83,F83,$C$8:C83,"Mekân")=1,1,0))</f>
        <v/>
      </c>
      <c r="T83" s="52">
        <f>IF(OR(A83="",F83="",C83&lt;&gt;"Kapak"),0,IF(COUNTIFS($F$8:F83,F83,$C$8:C83,"Kapak")=1,1,0))</f>
        <v/>
      </c>
    </row>
    <row r="84" ht="54" customHeight="1">
      <c r="A84" s="29" t="inlineStr">
        <is>
          <t>eindhoven:photo:heilige-hartkerk-hart-van-eindhoven-03</t>
        </is>
      </c>
      <c r="B84" s="29" t="inlineStr">
        <is>
          <t>eindhoven</t>
        </is>
      </c>
      <c r="C84" s="29" t="inlineStr">
        <is>
          <t>Mekân</t>
        </is>
      </c>
      <c r="D84" s="29" t="inlineStr">
        <is>
          <t>eindhoven:heilige-hartkerk-hart-van-eindhoven</t>
        </is>
      </c>
      <c r="E84" s="29" t="inlineStr">
        <is>
          <t>Fotoğraflar/eindhoven_heilige-hartkerk-hart-van-eindhoven_03.jpg</t>
        </is>
      </c>
      <c r="F84" s="29" t="inlineStr">
        <is>
          <t>af5c132debd257eb9f7a79a24449636753e3fc2d01af4785ddecd8972b5d1175</t>
        </is>
      </c>
      <c r="G84" s="29" t="inlineStr">
        <is>
          <t>Saatli yuvarlak tuğla kule, yeşil bakır çatılı şapel ve sivri alınlıklı tuğla kilise cephesi</t>
        </is>
      </c>
      <c r="H84" s="29" t="inlineStr">
        <is>
          <t>Mark Bergsma</t>
        </is>
      </c>
      <c r="I84" s="29" t="inlineStr">
        <is>
          <t>CC BY-SA 3.0</t>
        </is>
      </c>
      <c r="J84" s="29" t="inlineStr">
        <is>
          <t>https://creativecommons.org/licenses/by-sa/3.0/</t>
        </is>
      </c>
      <c r="K84" s="29" t="inlineStr">
        <is>
          <t>https://commons.wikimedia.org/wiki/File:HeiligHartkerk_Rijksmonument518763.jpg</t>
        </is>
      </c>
      <c r="L84" s="49" t="n">
        <v>40080</v>
      </c>
      <c r="M84" s="49" t="n">
        <v>46317</v>
      </c>
      <c r="N84" s="29" t="inlineStr">
        <is>
          <t>Wikimedia Commons'taki "HeiligHartkerk Rijksmonument518763.jpg" (2520×3453 px) özgün dosyasının 1280×1754 px küçültülmüş kopyası indirildi; kırpma, rötuş ve renk düzeltmesi yapılmadı.</t>
        </is>
      </c>
      <c r="O84" s="29" t="inlineStr">
        <is>
          <t>eindhoven:evidence:heilige-hartkerk-hart-van-eindhoven-03</t>
        </is>
      </c>
      <c r="P84" s="29" t="inlineStr">
        <is>
          <t>Evet</t>
        </is>
      </c>
      <c r="Q84" s="51" t="n">
        <v>3</v>
      </c>
      <c r="R84" s="29" t="inlineStr">
        <is>
          <t>Taslak</t>
        </is>
      </c>
      <c r="S84" s="52">
        <f>IF(OR(A84="",F84="",C84&lt;&gt;"Mekân"),0,IF(COUNTIFS($F$8:F84,F84,$C$8:C84,"Mekân")=1,1,0))</f>
        <v/>
      </c>
      <c r="T84" s="52">
        <f>IF(OR(A84="",F84="",C84&lt;&gt;"Kapak"),0,IF(COUNTIFS($F$8:F84,F84,$C$8:C84,"Kapak")=1,1,0))</f>
        <v/>
      </c>
    </row>
    <row r="85" ht="54" customHeight="1">
      <c r="A85" s="29" t="inlineStr">
        <is>
          <t>eindhoven:photo:catharinakerkhof-01</t>
        </is>
      </c>
      <c r="B85" s="29" t="inlineStr">
        <is>
          <t>eindhoven</t>
        </is>
      </c>
      <c r="C85" s="29" t="inlineStr">
        <is>
          <t>Mekân</t>
        </is>
      </c>
      <c r="D85" s="29" t="inlineStr">
        <is>
          <t>eindhoven:catharinakerkhof</t>
        </is>
      </c>
      <c r="E85" s="29" t="inlineStr">
        <is>
          <t>Fotoğraflar/eindhoven_catharinakerkhof_01.jpg</t>
        </is>
      </c>
      <c r="F85" s="29" t="inlineStr">
        <is>
          <t>4da705af0555d0e192158523f612c36b5781a1c5dde7be2c3d62252927bcdaee</t>
        </is>
      </c>
      <c r="G85" s="29" t="inlineStr">
        <is>
          <t>Üstünde haç ve heykel nişi bulunan kıvrımlı tuğla alınlıklı giriş kapısı; kemerli geçitten ağaçlı yol görünüyor</t>
        </is>
      </c>
      <c r="H85" s="29" t="inlineStr">
        <is>
          <t>Sergé Technau</t>
        </is>
      </c>
      <c r="I85" s="29" t="inlineStr">
        <is>
          <t>CC BY-SA 4.0</t>
        </is>
      </c>
      <c r="J85" s="29" t="inlineStr">
        <is>
          <t>https://creativecommons.org/licenses/by-sa/4.0/</t>
        </is>
      </c>
      <c r="K85" s="29" t="inlineStr">
        <is>
          <t>https://commons.wikimedia.org/wiki/File:Aanzicht_poort_met_klokgevel_-_Eindhoven_-_20410899_-_RCE.jpg</t>
        </is>
      </c>
      <c r="L85" s="49" t="n">
        <v>39451</v>
      </c>
      <c r="M85" s="49" t="n">
        <v>46317</v>
      </c>
      <c r="N85" s="29" t="inlineStr">
        <is>
          <t>Wikimedia Commons'taki "Aanzicht poort met klokgevel - Eindhoven - 20410899 - RCE.jpg" (2362×3543 px) özgün dosyasının 1280×1920 px küçültülmüş kopyası indirildi; kırpma, rötuş ve renk düzeltmesi yapılmadı.</t>
        </is>
      </c>
      <c r="O85" s="29" t="inlineStr">
        <is>
          <t>eindhoven:evidence:catharinakerkhof-01</t>
        </is>
      </c>
      <c r="P85" s="29" t="inlineStr">
        <is>
          <t>Evet</t>
        </is>
      </c>
      <c r="Q85" s="51" t="n">
        <v>1</v>
      </c>
      <c r="R85" s="29" t="inlineStr">
        <is>
          <t>Taslak</t>
        </is>
      </c>
      <c r="S85" s="52">
        <f>IF(OR(A85="",F85="",C85&lt;&gt;"Mekân"),0,IF(COUNTIFS($F$8:F85,F85,$C$8:C85,"Mekân")=1,1,0))</f>
        <v/>
      </c>
      <c r="T85" s="52">
        <f>IF(OR(A85="",F85="",C85&lt;&gt;"Kapak"),0,IF(COUNTIFS($F$8:F85,F85,$C$8:C85,"Kapak")=1,1,0))</f>
        <v/>
      </c>
    </row>
    <row r="86" ht="54" customHeight="1">
      <c r="A86" s="29" t="inlineStr">
        <is>
          <t>eindhoven:photo:catharinakerkhof-02</t>
        </is>
      </c>
      <c r="B86" s="29" t="inlineStr">
        <is>
          <t>eindhoven</t>
        </is>
      </c>
      <c r="C86" s="29" t="inlineStr">
        <is>
          <t>Mekân</t>
        </is>
      </c>
      <c r="D86" s="29" t="inlineStr">
        <is>
          <t>eindhoven:catharinakerkhof</t>
        </is>
      </c>
      <c r="E86" s="29" t="inlineStr">
        <is>
          <t>Fotoğraflar/eindhoven_catharinakerkhof_02.jpg</t>
        </is>
      </c>
      <c r="F86" s="29" t="inlineStr">
        <is>
          <t>e8f3a76bfae02a60986aabedf7945bfe46f819291227449b011f298c24f013ec</t>
        </is>
      </c>
      <c r="G86" s="29" t="inlineStr">
        <is>
          <t>Köşelerinde taş direkler ve zincirler bulunan, tepesinde haç olan anıtsal taş aile mezarı; çevrede eski mezarlar ve çıplak ağaçlar</t>
        </is>
      </c>
      <c r="H86" s="29" t="inlineStr">
        <is>
          <t>Sergé Technau</t>
        </is>
      </c>
      <c r="I86" s="29" t="inlineStr">
        <is>
          <t>CC BY-SA 4.0</t>
        </is>
      </c>
      <c r="J86" s="29" t="inlineStr">
        <is>
          <t>https://creativecommons.org/licenses/by-sa/4.0/</t>
        </is>
      </c>
      <c r="K86" s="29" t="inlineStr">
        <is>
          <t>https://commons.wikimedia.org/wiki/File:Familiegraf_Mignot-Bouvy_is_uitgevoerd_in_natuursteen,_omgeven_door_vierkante_palen,_bekroond_door_toortsen_en_urnen_-_Eindhoven_-_20410841_-_RCE.jpg</t>
        </is>
      </c>
      <c r="L86" s="49" t="n">
        <v>39451</v>
      </c>
      <c r="M86" s="49" t="n">
        <v>46317</v>
      </c>
      <c r="N86" s="29" t="inlineStr">
        <is>
          <t>Wikimedia Commons'taki "Familiegraf Mignot-Bouvy is uitgevoerd in natuursteen, omgeven door vierkante palen, bekro" (2362×3543 px) özgün dosyasının 1280×1920 px küçültülmüş kopyası indirildi; kırpma, rötuş ve renk düzeltmesi yapılmadı.</t>
        </is>
      </c>
      <c r="O86" s="29" t="inlineStr">
        <is>
          <t>eindhoven:evidence:catharinakerkhof-02</t>
        </is>
      </c>
      <c r="P86" s="29" t="inlineStr">
        <is>
          <t>Evet</t>
        </is>
      </c>
      <c r="Q86" s="51" t="n">
        <v>2</v>
      </c>
      <c r="R86" s="29" t="inlineStr">
        <is>
          <t>Taslak</t>
        </is>
      </c>
      <c r="S86" s="52">
        <f>IF(OR(A86="",F86="",C86&lt;&gt;"Mekân"),0,IF(COUNTIFS($F$8:F86,F86,$C$8:C86,"Mekân")=1,1,0))</f>
        <v/>
      </c>
      <c r="T86" s="52">
        <f>IF(OR(A86="",F86="",C86&lt;&gt;"Kapak"),0,IF(COUNTIFS($F$8:F86,F86,$C$8:C86,"Kapak")=1,1,0))</f>
        <v/>
      </c>
    </row>
    <row r="87" ht="54" customHeight="1">
      <c r="A87" s="29" t="inlineStr">
        <is>
          <t>eindhoven:photo:18-septemberplein-01</t>
        </is>
      </c>
      <c r="B87" s="29" t="inlineStr">
        <is>
          <t>eindhoven</t>
        </is>
      </c>
      <c r="C87" s="29" t="inlineStr">
        <is>
          <t>Mekân</t>
        </is>
      </c>
      <c r="D87" s="29" t="inlineStr">
        <is>
          <t>eindhoven:18-septemberplein</t>
        </is>
      </c>
      <c r="E87" s="29" t="inlineStr">
        <is>
          <t>Fotoğraflar/eindhoven_18-septemberplein_01.jpg</t>
        </is>
      </c>
      <c r="F87" s="29" t="inlineStr">
        <is>
          <t>8a4149ecc9b3d92386c4e76be051126bfc7978a84d3282c8d4c7e5c89111ae77</t>
        </is>
      </c>
      <c r="G87" s="29" t="inlineStr">
        <is>
          <t>Taş döşeli geniş meydanda yürüyen insanlar, solda cam kubbeli yapı, arkasında Philips yazılı bina ve sağda kırmızı çiçekli saksılar</t>
        </is>
      </c>
      <c r="H87" s="29" t="inlineStr">
        <is>
          <t>Ralf Roletschek</t>
        </is>
      </c>
      <c r="I87" s="29" t="inlineStr">
        <is>
          <t>CC BY 3.0</t>
        </is>
      </c>
      <c r="J87" s="29" t="inlineStr">
        <is>
          <t>https://creativecommons.org/licenses/by/3.0/</t>
        </is>
      </c>
      <c r="K87" s="29" t="inlineStr">
        <is>
          <t>https://commons.wikimedia.org/wiki/File:13-06-28-eindhoven-by-RalfR-10.jpg</t>
        </is>
      </c>
      <c r="L87" s="49" t="n">
        <v>41453</v>
      </c>
      <c r="M87" s="49" t="n">
        <v>46317</v>
      </c>
      <c r="N87" s="29" t="inlineStr">
        <is>
          <t>Wikimedia Commons'taki "13-06-28-eindhoven-by-RalfR-10.jpg" (4288×2848 px) özgün dosyasının 1280×850 px küçültülmüş kopyası indirildi; kırpma, rötuş ve renk düzeltmesi yapılmadı.</t>
        </is>
      </c>
      <c r="O87" s="29" t="inlineStr">
        <is>
          <t>eindhoven:evidence:18-septemberplein-01</t>
        </is>
      </c>
      <c r="P87" s="29" t="inlineStr">
        <is>
          <t>Evet</t>
        </is>
      </c>
      <c r="Q87" s="51" t="n">
        <v>1</v>
      </c>
      <c r="R87" s="29" t="inlineStr">
        <is>
          <t>Taslak</t>
        </is>
      </c>
      <c r="S87" s="52">
        <f>IF(OR(A87="",F87="",C87&lt;&gt;"Mekân"),0,IF(COUNTIFS($F$8:F87,F87,$C$8:C87,"Mekân")=1,1,0))</f>
        <v/>
      </c>
      <c r="T87" s="52">
        <f>IF(OR(A87="",F87="",C87&lt;&gt;"Kapak"),0,IF(COUNTIFS($F$8:F87,F87,$C$8:C87,"Kapak")=1,1,0))</f>
        <v/>
      </c>
    </row>
    <row r="88" ht="54" customHeight="1">
      <c r="A88" s="29" t="inlineStr">
        <is>
          <t>eindhoven:photo:18-septemberplein-02</t>
        </is>
      </c>
      <c r="B88" s="29" t="inlineStr">
        <is>
          <t>eindhoven</t>
        </is>
      </c>
      <c r="C88" s="29" t="inlineStr">
        <is>
          <t>Mekân</t>
        </is>
      </c>
      <c r="D88" s="29" t="inlineStr">
        <is>
          <t>eindhoven:18-septemberplein</t>
        </is>
      </c>
      <c r="E88" s="29" t="inlineStr">
        <is>
          <t>Fotoğraflar/eindhoven_18-septemberplein_02.jpg</t>
        </is>
      </c>
      <c r="F88" s="29" t="inlineStr">
        <is>
          <t>1df5445ff7ebe3e5549a3f2f309e499437d230623a87227117998dc29fc1e6fc</t>
        </is>
      </c>
      <c r="G88" s="29" t="inlineStr">
        <is>
          <t>Taş döşeli geniş meydanda yürüyen insanlar, ortada damla biçimli cam kubbeli yapı ve çevredeki binalar</t>
        </is>
      </c>
      <c r="H88" s="29" t="inlineStr">
        <is>
          <t>Ralf Roletschek</t>
        </is>
      </c>
      <c r="I88" s="29" t="inlineStr">
        <is>
          <t>CC BY 3.0</t>
        </is>
      </c>
      <c r="J88" s="29" t="inlineStr">
        <is>
          <t>https://creativecommons.org/licenses/by/3.0/</t>
        </is>
      </c>
      <c r="K88" s="29" t="inlineStr">
        <is>
          <t>https://commons.wikimedia.org/wiki/File:13-06-28-eindhoven-by-RalfR-16.jpg</t>
        </is>
      </c>
      <c r="L88" s="49" t="n">
        <v>41453</v>
      </c>
      <c r="M88" s="49" t="n">
        <v>46317</v>
      </c>
      <c r="N88" s="29" t="inlineStr">
        <is>
          <t>Wikimedia Commons'taki "13-06-28-eindhoven-by-RalfR-16.jpg" (4288×2848 px) özgün dosyasının 1280×850 px küçültülmüş kopyası indirildi; kırpma, rötuş ve renk düzeltmesi yapılmadı.</t>
        </is>
      </c>
      <c r="O88" s="29" t="inlineStr">
        <is>
          <t>eindhoven:evidence:18-septemberplein-02</t>
        </is>
      </c>
      <c r="P88" s="29" t="inlineStr">
        <is>
          <t>Evet</t>
        </is>
      </c>
      <c r="Q88" s="51" t="n">
        <v>2</v>
      </c>
      <c r="R88" s="29" t="inlineStr">
        <is>
          <t>Taslak</t>
        </is>
      </c>
      <c r="S88" s="52">
        <f>IF(OR(A88="",F88="",C88&lt;&gt;"Mekân"),0,IF(COUNTIFS($F$8:F88,F88,$C$8:C88,"Mekân")=1,1,0))</f>
        <v/>
      </c>
      <c r="T88" s="52">
        <f>IF(OR(A88="",F88="",C88&lt;&gt;"Kapak"),0,IF(COUNTIFS($F$8:F88,F88,$C$8:C88,"Kapak")=1,1,0))</f>
        <v/>
      </c>
    </row>
    <row r="89" ht="54" customHeight="1">
      <c r="A89" s="29" t="inlineStr">
        <is>
          <t>eindhoven:photo:18-septemberplein-03</t>
        </is>
      </c>
      <c r="B89" s="29" t="inlineStr">
        <is>
          <t>eindhoven</t>
        </is>
      </c>
      <c r="C89" s="29" t="inlineStr">
        <is>
          <t>Mekân</t>
        </is>
      </c>
      <c r="D89" s="29" t="inlineStr">
        <is>
          <t>eindhoven:18-septemberplein</t>
        </is>
      </c>
      <c r="E89" s="29" t="inlineStr">
        <is>
          <t>Fotoğraflar/eindhoven_18-septemberplein_03.jpg</t>
        </is>
      </c>
      <c r="F89" s="29" t="inlineStr">
        <is>
          <t>dabdaf9a364f70f6be95a8f5a8626d5943a6d9ffd1d451bd1246c3cc5f651c5e</t>
        </is>
      </c>
      <c r="G89" s="29" t="inlineStr">
        <is>
          <t>Meydanın taş zemininden fışkıran küçük fıskiyeler; arkada yayalar, bisikletliler, ağaçlar ve yüksek bir kule</t>
        </is>
      </c>
      <c r="H89" s="29" t="inlineStr">
        <is>
          <t>Ralf Roletschek</t>
        </is>
      </c>
      <c r="I89" s="29" t="inlineStr">
        <is>
          <t>CC BY 3.0</t>
        </is>
      </c>
      <c r="J89" s="29" t="inlineStr">
        <is>
          <t>https://creativecommons.org/licenses/by/3.0/</t>
        </is>
      </c>
      <c r="K89" s="29" t="inlineStr">
        <is>
          <t>https://commons.wikimedia.org/wiki/File:13-06-28-eindhoven-by-RalfR-18.jpg</t>
        </is>
      </c>
      <c r="L89" s="49" t="n">
        <v>41453</v>
      </c>
      <c r="M89" s="49" t="n">
        <v>46317</v>
      </c>
      <c r="N89" s="29" t="inlineStr">
        <is>
          <t>Wikimedia Commons'taki "13-06-28-eindhoven-by-RalfR-18.jpg" (2848×4288 px) özgün dosyasının 1280×1927 px küçültülmüş kopyası indirildi; kırpma, rötuş ve renk düzeltmesi yapılmadı.</t>
        </is>
      </c>
      <c r="O89" s="29" t="inlineStr">
        <is>
          <t>eindhoven:evidence:18-septemberplein-03</t>
        </is>
      </c>
      <c r="P89" s="29" t="inlineStr">
        <is>
          <t>Evet</t>
        </is>
      </c>
      <c r="Q89" s="51" t="n">
        <v>3</v>
      </c>
      <c r="R89" s="29" t="inlineStr">
        <is>
          <t>Taslak</t>
        </is>
      </c>
      <c r="S89" s="52">
        <f>IF(OR(A89="",F89="",C89&lt;&gt;"Mekân"),0,IF(COUNTIFS($F$8:F89,F89,$C$8:C89,"Mekân")=1,1,0))</f>
        <v/>
      </c>
      <c r="T89" s="52">
        <f>IF(OR(A89="",F89="",C89&lt;&gt;"Kapak"),0,IF(COUNTIFS($F$8:F89,F89,$C$8:C89,"Kapak")=1,1,0))</f>
        <v/>
      </c>
    </row>
    <row r="90" ht="54" customHeight="1">
      <c r="A90" s="29" t="inlineStr">
        <is>
          <t>eindhoven:photo:eindhoven-centraal-01</t>
        </is>
      </c>
      <c r="B90" s="29" t="inlineStr">
        <is>
          <t>eindhoven</t>
        </is>
      </c>
      <c r="C90" s="29" t="inlineStr">
        <is>
          <t>Mekân</t>
        </is>
      </c>
      <c r="D90" s="29" t="inlineStr">
        <is>
          <t>eindhoven:eindhoven-centraal</t>
        </is>
      </c>
      <c r="E90" s="29" t="inlineStr">
        <is>
          <t>Fotoğraflar/eindhoven_eindhoven-centraal_01.jpg</t>
        </is>
      </c>
      <c r="F90" s="29" t="inlineStr">
        <is>
          <t>56c16af5ff0b554a3e4f6b9d8d762ab2d289fce623f7c1771150dbf9eaee4719</t>
        </is>
      </c>
      <c r="G90" s="29" t="inlineStr">
        <is>
          <t>Önünde geniş alan bulunan uzun, cam cepheli istasyon binası, çatı kenarındaki tabela ve mavi gökyüzü</t>
        </is>
      </c>
      <c r="H90" s="29" t="inlineStr">
        <is>
          <t>Jan Geerling</t>
        </is>
      </c>
      <c r="I90" s="29" t="inlineStr">
        <is>
          <t>CC BY-SA 4.0</t>
        </is>
      </c>
      <c r="J90" s="29" t="inlineStr">
        <is>
          <t>https://creativecommons.org/licenses/by-sa/4.0/</t>
        </is>
      </c>
      <c r="K90" s="29" t="inlineStr">
        <is>
          <t>https://commons.wikimedia.org/wiki/File:Centraal_Station_Eindhoven_-_Centrum_1803-100.jpg</t>
        </is>
      </c>
      <c r="L90" s="49" t="n"/>
      <c r="M90" s="49" t="n">
        <v>46317</v>
      </c>
      <c r="N90" s="29" t="inlineStr">
        <is>
          <t>Wikimedia Commons'taki "Centraal Station Eindhoven - Centrum 1803-100.jpg" (4359×2452 px) özgün dosyasının 1280×720 px küçültülmüş kopyası indirildi; kırpma, rötuş ve renk düzeltmesi yapılmadı.</t>
        </is>
      </c>
      <c r="O90" s="29" t="inlineStr">
        <is>
          <t>eindhoven:evidence:eindhoven-centraal-01</t>
        </is>
      </c>
      <c r="P90" s="29" t="inlineStr">
        <is>
          <t>Evet</t>
        </is>
      </c>
      <c r="Q90" s="51" t="n">
        <v>1</v>
      </c>
      <c r="R90" s="29" t="inlineStr">
        <is>
          <t>Taslak</t>
        </is>
      </c>
      <c r="S90" s="52">
        <f>IF(OR(A90="",F90="",C90&lt;&gt;"Mekân"),0,IF(COUNTIFS($F$8:F90,F90,$C$8:C90,"Mekân")=1,1,0))</f>
        <v/>
      </c>
      <c r="T90" s="52">
        <f>IF(OR(A90="",F90="",C90&lt;&gt;"Kapak"),0,IF(COUNTIFS($F$8:F90,F90,$C$8:C90,"Kapak")=1,1,0))</f>
        <v/>
      </c>
    </row>
    <row r="91" ht="54" customHeight="1">
      <c r="A91" s="29" t="inlineStr">
        <is>
          <t>eindhoven:photo:eindhoven-centraal-02</t>
        </is>
      </c>
      <c r="B91" s="29" t="inlineStr">
        <is>
          <t>eindhoven</t>
        </is>
      </c>
      <c r="C91" s="29" t="inlineStr">
        <is>
          <t>Mekân</t>
        </is>
      </c>
      <c r="D91" s="29" t="inlineStr">
        <is>
          <t>eindhoven:eindhoven-centraal</t>
        </is>
      </c>
      <c r="E91" s="29" t="inlineStr">
        <is>
          <t>Fotoğraflar/eindhoven_eindhoven-centraal_02.jpg</t>
        </is>
      </c>
      <c r="F91" s="29" t="inlineStr">
        <is>
          <t>9426007903c596ade6eafa0f544934416ff0e39357dd26388e9c0215641eac0c</t>
        </is>
      </c>
      <c r="G91" s="29" t="inlineStr">
        <is>
          <t>Yüksek, ince beton kule ve büyük saatli cam cepheli istasyon girişi; önünde yürüyen yolcular</t>
        </is>
      </c>
      <c r="H91" s="29" t="inlineStr">
        <is>
          <t>Jan Geerling</t>
        </is>
      </c>
      <c r="I91" s="29" t="inlineStr">
        <is>
          <t>CC BY-SA 4.0</t>
        </is>
      </c>
      <c r="J91" s="29" t="inlineStr">
        <is>
          <t>https://creativecommons.org/licenses/by-sa/4.0/</t>
        </is>
      </c>
      <c r="K91" s="29" t="inlineStr">
        <is>
          <t>https://commons.wikimedia.org/wiki/File:Centraal_Station_Eindhoven_-_Centrum_1803-99.jpg</t>
        </is>
      </c>
      <c r="L91" s="49" t="n"/>
      <c r="M91" s="49" t="n">
        <v>46317</v>
      </c>
      <c r="N91" s="29" t="inlineStr">
        <is>
          <t>Wikimedia Commons'taki "Centraal Station Eindhoven - Centrum 1803-99.jpg" (3468×3468 px) özgün dosyasının 1280×1280 px küçültülmüş kopyası indirildi; kırpma, rötuş ve renk düzeltmesi yapılmadı.</t>
        </is>
      </c>
      <c r="O91" s="29" t="inlineStr">
        <is>
          <t>eindhoven:evidence:eindhoven-centraal-02</t>
        </is>
      </c>
      <c r="P91" s="29" t="inlineStr">
        <is>
          <t>Evet</t>
        </is>
      </c>
      <c r="Q91" s="51" t="n">
        <v>2</v>
      </c>
      <c r="R91" s="29" t="inlineStr">
        <is>
          <t>Taslak</t>
        </is>
      </c>
      <c r="S91" s="52">
        <f>IF(OR(A91="",F91="",C91&lt;&gt;"Mekân"),0,IF(COUNTIFS($F$8:F91,F91,$C$8:C91,"Mekân")=1,1,0))</f>
        <v/>
      </c>
      <c r="T91" s="52">
        <f>IF(OR(A91="",F91="",C91&lt;&gt;"Kapak"),0,IF(COUNTIFS($F$8:F91,F91,$C$8:C91,"Kapak")=1,1,0))</f>
        <v/>
      </c>
    </row>
    <row r="92" ht="54" customHeight="1">
      <c r="A92" s="29" t="inlineStr">
        <is>
          <t>eindhoven:photo:eindhoven-centraal-03</t>
        </is>
      </c>
      <c r="B92" s="29" t="inlineStr">
        <is>
          <t>eindhoven</t>
        </is>
      </c>
      <c r="C92" s="29" t="inlineStr">
        <is>
          <t>Mekân</t>
        </is>
      </c>
      <c r="D92" s="29" t="inlineStr">
        <is>
          <t>eindhoven:eindhoven-centraal</t>
        </is>
      </c>
      <c r="E92" s="29" t="inlineStr">
        <is>
          <t>Fotoğraflar/eindhoven_eindhoven-centraal_03.jpg</t>
        </is>
      </c>
      <c r="F92" s="29" t="inlineStr">
        <is>
          <t>5d9866d276b673ad60f7cc2247d68ae451c5c260d36e17760e1099c74713b75f</t>
        </is>
      </c>
      <c r="G92" s="29" t="inlineStr">
        <is>
          <t>Meydanın karşısından görülen alçak, cam cepheli istasyon binası, ince kulesi, arkada yüksek bir bina ve önde park etmiş scooterlar</t>
        </is>
      </c>
      <c r="H92" s="29" t="inlineStr">
        <is>
          <t>Sneeuwvlakte</t>
        </is>
      </c>
      <c r="I92" s="29" t="inlineStr">
        <is>
          <t>CC BY-SA 4.0</t>
        </is>
      </c>
      <c r="J92" s="29" t="inlineStr">
        <is>
          <t>https://creativecommons.org/licenses/by-sa/4.0/</t>
        </is>
      </c>
      <c r="K92" s="29" t="inlineStr">
        <is>
          <t>https://commons.wikimedia.org/wiki/File:Station_Eindhoven_Centraal_(2023).jpg</t>
        </is>
      </c>
      <c r="L92" s="49" t="n">
        <v>45227</v>
      </c>
      <c r="M92" s="49" t="n">
        <v>46317</v>
      </c>
      <c r="N92" s="29" t="inlineStr">
        <is>
          <t>Wikimedia Commons'taki "Station Eindhoven Centraal (2023).jpg" (4608×2592 px) özgün dosyasının 1280×720 px küçültülmüş kopyası indirildi; kırpma, rötuş ve renk düzeltmesi yapılmadı.</t>
        </is>
      </c>
      <c r="O92" s="29" t="inlineStr">
        <is>
          <t>eindhoven:evidence:eindhoven-centraal-03</t>
        </is>
      </c>
      <c r="P92" s="29" t="inlineStr">
        <is>
          <t>Evet</t>
        </is>
      </c>
      <c r="Q92" s="51" t="n">
        <v>3</v>
      </c>
      <c r="R92" s="29" t="inlineStr">
        <is>
          <t>Taslak</t>
        </is>
      </c>
      <c r="S92" s="52">
        <f>IF(OR(A92="",F92="",C92&lt;&gt;"Mekân"),0,IF(COUNTIFS($F$8:F92,F92,$C$8:C92,"Mekân")=1,1,0))</f>
        <v/>
      </c>
      <c r="T92" s="52">
        <f>IF(OR(A92="",F92="",C92&lt;&gt;"Kapak"),0,IF(COUNTIFS($F$8:F92,F92,$C$8:C92,"Kapak")=1,1,0))</f>
        <v/>
      </c>
    </row>
    <row r="93" ht="54" customHeight="1">
      <c r="A93" s="29" t="inlineStr">
        <is>
          <t>eindhoven:photo:huize-de-laak-01</t>
        </is>
      </c>
      <c r="B93" s="29" t="inlineStr">
        <is>
          <t>eindhoven</t>
        </is>
      </c>
      <c r="C93" s="29" t="inlineStr">
        <is>
          <t>Mekân</t>
        </is>
      </c>
      <c r="D93" s="29" t="inlineStr">
        <is>
          <t>eindhoven:huize-de-laak</t>
        </is>
      </c>
      <c r="E93" s="29" t="inlineStr">
        <is>
          <t>Fotoğraflar/eindhoven_huize-de-laak_01.jpg</t>
        </is>
      </c>
      <c r="F93" s="29" t="inlineStr">
        <is>
          <t>d30be382f89b5e3e01b5f2848202de8fe64922c112d25547fffc97af1ce5ae12</t>
        </is>
      </c>
      <c r="G93" s="29" t="inlineStr">
        <is>
          <t>Geniş çimenliğin ardında ağaçlarla çevrili iki katlı tuğla villa, çatısındaki küçük kule ve önündeki beyaz şemsiyeler</t>
        </is>
      </c>
      <c r="H93" s="29" t="inlineStr">
        <is>
          <t>VriendHuug</t>
        </is>
      </c>
      <c r="I93" s="29" t="inlineStr">
        <is>
          <t>CC BY-SA 3.0 nl</t>
        </is>
      </c>
      <c r="J93" s="29" t="inlineStr">
        <is>
          <t>https://creativecommons.org/licenses/by-sa/3.0/nl/deed.en/</t>
        </is>
      </c>
      <c r="K93" s="29" t="inlineStr">
        <is>
          <t>https://commons.wikimedia.org/wiki/File:De_Laak_2012-09-20_15-05-20.jpg</t>
        </is>
      </c>
      <c r="L93" s="49" t="n">
        <v>41172</v>
      </c>
      <c r="M93" s="49" t="n">
        <v>46317</v>
      </c>
      <c r="N93" s="29" t="inlineStr">
        <is>
          <t>Wikimedia Commons'taki "De Laak 2012-09-20 15-05-20.jpg" (2592×1944 px) özgün dosyasının 1280×960 px küçültülmüş kopyası indirildi; kırpma, rötuş ve renk düzeltmesi yapılmadı.</t>
        </is>
      </c>
      <c r="O93" s="29" t="inlineStr">
        <is>
          <t>eindhoven:evidence:huize-de-laak-01</t>
        </is>
      </c>
      <c r="P93" s="29" t="inlineStr">
        <is>
          <t>Evet</t>
        </is>
      </c>
      <c r="Q93" s="51" t="n">
        <v>1</v>
      </c>
      <c r="R93" s="29" t="inlineStr">
        <is>
          <t>Taslak</t>
        </is>
      </c>
      <c r="S93" s="52">
        <f>IF(OR(A93="",F93="",C93&lt;&gt;"Mekân"),0,IF(COUNTIFS($F$8:F93,F93,$C$8:C93,"Mekân")=1,1,0))</f>
        <v/>
      </c>
      <c r="T93" s="52">
        <f>IF(OR(A93="",F93="",C93&lt;&gt;"Kapak"),0,IF(COUNTIFS($F$8:F93,F93,$C$8:C93,"Kapak")=1,1,0))</f>
        <v/>
      </c>
    </row>
    <row r="94" ht="54" customHeight="1">
      <c r="A94" s="29" t="inlineStr">
        <is>
          <t>eindhoven:photo:huize-de-laak-02</t>
        </is>
      </c>
      <c r="B94" s="29" t="inlineStr">
        <is>
          <t>eindhoven</t>
        </is>
      </c>
      <c r="C94" s="29" t="inlineStr">
        <is>
          <t>Mekân</t>
        </is>
      </c>
      <c r="D94" s="29" t="inlineStr">
        <is>
          <t>eindhoven:huize-de-laak</t>
        </is>
      </c>
      <c r="E94" s="29" t="inlineStr">
        <is>
          <t>Fotoğraflar/eindhoven_huize-de-laak_02.jpg</t>
        </is>
      </c>
      <c r="F94" s="29" t="inlineStr">
        <is>
          <t>8fd31c9f825f4805b57eb6298bd6790f610add85b903fac4721875a5256f45a4</t>
        </is>
      </c>
      <c r="G94" s="29" t="inlineStr">
        <is>
          <t>Ağaçların arasından görünen simetrik cepheli tuğla villa, önünde çimenlik ve saksıda bir palmiye</t>
        </is>
      </c>
      <c r="H94" s="29" t="inlineStr">
        <is>
          <t>Mark Bergsma</t>
        </is>
      </c>
      <c r="I94" s="29" t="inlineStr">
        <is>
          <t>CC BY-SA 3.0</t>
        </is>
      </c>
      <c r="J94" s="29" t="inlineStr">
        <is>
          <t>https://creativecommons.org/licenses/by-sa/3.0/</t>
        </is>
      </c>
      <c r="K94" s="29" t="inlineStr">
        <is>
          <t>https://commons.wikimedia.org/wiki/File:DeLaakEindhoven_licht_Rijksmonument518761.jpg</t>
        </is>
      </c>
      <c r="L94" s="49" t="n">
        <v>40076</v>
      </c>
      <c r="M94" s="49" t="n">
        <v>46317</v>
      </c>
      <c r="N94" s="29" t="inlineStr">
        <is>
          <t>Wikimedia Commons'taki "DeLaakEindhoven licht Rijksmonument518761.jpg" (3968×2232 px) özgün dosyasının 1280×720 px küçültülmüş kopyası indirildi; kırpma, rötuş ve renk düzeltmesi yapılmadı.</t>
        </is>
      </c>
      <c r="O94" s="29" t="inlineStr">
        <is>
          <t>eindhoven:evidence:huize-de-laak-02</t>
        </is>
      </c>
      <c r="P94" s="29" t="inlineStr">
        <is>
          <t>Evet</t>
        </is>
      </c>
      <c r="Q94" s="51" t="n">
        <v>2</v>
      </c>
      <c r="R94" s="29" t="inlineStr">
        <is>
          <t>Taslak</t>
        </is>
      </c>
      <c r="S94" s="52">
        <f>IF(OR(A94="",F94="",C94&lt;&gt;"Mekân"),0,IF(COUNTIFS($F$8:F94,F94,$C$8:C94,"Mekân")=1,1,0))</f>
        <v/>
      </c>
      <c r="T94" s="52">
        <f>IF(OR(A94="",F94="",C94&lt;&gt;"Kapak"),0,IF(COUNTIFS($F$8:F94,F94,$C$8:C94,"Kapak")=1,1,0))</f>
        <v/>
      </c>
    </row>
    <row r="95" ht="54" customHeight="1">
      <c r="A95" s="29" t="inlineStr">
        <is>
          <t>eindhoven:photo:philipsdorp-01</t>
        </is>
      </c>
      <c r="B95" s="29" t="inlineStr">
        <is>
          <t>eindhoven</t>
        </is>
      </c>
      <c r="C95" s="29" t="inlineStr">
        <is>
          <t>Mekân</t>
        </is>
      </c>
      <c r="D95" s="29" t="inlineStr">
        <is>
          <t>eindhoven:philipsdorp</t>
        </is>
      </c>
      <c r="E95" s="29" t="inlineStr">
        <is>
          <t>Fotoğraflar/eindhoven_philipsdorp_01.jpg</t>
        </is>
      </c>
      <c r="F95" s="29" t="inlineStr">
        <is>
          <t>6e70d85215f8d576aad0455abf4e2b3a26c8f7399844b79e0d38340007cf73d2</t>
        </is>
      </c>
      <c r="G95" s="29" t="inlineStr">
        <is>
          <t>Tuğla duvarlı ve ahşap kapılı depolar arasında uzanan dar arka yol, sokak lambaları ve arkada cam cepheli yüksek bina</t>
        </is>
      </c>
      <c r="H95" s="29" t="inlineStr">
        <is>
          <t>Jan Geerling</t>
        </is>
      </c>
      <c r="I95" s="29" t="inlineStr">
        <is>
          <t>CC BY-SA 4.0</t>
        </is>
      </c>
      <c r="J95" s="29" t="inlineStr">
        <is>
          <t>https://creativecommons.org/licenses/by-sa/4.0/</t>
        </is>
      </c>
      <c r="K95" s="29" t="inlineStr">
        <is>
          <t>https://commons.wikimedia.org/wiki/File:Achterpad_Keerweerstraat_Eindhoven-_Philipsdorp_1509-123.jpg</t>
        </is>
      </c>
      <c r="L95" s="49" t="n"/>
      <c r="M95" s="49" t="n">
        <v>46317</v>
      </c>
      <c r="N95" s="29" t="inlineStr">
        <is>
          <t>Wikimedia Commons'taki "Achterpad Keerweerstraat Eindhoven- Philipsdorp 1509-123.jpg" (3473×5448 px) özgün dosyasının 1280×2008 px küçültülmüş kopyası indirildi; kırpma, rötuş ve renk düzeltmesi yapılmadı.</t>
        </is>
      </c>
      <c r="O95" s="29" t="inlineStr">
        <is>
          <t>eindhoven:evidence:philipsdorp-01</t>
        </is>
      </c>
      <c r="P95" s="29" t="inlineStr">
        <is>
          <t>Evet</t>
        </is>
      </c>
      <c r="Q95" s="51" t="n">
        <v>1</v>
      </c>
      <c r="R95" s="29" t="inlineStr">
        <is>
          <t>Taslak</t>
        </is>
      </c>
      <c r="S95" s="52">
        <f>IF(OR(A95="",F95="",C95&lt;&gt;"Mekân"),0,IF(COUNTIFS($F$8:F95,F95,$C$8:C95,"Mekân")=1,1,0))</f>
        <v/>
      </c>
      <c r="T95" s="52">
        <f>IF(OR(A95="",F95="",C95&lt;&gt;"Kapak"),0,IF(COUNTIFS($F$8:F95,F95,$C$8:C95,"Kapak")=1,1,0))</f>
        <v/>
      </c>
    </row>
    <row r="96" ht="54" customHeight="1">
      <c r="A96" s="29" t="inlineStr">
        <is>
          <t>eindhoven:photo:philipsdorp-02</t>
        </is>
      </c>
      <c r="B96" s="29" t="inlineStr">
        <is>
          <t>eindhoven</t>
        </is>
      </c>
      <c r="C96" s="29" t="inlineStr">
        <is>
          <t>Mekân</t>
        </is>
      </c>
      <c r="D96" s="29" t="inlineStr">
        <is>
          <t>eindhoven:philipsdorp</t>
        </is>
      </c>
      <c r="E96" s="29" t="inlineStr">
        <is>
          <t>Fotoğraflar/eindhoven_philipsdorp_02.jpg</t>
        </is>
      </c>
      <c r="F96" s="29" t="inlineStr">
        <is>
          <t>ceb33d1d3c84cb9641c82088eb2ec1f66e29f1d8c64cc5aad6693ac5d8e07a09</t>
        </is>
      </c>
      <c r="G96" s="29" t="inlineStr">
        <is>
          <t>Kırmızı kiremit çatılı alçak evlerin arka cepheleri ve arkalarında yükselen mavi cam cepheli çok katlı konut binası</t>
        </is>
      </c>
      <c r="H96" s="29" t="inlineStr">
        <is>
          <t>Jan Geerling</t>
        </is>
      </c>
      <c r="I96" s="29" t="inlineStr">
        <is>
          <t>CC BY-SA 4.0</t>
        </is>
      </c>
      <c r="J96" s="29" t="inlineStr">
        <is>
          <t>https://creativecommons.org/licenses/by-sa/4.0/</t>
        </is>
      </c>
      <c r="K96" s="29" t="inlineStr">
        <is>
          <t>https://commons.wikimedia.org/wiki/File:Achterzijde_woningen_Annastraat_Eindhoven-_Philipsdorp_1509-116.jpg</t>
        </is>
      </c>
      <c r="L96" s="49" t="n"/>
      <c r="M96" s="49" t="n">
        <v>46317</v>
      </c>
      <c r="N96" s="29" t="inlineStr">
        <is>
          <t>Wikimedia Commons'taki "Achterzijde woningen Annastraat Eindhoven- Philipsdorp 1509-116.jpg" (5472×3648 px) özgün dosyasının 1280×853 px küçültülmüş kopyası indirildi; kırpma, rötuş ve renk düzeltmesi yapılmadı.</t>
        </is>
      </c>
      <c r="O96" s="29" t="inlineStr">
        <is>
          <t>eindhoven:evidence:philipsdorp-02</t>
        </is>
      </c>
      <c r="P96" s="29" t="inlineStr">
        <is>
          <t>Evet</t>
        </is>
      </c>
      <c r="Q96" s="51" t="n">
        <v>2</v>
      </c>
      <c r="R96" s="29" t="inlineStr">
        <is>
          <t>Taslak</t>
        </is>
      </c>
      <c r="S96" s="52">
        <f>IF(OR(A96="",F96="",C96&lt;&gt;"Mekân"),0,IF(COUNTIFS($F$8:F96,F96,$C$8:C96,"Mekân")=1,1,0))</f>
        <v/>
      </c>
      <c r="T96" s="52">
        <f>IF(OR(A96="",F96="",C96&lt;&gt;"Kapak"),0,IF(COUNTIFS($F$8:F96,F96,$C$8:C96,"Kapak")=1,1,0))</f>
        <v/>
      </c>
    </row>
    <row r="97" ht="54" customHeight="1">
      <c r="A97" s="29" t="inlineStr">
        <is>
          <t>eindhoven:photo:de-witte-dame-lichtfabriek-01</t>
        </is>
      </c>
      <c r="B97" s="29" t="inlineStr">
        <is>
          <t>eindhoven</t>
        </is>
      </c>
      <c r="C97" s="29" t="inlineStr">
        <is>
          <t>Mekân</t>
        </is>
      </c>
      <c r="D97" s="29" t="inlineStr">
        <is>
          <t>eindhoven:de-witte-dame-lichtfabriek</t>
        </is>
      </c>
      <c r="E97" s="29" t="inlineStr">
        <is>
          <t>Fotoğraflar/eindhoven_de-witte-dame-lichtfabriek_01.jpg</t>
        </is>
      </c>
      <c r="F97" s="29" t="inlineStr">
        <is>
          <t>f756373763d9ad768799ea810e370448c68fa765277cf7a2078103641c946293</t>
        </is>
      </c>
      <c r="G97" s="29" t="inlineStr">
        <is>
          <t>Önünde taş döşeli meydan ve banklar bulunan, köşesinde kule yükselen uzun, çok pencereli beyaz bina</t>
        </is>
      </c>
      <c r="H97" s="29" t="inlineStr">
        <is>
          <t>Johan Bakker</t>
        </is>
      </c>
      <c r="I97" s="29" t="inlineStr">
        <is>
          <t>CC BY-SA 4.0</t>
        </is>
      </c>
      <c r="J97" s="29" t="inlineStr">
        <is>
          <t>https://creativecommons.org/licenses/by-sa/4.0/</t>
        </is>
      </c>
      <c r="K97" s="29" t="inlineStr">
        <is>
          <t>https://commons.wikimedia.org/wiki/File:518718_De_Witte_Dame.jpg</t>
        </is>
      </c>
      <c r="L97" s="49" t="n">
        <v>42288</v>
      </c>
      <c r="M97" s="49" t="n">
        <v>46317</v>
      </c>
      <c r="N97" s="29" t="inlineStr">
        <is>
          <t>Wikimedia Commons'taki "518718 De Witte Dame.jpg" (3000×2261 px) özgün dosyasının 1280×965 px küçültülmüş kopyası indirildi; kırpma, rötuş ve renk düzeltmesi yapılmadı.</t>
        </is>
      </c>
      <c r="O97" s="29" t="inlineStr">
        <is>
          <t>eindhoven:evidence:de-witte-dame-lichtfabriek-01</t>
        </is>
      </c>
      <c r="P97" s="29" t="inlineStr">
        <is>
          <t>Evet</t>
        </is>
      </c>
      <c r="Q97" s="51" t="n">
        <v>1</v>
      </c>
      <c r="R97" s="29" t="inlineStr">
        <is>
          <t>Taslak</t>
        </is>
      </c>
      <c r="S97" s="52">
        <f>IF(OR(A97="",F97="",C97&lt;&gt;"Mekân"),0,IF(COUNTIFS($F$8:F97,F97,$C$8:C97,"Mekân")=1,1,0))</f>
        <v/>
      </c>
      <c r="T97" s="52">
        <f>IF(OR(A97="",F97="",C97&lt;&gt;"Kapak"),0,IF(COUNTIFS($F$8:F97,F97,$C$8:C97,"Kapak")=1,1,0))</f>
        <v/>
      </c>
    </row>
    <row r="98" ht="54" customHeight="1">
      <c r="A98" s="29" t="inlineStr">
        <is>
          <t>eindhoven:photo:de-witte-dame-lichtfabriek-02</t>
        </is>
      </c>
      <c r="B98" s="29" t="inlineStr">
        <is>
          <t>eindhoven</t>
        </is>
      </c>
      <c r="C98" s="29" t="inlineStr">
        <is>
          <t>Mekân</t>
        </is>
      </c>
      <c r="D98" s="29" t="inlineStr">
        <is>
          <t>eindhoven:de-witte-dame-lichtfabriek</t>
        </is>
      </c>
      <c r="E98" s="29" t="inlineStr">
        <is>
          <t>Fotoğraflar/eindhoven_de-witte-dame-lichtfabriek_02.jpg</t>
        </is>
      </c>
      <c r="F98" s="29" t="inlineStr">
        <is>
          <t>ae2c6f7d4399b768c8b192d505152b67e342d3c59ce27bd4549cad3ded136d50</t>
        </is>
      </c>
      <c r="G98" s="29" t="inlineStr">
        <is>
          <t>Aydınlık beyaz iç mekânda kitap rafları, çalışma masaları, tavandaki açık havalandırma boruları ve yürüyen ziyaretçiler</t>
        </is>
      </c>
      <c r="H98" s="29" t="inlineStr">
        <is>
          <t>Mirjamvg</t>
        </is>
      </c>
      <c r="I98" s="29" t="inlineStr">
        <is>
          <t>CC BY-SA 4.0</t>
        </is>
      </c>
      <c r="J98" s="29" t="inlineStr">
        <is>
          <t>https://creativecommons.org/licenses/by-sa/4.0/</t>
        </is>
      </c>
      <c r="K98" s="29" t="inlineStr">
        <is>
          <t>https://commons.wikimedia.org/wiki/File:De_Witte_Dame_bibliotheek.jpg</t>
        </is>
      </c>
      <c r="L98" s="49" t="n">
        <v>43895</v>
      </c>
      <c r="M98" s="49" t="n">
        <v>46317</v>
      </c>
      <c r="N98" s="29" t="inlineStr">
        <is>
          <t>Wikimedia Commons'taki "De Witte Dame bibliotheek.jpg" (3720×2480 px) özgün dosyasının 1280×853 px küçültülmüş kopyası indirildi; kırpma, rötuş ve renk düzeltmesi yapılmadı.</t>
        </is>
      </c>
      <c r="O98" s="29" t="inlineStr">
        <is>
          <t>eindhoven:evidence:de-witte-dame-lichtfabriek-02</t>
        </is>
      </c>
      <c r="P98" s="29" t="inlineStr">
        <is>
          <t>Evet</t>
        </is>
      </c>
      <c r="Q98" s="51" t="n">
        <v>2</v>
      </c>
      <c r="R98" s="29" t="inlineStr">
        <is>
          <t>Taslak</t>
        </is>
      </c>
      <c r="S98" s="52">
        <f>IF(OR(A98="",F98="",C98&lt;&gt;"Mekân"),0,IF(COUNTIFS($F$8:F98,F98,$C$8:C98,"Mekân")=1,1,0))</f>
        <v/>
      </c>
      <c r="T98" s="52">
        <f>IF(OR(A98="",F98="",C98&lt;&gt;"Kapak"),0,IF(COUNTIFS($F$8:F98,F98,$C$8:C98,"Kapak")=1,1,0))</f>
        <v/>
      </c>
    </row>
    <row r="99" ht="54" customHeight="1">
      <c r="A99" s="29" t="inlineStr">
        <is>
          <t>eindhoven:photo:de-witte-dame-lichtfabriek-03</t>
        </is>
      </c>
      <c r="B99" s="29" t="inlineStr">
        <is>
          <t>eindhoven</t>
        </is>
      </c>
      <c r="C99" s="29" t="inlineStr">
        <is>
          <t>Mekân</t>
        </is>
      </c>
      <c r="D99" s="29" t="inlineStr">
        <is>
          <t>eindhoven:de-witte-dame-lichtfabriek</t>
        </is>
      </c>
      <c r="E99" s="29" t="inlineStr">
        <is>
          <t>Fotoğraflar/eindhoven_de-witte-dame-lichtfabriek_03.jpg</t>
        </is>
      </c>
      <c r="F99" s="29" t="inlineStr">
        <is>
          <t>1a878e8e49215c3dd22bca75518cf68fb99e115ae79e7095f6ebd79dff7bc3df</t>
        </is>
      </c>
      <c r="G99" s="29" t="inlineStr">
        <is>
          <t>Çıplak ağaçların ardında yükselen, düzenli pencere sıralı büyük beyaz bina ve önündeki mavi trafik tabelası</t>
        </is>
      </c>
      <c r="H99" s="29" t="inlineStr">
        <is>
          <t>Romaine</t>
        </is>
      </c>
      <c r="I99" s="29" t="inlineStr">
        <is>
          <t>CC0 1.0</t>
        </is>
      </c>
      <c r="J99" s="29" t="inlineStr">
        <is>
          <t>https://creativecommons.org/publicdomain/zero/1.0/</t>
        </is>
      </c>
      <c r="K99" s="29" t="inlineStr">
        <is>
          <t>https://commons.wikimedia.org/wiki/File:Eindhoven-Witte_Dame_(1).jpg</t>
        </is>
      </c>
      <c r="L99" s="49" t="n">
        <v>42381</v>
      </c>
      <c r="M99" s="49" t="n">
        <v>46317</v>
      </c>
      <c r="N99" s="29" t="inlineStr">
        <is>
          <t>Wikimedia Commons'taki "Eindhoven-Witte Dame (1).jpg" (5312×2988 px) özgün dosyasının 1280×720 px küçültülmüş kopyası indirildi; kırpma, rötuş ve renk düzeltmesi yapılmadı.</t>
        </is>
      </c>
      <c r="O99" s="29" t="inlineStr">
        <is>
          <t>eindhoven:evidence:de-witte-dame-lichtfabriek-03</t>
        </is>
      </c>
      <c r="P99" s="29" t="inlineStr">
        <is>
          <t>Evet</t>
        </is>
      </c>
      <c r="Q99" s="51" t="n">
        <v>3</v>
      </c>
      <c r="R99" s="29" t="inlineStr">
        <is>
          <t>Taslak</t>
        </is>
      </c>
      <c r="S99" s="52">
        <f>IF(OR(A99="",F99="",C99&lt;&gt;"Mekân"),0,IF(COUNTIFS($F$8:F99,F99,$C$8:C99,"Mekân")=1,1,0))</f>
        <v/>
      </c>
      <c r="T99" s="52">
        <f>IF(OR(A99="",F99="",C99&lt;&gt;"Kapak"),0,IF(COUNTIFS($F$8:F99,F99,$C$8:C99,"Kapak")=1,1,0))</f>
        <v/>
      </c>
    </row>
    <row r="100" ht="54" customHeight="1">
      <c r="A100" s="29" t="inlineStr">
        <is>
          <t>eindhoven:photo:ton-smits-huis-01</t>
        </is>
      </c>
      <c r="B100" s="29" t="inlineStr">
        <is>
          <t>eindhoven</t>
        </is>
      </c>
      <c r="C100" s="29" t="inlineStr">
        <is>
          <t>Mekân</t>
        </is>
      </c>
      <c r="D100" s="29" t="inlineStr">
        <is>
          <t>eindhoven:ton-smits-huis</t>
        </is>
      </c>
      <c r="E100" s="29" t="inlineStr">
        <is>
          <t>Fotoğraflar/eindhoven_ton-smits-huis_01.jpg</t>
        </is>
      </c>
      <c r="F100" s="29" t="inlineStr">
        <is>
          <t>a7775201c0f7036b6c3d0d5b883510a8d76e022a9eb0348b903919671ad01081</t>
        </is>
      </c>
      <c r="G100" s="29" t="inlineStr">
        <is>
          <t>Cephesinde 'Ton Smits Huis' yazısı bulunan açık mavi iki katlı ev; önünde çit, çöp konteynerleri ve park etmiş arabalar</t>
        </is>
      </c>
      <c r="H100" s="29" t="inlineStr">
        <is>
          <t>Rosemoon</t>
        </is>
      </c>
      <c r="I100" s="29" t="inlineStr">
        <is>
          <t>CC BY-SA 4.0</t>
        </is>
      </c>
      <c r="J100" s="29" t="inlineStr">
        <is>
          <t>https://creativecommons.org/licenses/by-sa/4.0/</t>
        </is>
      </c>
      <c r="K100" s="29" t="inlineStr">
        <is>
          <t>https://commons.wikimedia.org/wiki/File:Jacob_Reviuslaan_25,_Eindhoven-2.jpg</t>
        </is>
      </c>
      <c r="L100" s="49" t="n"/>
      <c r="M100" s="49" t="n">
        <v>46317</v>
      </c>
      <c r="N100" s="29" t="inlineStr">
        <is>
          <t>Wikimedia Commons'taki "Jacob Reviuslaan 25, Eindhoven-2.jpg" (6000×4000 px) özgün dosyasının 1280×853 px küçültülmüş kopyası indirildi; kırpma, rötuş ve renk düzeltmesi yapılmadı.</t>
        </is>
      </c>
      <c r="O100" s="29" t="inlineStr">
        <is>
          <t>eindhoven:evidence:ton-smits-huis-01</t>
        </is>
      </c>
      <c r="P100" s="29" t="inlineStr">
        <is>
          <t>Evet</t>
        </is>
      </c>
      <c r="Q100" s="51" t="n">
        <v>1</v>
      </c>
      <c r="R100" s="29" t="inlineStr">
        <is>
          <t>Taslak</t>
        </is>
      </c>
      <c r="S100" s="52">
        <f>IF(OR(A100="",F100="",C100&lt;&gt;"Mekân"),0,IF(COUNTIFS($F$8:F100,F100,$C$8:C100,"Mekân")=1,1,0))</f>
        <v/>
      </c>
      <c r="T100" s="52">
        <f>IF(OR(A100="",F100="",C100&lt;&gt;"Kapak"),0,IF(COUNTIFS($F$8:F100,F100,$C$8:C100,"Kapak")=1,1,0))</f>
        <v/>
      </c>
    </row>
    <row r="101" ht="54" customHeight="1">
      <c r="A101" s="29" t="inlineStr">
        <is>
          <t>eindhoven:photo:ton-smits-huis-02</t>
        </is>
      </c>
      <c r="B101" s="29" t="inlineStr">
        <is>
          <t>eindhoven</t>
        </is>
      </c>
      <c r="C101" s="29" t="inlineStr">
        <is>
          <t>Mekân</t>
        </is>
      </c>
      <c r="D101" s="29" t="inlineStr">
        <is>
          <t>eindhoven:ton-smits-huis</t>
        </is>
      </c>
      <c r="E101" s="29" t="inlineStr">
        <is>
          <t>Fotoğraflar/eindhoven_ton-smits-huis_02.jpg</t>
        </is>
      </c>
      <c r="F101" s="29" t="inlineStr">
        <is>
          <t>370b72515f8746b1db8e8e2a3288b63735a37affc94bd4936c74d9fe0ce9e667</t>
        </is>
      </c>
      <c r="G101" s="29" t="inlineStr">
        <is>
          <t>Köşeden görülen açık mavi, eğik çatılı ev; önünde budanmış çit, sokak lambası ve bayrak direği</t>
        </is>
      </c>
      <c r="H101" s="29" t="inlineStr">
        <is>
          <t>Rosemoon</t>
        </is>
      </c>
      <c r="I101" s="29" t="inlineStr">
        <is>
          <t>CC BY-SA 4.0</t>
        </is>
      </c>
      <c r="J101" s="29" t="inlineStr">
        <is>
          <t>https://creativecommons.org/licenses/by-sa/4.0/</t>
        </is>
      </c>
      <c r="K101" s="29" t="inlineStr">
        <is>
          <t>https://commons.wikimedia.org/wiki/File:Jacob_Reviuslaan_25,_Eindhoven.jpg</t>
        </is>
      </c>
      <c r="L101" s="49" t="n"/>
      <c r="M101" s="49" t="n">
        <v>46317</v>
      </c>
      <c r="N101" s="29" t="inlineStr">
        <is>
          <t>Wikimedia Commons'taki "Jacob Reviuslaan 25, Eindhoven.jpg" (6000×4000 px) özgün dosyasının 1280×853 px küçültülmüş kopyası indirildi; kırpma, rötuş ve renk düzeltmesi yapılmadı.</t>
        </is>
      </c>
      <c r="O101" s="29" t="inlineStr">
        <is>
          <t>eindhoven:evidence:ton-smits-huis-02</t>
        </is>
      </c>
      <c r="P101" s="29" t="inlineStr">
        <is>
          <t>Evet</t>
        </is>
      </c>
      <c r="Q101" s="51" t="n">
        <v>2</v>
      </c>
      <c r="R101" s="29" t="inlineStr">
        <is>
          <t>Taslak</t>
        </is>
      </c>
      <c r="S101" s="52">
        <f>IF(OR(A101="",F101="",C101&lt;&gt;"Mekân"),0,IF(COUNTIFS($F$8:F101,F101,$C$8:C101,"Mekân")=1,1,0))</f>
        <v/>
      </c>
      <c r="T101" s="52">
        <f>IF(OR(A101="",F101="",C101&lt;&gt;"Kapak"),0,IF(COUNTIFS($F$8:F101,F101,$C$8:C101,"Kapak")=1,1,0))</f>
        <v/>
      </c>
    </row>
    <row r="102" ht="54" customHeight="1">
      <c r="A102" s="29" t="inlineStr">
        <is>
          <t>eindhoven:photo:ton-smits-huis-03</t>
        </is>
      </c>
      <c r="B102" s="29" t="inlineStr">
        <is>
          <t>eindhoven</t>
        </is>
      </c>
      <c r="C102" s="29" t="inlineStr">
        <is>
          <t>Mekân</t>
        </is>
      </c>
      <c r="D102" s="29" t="inlineStr">
        <is>
          <t>eindhoven:ton-smits-huis</t>
        </is>
      </c>
      <c r="E102" s="29" t="inlineStr">
        <is>
          <t>Fotoğraflar/eindhoven_ton-smits-huis_03.jpg</t>
        </is>
      </c>
      <c r="F102" s="29" t="inlineStr">
        <is>
          <t>7065e52be6ddd2c99c96da63820482b39df3aee926daafa97720ee1eb7942724</t>
        </is>
      </c>
      <c r="G102" s="29" t="inlineStr">
        <is>
          <t>Açık mavi evin cephesindeki 'Ton Smits Huis' yazısı, bayrak, sokak lambası ve önündeki alçak çit</t>
        </is>
      </c>
      <c r="H102" s="29" t="inlineStr">
        <is>
          <t>Rosemoon</t>
        </is>
      </c>
      <c r="I102" s="29" t="inlineStr">
        <is>
          <t>CC BY-SA 3.0</t>
        </is>
      </c>
      <c r="J102" s="29" t="inlineStr">
        <is>
          <t>https://creativecommons.org/licenses/by-sa/3.0/</t>
        </is>
      </c>
      <c r="K102" s="29" t="inlineStr">
        <is>
          <t>https://commons.wikimedia.org/wiki/File:Ton_Smitshuis_Eindhoven.JPG</t>
        </is>
      </c>
      <c r="L102" s="49" t="n">
        <v>40888</v>
      </c>
      <c r="M102" s="49" t="n">
        <v>46317</v>
      </c>
      <c r="N102" s="29" t="inlineStr">
        <is>
          <t>Wikimedia Commons'taki "Ton Smitshuis Eindhoven.JPG" (4320×3240 px) özgün dosyasının 1280×960 px küçültülmüş kopyası indirildi; kırpma, rötuş ve renk düzeltmesi yapılmadı.</t>
        </is>
      </c>
      <c r="O102" s="29" t="inlineStr">
        <is>
          <t>eindhoven:evidence:ton-smits-huis-03</t>
        </is>
      </c>
      <c r="P102" s="29" t="inlineStr">
        <is>
          <t>Evet</t>
        </is>
      </c>
      <c r="Q102" s="51" t="n">
        <v>3</v>
      </c>
      <c r="R102" s="29" t="inlineStr">
        <is>
          <t>Taslak</t>
        </is>
      </c>
      <c r="S102" s="52">
        <f>IF(OR(A102="",F102="",C102&lt;&gt;"Mekân"),0,IF(COUNTIFS($F$8:F102,F102,$C$8:C102,"Mekân")=1,1,0))</f>
        <v/>
      </c>
      <c r="T102" s="52">
        <f>IF(OR(A102="",F102="",C102&lt;&gt;"Kapak"),0,IF(COUNTIFS($F$8:F102,F102,$C$8:C102,"Kapak")=1,1,0))</f>
        <v/>
      </c>
    </row>
    <row r="103" ht="54" customHeight="1">
      <c r="A103" s="29" t="inlineStr">
        <is>
          <t>eindhoven:photo:stadhuis-van-eindhoven-01</t>
        </is>
      </c>
      <c r="B103" s="29" t="inlineStr">
        <is>
          <t>eindhoven</t>
        </is>
      </c>
      <c r="C103" s="29" t="inlineStr">
        <is>
          <t>Mekân</t>
        </is>
      </c>
      <c r="D103" s="29" t="inlineStr">
        <is>
          <t>eindhoven:stadhuis-van-eindhoven</t>
        </is>
      </c>
      <c r="E103" s="29" t="inlineStr">
        <is>
          <t>Fotoğraflar/eindhoven_stadhuis-van-eindhoven_01.jpg</t>
        </is>
      </c>
      <c r="F103" s="29" t="inlineStr">
        <is>
          <t>a8e868fceec5041991f471c0c7b236b586568ec858afcc398df01eeb7a9075c3</t>
        </is>
      </c>
      <c r="G103" s="29" t="inlineStr">
        <is>
          <t>Belediye binasının arka cephesi: yatay pencere şeritli yüksek beton blok ve alçak kanadı, önde yeşil kıyılı küçük bir dere.</t>
        </is>
      </c>
      <c r="H103" s="29" t="inlineStr">
        <is>
          <t>Kris Roderburg</t>
        </is>
      </c>
      <c r="I103" s="29" t="inlineStr">
        <is>
          <t>CC BY-SA 4.0</t>
        </is>
      </c>
      <c r="J103" s="29" t="inlineStr">
        <is>
          <t>https://creativecommons.org/licenses/by-sa/4.0/</t>
        </is>
      </c>
      <c r="K103" s="29" t="inlineStr">
        <is>
          <t>https://commons.wikimedia.org/wiki/File:Overzicht_achtergevel_stadhuis_-_Eindhoven_-_20413336_-_RCE.jpg</t>
        </is>
      </c>
      <c r="L103" s="49" t="n"/>
      <c r="M103" s="49" t="n">
        <v>46317</v>
      </c>
      <c r="N103" s="29" t="inlineStr">
        <is>
          <t>Wikimedia Commons'taki "Overzicht achtergevel stadhuis - Eindhoven - 20413336 - RCE.jpg" (2901×2904 px) özgün dosyasının 1280×1281 px küçültülmüş kopyası indirildi; kırpma, rötuş ve renk düzeltmesi yapılmadı.</t>
        </is>
      </c>
      <c r="O103" s="29" t="inlineStr">
        <is>
          <t>eindhoven:evidence:stadhuis-van-eindhoven-01</t>
        </is>
      </c>
      <c r="P103" s="29" t="inlineStr">
        <is>
          <t>Evet</t>
        </is>
      </c>
      <c r="Q103" s="51" t="n">
        <v>1</v>
      </c>
      <c r="R103" s="29" t="inlineStr">
        <is>
          <t>Taslak</t>
        </is>
      </c>
      <c r="S103" s="52">
        <f>IF(OR(A103="",F103="",C103&lt;&gt;"Mekân"),0,IF(COUNTIFS($F$8:F103,F103,$C$8:C103,"Mekân")=1,1,0))</f>
        <v/>
      </c>
      <c r="T103" s="52">
        <f>IF(OR(A103="",F103="",C103&lt;&gt;"Kapak"),0,IF(COUNTIFS($F$8:F103,F103,$C$8:C103,"Kapak")=1,1,0))</f>
        <v/>
      </c>
    </row>
    <row r="104" ht="54" customHeight="1">
      <c r="A104" s="29" t="inlineStr">
        <is>
          <t>eindhoven:photo:centrum-bolgesi-01</t>
        </is>
      </c>
      <c r="B104" s="29" t="inlineStr">
        <is>
          <t>eindhoven</t>
        </is>
      </c>
      <c r="C104" s="29" t="inlineStr">
        <is>
          <t>Mekân</t>
        </is>
      </c>
      <c r="D104" s="29" t="inlineStr">
        <is>
          <t>eindhoven:centrum-bolgesi</t>
        </is>
      </c>
      <c r="E104" s="29" t="inlineStr">
        <is>
          <t>Fotoğraflar/eindhoven_centrum-bolgesi_01.jpg</t>
        </is>
      </c>
      <c r="F104" s="29" t="inlineStr">
        <is>
          <t>f6075515d4eb2780a5a90e920e8cde99f48bf1925faea1a05a2e9ad0d63491be</t>
        </is>
      </c>
      <c r="G104" s="29" t="inlineStr">
        <is>
          <t>Üçgen cam panellerle kaplı damla biçimli cam bina; arkasında beyaz bir yüksek yapı ve çevresinde merkezdeki diğer binalar.</t>
        </is>
      </c>
      <c r="H104" s="29" t="inlineStr">
        <is>
          <t>Ralf Roletschek</t>
        </is>
      </c>
      <c r="I104" s="29" t="inlineStr">
        <is>
          <t>CC BY 3.0</t>
        </is>
      </c>
      <c r="J104" s="29" t="inlineStr">
        <is>
          <t>https://creativecommons.org/licenses/by/3.0/</t>
        </is>
      </c>
      <c r="K104" s="29" t="inlineStr">
        <is>
          <t>https://commons.wikimedia.org/wiki/File:13-06-28-eindhoven-by-RalfR-07.jpg</t>
        </is>
      </c>
      <c r="L104" s="49" t="n">
        <v>41453</v>
      </c>
      <c r="M104" s="49" t="n">
        <v>46317</v>
      </c>
      <c r="N104" s="29" t="inlineStr">
        <is>
          <t>Wikimedia Commons'taki "13-06-28-eindhoven-by-RalfR-07.jpg" (2848×3185 px) özgün dosyasının 1280×1431 px küçültülmüş kopyası indirildi; kırpma, rötuş ve renk düzeltmesi yapılmadı.</t>
        </is>
      </c>
      <c r="O104" s="29" t="inlineStr">
        <is>
          <t>eindhoven:evidence:centrum-bolgesi-01</t>
        </is>
      </c>
      <c r="P104" s="29" t="inlineStr">
        <is>
          <t>Evet</t>
        </is>
      </c>
      <c r="Q104" s="51" t="n">
        <v>1</v>
      </c>
      <c r="R104" s="29" t="inlineStr">
        <is>
          <t>Taslak</t>
        </is>
      </c>
      <c r="S104" s="52">
        <f>IF(OR(A104="",F104="",C104&lt;&gt;"Mekân"),0,IF(COUNTIFS($F$8:F104,F104,$C$8:C104,"Mekân")=1,1,0))</f>
        <v/>
      </c>
      <c r="T104" s="52">
        <f>IF(OR(A104="",F104="",C104&lt;&gt;"Kapak"),0,IF(COUNTIFS($F$8:F104,F104,$C$8:C104,"Kapak")=1,1,0))</f>
        <v/>
      </c>
    </row>
    <row r="105" ht="54" customHeight="1">
      <c r="A105" s="29" t="inlineStr">
        <is>
          <t>eindhoven:photo:centrum-bolgesi-02</t>
        </is>
      </c>
      <c r="B105" s="29" t="inlineStr">
        <is>
          <t>eindhoven</t>
        </is>
      </c>
      <c r="C105" s="29" t="inlineStr">
        <is>
          <t>Mekân</t>
        </is>
      </c>
      <c r="D105" s="29" t="inlineStr">
        <is>
          <t>eindhoven:centrum-bolgesi</t>
        </is>
      </c>
      <c r="E105" s="29" t="inlineStr">
        <is>
          <t>Fotoğraflar/eindhoven_centrum-bolgesi_02.jpg</t>
        </is>
      </c>
      <c r="F105" s="29" t="inlineStr">
        <is>
          <t>9111d73e691b1616feb4e6f29515b13f663f97552869e2826477acee0866f3c1</t>
        </is>
      </c>
      <c r="G105" s="29" t="inlineStr">
        <is>
          <t>Kemerli kapı dizisi olan tuğla itfaiye ve ambulans binası; camlı kapıların ardında kırmızı itfaiye araçları, önde geniş yol ve arkada bir vinç.</t>
        </is>
      </c>
      <c r="H105" s="29" t="inlineStr">
        <is>
          <t>S. Perquin</t>
        </is>
      </c>
      <c r="I105" s="29" t="inlineStr">
        <is>
          <t>CC BY-SA 4.0</t>
        </is>
      </c>
      <c r="J105" s="29" t="inlineStr">
        <is>
          <t>https://creativecommons.org/licenses/by-sa/4.0/</t>
        </is>
      </c>
      <c r="K105" s="29" t="inlineStr">
        <is>
          <t>https://commons.wikimedia.org/wiki/File:Brandweerkazerne_Eindhoven-centrum.jpg</t>
        </is>
      </c>
      <c r="L105" s="49" t="n">
        <v>45172</v>
      </c>
      <c r="M105" s="49" t="n">
        <v>46317</v>
      </c>
      <c r="N105" s="29" t="inlineStr">
        <is>
          <t>Wikimedia Commons'taki "Brandweerkazerne Eindhoven-centrum.jpg" (4674×2448 px) özgün dosyasının 1280×670 px küçültülmüş kopyası indirildi; kırpma, rötuş ve renk düzeltmesi yapılmadı.</t>
        </is>
      </c>
      <c r="O105" s="29" t="inlineStr">
        <is>
          <t>eindhoven:evidence:centrum-bolgesi-02</t>
        </is>
      </c>
      <c r="P105" s="29" t="inlineStr">
        <is>
          <t>Evet</t>
        </is>
      </c>
      <c r="Q105" s="51" t="n">
        <v>2</v>
      </c>
      <c r="R105" s="29" t="inlineStr">
        <is>
          <t>Taslak</t>
        </is>
      </c>
      <c r="S105" s="52">
        <f>IF(OR(A105="",F105="",C105&lt;&gt;"Mekân"),0,IF(COUNTIFS($F$8:F105,F105,$C$8:C105,"Mekân")=1,1,0))</f>
        <v/>
      </c>
      <c r="T105" s="52">
        <f>IF(OR(A105="",F105="",C105&lt;&gt;"Kapak"),0,IF(COUNTIFS($F$8:F105,F105,$C$8:C105,"Kapak")=1,1,0))</f>
        <v/>
      </c>
    </row>
    <row r="106" ht="54" customHeight="1">
      <c r="A106" s="29" t="inlineStr">
        <is>
          <t>eindhoven:photo:de-bergen-mahallesi-01</t>
        </is>
      </c>
      <c r="B106" s="29" t="inlineStr">
        <is>
          <t>eindhoven</t>
        </is>
      </c>
      <c r="C106" s="29" t="inlineStr">
        <is>
          <t>Mekân</t>
        </is>
      </c>
      <c r="D106" s="29" t="inlineStr">
        <is>
          <t>eindhoven:de-bergen-mahallesi</t>
        </is>
      </c>
      <c r="E106" s="29" t="inlineStr">
        <is>
          <t>Fotoğraflar/eindhoven_de-bergen-mahallesi_01.jpg</t>
        </is>
      </c>
      <c r="F106" s="29" t="inlineStr">
        <is>
          <t>c7a1c29e1096b5f02be754260d6cf9263c4690f165d502e8c5552afed18ee82c</t>
        </is>
      </c>
      <c r="G106" s="29" t="inlineStr">
        <is>
          <t>Sarmaşıklı tuğla sıra evler ve genç ağaçlarla çevrili dar bir sokak; kenarda park etmiş arabalar ve kırmızı bir minibüs.</t>
        </is>
      </c>
      <c r="H106" s="29" t="inlineStr">
        <is>
          <t>Lempkesfabriek</t>
        </is>
      </c>
      <c r="I106" s="29" t="inlineStr">
        <is>
          <t>Public domain</t>
        </is>
      </c>
      <c r="J106" s="29" t="inlineStr">
        <is>
          <t>https://commons.wikimedia.org/wiki/File:Catharinastraat_Eindhoven.jpg</t>
        </is>
      </c>
      <c r="K106" s="29" t="inlineStr">
        <is>
          <t>https://commons.wikimedia.org/wiki/File:Catharinastraat_Eindhoven.jpg</t>
        </is>
      </c>
      <c r="L106" s="49" t="n">
        <v>39607</v>
      </c>
      <c r="M106" s="49" t="n">
        <v>46317</v>
      </c>
      <c r="N106" s="29" t="inlineStr">
        <is>
          <t>Wikimedia Commons'taki "Catharinastraat Eindhoven.jpg" (2368×2120 px) özgün dosyasının 1280×1146 px küçültülmüş kopyası indirildi; kırpma, rötuş ve renk düzeltmesi yapılmadı.</t>
        </is>
      </c>
      <c r="O106" s="29" t="inlineStr">
        <is>
          <t>eindhoven:evidence:de-bergen-mahallesi-01</t>
        </is>
      </c>
      <c r="P106" s="29" t="inlineStr">
        <is>
          <t>Evet</t>
        </is>
      </c>
      <c r="Q106" s="51" t="n">
        <v>1</v>
      </c>
      <c r="R106" s="29" t="inlineStr">
        <is>
          <t>Taslak</t>
        </is>
      </c>
      <c r="S106" s="52">
        <f>IF(OR(A106="",F106="",C106&lt;&gt;"Mekân"),0,IF(COUNTIFS($F$8:F106,F106,$C$8:C106,"Mekân")=1,1,0))</f>
        <v/>
      </c>
      <c r="T106" s="52">
        <f>IF(OR(A106="",F106="",C106&lt;&gt;"Kapak"),0,IF(COUNTIFS($F$8:F106,F106,$C$8:C106,"Kapak")=1,1,0))</f>
        <v/>
      </c>
    </row>
    <row r="107" ht="54" customHeight="1">
      <c r="A107" s="29" t="inlineStr">
        <is>
          <t>eindhoven:photo:strijp-s-mahallesi-01</t>
        </is>
      </c>
      <c r="B107" s="29" t="inlineStr">
        <is>
          <t>eindhoven</t>
        </is>
      </c>
      <c r="C107" s="29" t="inlineStr">
        <is>
          <t>Mekân</t>
        </is>
      </c>
      <c r="D107" s="29" t="inlineStr">
        <is>
          <t>eindhoven:strijp-s-mahallesi</t>
        </is>
      </c>
      <c r="E107" s="29" t="inlineStr">
        <is>
          <t>Fotoğraflar/eindhoven_strijp-s-mahallesi_01.jpg</t>
        </is>
      </c>
      <c r="F107" s="29" t="inlineStr">
        <is>
          <t>2266d94f10a3a8b620e4bad43f78426425a2a862bcaf4369122841295bfe18af</t>
        </is>
      </c>
      <c r="G107" s="29" t="inlineStr">
        <is>
          <t>Çatısında ağaç sırası bulunan büyük, çok pencereli beyaz bina; önünde ağaçlı geniş yol, sokak lambaları ve park edilmiş bisikletler.</t>
        </is>
      </c>
      <c r="H107" s="29" t="inlineStr">
        <is>
          <t>Nanda Sluijsmans from Den Haag, Nederland</t>
        </is>
      </c>
      <c r="I107" s="29" t="inlineStr">
        <is>
          <t>CC BY-SA 2.0</t>
        </is>
      </c>
      <c r="J107" s="29" t="inlineStr">
        <is>
          <t>https://creativecommons.org/licenses/by-sa/2.0/</t>
        </is>
      </c>
      <c r="K107" s="29" t="inlineStr">
        <is>
          <t>https://commons.wikimedia.org/wiki/File:Bomen_op_het_dak_in_Strijp-S_in_Eindhoven_(48023562136).jpg</t>
        </is>
      </c>
      <c r="L107" s="49" t="n">
        <v>43618</v>
      </c>
      <c r="M107" s="49" t="n">
        <v>46317</v>
      </c>
      <c r="N107" s="29" t="inlineStr">
        <is>
          <t>Wikimedia Commons'taki "Bomen op het dak in Strijp-S in Eindhoven (48023562136).jpg" (5312×2988 px) özgün dosyasının 1280×720 px küçültülmüş kopyası indirildi; kırpma, rötuş ve renk düzeltmesi yapılmadı.</t>
        </is>
      </c>
      <c r="O107" s="29" t="inlineStr">
        <is>
          <t>eindhoven:evidence:strijp-s-mahallesi-01</t>
        </is>
      </c>
      <c r="P107" s="29" t="inlineStr">
        <is>
          <t>Evet</t>
        </is>
      </c>
      <c r="Q107" s="51" t="n">
        <v>1</v>
      </c>
      <c r="R107" s="29" t="inlineStr">
        <is>
          <t>Taslak</t>
        </is>
      </c>
      <c r="S107" s="52">
        <f>IF(OR(A107="",F107="",C107&lt;&gt;"Mekân"),0,IF(COUNTIFS($F$8:F107,F107,$C$8:C107,"Mekân")=1,1,0))</f>
        <v/>
      </c>
      <c r="T107" s="52">
        <f>IF(OR(A107="",F107="",C107&lt;&gt;"Kapak"),0,IF(COUNTIFS($F$8:F107,F107,$C$8:C107,"Kapak")=1,1,0))</f>
        <v/>
      </c>
    </row>
    <row r="108" ht="54" customHeight="1">
      <c r="A108" s="29" t="inlineStr">
        <is>
          <t>eindhoven:photo:philipsdorp-mahallesi-01</t>
        </is>
      </c>
      <c r="B108" s="29" t="inlineStr">
        <is>
          <t>eindhoven</t>
        </is>
      </c>
      <c r="C108" s="29" t="inlineStr">
        <is>
          <t>Mekân</t>
        </is>
      </c>
      <c r="D108" s="29" t="inlineStr">
        <is>
          <t>eindhoven:philipsdorp-mahallesi</t>
        </is>
      </c>
      <c r="E108" s="29" t="inlineStr">
        <is>
          <t>Fotoğraflar/eindhoven_philipsdorp-mahallesi_01.jpg</t>
        </is>
      </c>
      <c r="F108" s="29" t="inlineStr">
        <is>
          <t>34a6bd5346aaf0af894dbfad2849da74b2b4ae024d17df70be285625ec1a2ba7</t>
        </is>
      </c>
      <c r="G108" s="29" t="inlineStr">
        <is>
          <t>Kırmızı çatılı sıra evler ve saat kuleli taş kilisenin bulunduğu cadde; arka planda stadyumun beyaz çatı konstrüksiyonu, önde beyaz bir kamyonet.</t>
        </is>
      </c>
      <c r="H108" s="29" t="inlineStr">
        <is>
          <t>Jan Geerling</t>
        </is>
      </c>
      <c r="I108" s="29" t="inlineStr">
        <is>
          <t>CC BY-SA 4.0</t>
        </is>
      </c>
      <c r="J108" s="29" t="inlineStr">
        <is>
          <t>https://creativecommons.org/licenses/by-sa/4.0/</t>
        </is>
      </c>
      <c r="K108" s="29" t="inlineStr">
        <is>
          <t>https://commons.wikimedia.org/wiki/File:Eindhoven_-_Philipsdorp.jpg</t>
        </is>
      </c>
      <c r="L108" s="49" t="n"/>
      <c r="M108" s="49" t="n">
        <v>46317</v>
      </c>
      <c r="N108" s="29" t="inlineStr">
        <is>
          <t>Wikimedia Commons'taki "Eindhoven - Philipsdorp.jpg" (3048×3048 px) özgün dosyasının 1280×1280 px küçültülmüş kopyası indirildi; kırpma, rötuş ve renk düzeltmesi yapılmadı.</t>
        </is>
      </c>
      <c r="O108" s="29" t="inlineStr">
        <is>
          <t>eindhoven:evidence:philipsdorp-mahallesi-01</t>
        </is>
      </c>
      <c r="P108" s="29" t="inlineStr">
        <is>
          <t>Evet</t>
        </is>
      </c>
      <c r="Q108" s="51" t="n">
        <v>1</v>
      </c>
      <c r="R108" s="29" t="inlineStr">
        <is>
          <t>Taslak</t>
        </is>
      </c>
      <c r="S108" s="52">
        <f>IF(OR(A108="",F108="",C108&lt;&gt;"Mekân"),0,IF(COUNTIFS($F$8:F108,F108,$C$8:C108,"Mekân")=1,1,0))</f>
        <v/>
      </c>
      <c r="T108" s="52">
        <f>IF(OR(A108="",F108="",C108&lt;&gt;"Kapak"),0,IF(COUNTIFS($F$8:F108,F108,$C$8:C108,"Kapak")=1,1,0))</f>
        <v/>
      </c>
    </row>
    <row r="109" ht="54" customHeight="1">
      <c r="A109" s="29" t="inlineStr">
        <is>
          <t>eindhoven:photo:meerhoven-mahallesi-01</t>
        </is>
      </c>
      <c r="B109" s="29" t="inlineStr">
        <is>
          <t>eindhoven</t>
        </is>
      </c>
      <c r="C109" s="29" t="inlineStr">
        <is>
          <t>Mekân</t>
        </is>
      </c>
      <c r="D109" s="29" t="inlineStr">
        <is>
          <t>eindhoven:meerhoven-mahallesi</t>
        </is>
      </c>
      <c r="E109" s="29" t="inlineStr">
        <is>
          <t>Fotoğraflar/eindhoven_meerhoven-mahallesi_01.jpg</t>
        </is>
      </c>
      <c r="F109" s="29" t="inlineStr">
        <is>
          <t>c67814232fef84ac8a0f50f533e36e70d5229cc0d1b027adf3a385cc624816e3</t>
        </is>
      </c>
      <c r="G109" s="29" t="inlineStr">
        <is>
          <t>Geniş çimenlik ve gölün ardında yükselen kırmızı tuğla cepheli konut kulesi; yanında alçak apartman blokları ve uzakta diğer konutlar.</t>
        </is>
      </c>
      <c r="H109" s="29" t="inlineStr">
        <is>
          <t>Alex P. Kok</t>
        </is>
      </c>
      <c r="I109" s="29" t="inlineStr">
        <is>
          <t>CC BY-SA 4.0</t>
        </is>
      </c>
      <c r="J109" s="29" t="inlineStr">
        <is>
          <t>https://creativecommons.org/licenses/by-sa/4.0/</t>
        </is>
      </c>
      <c r="K109" s="29" t="inlineStr">
        <is>
          <t>https://commons.wikimedia.org/wiki/File:Eindhoven,_wijk_Meerhoven,_buurt_Meerrijk_met_op_de_achtergrond_Zandrijk.jpg</t>
        </is>
      </c>
      <c r="L109" s="49" t="n">
        <v>44509</v>
      </c>
      <c r="M109" s="49" t="n">
        <v>46317</v>
      </c>
      <c r="N109" s="29" t="inlineStr">
        <is>
          <t>Wikimedia Commons'taki "Eindhoven, wijk Meerhoven, buurt Meerrijk met op de achtergrond Zandrijk.jpg" (5568×3132 px) özgün dosyasının 1280×720 px küçültülmüş kopyası indirildi; kırpma, rötuş ve renk düzeltmesi yapılmadı.</t>
        </is>
      </c>
      <c r="O109" s="29" t="inlineStr">
        <is>
          <t>eindhoven:evidence:meerhoven-mahallesi-01</t>
        </is>
      </c>
      <c r="P109" s="29" t="inlineStr">
        <is>
          <t>Evet</t>
        </is>
      </c>
      <c r="Q109" s="51" t="n">
        <v>1</v>
      </c>
      <c r="R109" s="29" t="inlineStr">
        <is>
          <t>Taslak</t>
        </is>
      </c>
      <c r="S109" s="52">
        <f>IF(OR(A109="",F109="",C109&lt;&gt;"Mekân"),0,IF(COUNTIFS($F$8:F109,F109,$C$8:C109,"Mekân")=1,1,0))</f>
        <v/>
      </c>
      <c r="T109" s="52">
        <f>IF(OR(A109="",F109="",C109&lt;&gt;"Kapak"),0,IF(COUNTIFS($F$8:F109,F109,$C$8:C109,"Kapak")=1,1,0))</f>
        <v/>
      </c>
    </row>
    <row r="110" ht="54" customHeight="1">
      <c r="A110" s="29" t="inlineStr">
        <is>
          <t>eindhoven:photo:meerhoven-mahallesi-02</t>
        </is>
      </c>
      <c r="B110" s="29" t="inlineStr">
        <is>
          <t>eindhoven</t>
        </is>
      </c>
      <c r="C110" s="29" t="inlineStr">
        <is>
          <t>Mekân</t>
        </is>
      </c>
      <c r="D110" s="29" t="inlineStr">
        <is>
          <t>eindhoven:meerhoven-mahallesi</t>
        </is>
      </c>
      <c r="E110" s="29" t="inlineStr">
        <is>
          <t>Fotoğraflar/eindhoven_meerhoven-mahallesi_02.jpg</t>
        </is>
      </c>
      <c r="F110" s="29" t="inlineStr">
        <is>
          <t>01a26c9bad2cf8a04dc3ce11b9930a55a2af94115bfebe404fb8c577db20029a</t>
        </is>
      </c>
      <c r="G110" s="29" t="inlineStr">
        <is>
          <t>Kayalar arasından akan küçük bir dere, çimenli şevler ve çevresini saran ağaçlık alan.</t>
        </is>
      </c>
      <c r="H110" s="29" t="inlineStr">
        <is>
          <t>Dennal</t>
        </is>
      </c>
      <c r="I110" s="29" t="inlineStr">
        <is>
          <t>CC BY-SA 4.0</t>
        </is>
      </c>
      <c r="J110" s="29" t="inlineStr">
        <is>
          <t>https://creativecommons.org/licenses/by-sa/4.0/</t>
        </is>
      </c>
      <c r="K110" s="29" t="inlineStr">
        <is>
          <t>https://commons.wikimedia.org/wiki/File:Natuur_in_Eindhoven_-_Meerhoven.jpg</t>
        </is>
      </c>
      <c r="L110" s="49" t="n">
        <v>41909</v>
      </c>
      <c r="M110" s="49" t="n">
        <v>46317</v>
      </c>
      <c r="N110" s="29" t="inlineStr">
        <is>
          <t>Wikimedia Commons'taki "Natuur in Eindhoven - Meerhoven.jpg" (3264×1836 px) özgün dosyasının 1280×720 px küçültülmüş kopyası indirildi; kırpma, rötuş ve renk düzeltmesi yapılmadı.</t>
        </is>
      </c>
      <c r="O110" s="29" t="inlineStr">
        <is>
          <t>eindhoven:evidence:meerhoven-mahallesi-02</t>
        </is>
      </c>
      <c r="P110" s="29" t="inlineStr">
        <is>
          <t>Evet</t>
        </is>
      </c>
      <c r="Q110" s="51" t="n">
        <v>2</v>
      </c>
      <c r="R110" s="29" t="inlineStr">
        <is>
          <t>Taslak</t>
        </is>
      </c>
      <c r="S110" s="52">
        <f>IF(OR(A110="",F110="",C110&lt;&gt;"Mekân"),0,IF(COUNTIFS($F$8:F110,F110,$C$8:C110,"Mekân")=1,1,0))</f>
        <v/>
      </c>
      <c r="T110" s="52">
        <f>IF(OR(A110="",F110="",C110&lt;&gt;"Kapak"),0,IF(COUNTIFS($F$8:F110,F110,$C$8:C110,"Kapak")=1,1,0))</f>
        <v/>
      </c>
    </row>
    <row r="111" ht="54" customHeight="1">
      <c r="A111" s="29" t="inlineStr">
        <is>
          <t>eindhoven:photo:meerhoven-mahallesi-03</t>
        </is>
      </c>
      <c r="B111" s="29" t="inlineStr">
        <is>
          <t>eindhoven</t>
        </is>
      </c>
      <c r="C111" s="29" t="inlineStr">
        <is>
          <t>Mekân</t>
        </is>
      </c>
      <c r="D111" s="29" t="inlineStr">
        <is>
          <t>eindhoven:meerhoven-mahallesi</t>
        </is>
      </c>
      <c r="E111" s="29" t="inlineStr">
        <is>
          <t>Fotoğraflar/eindhoven_meerhoven-mahallesi_03.jpg</t>
        </is>
      </c>
      <c r="F111" s="29" t="inlineStr">
        <is>
          <t>45f650c827d666c1457dd0c159bd0f9bab6057bad08cb8d811d546941f3fb28d</t>
        </is>
      </c>
      <c r="G111" s="29" t="inlineStr">
        <is>
          <t>Su kenarında yükselen, balkonlu kırmızı tuğla konut kulesi ve yanındaki alçak apartman bloğu.</t>
        </is>
      </c>
      <c r="H111" s="29" t="inlineStr">
        <is>
          <t>S. Perquin</t>
        </is>
      </c>
      <c r="I111" s="29" t="inlineStr">
        <is>
          <t>CC BY-SA 4.0</t>
        </is>
      </c>
      <c r="J111" s="29" t="inlineStr">
        <is>
          <t>https://creativecommons.org/licenses/by-sa/4.0/</t>
        </is>
      </c>
      <c r="K111" s="29" t="inlineStr">
        <is>
          <t>https://commons.wikimedia.org/wiki/File:Woontoren_Meerzicht.jpg</t>
        </is>
      </c>
      <c r="L111" s="49" t="n">
        <v>45172</v>
      </c>
      <c r="M111" s="49" t="n">
        <v>46317</v>
      </c>
      <c r="N111" s="29" t="inlineStr">
        <is>
          <t>Wikimedia Commons'taki "Woontoren Meerzicht.jpg" (3912×5868 px) özgün dosyasının 1280×1920 px küçültülmüş kopyası indirildi; kırpma, rötuş ve renk düzeltmesi yapılmadı.</t>
        </is>
      </c>
      <c r="O111" s="29" t="inlineStr">
        <is>
          <t>eindhoven:evidence:meerhoven-mahallesi-03</t>
        </is>
      </c>
      <c r="P111" s="29" t="inlineStr">
        <is>
          <t>Evet</t>
        </is>
      </c>
      <c r="Q111" s="51" t="n">
        <v>3</v>
      </c>
      <c r="R111" s="29" t="inlineStr">
        <is>
          <t>Taslak</t>
        </is>
      </c>
      <c r="S111" s="52">
        <f>IF(OR(A111="",F111="",C111&lt;&gt;"Mekân"),0,IF(COUNTIFS($F$8:F111,F111,$C$8:C111,"Mekân")=1,1,0))</f>
        <v/>
      </c>
      <c r="T111" s="52">
        <f>IF(OR(A111="",F111="",C111&lt;&gt;"Kapak"),0,IF(COUNTIFS($F$8:F111,F111,$C$8:C111,"Kapak")=1,1,0))</f>
        <v/>
      </c>
    </row>
    <row r="112" ht="54" customHeight="1">
      <c r="A112" s="29" t="inlineStr">
        <is>
          <t>eindhoven:photo:woensel-zuid-bolgesi-01</t>
        </is>
      </c>
      <c r="B112" s="29" t="inlineStr">
        <is>
          <t>eindhoven</t>
        </is>
      </c>
      <c r="C112" s="29" t="inlineStr">
        <is>
          <t>Mekân</t>
        </is>
      </c>
      <c r="D112" s="29" t="inlineStr">
        <is>
          <t>eindhoven:woensel-zuid-bolgesi</t>
        </is>
      </c>
      <c r="E112" s="29" t="inlineStr">
        <is>
          <t>Fotoğraflar/eindhoven_woensel-zuid-bolgesi_01.jpg</t>
        </is>
      </c>
      <c r="F112" s="29" t="inlineStr">
        <is>
          <t>ee5eec4a30829be14269e3ce6cea06a4100a12c1c52fa7ac995c1183e8410656</t>
        </is>
      </c>
      <c r="G112" s="29" t="inlineStr">
        <is>
          <t>Sütunlu girişi ve çatısında küçük saat kulesi olan beyaz bina; cephede turuncu 'Soestdijk II' tabelası, önünde çöp konteynerleri.</t>
        </is>
      </c>
      <c r="H112" s="29" t="inlineStr">
        <is>
          <t>Hoebele</t>
        </is>
      </c>
      <c r="I112" s="29" t="inlineStr">
        <is>
          <t>CC BY-SA 4.0</t>
        </is>
      </c>
      <c r="J112" s="29" t="inlineStr">
        <is>
          <t>https://creativecommons.org/licenses/by-sa/4.0/</t>
        </is>
      </c>
      <c r="K112" s="29" t="inlineStr">
        <is>
          <t>https://commons.wikimedia.org/wiki/File:Eindhoven_-_Marconilaan_Soestdijk_II.jpg</t>
        </is>
      </c>
      <c r="L112" s="49" t="n">
        <v>42983</v>
      </c>
      <c r="M112" s="49" t="n">
        <v>46317</v>
      </c>
      <c r="N112" s="29" t="inlineStr">
        <is>
          <t>Wikimedia Commons'taki "Eindhoven - Marconilaan Soestdijk II.jpg" (3264×1840 px) özgün dosyasının 1280×722 px küçültülmüş kopyası indirildi; kırpma, rötuş ve renk düzeltmesi yapılmadı.</t>
        </is>
      </c>
      <c r="O112" s="29" t="inlineStr">
        <is>
          <t>eindhoven:evidence:woensel-zuid-bolgesi-01</t>
        </is>
      </c>
      <c r="P112" s="29" t="inlineStr">
        <is>
          <t>Evet</t>
        </is>
      </c>
      <c r="Q112" s="51" t="n">
        <v>1</v>
      </c>
      <c r="R112" s="29" t="inlineStr">
        <is>
          <t>Taslak</t>
        </is>
      </c>
      <c r="S112" s="52">
        <f>IF(OR(A112="",F112="",C112&lt;&gt;"Mekân"),0,IF(COUNTIFS($F$8:F112,F112,$C$8:C112,"Mekân")=1,1,0))</f>
        <v/>
      </c>
      <c r="T112" s="52">
        <f>IF(OR(A112="",F112="",C112&lt;&gt;"Kapak"),0,IF(COUNTIFS($F$8:F112,F112,$C$8:C112,"Kapak")=1,1,0))</f>
        <v/>
      </c>
    </row>
    <row r="113" ht="54" customHeight="1">
      <c r="A113" s="29" t="inlineStr">
        <is>
          <t>eindhoven:photo:woensel-zuid-bolgesi-02</t>
        </is>
      </c>
      <c r="B113" s="29" t="inlineStr">
        <is>
          <t>eindhoven</t>
        </is>
      </c>
      <c r="C113" s="29" t="inlineStr">
        <is>
          <t>Mekân</t>
        </is>
      </c>
      <c r="D113" s="29" t="inlineStr">
        <is>
          <t>eindhoven:woensel-zuid-bolgesi</t>
        </is>
      </c>
      <c r="E113" s="29" t="inlineStr">
        <is>
          <t>Fotoğraflar/eindhoven_woensel-zuid-bolgesi_02.jpg</t>
        </is>
      </c>
      <c r="F113" s="29" t="inlineStr">
        <is>
          <t>dbc9709abaf705af60bd0b4e32e614e1a5447734146101e5120db4831b1925fb</t>
        </is>
      </c>
      <c r="G113" s="29" t="inlineStr">
        <is>
          <t>Koyu renk cepheli, bir yanında beyaz pencere şeridi bulunan çok katlı konut kulesi; dibinde yol, alçak bir bina ve park etmiş araçlar.</t>
        </is>
      </c>
      <c r="H113" s="29" t="inlineStr">
        <is>
          <t>Choinowski</t>
        </is>
      </c>
      <c r="I113" s="29" t="inlineStr">
        <is>
          <t>CC BY-SA 4.0</t>
        </is>
      </c>
      <c r="J113" s="29" t="inlineStr">
        <is>
          <t>https://creativecommons.org/licenses/by-sa/4.0/</t>
        </is>
      </c>
      <c r="K113" s="29" t="inlineStr">
        <is>
          <t>https://commons.wikimedia.org/wiki/File:Woontoren_Porthos_Eindhoven.jpg</t>
        </is>
      </c>
      <c r="L113" s="49" t="n">
        <v>42619</v>
      </c>
      <c r="M113" s="49" t="n">
        <v>46317</v>
      </c>
      <c r="N113" s="29" t="inlineStr">
        <is>
          <t>Wikimedia Commons'taki "Woontoren Porthos Eindhoven.jpg" (3300×4952 px) özgün dosyasının 1280×1921 px küçültülmüş kopyası indirildi; kırpma, rötuş ve renk düzeltmesi yapılmadı.</t>
        </is>
      </c>
      <c r="O113" s="29" t="inlineStr">
        <is>
          <t>eindhoven:evidence:woensel-zuid-bolgesi-02</t>
        </is>
      </c>
      <c r="P113" s="29" t="inlineStr">
        <is>
          <t>Evet</t>
        </is>
      </c>
      <c r="Q113" s="51" t="n">
        <v>2</v>
      </c>
      <c r="R113" s="29" t="inlineStr">
        <is>
          <t>Taslak</t>
        </is>
      </c>
      <c r="S113" s="52">
        <f>IF(OR(A113="",F113="",C113&lt;&gt;"Mekân"),0,IF(COUNTIFS($F$8:F113,F113,$C$8:C113,"Mekân")=1,1,0))</f>
        <v/>
      </c>
      <c r="T113" s="52">
        <f>IF(OR(A113="",F113="",C113&lt;&gt;"Kapak"),0,IF(COUNTIFS($F$8:F113,F113,$C$8:C113,"Kapak")=1,1,0))</f>
        <v/>
      </c>
    </row>
    <row r="114" ht="54" customHeight="1">
      <c r="A114" s="29" t="inlineStr">
        <is>
          <t>eindhoven:photo:woensel-zuid-bolgesi-03</t>
        </is>
      </c>
      <c r="B114" s="29" t="inlineStr">
        <is>
          <t>eindhoven</t>
        </is>
      </c>
      <c r="C114" s="29" t="inlineStr">
        <is>
          <t>Mekân</t>
        </is>
      </c>
      <c r="D114" s="29" t="inlineStr">
        <is>
          <t>eindhoven:woensel-zuid-bolgesi</t>
        </is>
      </c>
      <c r="E114" s="29" t="inlineStr">
        <is>
          <t>Fotoğraflar/eindhoven_woensel-zuid-bolgesi_03.jpg</t>
        </is>
      </c>
      <c r="F114" s="29" t="inlineStr">
        <is>
          <t>07cdb8a329fc5ef95780ae50cdc5968a2028d2b55c8675ed131679f3b363cbf4</t>
        </is>
      </c>
      <c r="G114" s="29" t="inlineStr">
        <is>
          <t>Balkonlu, gri-kahverengi tuğla cepheli çok katlı konut bloğu ve önündeki çalılık, çimenli boş alan.</t>
        </is>
      </c>
      <c r="H114" s="29" t="inlineStr">
        <is>
          <t>Choinowski</t>
        </is>
      </c>
      <c r="I114" s="29" t="inlineStr">
        <is>
          <t>CC BY-SA 4.0</t>
        </is>
      </c>
      <c r="J114" s="29" t="inlineStr">
        <is>
          <t>https://creativecommons.org/licenses/by-sa/4.0/</t>
        </is>
      </c>
      <c r="K114" s="29" t="inlineStr">
        <is>
          <t>https://commons.wikimedia.org/wiki/File:Woontoren_Scottlaan_Eindhoven.jpg</t>
        </is>
      </c>
      <c r="L114" s="49" t="n">
        <v>44142</v>
      </c>
      <c r="M114" s="49" t="n">
        <v>46317</v>
      </c>
      <c r="N114" s="29" t="inlineStr">
        <is>
          <t>Wikimedia Commons'taki "Woontoren Scottlaan Eindhoven.jpg" (3234×4851 px) özgün dosyasının 1280×1920 px küçültülmüş kopyası indirildi; kırpma, rötuş ve renk düzeltmesi yapılmadı.</t>
        </is>
      </c>
      <c r="O114" s="29" t="inlineStr">
        <is>
          <t>eindhoven:evidence:woensel-zuid-bolgesi-03</t>
        </is>
      </c>
      <c r="P114" s="29" t="inlineStr">
        <is>
          <t>Evet</t>
        </is>
      </c>
      <c r="Q114" s="51" t="n">
        <v>3</v>
      </c>
      <c r="R114" s="29" t="inlineStr">
        <is>
          <t>Taslak</t>
        </is>
      </c>
      <c r="S114" s="52">
        <f>IF(OR(A114="",F114="",C114&lt;&gt;"Mekân"),0,IF(COUNTIFS($F$8:F114,F114,$C$8:C114,"Mekân")=1,1,0))</f>
        <v/>
      </c>
      <c r="T114" s="52">
        <f>IF(OR(A114="",F114="",C114&lt;&gt;"Kapak"),0,IF(COUNTIFS($F$8:F114,F114,$C$8:C114,"Kapak")=1,1,0))</f>
        <v/>
      </c>
    </row>
    <row r="115" ht="54" customHeight="1">
      <c r="A115" s="29" t="inlineStr">
        <is>
          <t>eindhoven:photo:stratum-bolgesi-01</t>
        </is>
      </c>
      <c r="B115" s="29" t="inlineStr">
        <is>
          <t>eindhoven</t>
        </is>
      </c>
      <c r="C115" s="29" t="inlineStr">
        <is>
          <t>Mekân</t>
        </is>
      </c>
      <c r="D115" s="29" t="inlineStr">
        <is>
          <t>eindhoven:stratum-bolgesi</t>
        </is>
      </c>
      <c r="E115" s="29" t="inlineStr">
        <is>
          <t>Fotoğraflar/eindhoven_stratum-bolgesi_01.jpg</t>
        </is>
      </c>
      <c r="F115" s="29" t="inlineStr">
        <is>
          <t>c8285e68d0af3ad97ba0a9bd1ec98656ad41f1ee38a28974a5afbeef6bac1d4d</t>
        </is>
      </c>
      <c r="G115" s="29" t="inlineStr">
        <is>
          <t>Kırmızı bisiklet yolu olan geniş cadde; iki yanda fenerli tuğla köprü korkulukları, yapraksız büyük ağaçlar ve uzakta evler.</t>
        </is>
      </c>
      <c r="H115" s="29" t="inlineStr">
        <is>
          <t>Sjenghai</t>
        </is>
      </c>
      <c r="I115" s="29" t="inlineStr">
        <is>
          <t>CC BY-SA 4.0</t>
        </is>
      </c>
      <c r="J115" s="29" t="inlineStr">
        <is>
          <t>https://creativecommons.org/licenses/by-sa/4.0/</t>
        </is>
      </c>
      <c r="K115" s="29" t="inlineStr">
        <is>
          <t>https://commons.wikimedia.org/wiki/File:Eindhoven_-_Stratum_-_Elzent-Noord_-_Jan_Smitzlaan_-_Elzentbrug_-_2026-03-01.jpg</t>
        </is>
      </c>
      <c r="L115" s="49" t="n">
        <v>46082</v>
      </c>
      <c r="M115" s="49" t="n">
        <v>46317</v>
      </c>
      <c r="N115" s="29" t="inlineStr">
        <is>
          <t>Wikimedia Commons'taki "Eindhoven - Stratum - Elzent-Noord - Jan Smitzlaan - Elzentbrug - 2026-03-01.jpg" (4040×2440 px) özgün dosyasının 1280×773 px küçültülmüş kopyası indirildi; kırpma, rötuş ve renk düzeltmesi yapılmadı.</t>
        </is>
      </c>
      <c r="O115" s="29" t="inlineStr">
        <is>
          <t>eindhoven:evidence:stratum-bolgesi-01</t>
        </is>
      </c>
      <c r="P115" s="29" t="inlineStr">
        <is>
          <t>Evet</t>
        </is>
      </c>
      <c r="Q115" s="51" t="n">
        <v>1</v>
      </c>
      <c r="R115" s="29" t="inlineStr">
        <is>
          <t>Taslak</t>
        </is>
      </c>
      <c r="S115" s="52">
        <f>IF(OR(A115="",F115="",C115&lt;&gt;"Mekân"),0,IF(COUNTIFS($F$8:F115,F115,$C$8:C115,"Mekân")=1,1,0))</f>
        <v/>
      </c>
      <c r="T115" s="52">
        <f>IF(OR(A115="",F115="",C115&lt;&gt;"Kapak"),0,IF(COUNTIFS($F$8:F115,F115,$C$8:C115,"Kapak")=1,1,0))</f>
        <v/>
      </c>
    </row>
    <row r="116" ht="54" customHeight="1">
      <c r="A116" s="29" t="inlineStr">
        <is>
          <t>eindhoven:photo:stratum-bolgesi-02</t>
        </is>
      </c>
      <c r="B116" s="29" t="inlineStr">
        <is>
          <t>eindhoven</t>
        </is>
      </c>
      <c r="C116" s="29" t="inlineStr">
        <is>
          <t>Mekân</t>
        </is>
      </c>
      <c r="D116" s="29" t="inlineStr">
        <is>
          <t>eindhoven:stratum-bolgesi</t>
        </is>
      </c>
      <c r="E116" s="29" t="inlineStr">
        <is>
          <t>Fotoğraflar/eindhoven_stratum-bolgesi_02.jpg</t>
        </is>
      </c>
      <c r="F116" s="29" t="inlineStr">
        <is>
          <t>5d65e87a7fbca92dc802fa8482a5941b0b30a2d94d8c5990d2fe7f31fc72df7f</t>
        </is>
      </c>
      <c r="G116" s="29" t="inlineStr">
        <is>
          <t>Kırmızı kiremit çatılı, yüksek bacalı tuğla evler ve çitlerle çevrili, taş döşeli sakin bir konut sokağı.</t>
        </is>
      </c>
      <c r="H116" s="29" t="inlineStr">
        <is>
          <t>Sjenghai</t>
        </is>
      </c>
      <c r="I116" s="29" t="inlineStr">
        <is>
          <t>CC BY-SA 4.0</t>
        </is>
      </c>
      <c r="J116" s="29" t="inlineStr">
        <is>
          <t>https://creativecommons.org/licenses/by-sa/4.0/</t>
        </is>
      </c>
      <c r="K116" s="29" t="inlineStr">
        <is>
          <t>https://commons.wikimedia.org/wiki/File:Eindhoven_-_Stratum_-_Elzent-Zuid_-_De_Genestetlaan_-_2026-03-01.jpg</t>
        </is>
      </c>
      <c r="L116" s="49" t="n">
        <v>46082</v>
      </c>
      <c r="M116" s="49" t="n">
        <v>46317</v>
      </c>
      <c r="N116" s="29" t="inlineStr">
        <is>
          <t>Wikimedia Commons'taki "Eindhoven - Stratum - Elzent-Zuid - De Genestetlaan - 2026-03-01.jpg" (3260×2504 px) özgün dosyasının 1280×983 px küçültülmüş kopyası indirildi; kırpma, rötuş ve renk düzeltmesi yapılmadı.</t>
        </is>
      </c>
      <c r="O116" s="29" t="inlineStr">
        <is>
          <t>eindhoven:evidence:stratum-bolgesi-02</t>
        </is>
      </c>
      <c r="P116" s="29" t="inlineStr">
        <is>
          <t>Evet</t>
        </is>
      </c>
      <c r="Q116" s="51" t="n">
        <v>2</v>
      </c>
      <c r="R116" s="29" t="inlineStr">
        <is>
          <t>Taslak</t>
        </is>
      </c>
      <c r="S116" s="52">
        <f>IF(OR(A116="",F116="",C116&lt;&gt;"Mekân"),0,IF(COUNTIFS($F$8:F116,F116,$C$8:C116,"Mekân")=1,1,0))</f>
        <v/>
      </c>
      <c r="T116" s="52">
        <f>IF(OR(A116="",F116="",C116&lt;&gt;"Kapak"),0,IF(COUNTIFS($F$8:F116,F116,$C$8:C116,"Kapak")=1,1,0))</f>
        <v/>
      </c>
    </row>
    <row r="117" ht="54" customHeight="1">
      <c r="A117" s="29" t="inlineStr">
        <is>
          <t>eindhoven:photo:stratum-bolgesi-03</t>
        </is>
      </c>
      <c r="B117" s="29" t="inlineStr">
        <is>
          <t>eindhoven</t>
        </is>
      </c>
      <c r="C117" s="29" t="inlineStr">
        <is>
          <t>Mekân</t>
        </is>
      </c>
      <c r="D117" s="29" t="inlineStr">
        <is>
          <t>eindhoven:stratum-bolgesi</t>
        </is>
      </c>
      <c r="E117" s="29" t="inlineStr">
        <is>
          <t>Fotoğraflar/eindhoven_stratum-bolgesi_03.jpg</t>
        </is>
      </c>
      <c r="F117" s="29" t="inlineStr">
        <is>
          <t>1ce90b528842397e538477248f381a6b5482cb6ab75d137bf708bebd9898f896</t>
        </is>
      </c>
      <c r="G117" s="29" t="inlineStr">
        <is>
          <t>Tepesinde haç, içinde çan görünen açık kule ve yuvarlak pencereli sarı tuğla kilise binası; önünde ağaçlar ve park etmiş arabalar.</t>
        </is>
      </c>
      <c r="H117" s="29" t="inlineStr">
        <is>
          <t>Machiel Lock</t>
        </is>
      </c>
      <c r="I117" s="29" t="inlineStr">
        <is>
          <t>CC BY-SA 4.0</t>
        </is>
      </c>
      <c r="J117" s="29" t="inlineStr">
        <is>
          <t>https://creativecommons.org/licenses/by-sa/4.0/</t>
        </is>
      </c>
      <c r="K117" s="29" t="inlineStr">
        <is>
          <t>https://commons.wikimedia.org/wiki/File:Eindhoven_H._Pius_X_Kerk,_Stratum.jpg</t>
        </is>
      </c>
      <c r="L117" s="49" t="n">
        <v>39662</v>
      </c>
      <c r="M117" s="49" t="n">
        <v>46317</v>
      </c>
      <c r="N117" s="29" t="inlineStr">
        <is>
          <t>Wikimedia Commons'taki "Eindhoven H. Pius X Kerk, Stratum.jpg" (3264×2448 px) özgün dosyasının 1280×960 px küçültülmüş kopyası indirildi; kırpma, rötuş ve renk düzeltmesi yapılmadı.</t>
        </is>
      </c>
      <c r="O117" s="29" t="inlineStr">
        <is>
          <t>eindhoven:evidence:stratum-bolgesi-03</t>
        </is>
      </c>
      <c r="P117" s="29" t="inlineStr">
        <is>
          <t>Evet</t>
        </is>
      </c>
      <c r="Q117" s="51" t="n">
        <v>3</v>
      </c>
      <c r="R117" s="29" t="inlineStr">
        <is>
          <t>Taslak</t>
        </is>
      </c>
      <c r="S117" s="52">
        <f>IF(OR(A117="",F117="",C117&lt;&gt;"Mekân"),0,IF(COUNTIFS($F$8:F117,F117,$C$8:C117,"Mekân")=1,1,0))</f>
        <v/>
      </c>
      <c r="T117" s="52">
        <f>IF(OR(A117="",F117="",C117&lt;&gt;"Kapak"),0,IF(COUNTIFS($F$8:F117,F117,$C$8:C117,"Kapak")=1,1,0))</f>
        <v/>
      </c>
    </row>
    <row r="118" ht="54" customHeight="1">
      <c r="A118" s="29" t="inlineStr">
        <is>
          <t>eindhoven:photo:witte-dorp-mahallesi-01</t>
        </is>
      </c>
      <c r="B118" s="29" t="inlineStr">
        <is>
          <t>eindhoven</t>
        </is>
      </c>
      <c r="C118" s="29" t="inlineStr">
        <is>
          <t>Mekân</t>
        </is>
      </c>
      <c r="D118" s="29" t="inlineStr">
        <is>
          <t>eindhoven:witte-dorp-mahallesi</t>
        </is>
      </c>
      <c r="E118" s="29" t="inlineStr">
        <is>
          <t>Fotoğraflar/eindhoven_witte-dorp-mahallesi_01.jpg</t>
        </is>
      </c>
      <c r="F118" s="29" t="inlineStr">
        <is>
          <t>998d3dfce204f5f247f083b591da9b98e3ec673fea4b6c684c605b595a565c79</t>
        </is>
      </c>
      <c r="G118" s="29" t="inlineStr">
        <is>
          <t>Kırmızı kiremit çatılı, beyaz cepheli iki katlı ev; önünde budanmış çitler ve küçük bir ağaç, gökyüzünde beyaz bulutlar.</t>
        </is>
      </c>
      <c r="H118" s="29" t="inlineStr">
        <is>
          <t>Rosemoon</t>
        </is>
      </c>
      <c r="I118" s="29" t="inlineStr">
        <is>
          <t>CC BY-SA 3.0 nl</t>
        </is>
      </c>
      <c r="J118" s="29" t="inlineStr">
        <is>
          <t>https://creativecommons.org/licenses/by-sa/3.0/nl/deed.en/</t>
        </is>
      </c>
      <c r="K118" s="29" t="inlineStr">
        <is>
          <t>https://commons.wikimedia.org/wiki/File:Monument_518723,_Burghplein_8_Eindhoven.jpg</t>
        </is>
      </c>
      <c r="L118" s="49" t="n">
        <v>40804</v>
      </c>
      <c r="M118" s="49" t="n">
        <v>46317</v>
      </c>
      <c r="N118" s="29" t="inlineStr">
        <is>
          <t>Wikimedia Commons'taki "Monument 518723, Burghplein 8 Eindhoven.jpg" (4320×3240 px) özgün dosyasının 1280×960 px küçültülmüş kopyası indirildi; kırpma, rötuş ve renk düzeltmesi yapılmadı.</t>
        </is>
      </c>
      <c r="O118" s="29" t="inlineStr">
        <is>
          <t>eindhoven:evidence:witte-dorp-mahallesi-01</t>
        </is>
      </c>
      <c r="P118" s="29" t="inlineStr">
        <is>
          <t>Evet</t>
        </is>
      </c>
      <c r="Q118" s="51" t="n">
        <v>1</v>
      </c>
      <c r="R118" s="29" t="inlineStr">
        <is>
          <t>Taslak</t>
        </is>
      </c>
      <c r="S118" s="52">
        <f>IF(OR(A118="",F118="",C118&lt;&gt;"Mekân"),0,IF(COUNTIFS($F$8:F118,F118,$C$8:C118,"Mekân")=1,1,0))</f>
        <v/>
      </c>
      <c r="T118" s="52">
        <f>IF(OR(A118="",F118="",C118&lt;&gt;"Kapak"),0,IF(COUNTIFS($F$8:F118,F118,$C$8:C118,"Kapak")=1,1,0))</f>
        <v/>
      </c>
    </row>
    <row r="119" ht="54" customHeight="1">
      <c r="A119" s="29" t="inlineStr">
        <is>
          <t>eindhoven:photo:witte-dorp-mahallesi-02</t>
        </is>
      </c>
      <c r="B119" s="29" t="inlineStr">
        <is>
          <t>eindhoven</t>
        </is>
      </c>
      <c r="C119" s="29" t="inlineStr">
        <is>
          <t>Mekân</t>
        </is>
      </c>
      <c r="D119" s="29" t="inlineStr">
        <is>
          <t>eindhoven:witte-dorp-mahallesi</t>
        </is>
      </c>
      <c r="E119" s="29" t="inlineStr">
        <is>
          <t>Fotoğraflar/eindhoven_witte-dorp-mahallesi_02.jpg</t>
        </is>
      </c>
      <c r="F119" s="29" t="inlineStr">
        <is>
          <t>13c09fc6a77f2fd45d7e9e2e8128af7185a97c810463bcb43773a3b065a79b83</t>
        </is>
      </c>
      <c r="G119" s="29" t="inlineStr">
        <is>
          <t>Kırmızı kiremit çatılı beyaz sıra evler, önlerinde çitler ve tuğla döşeli sokakta park etmiş arabalar.</t>
        </is>
      </c>
      <c r="H119" s="29" t="inlineStr">
        <is>
          <t>Rosemoon</t>
        </is>
      </c>
      <c r="I119" s="29" t="inlineStr">
        <is>
          <t>CC BY-SA 3.0 nl</t>
        </is>
      </c>
      <c r="J119" s="29" t="inlineStr">
        <is>
          <t>https://creativecommons.org/licenses/by-sa/3.0/nl/deed.en/</t>
        </is>
      </c>
      <c r="K119" s="29" t="inlineStr">
        <is>
          <t>https://commons.wikimedia.org/wiki/File:Monument_518731,_Burghstraat_11_Eindhoven.jpg</t>
        </is>
      </c>
      <c r="L119" s="49" t="n">
        <v>40804</v>
      </c>
      <c r="M119" s="49" t="n">
        <v>46317</v>
      </c>
      <c r="N119" s="29" t="inlineStr">
        <is>
          <t>Wikimedia Commons'taki "Monument 518731, Burghstraat 11 Eindhoven.jpg" (4320×3240 px) özgün dosyasının 1280×960 px küçültülmüş kopyası indirildi; kırpma, rötuş ve renk düzeltmesi yapılmadı.</t>
        </is>
      </c>
      <c r="O119" s="29" t="inlineStr">
        <is>
          <t>eindhoven:evidence:witte-dorp-mahallesi-02</t>
        </is>
      </c>
      <c r="P119" s="29" t="inlineStr">
        <is>
          <t>Evet</t>
        </is>
      </c>
      <c r="Q119" s="51" t="n">
        <v>2</v>
      </c>
      <c r="R119" s="29" t="inlineStr">
        <is>
          <t>Taslak</t>
        </is>
      </c>
      <c r="S119" s="52">
        <f>IF(OR(A119="",F119="",C119&lt;&gt;"Mekân"),0,IF(COUNTIFS($F$8:F119,F119,$C$8:C119,"Mekân")=1,1,0))</f>
        <v/>
      </c>
      <c r="T119" s="52">
        <f>IF(OR(A119="",F119="",C119&lt;&gt;"Kapak"),0,IF(COUNTIFS($F$8:F119,F119,$C$8:C119,"Kapak")=1,1,0))</f>
        <v/>
      </c>
    </row>
    <row r="120" ht="54" customHeight="1">
      <c r="A120" s="29" t="inlineStr">
        <is>
          <t>eindhoven:photo:witte-dorp-mahallesi-03</t>
        </is>
      </c>
      <c r="B120" s="29" t="inlineStr">
        <is>
          <t>eindhoven</t>
        </is>
      </c>
      <c r="C120" s="29" t="inlineStr">
        <is>
          <t>Mekân</t>
        </is>
      </c>
      <c r="D120" s="29" t="inlineStr">
        <is>
          <t>eindhoven:witte-dorp-mahallesi</t>
        </is>
      </c>
      <c r="E120" s="29" t="inlineStr">
        <is>
          <t>Fotoğraflar/eindhoven_witte-dorp-mahallesi_03.jpg</t>
        </is>
      </c>
      <c r="F120" s="29" t="inlineStr">
        <is>
          <t>d453d521f1e979a77c8aa5183c2bcb77b33e9d780ba484f099c79de50812af1e</t>
        </is>
      </c>
      <c r="G120" s="29" t="inlineStr">
        <is>
          <t>Uzun, beyaz cepheli sıra evler; önlerinde budanmış çitler, geniş kaldırım ve bir sokak lambası.</t>
        </is>
      </c>
      <c r="H120" s="29" t="inlineStr">
        <is>
          <t>Rosemoon</t>
        </is>
      </c>
      <c r="I120" s="29" t="inlineStr">
        <is>
          <t>CC BY-SA 3.0 nl</t>
        </is>
      </c>
      <c r="J120" s="29" t="inlineStr">
        <is>
          <t>https://creativecommons.org/licenses/by-sa/3.0/nl/deed.en/</t>
        </is>
      </c>
      <c r="K120" s="29" t="inlineStr">
        <is>
          <t>https://commons.wikimedia.org/wiki/File:Monument_518736,_Sint_Jorislaan_4_Eindhoven.jpg</t>
        </is>
      </c>
      <c r="L120" s="49" t="n">
        <v>40810</v>
      </c>
      <c r="M120" s="49" t="n">
        <v>46317</v>
      </c>
      <c r="N120" s="29" t="inlineStr">
        <is>
          <t>Wikimedia Commons'taki "Monument 518736, Sint Jorislaan 4 Eindhoven.jpg" (4320×3240 px) özgün dosyasının 1280×960 px küçültülmüş kopyası indirildi; kırpma, rötuş ve renk düzeltmesi yapılmadı.</t>
        </is>
      </c>
      <c r="O120" s="29" t="inlineStr">
        <is>
          <t>eindhoven:evidence:witte-dorp-mahallesi-03</t>
        </is>
      </c>
      <c r="P120" s="29" t="inlineStr">
        <is>
          <t>Evet</t>
        </is>
      </c>
      <c r="Q120" s="51" t="n">
        <v>3</v>
      </c>
      <c r="R120" s="29" t="inlineStr">
        <is>
          <t>Taslak</t>
        </is>
      </c>
      <c r="S120" s="52">
        <f>IF(OR(A120="",F120="",C120&lt;&gt;"Mekân"),0,IF(COUNTIFS($F$8:F120,F120,$C$8:C120,"Mekân")=1,1,0))</f>
        <v/>
      </c>
      <c r="T120" s="52">
        <f>IF(OR(A120="",F120="",C120&lt;&gt;"Kapak"),0,IF(COUNTIFS($F$8:F120,F120,$C$8:C120,"Kapak")=1,1,0))</f>
        <v/>
      </c>
    </row>
    <row r="121" ht="54" customHeight="1">
      <c r="A121" s="29" t="inlineStr">
        <is>
          <t>eindhoven:photo:riel-mahallesi-01</t>
        </is>
      </c>
      <c r="B121" s="29" t="inlineStr">
        <is>
          <t>eindhoven</t>
        </is>
      </c>
      <c r="C121" s="29" t="inlineStr">
        <is>
          <t>Mekân</t>
        </is>
      </c>
      <c r="D121" s="29" t="inlineStr">
        <is>
          <t>eindhoven:riel-mahallesi</t>
        </is>
      </c>
      <c r="E121" s="29" t="inlineStr">
        <is>
          <t>Fotoğraflar/eindhoven_riel-mahallesi_01.jpg</t>
        </is>
      </c>
      <c r="F121" s="29" t="inlineStr">
        <is>
          <t>9afa1d2aad584b494c59e85fe05cbb85a4f0e69d5f33a9c82f75528bdc17de7f</t>
        </is>
      </c>
      <c r="G121" s="29" t="inlineStr">
        <is>
          <t>Sivri çatılı küçük tuğla şapel; demir parmaklıklı nişte bir heykel, önünde çiçeklik ve arkasında ağaçlar.</t>
        </is>
      </c>
      <c r="H121" s="29" t="inlineStr">
        <is>
          <t>Alex P. Kok</t>
        </is>
      </c>
      <c r="I121" s="29" t="inlineStr">
        <is>
          <t>CC BY-SA 4.0</t>
        </is>
      </c>
      <c r="J121" s="29" t="inlineStr">
        <is>
          <t>https://creativecommons.org/licenses/by-sa/4.0/</t>
        </is>
      </c>
      <c r="K121" s="29" t="inlineStr">
        <is>
          <t>https://commons.wikimedia.org/wiki/File:Mariakapel_op_Riel_-_2008_-_Riel_-_Eindhoven.jpg</t>
        </is>
      </c>
      <c r="L121" s="49" t="n">
        <v>45130</v>
      </c>
      <c r="M121" s="49" t="n">
        <v>46317</v>
      </c>
      <c r="N121" s="29" t="inlineStr">
        <is>
          <t>Wikimedia Commons'taki "Mariakapel op Riel - 2008 - Riel - Eindhoven.jpg" (3606×5048 px) özgün dosyasının 1280×1792 px küçültülmüş kopyası indirildi; kırpma, rötuş ve renk düzeltmesi yapılmadı.</t>
        </is>
      </c>
      <c r="O121" s="29" t="inlineStr">
        <is>
          <t>eindhoven:evidence:riel-mahallesi-01</t>
        </is>
      </c>
      <c r="P121" s="29" t="inlineStr">
        <is>
          <t>Evet</t>
        </is>
      </c>
      <c r="Q121" s="51" t="n">
        <v>1</v>
      </c>
      <c r="R121" s="29" t="inlineStr">
        <is>
          <t>Taslak</t>
        </is>
      </c>
      <c r="S121" s="52">
        <f>IF(OR(A121="",F121="",C121&lt;&gt;"Mekân"),0,IF(COUNTIFS($F$8:F121,F121,$C$8:C121,"Mekân")=1,1,0))</f>
        <v/>
      </c>
      <c r="T121" s="52">
        <f>IF(OR(A121="",F121="",C121&lt;&gt;"Kapak"),0,IF(COUNTIFS($F$8:F121,F121,$C$8:C121,"Kapak")=1,1,0))</f>
        <v/>
      </c>
    </row>
    <row r="122" ht="54" customHeight="1">
      <c r="A122" s="29" t="inlineStr">
        <is>
          <t>eindhoven:photo:riel-mahallesi-02</t>
        </is>
      </c>
      <c r="B122" s="29" t="inlineStr">
        <is>
          <t>eindhoven</t>
        </is>
      </c>
      <c r="C122" s="29" t="inlineStr">
        <is>
          <t>Mekân</t>
        </is>
      </c>
      <c r="D122" s="29" t="inlineStr">
        <is>
          <t>eindhoven:riel-mahallesi</t>
        </is>
      </c>
      <c r="E122" s="29" t="inlineStr">
        <is>
          <t>Fotoğraflar/eindhoven_riel-mahallesi_02.jpg</t>
        </is>
      </c>
      <c r="F122" s="29" t="inlineStr">
        <is>
          <t>f5a4e9bc8f462fbc5feee7a7f7acc04bffb7b136e24cab858d76cd61a39d0054</t>
        </is>
      </c>
      <c r="G122" s="29" t="inlineStr">
        <is>
          <t>Büyük ağaçların gölgesinde alçak, uzun bir çiftlik evi ve ahır; önünde toprak yol ve çimenlik.</t>
        </is>
      </c>
      <c r="H122" s="29" t="inlineStr">
        <is>
          <t>Rosemoon</t>
        </is>
      </c>
      <c r="I122" s="29" t="inlineStr">
        <is>
          <t>CC BY-SA 4.0</t>
        </is>
      </c>
      <c r="J122" s="29" t="inlineStr">
        <is>
          <t>https://creativecommons.org/licenses/by-sa/4.0/</t>
        </is>
      </c>
      <c r="K122" s="29" t="inlineStr">
        <is>
          <t>https://commons.wikimedia.org/wiki/File:Riel_14,_Eindhoven.jpg</t>
        </is>
      </c>
      <c r="L122" s="49" t="n">
        <v>43960</v>
      </c>
      <c r="M122" s="49" t="n">
        <v>46317</v>
      </c>
      <c r="N122" s="29" t="inlineStr">
        <is>
          <t>Wikimedia Commons'taki "Riel 14, Eindhoven.jpg" (4032×3024 px) özgün dosyasının 1280×960 px küçültülmüş kopyası indirildi; kırpma, rötuş ve renk düzeltmesi yapılmadı.</t>
        </is>
      </c>
      <c r="O122" s="29" t="inlineStr">
        <is>
          <t>eindhoven:evidence:riel-mahallesi-02</t>
        </is>
      </c>
      <c r="P122" s="29" t="inlineStr">
        <is>
          <t>Evet</t>
        </is>
      </c>
      <c r="Q122" s="51" t="n">
        <v>2</v>
      </c>
      <c r="R122" s="29" t="inlineStr">
        <is>
          <t>Taslak</t>
        </is>
      </c>
      <c r="S122" s="52">
        <f>IF(OR(A122="",F122="",C122&lt;&gt;"Mekân"),0,IF(COUNTIFS($F$8:F122,F122,$C$8:C122,"Mekân")=1,1,0))</f>
        <v/>
      </c>
      <c r="T122" s="52">
        <f>IF(OR(A122="",F122="",C122&lt;&gt;"Kapak"),0,IF(COUNTIFS($F$8:F122,F122,$C$8:C122,"Kapak")=1,1,0))</f>
        <v/>
      </c>
    </row>
    <row r="123" ht="54" customHeight="1">
      <c r="A123" s="29" t="inlineStr">
        <is>
          <t>eindhoven:photo:riel-mahallesi-03</t>
        </is>
      </c>
      <c r="B123" s="29" t="inlineStr">
        <is>
          <t>eindhoven</t>
        </is>
      </c>
      <c r="C123" s="29" t="inlineStr">
        <is>
          <t>Mekân</t>
        </is>
      </c>
      <c r="D123" s="29" t="inlineStr">
        <is>
          <t>eindhoven:riel-mahallesi</t>
        </is>
      </c>
      <c r="E123" s="29" t="inlineStr">
        <is>
          <t>Fotoğraflar/eindhoven_riel-mahallesi_03.jpg</t>
        </is>
      </c>
      <c r="F123" s="29" t="inlineStr">
        <is>
          <t>5643aa9c805ff6b0e3fba575f5358f6bbf3d07756369274a4aaad25c5786aabe</t>
        </is>
      </c>
      <c r="G123" s="29" t="inlineStr">
        <is>
          <t>Saz çatılı eski tuğla çiftlik binası, ahşap kapısı ve yanından geçen çimenli toprak yol.</t>
        </is>
      </c>
      <c r="H123" s="29" t="inlineStr">
        <is>
          <t>Rosemoon</t>
        </is>
      </c>
      <c r="I123" s="29" t="inlineStr">
        <is>
          <t>CC BY-SA 4.0</t>
        </is>
      </c>
      <c r="J123" s="29" t="inlineStr">
        <is>
          <t>https://creativecommons.org/licenses/by-sa/4.0/</t>
        </is>
      </c>
      <c r="K123" s="29" t="inlineStr">
        <is>
          <t>https://commons.wikimedia.org/wiki/File:Riel_8,_Eindhoven-2.jpg</t>
        </is>
      </c>
      <c r="L123" s="49" t="n">
        <v>43960</v>
      </c>
      <c r="M123" s="49" t="n">
        <v>46317</v>
      </c>
      <c r="N123" s="29" t="inlineStr">
        <is>
          <t>Wikimedia Commons'taki "Riel 8, Eindhoven-2.jpg" (4032×3024 px) özgün dosyasının 1280×960 px küçültülmüş kopyası indirildi; kırpma, rötuş ve renk düzeltmesi yapılmadı.</t>
        </is>
      </c>
      <c r="O123" s="29" t="inlineStr">
        <is>
          <t>eindhoven:evidence:riel-mahallesi-03</t>
        </is>
      </c>
      <c r="P123" s="29" t="inlineStr">
        <is>
          <t>Evet</t>
        </is>
      </c>
      <c r="Q123" s="51" t="n">
        <v>3</v>
      </c>
      <c r="R123" s="29" t="inlineStr">
        <is>
          <t>Taslak</t>
        </is>
      </c>
      <c r="S123" s="52">
        <f>IF(OR(A123="",F123="",C123&lt;&gt;"Mekân"),0,IF(COUNTIFS($F$8:F123,F123,$C$8:C123,"Mekân")=1,1,0))</f>
        <v/>
      </c>
      <c r="T123" s="52">
        <f>IF(OR(A123="",F123="",C123&lt;&gt;"Kapak"),0,IF(COUNTIFS($F$8:F123,F123,$C$8:C123,"Kapak")=1,1,0))</f>
        <v/>
      </c>
    </row>
    <row r="124" ht="54" customHeight="1">
      <c r="A124" s="29" t="inlineStr">
        <is>
          <t>eindhoven:photo:gestel-bolgesi-01</t>
        </is>
      </c>
      <c r="B124" s="29" t="inlineStr">
        <is>
          <t>eindhoven</t>
        </is>
      </c>
      <c r="C124" s="29" t="inlineStr">
        <is>
          <t>Mekân</t>
        </is>
      </c>
      <c r="D124" s="29" t="inlineStr">
        <is>
          <t>eindhoven:gestel-bolgesi</t>
        </is>
      </c>
      <c r="E124" s="29" t="inlineStr">
        <is>
          <t>Fotoğraflar/eindhoven_gestel-bolgesi_01.jpg</t>
        </is>
      </c>
      <c r="F124" s="29" t="inlineStr">
        <is>
          <t>1216cd54e858ee71ee557e816c990a9708c8c84712ba24cfbb094d23fbbeebcd</t>
        </is>
      </c>
      <c r="G124" s="29" t="inlineStr">
        <is>
          <t>Sivri süslemeli alınlığı olan beyaz köşe binası ve yanında tuğla sıra evler; köşede bir girilmez levhası ve park etmiş arabalar.</t>
        </is>
      </c>
      <c r="H124" s="29" t="inlineStr">
        <is>
          <t>AcroniusZ</t>
        </is>
      </c>
      <c r="I124" s="29" t="inlineStr">
        <is>
          <t>CC BY-SA 4.0</t>
        </is>
      </c>
      <c r="J124" s="29" t="inlineStr">
        <is>
          <t>https://creativecommons.org/licenses/by-sa/4.0/</t>
        </is>
      </c>
      <c r="K124" s="29" t="inlineStr">
        <is>
          <t>https://commons.wikimedia.org/wiki/File:Eindhoven_Gestel_St_Lambertusstr_13_Winkel_woonhuis.jpg</t>
        </is>
      </c>
      <c r="L124" s="49" t="n">
        <v>44140</v>
      </c>
      <c r="M124" s="49" t="n">
        <v>46317</v>
      </c>
      <c r="N124" s="29" t="inlineStr">
        <is>
          <t>Wikimedia Commons'taki "Eindhoven Gestel St Lambertusstr 13 Winkel woonhuis.jpg" (4000×3000 px) özgün dosyasının 1280×960 px küçültülmüş kopyası indirildi; kırpma, rötuş ve renk düzeltmesi yapılmadı.</t>
        </is>
      </c>
      <c r="O124" s="29" t="inlineStr">
        <is>
          <t>eindhoven:evidence:gestel-bolgesi-01</t>
        </is>
      </c>
      <c r="P124" s="29" t="inlineStr">
        <is>
          <t>Evet</t>
        </is>
      </c>
      <c r="Q124" s="51" t="n">
        <v>1</v>
      </c>
      <c r="R124" s="29" t="inlineStr">
        <is>
          <t>Taslak</t>
        </is>
      </c>
      <c r="S124" s="52">
        <f>IF(OR(A124="",F124="",C124&lt;&gt;"Mekân"),0,IF(COUNTIFS($F$8:F124,F124,$C$8:C124,"Mekân")=1,1,0))</f>
        <v/>
      </c>
      <c r="T124" s="52">
        <f>IF(OR(A124="",F124="",C124&lt;&gt;"Kapak"),0,IF(COUNTIFS($F$8:F124,F124,$C$8:C124,"Kapak")=1,1,0))</f>
        <v/>
      </c>
    </row>
    <row r="125" ht="54" customHeight="1">
      <c r="A125" s="29" t="inlineStr">
        <is>
          <t>eindhoven:photo:gestel-bolgesi-02</t>
        </is>
      </c>
      <c r="B125" s="29" t="inlineStr">
        <is>
          <t>eindhoven</t>
        </is>
      </c>
      <c r="C125" s="29" t="inlineStr">
        <is>
          <t>Mekân</t>
        </is>
      </c>
      <c r="D125" s="29" t="inlineStr">
        <is>
          <t>eindhoven:gestel-bolgesi</t>
        </is>
      </c>
      <c r="E125" s="29" t="inlineStr">
        <is>
          <t>Fotoğraflar/eindhoven_gestel-bolgesi_02.jpg</t>
        </is>
      </c>
      <c r="F125" s="29" t="inlineStr">
        <is>
          <t>b5a5e4799e092e1a404cd551d5c4d7e9528f4569ae27add8b7ce01028f2f6fdc</t>
        </is>
      </c>
      <c r="G125" s="29" t="inlineStr">
        <is>
          <t>Çatı pencereli tuğla sıra evler, cephelerde sarmaşıklar ve sokak kenarında park etmiş beyaz bir kamyonet.</t>
        </is>
      </c>
      <c r="H125" s="29" t="inlineStr">
        <is>
          <t>AcroniusZ</t>
        </is>
      </c>
      <c r="I125" s="29" t="inlineStr">
        <is>
          <t>CC BY-SA 4.0</t>
        </is>
      </c>
      <c r="J125" s="29" t="inlineStr">
        <is>
          <t>https://creativecommons.org/licenses/by-sa/4.0/</t>
        </is>
      </c>
      <c r="K125" s="29" t="inlineStr">
        <is>
          <t>https://commons.wikimedia.org/wiki/File:Eindhoven_Gestel_St_Lambertusstr_17-25_Woonhuizen.jpg</t>
        </is>
      </c>
      <c r="L125" s="49" t="n">
        <v>44140</v>
      </c>
      <c r="M125" s="49" t="n">
        <v>46317</v>
      </c>
      <c r="N125" s="29" t="inlineStr">
        <is>
          <t>Wikimedia Commons'taki "Eindhoven Gestel St Lambertusstr 17-25 Woonhuizen.jpg" (4000×3000 px) özgün dosyasının 1280×960 px küçültülmüş kopyası indirildi; kırpma, rötuş ve renk düzeltmesi yapılmadı.</t>
        </is>
      </c>
      <c r="O125" s="29" t="inlineStr">
        <is>
          <t>eindhoven:evidence:gestel-bolgesi-02</t>
        </is>
      </c>
      <c r="P125" s="29" t="inlineStr">
        <is>
          <t>Evet</t>
        </is>
      </c>
      <c r="Q125" s="51" t="n">
        <v>2</v>
      </c>
      <c r="R125" s="29" t="inlineStr">
        <is>
          <t>Taslak</t>
        </is>
      </c>
      <c r="S125" s="52">
        <f>IF(OR(A125="",F125="",C125&lt;&gt;"Mekân"),0,IF(COUNTIFS($F$8:F125,F125,$C$8:C125,"Mekân")=1,1,0))</f>
        <v/>
      </c>
      <c r="T125" s="52">
        <f>IF(OR(A125="",F125="",C125&lt;&gt;"Kapak"),0,IF(COUNTIFS($F$8:F125,F125,$C$8:C125,"Kapak")=1,1,0))</f>
        <v/>
      </c>
    </row>
    <row r="126" ht="54" customHeight="1">
      <c r="A126" s="29" t="inlineStr">
        <is>
          <t>eindhoven:photo:gestel-bolgesi-03</t>
        </is>
      </c>
      <c r="B126" s="29" t="inlineStr">
        <is>
          <t>eindhoven</t>
        </is>
      </c>
      <c r="C126" s="29" t="inlineStr">
        <is>
          <t>Mekân</t>
        </is>
      </c>
      <c r="D126" s="29" t="inlineStr">
        <is>
          <t>eindhoven:gestel-bolgesi</t>
        </is>
      </c>
      <c r="E126" s="29" t="inlineStr">
        <is>
          <t>Fotoğraflar/eindhoven_gestel-bolgesi_03.jpg</t>
        </is>
      </c>
      <c r="F126" s="29" t="inlineStr">
        <is>
          <t>779c45d4c1672fd00d5aa6197e61b9434a6267b5d9cdf0857d12ee4dfa2b0dd4</t>
        </is>
      </c>
      <c r="G126" s="29" t="inlineStr">
        <is>
          <t>Süslü tuğla bantlı ve sivri alınlıklı çatı pencereleri olan bitişik tuğla evler; önünde taş döşeli kaldırım.</t>
        </is>
      </c>
      <c r="H126" s="29" t="inlineStr">
        <is>
          <t>AcroniusZ</t>
        </is>
      </c>
      <c r="I126" s="29" t="inlineStr">
        <is>
          <t>CC BY-SA 4.0</t>
        </is>
      </c>
      <c r="J126" s="29" t="inlineStr">
        <is>
          <t>https://creativecommons.org/licenses/by-sa/4.0/</t>
        </is>
      </c>
      <c r="K126" s="29" t="inlineStr">
        <is>
          <t>https://commons.wikimedia.org/wiki/File:Eindhoven_Gestel_St_Martinusstr_15-17_Woonhuizen.jpg</t>
        </is>
      </c>
      <c r="L126" s="49" t="n">
        <v>44140</v>
      </c>
      <c r="M126" s="49" t="n">
        <v>46317</v>
      </c>
      <c r="N126" s="29" t="inlineStr">
        <is>
          <t>Wikimedia Commons'taki "Eindhoven Gestel St Martinusstr 15-17 Woonhuizen.jpg" (4000×3000 px) özgün dosyasının 1280×960 px küçültülmüş kopyası indirildi; kırpma, rötuş ve renk düzeltmesi yapılmadı.</t>
        </is>
      </c>
      <c r="O126" s="29" t="inlineStr">
        <is>
          <t>eindhoven:evidence:gestel-bolgesi-03</t>
        </is>
      </c>
      <c r="P126" s="29" t="inlineStr">
        <is>
          <t>Evet</t>
        </is>
      </c>
      <c r="Q126" s="51" t="n">
        <v>3</v>
      </c>
      <c r="R126" s="29" t="inlineStr">
        <is>
          <t>Taslak</t>
        </is>
      </c>
      <c r="S126" s="52">
        <f>IF(OR(A126="",F126="",C126&lt;&gt;"Mekân"),0,IF(COUNTIFS($F$8:F126,F126,$C$8:C126,"Mekân")=1,1,0))</f>
        <v/>
      </c>
      <c r="T126" s="52">
        <f>IF(OR(A126="",F126="",C126&lt;&gt;"Kapak"),0,IF(COUNTIFS($F$8:F126,F126,$C$8:C126,"Kapak")=1,1,0))</f>
        <v/>
      </c>
    </row>
    <row r="127" ht="54" customHeight="1">
      <c r="A127" s="29" t="inlineStr">
        <is>
          <t>eindhoven:photo:tongelre-bolgesi-01</t>
        </is>
      </c>
      <c r="B127" s="29" t="inlineStr">
        <is>
          <t>eindhoven</t>
        </is>
      </c>
      <c r="C127" s="29" t="inlineStr">
        <is>
          <t>Mekân</t>
        </is>
      </c>
      <c r="D127" s="29" t="inlineStr">
        <is>
          <t>eindhoven:tongelre-bolgesi</t>
        </is>
      </c>
      <c r="E127" s="29" t="inlineStr">
        <is>
          <t>Fotoğraflar/eindhoven_tongelre-bolgesi_01.jpg</t>
        </is>
      </c>
      <c r="F127" s="29" t="inlineStr">
        <is>
          <t>6c275996531d9b30d8700c01fac875a35c6957b68b182713280bf6314b2015d6</t>
        </is>
      </c>
      <c r="G127" s="29" t="inlineStr">
        <is>
          <t>Önünde budanmış ağaçlar bulunan uzun, alçak tuğla çiftlik evi; yanında çalılar ve kenarından geçen yol.</t>
        </is>
      </c>
      <c r="H127" s="29" t="inlineStr">
        <is>
          <t>Rosemoon</t>
        </is>
      </c>
      <c r="I127" s="29" t="inlineStr">
        <is>
          <t>CC BY-SA 4.0</t>
        </is>
      </c>
      <c r="J127" s="29" t="inlineStr">
        <is>
          <t>https://creativecommons.org/licenses/by-sa/4.0/</t>
        </is>
      </c>
      <c r="K127" s="29" t="inlineStr">
        <is>
          <t>https://commons.wikimedia.org/wiki/File:Doolstraat_2,_Eindhoven_(2).jpg</t>
        </is>
      </c>
      <c r="L127" s="49" t="n">
        <v>43918</v>
      </c>
      <c r="M127" s="49" t="n">
        <v>46317</v>
      </c>
      <c r="N127" s="29" t="inlineStr">
        <is>
          <t>Wikimedia Commons'taki "Doolstraat 2, Eindhoven (2).jpg" (6000×4000 px) özgün dosyasının 1280×853 px küçültülmüş kopyası indirildi; kırpma, rötuş ve renk düzeltmesi yapılmadı.</t>
        </is>
      </c>
      <c r="O127" s="29" t="inlineStr">
        <is>
          <t>eindhoven:evidence:tongelre-bolgesi-01</t>
        </is>
      </c>
      <c r="P127" s="29" t="inlineStr">
        <is>
          <t>Evet</t>
        </is>
      </c>
      <c r="Q127" s="51" t="n">
        <v>1</v>
      </c>
      <c r="R127" s="29" t="inlineStr">
        <is>
          <t>Taslak</t>
        </is>
      </c>
      <c r="S127" s="52">
        <f>IF(OR(A127="",F127="",C127&lt;&gt;"Mekân"),0,IF(COUNTIFS($F$8:F127,F127,$C$8:C127,"Mekân")=1,1,0))</f>
        <v/>
      </c>
      <c r="T127" s="52">
        <f>IF(OR(A127="",F127="",C127&lt;&gt;"Kapak"),0,IF(COUNTIFS($F$8:F127,F127,$C$8:C127,"Kapak")=1,1,0))</f>
        <v/>
      </c>
    </row>
    <row r="128" ht="54" customHeight="1">
      <c r="A128" s="29" t="inlineStr">
        <is>
          <t>eindhoven:photo:tongelre-bolgesi-02</t>
        </is>
      </c>
      <c r="B128" s="29" t="inlineStr">
        <is>
          <t>eindhoven</t>
        </is>
      </c>
      <c r="C128" s="29" t="inlineStr">
        <is>
          <t>Mekân</t>
        </is>
      </c>
      <c r="D128" s="29" t="inlineStr">
        <is>
          <t>eindhoven:tongelre-bolgesi</t>
        </is>
      </c>
      <c r="E128" s="29" t="inlineStr">
        <is>
          <t>Fotoğraflar/eindhoven_tongelre-bolgesi_02.jpg</t>
        </is>
      </c>
      <c r="F128" s="29" t="inlineStr">
        <is>
          <t>15bb6e1dda814eb56c049d3e6a78f9c386183eeadde777b6ff384777c40794f2</t>
        </is>
      </c>
      <c r="G128" s="29" t="inlineStr">
        <is>
          <t>İki kuleli, gül pencereli ve sivri kemerli kapısı olan neogotik tuğla kilise cephesi; önünde yol.</t>
        </is>
      </c>
      <c r="H128" s="29" t="inlineStr">
        <is>
          <t>Machiel Lock</t>
        </is>
      </c>
      <c r="I128" s="29" t="inlineStr">
        <is>
          <t>CC BY-SA 4.0</t>
        </is>
      </c>
      <c r="J128" s="29" t="inlineStr">
        <is>
          <t>https://creativecommons.org/licenses/by-sa/4.0/</t>
        </is>
      </c>
      <c r="K128" s="29" t="inlineStr">
        <is>
          <t>https://commons.wikimedia.org/wiki/File:Eindhoven_St._Martinuskerk,_Tongelre.jpg</t>
        </is>
      </c>
      <c r="L128" s="49" t="n">
        <v>39662</v>
      </c>
      <c r="M128" s="49" t="n">
        <v>46317</v>
      </c>
      <c r="N128" s="29" t="inlineStr">
        <is>
          <t>Wikimedia Commons'taki "Eindhoven St. Martinuskerk, Tongelre.jpg" (2448×3264 px) özgün dosyasının 1280×1707 px küçültülmüş kopyası indirildi; kırpma, rötuş ve renk düzeltmesi yapılmadı.</t>
        </is>
      </c>
      <c r="O128" s="29" t="inlineStr">
        <is>
          <t>eindhoven:evidence:tongelre-bolgesi-02</t>
        </is>
      </c>
      <c r="P128" s="29" t="inlineStr">
        <is>
          <t>Evet</t>
        </is>
      </c>
      <c r="Q128" s="51" t="n">
        <v>2</v>
      </c>
      <c r="R128" s="29" t="inlineStr">
        <is>
          <t>Taslak</t>
        </is>
      </c>
      <c r="S128" s="52">
        <f>IF(OR(A128="",F128="",C128&lt;&gt;"Mekân"),0,IF(COUNTIFS($F$8:F128,F128,$C$8:C128,"Mekân")=1,1,0))</f>
        <v/>
      </c>
      <c r="T128" s="52">
        <f>IF(OR(A128="",F128="",C128&lt;&gt;"Kapak"),0,IF(COUNTIFS($F$8:F128,F128,$C$8:C128,"Kapak")=1,1,0))</f>
        <v/>
      </c>
    </row>
    <row r="129" ht="54" customHeight="1">
      <c r="A129" s="29" t="inlineStr">
        <is>
          <t>eindhoven:photo:tongelre-bolgesi-03</t>
        </is>
      </c>
      <c r="B129" s="29" t="inlineStr">
        <is>
          <t>eindhoven</t>
        </is>
      </c>
      <c r="C129" s="29" t="inlineStr">
        <is>
          <t>Mekân</t>
        </is>
      </c>
      <c r="D129" s="29" t="inlineStr">
        <is>
          <t>eindhoven:tongelre-bolgesi</t>
        </is>
      </c>
      <c r="E129" s="29" t="inlineStr">
        <is>
          <t>Fotoğraflar/eindhoven_tongelre-bolgesi_03.jpg</t>
        </is>
      </c>
      <c r="F129" s="29" t="inlineStr">
        <is>
          <t>4f8845a02333a8b59eb565399954c34f135a46b0fa0cbe50c2549a16abd33b36</t>
        </is>
      </c>
      <c r="G129" s="29" t="inlineStr">
        <is>
          <t>Kırmızı kiremit çatılı, simetrik cepheli büyük tuğla bina ve önündeki fenerli, taş döşeli meydan.</t>
        </is>
      </c>
      <c r="H129" s="29" t="inlineStr">
        <is>
          <t>Rosemoon</t>
        </is>
      </c>
      <c r="I129" s="29" t="inlineStr">
        <is>
          <t>CC BY-SA 4.0</t>
        </is>
      </c>
      <c r="J129" s="29" t="inlineStr">
        <is>
          <t>https://creativecommons.org/licenses/by-sa/4.0/</t>
        </is>
      </c>
      <c r="K129" s="29" t="inlineStr">
        <is>
          <t>https://commons.wikimedia.org/wiki/File:RM518788_Bosboomstraat_36-38,_Eindhoven.jpg</t>
        </is>
      </c>
      <c r="L129" s="49" t="n">
        <v>43911</v>
      </c>
      <c r="M129" s="49" t="n">
        <v>46317</v>
      </c>
      <c r="N129" s="29" t="inlineStr">
        <is>
          <t>Wikimedia Commons'taki "RM518788 Bosboomstraat 36-38, Eindhoven.jpg" (6000×4000 px) özgün dosyasının 1280×853 px küçültülmüş kopyası indirildi; kırpma, rötuş ve renk düzeltmesi yapılmadı.</t>
        </is>
      </c>
      <c r="O129" s="29" t="inlineStr">
        <is>
          <t>eindhoven:evidence:tongelre-bolgesi-03</t>
        </is>
      </c>
      <c r="P129" s="29" t="inlineStr">
        <is>
          <t>Evet</t>
        </is>
      </c>
      <c r="Q129" s="51" t="n">
        <v>3</v>
      </c>
      <c r="R129" s="29" t="inlineStr">
        <is>
          <t>Taslak</t>
        </is>
      </c>
      <c r="S129" s="52">
        <f>IF(OR(A129="",F129="",C129&lt;&gt;"Mekân"),0,IF(COUNTIFS($F$8:F129,F129,$C$8:C129,"Mekân")=1,1,0))</f>
        <v/>
      </c>
      <c r="T129" s="52">
        <f>IF(OR(A129="",F129="",C129&lt;&gt;"Kapak"),0,IF(COUNTIFS($F$8:F129,F129,$C$8:C129,"Kapak")=1,1,0))</f>
        <v/>
      </c>
    </row>
    <row r="130" ht="54" customHeight="1">
      <c r="A130" s="29" t="inlineStr">
        <is>
          <t>eindhoven:photo:lakerlopen-mahallesi-01</t>
        </is>
      </c>
      <c r="B130" s="29" t="inlineStr">
        <is>
          <t>eindhoven</t>
        </is>
      </c>
      <c r="C130" s="29" t="inlineStr">
        <is>
          <t>Mekân</t>
        </is>
      </c>
      <c r="D130" s="29" t="inlineStr">
        <is>
          <t>eindhoven:lakerlopen-mahallesi</t>
        </is>
      </c>
      <c r="E130" s="29" t="inlineStr">
        <is>
          <t>Fotoğraflar/eindhoven_lakerlopen-mahallesi_01.jpg</t>
        </is>
      </c>
      <c r="F130" s="29" t="inlineStr">
        <is>
          <t>d480f85dd7a2dacded2f02e1cf1a80b1829f10118cf051c4328e783b348c881b</t>
        </is>
      </c>
      <c r="G130" s="29" t="inlineStr">
        <is>
          <t>İki yanı ağaçlarla çevrili düz kanalda kürek çeken bir tekne; sol kıyıda tuğla apartmanlar ve kaldırım.</t>
        </is>
      </c>
      <c r="H130" s="29" t="inlineStr">
        <is>
          <t>Ben Bender</t>
        </is>
      </c>
      <c r="I130" s="29" t="inlineStr">
        <is>
          <t>CC BY-SA 3.0</t>
        </is>
      </c>
      <c r="J130" s="29" t="inlineStr">
        <is>
          <t>https://creativecommons.org/licenses/by-sa/3.0/</t>
        </is>
      </c>
      <c r="K130" s="29" t="inlineStr">
        <is>
          <t>https://commons.wikimedia.org/wiki/File:Lakerlopen,_5613_Eindhoven,_Netherlands_-_panoramio_(2).jpg</t>
        </is>
      </c>
      <c r="L130" s="49" t="n"/>
      <c r="M130" s="49" t="n">
        <v>46317</v>
      </c>
      <c r="N130" s="29" t="inlineStr">
        <is>
          <t>Wikimedia Commons'taki "Lakerlopen, 5613 Eindhoven, Netherlands - panoramio (2).jpg" (2048×1148 px) özgün dosyasının 1280×717 px küçültülmüş kopyası indirildi; kırpma, rötuş ve renk düzeltmesi yapılmadı.</t>
        </is>
      </c>
      <c r="O130" s="29" t="inlineStr">
        <is>
          <t>eindhoven:evidence:lakerlopen-mahallesi-01</t>
        </is>
      </c>
      <c r="P130" s="29" t="inlineStr">
        <is>
          <t>Evet</t>
        </is>
      </c>
      <c r="Q130" s="51" t="n">
        <v>1</v>
      </c>
      <c r="R130" s="29" t="inlineStr">
        <is>
          <t>Taslak</t>
        </is>
      </c>
      <c r="S130" s="52">
        <f>IF(OR(A130="",F130="",C130&lt;&gt;"Mekân"),0,IF(COUNTIFS($F$8:F130,F130,$C$8:C130,"Mekân")=1,1,0))</f>
        <v/>
      </c>
      <c r="T130" s="52">
        <f>IF(OR(A130="",F130="",C130&lt;&gt;"Kapak"),0,IF(COUNTIFS($F$8:F130,F130,$C$8:C130,"Kapak")=1,1,0))</f>
        <v/>
      </c>
    </row>
    <row r="131" ht="54" customHeight="1">
      <c r="A131" s="29" t="inlineStr">
        <is>
          <t>eindhoven:photo:lakerlopen-mahallesi-02</t>
        </is>
      </c>
      <c r="B131" s="29" t="inlineStr">
        <is>
          <t>eindhoven</t>
        </is>
      </c>
      <c r="C131" s="29" t="inlineStr">
        <is>
          <t>Mekân</t>
        </is>
      </c>
      <c r="D131" s="29" t="inlineStr">
        <is>
          <t>eindhoven:lakerlopen-mahallesi</t>
        </is>
      </c>
      <c r="E131" s="29" t="inlineStr">
        <is>
          <t>Fotoğraflar/eindhoven_lakerlopen-mahallesi_02.jpg</t>
        </is>
      </c>
      <c r="F131" s="29" t="inlineStr">
        <is>
          <t>5a425885e4a7b22873816d0ab63f808942096a3819ab6477514a9a50aff6147f</t>
        </is>
      </c>
      <c r="G131" s="29" t="inlineStr">
        <is>
          <t>Kırmızı kiremit çatılı tuğla sıra evler, önlerinde çitle çevrili renkli bir çocuk oyun alanı ve sokak.</t>
        </is>
      </c>
      <c r="H131" s="29" t="inlineStr">
        <is>
          <t>Lempkesfabriek</t>
        </is>
      </c>
      <c r="I131" s="29" t="inlineStr">
        <is>
          <t>CC BY 3.0</t>
        </is>
      </c>
      <c r="J131" s="29" t="inlineStr">
        <is>
          <t>https://creativecommons.org/licenses/by/3.0/</t>
        </is>
      </c>
      <c r="K131" s="29" t="inlineStr">
        <is>
          <t>https://commons.wikimedia.org/wiki/File:Lakerlopen01.jpg</t>
        </is>
      </c>
      <c r="L131" s="49" t="n"/>
      <c r="M131" s="49" t="n">
        <v>46317</v>
      </c>
      <c r="N131" s="29" t="inlineStr">
        <is>
          <t>Wikimedia Commons'taki "Lakerlopen01.jpg" özgün dosyası (1235×861 px) değiştirilmeden indirildi.</t>
        </is>
      </c>
      <c r="O131" s="29" t="inlineStr">
        <is>
          <t>eindhoven:evidence:lakerlopen-mahallesi-02</t>
        </is>
      </c>
      <c r="P131" s="29" t="inlineStr">
        <is>
          <t>Evet</t>
        </is>
      </c>
      <c r="Q131" s="51" t="n">
        <v>2</v>
      </c>
      <c r="R131" s="29" t="inlineStr">
        <is>
          <t>Taslak</t>
        </is>
      </c>
      <c r="S131" s="52">
        <f>IF(OR(A131="",F131="",C131&lt;&gt;"Mekân"),0,IF(COUNTIFS($F$8:F131,F131,$C$8:C131,"Mekân")=1,1,0))</f>
        <v/>
      </c>
      <c r="T131" s="52">
        <f>IF(OR(A131="",F131="",C131&lt;&gt;"Kapak"),0,IF(COUNTIFS($F$8:F131,F131,$C$8:C131,"Kapak")=1,1,0))</f>
        <v/>
      </c>
    </row>
    <row r="132" ht="54" customHeight="1">
      <c r="A132" s="29" t="inlineStr">
        <is>
          <t>eindhoven:photo:karpen-mahallesi-01</t>
        </is>
      </c>
      <c r="B132" s="29" t="inlineStr">
        <is>
          <t>eindhoven</t>
        </is>
      </c>
      <c r="C132" s="29" t="inlineStr">
        <is>
          <t>Mekân</t>
        </is>
      </c>
      <c r="D132" s="29" t="inlineStr">
        <is>
          <t>eindhoven:karpen-mahallesi</t>
        </is>
      </c>
      <c r="E132" s="29" t="inlineStr">
        <is>
          <t>Fotoğraflar/eindhoven_karpen-mahallesi_01.jpg</t>
        </is>
      </c>
      <c r="F132" s="29" t="inlineStr">
        <is>
          <t>e0d4fcd96363e3a9092ac15998e02695a9b3d4907b08fa7876f86128728d8ca4</t>
        </is>
      </c>
      <c r="G132" s="29" t="inlineStr">
        <is>
          <t>Ağaçlık kıyılarla çevrili durgun gölet ve suda beyaz kuğular.</t>
        </is>
      </c>
      <c r="H132" s="29" t="inlineStr">
        <is>
          <t>Maaike Hage</t>
        </is>
      </c>
      <c r="I132" s="29" t="inlineStr">
        <is>
          <t>CC BY-SA 3.0</t>
        </is>
      </c>
      <c r="J132" s="29" t="inlineStr">
        <is>
          <t>https://creativecommons.org/licenses/by-sa/3.0/</t>
        </is>
      </c>
      <c r="K132" s="29" t="inlineStr">
        <is>
          <t>https://commons.wikimedia.org/wiki/File:Karpen,_5631_Eindhoven,_Netherlands_-_panoramio_(1).jpg</t>
        </is>
      </c>
      <c r="L132" s="49" t="n"/>
      <c r="M132" s="49" t="n">
        <v>46317</v>
      </c>
      <c r="N132" s="29" t="inlineStr">
        <is>
          <t>Wikimedia Commons'taki "Karpen, 5631 Eindhoven, Netherlands - panoramio (1).jpg" (2985×3483 px) özgün dosyasının 1280×1494 px küçültülmüş kopyası indirildi; kırpma, rötuş ve renk düzeltmesi yapılmadı.</t>
        </is>
      </c>
      <c r="O132" s="29" t="inlineStr">
        <is>
          <t>eindhoven:evidence:karpen-mahallesi-01</t>
        </is>
      </c>
      <c r="P132" s="29" t="inlineStr">
        <is>
          <t>Evet</t>
        </is>
      </c>
      <c r="Q132" s="51" t="n">
        <v>1</v>
      </c>
      <c r="R132" s="29" t="inlineStr">
        <is>
          <t>Taslak</t>
        </is>
      </c>
      <c r="S132" s="52">
        <f>IF(OR(A132="",F132="",C132&lt;&gt;"Mekân"),0,IF(COUNTIFS($F$8:F132,F132,$C$8:C132,"Mekân")=1,1,0))</f>
        <v/>
      </c>
      <c r="T132" s="52">
        <f>IF(OR(A132="",F132="",C132&lt;&gt;"Kapak"),0,IF(COUNTIFS($F$8:F132,F132,$C$8:C132,"Kapak")=1,1,0))</f>
        <v/>
      </c>
    </row>
    <row r="133" ht="54" customHeight="1">
      <c r="A133" s="29" t="inlineStr">
        <is>
          <t>eindhoven:photo:karpen-mahallesi-02</t>
        </is>
      </c>
      <c r="B133" s="29" t="inlineStr">
        <is>
          <t>eindhoven</t>
        </is>
      </c>
      <c r="C133" s="29" t="inlineStr">
        <is>
          <t>Mekân</t>
        </is>
      </c>
      <c r="D133" s="29" t="inlineStr">
        <is>
          <t>eindhoven:karpen-mahallesi</t>
        </is>
      </c>
      <c r="E133" s="29" t="inlineStr">
        <is>
          <t>Fotoğraflar/eindhoven_karpen-mahallesi_02.jpg</t>
        </is>
      </c>
      <c r="F133" s="29" t="inlineStr">
        <is>
          <t>2b50d22a5f5a864976d96479098662e474ed213c5dbcf5d33c90b967919632c0</t>
        </is>
      </c>
      <c r="G133" s="29" t="inlineStr">
        <is>
          <t>Yüksek ağaçlar ve çitlerle çevrili, çimenli kenarları olan sakin bir konut sokağı; yolda park etmiş koyu renk bir araba.</t>
        </is>
      </c>
      <c r="H133" s="29" t="inlineStr">
        <is>
          <t>Lempkesfabriek</t>
        </is>
      </c>
      <c r="I133" s="29" t="inlineStr">
        <is>
          <t>CC BY-SA 3.0</t>
        </is>
      </c>
      <c r="J133" s="29" t="inlineStr">
        <is>
          <t>https://creativecommons.org/licenses/by-sa/3.0/</t>
        </is>
      </c>
      <c r="K133" s="29" t="inlineStr">
        <is>
          <t>https://commons.wikimedia.org/wiki/File:Karpen01.jpg</t>
        </is>
      </c>
      <c r="L133" s="49" t="n"/>
      <c r="M133" s="49" t="n">
        <v>46317</v>
      </c>
      <c r="N133" s="29" t="inlineStr">
        <is>
          <t>Wikimedia Commons'taki "Karpen01.jpg" özgün dosyası (991×745 px) değiştirilmeden indirildi.</t>
        </is>
      </c>
      <c r="O133" s="29" t="inlineStr">
        <is>
          <t>eindhoven:evidence:karpen-mahallesi-02</t>
        </is>
      </c>
      <c r="P133" s="29" t="inlineStr">
        <is>
          <t>Evet</t>
        </is>
      </c>
      <c r="Q133" s="51" t="n">
        <v>2</v>
      </c>
      <c r="R133" s="29" t="inlineStr">
        <is>
          <t>Taslak</t>
        </is>
      </c>
      <c r="S133" s="52">
        <f>IF(OR(A133="",F133="",C133&lt;&gt;"Mekân"),0,IF(COUNTIFS($F$8:F133,F133,$C$8:C133,"Mekân")=1,1,0))</f>
        <v/>
      </c>
      <c r="T133" s="52">
        <f>IF(OR(A133="",F133="",C133&lt;&gt;"Kapak"),0,IF(COUNTIFS($F$8:F133,F133,$C$8:C133,"Kapak")=1,1,0))</f>
        <v/>
      </c>
    </row>
    <row r="134" ht="54" customHeight="1">
      <c r="A134" s="29" t="inlineStr">
        <is>
          <t>eindhoven:photo:karpen-mahallesi-03</t>
        </is>
      </c>
      <c r="B134" s="29" t="inlineStr">
        <is>
          <t>eindhoven</t>
        </is>
      </c>
      <c r="C134" s="29" t="inlineStr">
        <is>
          <t>Mekân</t>
        </is>
      </c>
      <c r="D134" s="29" t="inlineStr">
        <is>
          <t>eindhoven:karpen-mahallesi</t>
        </is>
      </c>
      <c r="E134" s="29" t="inlineStr">
        <is>
          <t>Fotoğraflar/eindhoven_karpen-mahallesi_03.jpg</t>
        </is>
      </c>
      <c r="F134" s="29" t="inlineStr">
        <is>
          <t>e5f18c67eaf22003f412348fb2ec0a583664f7b489b320406aedd505094013bb</t>
        </is>
      </c>
      <c r="G134" s="29" t="inlineStr">
        <is>
          <t>Çitlerin ardında sıralanan alçak evler, uzun ağaçlar ve sokak lambalarıyla çevrili geniş bir yol.</t>
        </is>
      </c>
      <c r="H134" s="29" t="inlineStr">
        <is>
          <t>Lempkesfabriek</t>
        </is>
      </c>
      <c r="I134" s="29" t="inlineStr">
        <is>
          <t>CC BY-SA 3.0</t>
        </is>
      </c>
      <c r="J134" s="29" t="inlineStr">
        <is>
          <t>https://creativecommons.org/licenses/by-sa/3.0/</t>
        </is>
      </c>
      <c r="K134" s="29" t="inlineStr">
        <is>
          <t>https://commons.wikimedia.org/wiki/File:Karpen02.jpg</t>
        </is>
      </c>
      <c r="L134" s="49" t="n"/>
      <c r="M134" s="49" t="n">
        <v>46317</v>
      </c>
      <c r="N134" s="29" t="inlineStr">
        <is>
          <t>Wikimedia Commons'taki "Karpen02.jpg" özgün dosyası (884×663 px) değiştirilmeden indirildi.</t>
        </is>
      </c>
      <c r="O134" s="29" t="inlineStr">
        <is>
          <t>eindhoven:evidence:karpen-mahallesi-03</t>
        </is>
      </c>
      <c r="P134" s="29" t="inlineStr">
        <is>
          <t>Evet</t>
        </is>
      </c>
      <c r="Q134" s="51" t="n">
        <v>3</v>
      </c>
      <c r="R134" s="29" t="inlineStr">
        <is>
          <t>Taslak</t>
        </is>
      </c>
      <c r="S134" s="52">
        <f>IF(OR(A134="",F134="",C134&lt;&gt;"Mekân"),0,IF(COUNTIFS($F$8:F134,F134,$C$8:C134,"Mekân")=1,1,0))</f>
        <v/>
      </c>
      <c r="T134" s="52">
        <f>IF(OR(A134="",F134="",C134&lt;&gt;"Kapak"),0,IF(COUNTIFS($F$8:F134,F134,$C$8:C134,"Kapak")=1,1,0))</f>
        <v/>
      </c>
    </row>
    <row r="135" ht="54" customHeight="1">
      <c r="A135" s="29" t="inlineStr">
        <is>
          <t>eindhoven:photo:daf-museum-03</t>
        </is>
      </c>
      <c r="B135" s="29" t="inlineStr">
        <is>
          <t>eindhoven</t>
        </is>
      </c>
      <c r="C135" s="29" t="inlineStr">
        <is>
          <t>Mekân</t>
        </is>
      </c>
      <c r="D135" s="29" t="inlineStr">
        <is>
          <t>eindhoven:daf-museum</t>
        </is>
      </c>
      <c r="E135" s="29" t="inlineStr">
        <is>
          <t>Fotoğraflar/eindhoven_daf-museum_03.jpg</t>
        </is>
      </c>
      <c r="F135" s="29" t="inlineStr">
        <is>
          <t>d0b52214c8997d6016ab3174755024a33a48a021f8a5c593c93b2bcdc412cac7</t>
        </is>
      </c>
      <c r="G135" s="29" t="inlineStr">
        <is>
          <t>Sergi salonunda, kabininin ön yanında küçük bir Hollanda bayrağı bulunan, vinç donanımlı, altı tekerlekli yeşil askerî kamyon ve önünde bilgi panosu; arkada yeşil kabinli bir kamyon, tavanda çelik kirişler</t>
        </is>
      </c>
      <c r="H135" s="29" t="inlineStr">
        <is>
          <t>Ronald van der Graaf from Leiden, The Netherlands</t>
        </is>
      </c>
      <c r="I135" s="29" t="inlineStr">
        <is>
          <t>CC BY 2.0</t>
        </is>
      </c>
      <c r="J135" s="29" t="inlineStr">
        <is>
          <t>https://creativecommons.org/licenses/by/2.0/</t>
        </is>
      </c>
      <c r="K135" s="29" t="inlineStr">
        <is>
          <t>https://commons.wikimedia.org/wiki/File:DAF_Museum,_Eindhoven_(16061771014).jpg</t>
        </is>
      </c>
      <c r="L135" s="49" t="n">
        <v>42063</v>
      </c>
      <c r="M135" s="49" t="n">
        <v>46317</v>
      </c>
      <c r="N135" s="29" t="inlineStr">
        <is>
          <t>Wikimedia Commons'taki "DAF Museum, Eindhoven (16061771014).jpg" (6000×4000 px) özgün dosyasının 1280×853 px küçültülmüş kopyası indirildi; kırpma, rötuş ve renk düzeltmesi yapılmadı.</t>
        </is>
      </c>
      <c r="O135" s="29" t="inlineStr">
        <is>
          <t>eindhoven:evidence:daf-museum-03</t>
        </is>
      </c>
      <c r="P135" s="29" t="inlineStr">
        <is>
          <t>Evet</t>
        </is>
      </c>
      <c r="Q135" s="51" t="n">
        <v>3</v>
      </c>
      <c r="R135" s="29" t="inlineStr">
        <is>
          <t>Taslak</t>
        </is>
      </c>
      <c r="S135" s="52">
        <f>IF(OR(A135="",F135="",C135&lt;&gt;"Mekân"),0,IF(COUNTIFS($F$8:F135,F135,$C$8:C135,"Mekân")=1,1,0))</f>
        <v/>
      </c>
      <c r="T135" s="52">
        <f>IF(OR(A135="",F135="",C135&lt;&gt;"Kapak"),0,IF(COUNTIFS($F$8:F135,F135,$C$8:C135,"Kapak")=1,1,0))</f>
        <v/>
      </c>
    </row>
    <row r="136" ht="54" customHeight="1">
      <c r="A136" s="29" t="inlineStr">
        <is>
          <t>eindhoven:photo:erfgoedhuis-eindhoven-02</t>
        </is>
      </c>
      <c r="B136" s="29" t="inlineStr">
        <is>
          <t>eindhoven</t>
        </is>
      </c>
      <c r="C136" s="29" t="inlineStr">
        <is>
          <t>Mekân</t>
        </is>
      </c>
      <c r="D136" s="29" t="inlineStr">
        <is>
          <t>eindhoven:erfgoedhuis-eindhoven</t>
        </is>
      </c>
      <c r="E136" s="29" t="inlineStr">
        <is>
          <t>Fotoğraflar/eindhoven_erfgoedhuis-eindhoven_02.jpg</t>
        </is>
      </c>
      <c r="F136" s="29" t="inlineStr">
        <is>
          <t>8f09e0b91abac275e73172b2480815c5eb503a9adca1baa29cc796001720309a</t>
        </is>
      </c>
      <c r="G136" s="29" t="inlineStr">
        <is>
          <t>'Steentijd', 'IJzertijd' ve 'Romeinse tijd' etiketli cam vitrinlerde çömlekler ve taş aletler; vitrinlerin üstünde hayvan iskeletleri, önde mikroskoplar ve buluntularla dolu ahşap çalışma masası</t>
        </is>
      </c>
      <c r="H136" s="29" t="inlineStr">
        <is>
          <t>S. Perquin</t>
        </is>
      </c>
      <c r="I136" s="29" t="inlineStr">
        <is>
          <t>CC BY-SA 4.0</t>
        </is>
      </c>
      <c r="J136" s="29" t="inlineStr">
        <is>
          <t>https://creativecommons.org/licenses/by-sa/4.0/</t>
        </is>
      </c>
      <c r="K136" s="29" t="inlineStr">
        <is>
          <t>https://commons.wikimedia.org/wiki/File:Erfgoedhuis_Eindhoven,_voorwerpen_prehistorie_en_oudheid.jpg</t>
        </is>
      </c>
      <c r="L136" s="49" t="n">
        <v>45343</v>
      </c>
      <c r="M136" s="49" t="n">
        <v>46317</v>
      </c>
      <c r="N136" s="29" t="inlineStr">
        <is>
          <t>Wikimedia Commons'taki "Erfgoedhuis Eindhoven, voorwerpen prehistorie en oudheid.jpg" (6000×4000 px) özgün dosyasının 1280×853 px küçültülmüş kopyası indirildi; kırpma, rötuş ve renk düzeltmesi yapılmadı.</t>
        </is>
      </c>
      <c r="O136" s="29" t="inlineStr">
        <is>
          <t>eindhoven:evidence:erfgoedhuis-eindhoven-02</t>
        </is>
      </c>
      <c r="P136" s="29" t="inlineStr">
        <is>
          <t>Evet</t>
        </is>
      </c>
      <c r="Q136" s="51" t="n">
        <v>2</v>
      </c>
      <c r="R136" s="29" t="inlineStr">
        <is>
          <t>Taslak</t>
        </is>
      </c>
      <c r="S136" s="52">
        <f>IF(OR(A136="",F136="",C136&lt;&gt;"Mekân"),0,IF(COUNTIFS($F$8:F136,F136,$C$8:C136,"Mekân")=1,1,0))</f>
        <v/>
      </c>
      <c r="T136" s="52">
        <f>IF(OR(A136="",F136="",C136&lt;&gt;"Kapak"),0,IF(COUNTIFS($F$8:F136,F136,$C$8:C136,"Kapak")=1,1,0))</f>
        <v/>
      </c>
    </row>
    <row r="137" ht="54" customHeight="1">
      <c r="A137" s="29" t="inlineStr">
        <is>
          <t>eindhoven:photo:erfgoedhuis-eindhoven-03</t>
        </is>
      </c>
      <c r="B137" s="29" t="inlineStr">
        <is>
          <t>eindhoven</t>
        </is>
      </c>
      <c r="C137" s="29" t="inlineStr">
        <is>
          <t>Mekân</t>
        </is>
      </c>
      <c r="D137" s="29" t="inlineStr">
        <is>
          <t>eindhoven:erfgoedhuis-eindhoven</t>
        </is>
      </c>
      <c r="E137" s="29" t="inlineStr">
        <is>
          <t>Fotoğraflar/eindhoven_erfgoedhuis-eindhoven_03.jpg</t>
        </is>
      </c>
      <c r="F137" s="29" t="inlineStr">
        <is>
          <t>562fce1f16671c8976ba6023d18ce0006772a650751b10c1d0129854ab434c9a</t>
        </is>
      </c>
      <c r="G137" s="29" t="inlineStr">
        <is>
          <t>Girişinin üstünde 'ERFGOEDHUIS' yazan mavi kapılı, mavi panelli ve geniş pencereli iki katlı bina; solda rengârenk desenlerle boyanmış küçük bir yapı, önde park etmiş iki araba</t>
        </is>
      </c>
      <c r="H137" s="29" t="inlineStr">
        <is>
          <t>S. Perquin</t>
        </is>
      </c>
      <c r="I137" s="29" t="inlineStr">
        <is>
          <t>CC BY-SA 4.0</t>
        </is>
      </c>
      <c r="J137" s="29" t="inlineStr">
        <is>
          <t>https://creativecommons.org/licenses/by-sa/4.0/</t>
        </is>
      </c>
      <c r="K137" s="29" t="inlineStr">
        <is>
          <t>https://commons.wikimedia.org/wiki/File:Erfgoedhuis_Eindhoven.jpg</t>
        </is>
      </c>
      <c r="L137" s="49" t="n">
        <v>45339</v>
      </c>
      <c r="M137" s="49" t="n">
        <v>46317</v>
      </c>
      <c r="N137" s="29" t="inlineStr">
        <is>
          <t>Wikimedia Commons'taki "Erfgoedhuis Eindhoven.jpg" (6000×4000 px) özgün dosyasının 1280×853 px küçültülmüş kopyası indirildi; kırpma, rötuş ve renk düzeltmesi yapılmadı.</t>
        </is>
      </c>
      <c r="O137" s="29" t="inlineStr">
        <is>
          <t>eindhoven:evidence:erfgoedhuis-eindhoven-03</t>
        </is>
      </c>
      <c r="P137" s="29" t="inlineStr">
        <is>
          <t>Evet</t>
        </is>
      </c>
      <c r="Q137" s="51" t="n">
        <v>3</v>
      </c>
      <c r="R137" s="29" t="inlineStr">
        <is>
          <t>Taslak</t>
        </is>
      </c>
      <c r="S137" s="52">
        <f>IF(OR(A137="",F137="",C137&lt;&gt;"Mekân"),0,IF(COUNTIFS($F$8:F137,F137,$C$8:C137,"Mekân")=1,1,0))</f>
        <v/>
      </c>
      <c r="T137" s="52">
        <f>IF(OR(A137="",F137="",C137&lt;&gt;"Kapak"),0,IF(COUNTIFS($F$8:F137,F137,$C$8:C137,"Kapak")=1,1,0))</f>
        <v/>
      </c>
    </row>
    <row r="138" ht="54" customHeight="1">
      <c r="A138" s="29" t="inlineStr">
        <is>
          <t>eindhoven:photo:parktheater-eindhoven-03</t>
        </is>
      </c>
      <c r="B138" s="29" t="inlineStr">
        <is>
          <t>eindhoven</t>
        </is>
      </c>
      <c r="C138" s="29" t="inlineStr">
        <is>
          <t>Mekân</t>
        </is>
      </c>
      <c r="D138" s="29" t="inlineStr">
        <is>
          <t>eindhoven:parktheater-eindhoven</t>
        </is>
      </c>
      <c r="E138" s="29" t="inlineStr">
        <is>
          <t>Fotoğraflar/eindhoven_parktheater-eindhoven_03.jpg</t>
        </is>
      </c>
      <c r="F138" s="29" t="inlineStr">
        <is>
          <t>4d04f48c75a45a390f221101a96c0940f24936af946f07c4471de7e9d73e238e</t>
        </is>
      </c>
      <c r="G138" s="29" t="inlineStr">
        <is>
          <t>Sahne zemininden görülen salon: kademeli kırmızı koltuk sıraları ve kırmızı balkon; solda dekor çubukları, ışık köprüleri ve metal merdivenlerle yüksek sahne arkası</t>
        </is>
      </c>
      <c r="H138" s="29" t="inlineStr">
        <is>
          <t>Alex P. Kok</t>
        </is>
      </c>
      <c r="I138" s="29" t="inlineStr">
        <is>
          <t>CC BY-SA 4.0</t>
        </is>
      </c>
      <c r="J138" s="29" t="inlineStr">
        <is>
          <t>https://creativecommons.org/licenses/by-sa/4.0/</t>
        </is>
      </c>
      <c r="K138" s="29" t="inlineStr">
        <is>
          <t>https://commons.wikimedia.org/wiki/File:Parktheater_Eindhoven,_grote_zaal_en_coulissen_1.jpg</t>
        </is>
      </c>
      <c r="L138" s="49" t="n">
        <v>43723</v>
      </c>
      <c r="M138" s="49" t="n">
        <v>46317</v>
      </c>
      <c r="N138" s="29" t="inlineStr">
        <is>
          <t>Wikimedia Commons'taki "Parktheater Eindhoven, grote zaal en coulissen 1.jpg" (5568×3712 px) özgün dosyasının 1280×853 px küçültülmüş kopyası indirildi; kırpma, rötuş ve renk düzeltmesi yapılmadı.</t>
        </is>
      </c>
      <c r="O138" s="29" t="inlineStr">
        <is>
          <t>eindhoven:evidence:parktheater-eindhoven-03</t>
        </is>
      </c>
      <c r="P138" s="29" t="inlineStr">
        <is>
          <t>Evet</t>
        </is>
      </c>
      <c r="Q138" s="51" t="n">
        <v>3</v>
      </c>
      <c r="R138" s="29" t="inlineStr">
        <is>
          <t>Taslak</t>
        </is>
      </c>
      <c r="S138" s="52">
        <f>IF(OR(A138="",F138="",C138&lt;&gt;"Mekân"),0,IF(COUNTIFS($F$8:F138,F138,$C$8:C138,"Mekân")=1,1,0))</f>
        <v/>
      </c>
      <c r="T138" s="52">
        <f>IF(OR(A138="",F138="",C138&lt;&gt;"Kapak"),0,IF(COUNTIFS($F$8:F138,F138,$C$8:C138,"Kapak")=1,1,0))</f>
        <v/>
      </c>
    </row>
    <row r="139" ht="54" customHeight="1">
      <c r="A139" s="29" t="inlineStr">
        <is>
          <t>eindhoven:photo:natlab-03</t>
        </is>
      </c>
      <c r="B139" s="29" t="inlineStr">
        <is>
          <t>eindhoven</t>
        </is>
      </c>
      <c r="C139" s="29" t="inlineStr">
        <is>
          <t>Mekân</t>
        </is>
      </c>
      <c r="D139" s="29" t="inlineStr">
        <is>
          <t>eindhoven:natlab</t>
        </is>
      </c>
      <c r="E139" s="29" t="inlineStr">
        <is>
          <t>Fotoğraflar/eindhoven_natlab_03.jpg</t>
        </is>
      </c>
      <c r="F139" s="29" t="inlineStr">
        <is>
          <t>161f2a373a54e46b77fbf4146a73a4f31e904ba6e6b3530052a3feaee3834b57</t>
        </is>
      </c>
      <c r="G139" s="29" t="inlineStr">
        <is>
          <t>Çok sayıda beyaz çerçeveli pencereye sahip uzun tuğla bina; koyu renkli sütunlar ve beyaz beton kirişler üzerinde öne taşan, dikey şeritli kutu biçimli bölüm ve altındaki basamaklı giriş; önde yol, çim şeritler ve sokak lambası</t>
        </is>
      </c>
      <c r="H139" s="29" t="inlineStr">
        <is>
          <t>Rosemoon</t>
        </is>
      </c>
      <c r="I139" s="29" t="inlineStr">
        <is>
          <t>CC BY-SA 3.0</t>
        </is>
      </c>
      <c r="J139" s="29" t="inlineStr">
        <is>
          <t>https://creativecommons.org/licenses/by-sa/3.0/</t>
        </is>
      </c>
      <c r="K139" s="29" t="inlineStr">
        <is>
          <t>https://commons.wikimedia.org/wiki/File:NatLab_Strijp_S_Eindhoven.JPG</t>
        </is>
      </c>
      <c r="L139" s="49" t="n">
        <v>41139</v>
      </c>
      <c r="M139" s="49" t="n">
        <v>46317</v>
      </c>
      <c r="N139" s="29" t="inlineStr">
        <is>
          <t>Wikimedia Commons'taki "NatLab Strijp S Eindhoven.JPG" (4320×3240 px) özgün dosyasının 1280×960 px küçültülmüş kopyası indirildi; kırpma, rötuş ve renk düzeltmesi yapılmadı.</t>
        </is>
      </c>
      <c r="O139" s="29" t="inlineStr">
        <is>
          <t>eindhoven:evidence:natlab-03</t>
        </is>
      </c>
      <c r="P139" s="29" t="inlineStr">
        <is>
          <t>Evet</t>
        </is>
      </c>
      <c r="Q139" s="51" t="n">
        <v>3</v>
      </c>
      <c r="R139" s="29" t="inlineStr">
        <is>
          <t>Taslak</t>
        </is>
      </c>
      <c r="S139" s="52">
        <f>IF(OR(A139="",F139="",C139&lt;&gt;"Mekân"),0,IF(COUNTIFS($F$8:F139,F139,$C$8:C139,"Mekân")=1,1,0))</f>
        <v/>
      </c>
      <c r="T139" s="52">
        <f>IF(OR(A139="",F139="",C139&lt;&gt;"Kapak"),0,IF(COUNTIFS($F$8:F139,F139,$C$8:C139,"Kapak")=1,1,0))</f>
        <v/>
      </c>
    </row>
    <row r="140" ht="54" customHeight="1">
      <c r="A140" s="29" t="inlineStr">
        <is>
          <t>eindhoven:photo:dynamo-03</t>
        </is>
      </c>
      <c r="B140" s="29" t="inlineStr">
        <is>
          <t>eindhoven</t>
        </is>
      </c>
      <c r="C140" s="29" t="inlineStr">
        <is>
          <t>Mekân</t>
        </is>
      </c>
      <c r="D140" s="29" t="inlineStr">
        <is>
          <t>eindhoven:dynamo</t>
        </is>
      </c>
      <c r="E140" s="29" t="inlineStr">
        <is>
          <t>Fotoğraflar/eindhoven_dynamo_03.jpg</t>
        </is>
      </c>
      <c r="F140" s="29" t="inlineStr">
        <is>
          <t>ecdf45c1fbc648800b96e5d32ec3a27d0a9516ceddeaa1620d3654d46f170fce</t>
        </is>
      </c>
      <c r="G140" s="29" t="inlineStr">
        <is>
          <t>Konser sırasında sahne: tavandan inen beyaz spot ışık huzmeleri altında gitar çalan müzisyenler ve kırmızı ışıklı davul seti; önde seyircilerin karanlık siluetleri</t>
        </is>
      </c>
      <c r="H140" s="29" t="inlineStr">
        <is>
          <t>Lendskaip</t>
        </is>
      </c>
      <c r="I140" s="29" t="inlineStr">
        <is>
          <t>CC0 1.0</t>
        </is>
      </c>
      <c r="J140" s="29" t="inlineStr">
        <is>
          <t>https://creativecommons.org/publicdomain/zero/1.0/</t>
        </is>
      </c>
      <c r="K140" s="29" t="inlineStr">
        <is>
          <t>https://commons.wikimedia.org/wiki/File:Inferum,_live_at_Dynamo_Eindhoven.jpg</t>
        </is>
      </c>
      <c r="L140" s="49" t="n">
        <v>45920</v>
      </c>
      <c r="M140" s="49" t="n">
        <v>46317</v>
      </c>
      <c r="N140" s="29" t="inlineStr">
        <is>
          <t>Wikimedia Commons'taki "Inferum, live at Dynamo Eindhoven.jpg" (3329×2241 px) özgün dosyasının 1280×862 px küçültülmüş kopyası indirildi; kırpma, rötuş ve renk düzeltmesi yapılmadı.</t>
        </is>
      </c>
      <c r="O140" s="29" t="inlineStr">
        <is>
          <t>eindhoven:evidence:dynamo-03</t>
        </is>
      </c>
      <c r="P140" s="29" t="inlineStr">
        <is>
          <t>Evet</t>
        </is>
      </c>
      <c r="Q140" s="51" t="n">
        <v>3</v>
      </c>
      <c r="R140" s="29" t="inlineStr">
        <is>
          <t>Taslak</t>
        </is>
      </c>
      <c r="S140" s="52">
        <f>IF(OR(A140="",F140="",C140&lt;&gt;"Mekân"),0,IF(COUNTIFS($F$8:F140,F140,$C$8:C140,"Mekân")=1,1,0))</f>
        <v/>
      </c>
      <c r="T140" s="52">
        <f>IF(OR(A140="",F140="",C140&lt;&gt;"Kapak"),0,IF(COUNTIFS($F$8:F140,F140,$C$8:C140,"Kapak")=1,1,0))</f>
        <v/>
      </c>
    </row>
    <row r="141" ht="54" customHeight="1">
      <c r="A141" s="29" t="inlineStr">
        <is>
          <t>eindhoven:photo:philips-stadion-psv-03</t>
        </is>
      </c>
      <c r="B141" s="29" t="inlineStr">
        <is>
          <t>eindhoven</t>
        </is>
      </c>
      <c r="C141" s="29" t="inlineStr">
        <is>
          <t>Mekân</t>
        </is>
      </c>
      <c r="D141" s="29" t="inlineStr">
        <is>
          <t>eindhoven:philips-stadion-psv</t>
        </is>
      </c>
      <c r="E141" s="29" t="inlineStr">
        <is>
          <t>Fotoğraflar/eindhoven_philips-stadion-psv_03.jpg</t>
        </is>
      </c>
      <c r="F141" s="29" t="inlineStr">
        <is>
          <t>c07f800bd847e2eb6f384f0dab71ff9c482dc1e5cc1a8dc37ffa57a7e958b8d6</t>
        </is>
      </c>
      <c r="G141" s="29" t="inlineStr">
        <is>
          <t>Tuğla döşeli geniş alanın ve caddenin ardında stadyumun cephesi: ortada "Philips Stadion" yazısı, iki köşede çelik halatlı beyaz pilonlar, cephe önünde park etmiş arabalar</t>
        </is>
      </c>
      <c r="H141" s="29" t="inlineStr">
        <is>
          <t>Ralf Roletschek</t>
        </is>
      </c>
      <c r="I141" s="29" t="inlineStr">
        <is>
          <t>CC BY 3.0</t>
        </is>
      </c>
      <c r="J141" s="29" t="inlineStr">
        <is>
          <t>https://creativecommons.org/licenses/by/3.0/</t>
        </is>
      </c>
      <c r="K141" s="29" t="inlineStr">
        <is>
          <t>https://commons.wikimedia.org/wiki/File:13-06-29-eindhoven-50mm-65.jpg</t>
        </is>
      </c>
      <c r="L141" s="49" t="n">
        <v>41454</v>
      </c>
      <c r="M141" s="49" t="n">
        <v>46317</v>
      </c>
      <c r="N141" s="29" t="inlineStr">
        <is>
          <t>Wikimedia Commons'taki "13-06-29-eindhoven-50mm-65.jpg" (4288×2848 px) özgün dosyasının 1280×850 px küçültülmüş kopyası indirildi; kırpma, rötuş ve renk düzeltmesi yapılmadı.</t>
        </is>
      </c>
      <c r="O141" s="29" t="inlineStr">
        <is>
          <t>eindhoven:evidence:philips-stadion-psv-03</t>
        </is>
      </c>
      <c r="P141" s="29" t="inlineStr">
        <is>
          <t>Evet</t>
        </is>
      </c>
      <c r="Q141" s="51" t="n">
        <v>3</v>
      </c>
      <c r="R141" s="29" t="inlineStr">
        <is>
          <t>Taslak</t>
        </is>
      </c>
      <c r="S141" s="52">
        <f>IF(OR(A141="",F141="",C141&lt;&gt;"Mekân"),0,IF(COUNTIFS($F$8:F141,F141,$C$8:C141,"Mekân")=1,1,0))</f>
        <v/>
      </c>
      <c r="T141" s="52">
        <f>IF(OR(A141="",F141="",C141&lt;&gt;"Kapak"),0,IF(COUNTIFS($F$8:F141,F141,$C$8:C141,"Kapak")=1,1,0))</f>
        <v/>
      </c>
    </row>
    <row r="142" ht="54" customHeight="1">
      <c r="A142" s="29" t="inlineStr">
        <is>
          <t>eindhoven:photo:nationaal-zwemcentrum-de-tongelreep-02</t>
        </is>
      </c>
      <c r="B142" s="29" t="inlineStr">
        <is>
          <t>eindhoven</t>
        </is>
      </c>
      <c r="C142" s="29" t="inlineStr">
        <is>
          <t>Mekân</t>
        </is>
      </c>
      <c r="D142" s="29" t="inlineStr">
        <is>
          <t>eindhoven:nationaal-zwemcentrum-de-tongelreep</t>
        </is>
      </c>
      <c r="E142" s="29" t="inlineStr">
        <is>
          <t>Fotoğraflar/eindhoven_nationaal-zwemcentrum-de-tongelreep_02.jpg</t>
        </is>
      </c>
      <c r="F142" s="29" t="inlineStr">
        <is>
          <t>b5a2c2a932de4cefb96d2f0bba04495baf2ac498b6144ac0fc0ba1e900876021</t>
        </is>
      </c>
      <c r="G142" s="29" t="inlineStr">
        <is>
          <t>Yüzücüsüz yarış havuzu: kırmızı, sarı ve mavi kulvar ipleri, yeşil ışıkla parlayan su ve başlangıç blokları; arkada "Fina Swimming World Cup Eindhoven 2018" yazılı büyük ekran, renkli spotlar ve tribün</t>
        </is>
      </c>
      <c r="H142" s="29" t="inlineStr">
        <is>
          <t>Joopjr</t>
        </is>
      </c>
      <c r="I142" s="29" t="inlineStr">
        <is>
          <t>CC BY-SA 4.0</t>
        </is>
      </c>
      <c r="J142" s="29" t="inlineStr">
        <is>
          <t>https://creativecommons.org/licenses/by-sa/4.0/</t>
        </is>
      </c>
      <c r="K142" s="29" t="inlineStr">
        <is>
          <t>https://commons.wikimedia.org/wiki/File:FINA_Swimming_World_Cup_Venue_Eindhoven.jpg</t>
        </is>
      </c>
      <c r="L142" s="49" t="n">
        <v>43373</v>
      </c>
      <c r="M142" s="49" t="n">
        <v>46317</v>
      </c>
      <c r="N142" s="29" t="inlineStr">
        <is>
          <t>Wikimedia Commons'taki "FINA Swimming World Cup Venue Eindhoven.jpg" özgün dosyası (1600×1200 px) değiştirilmeden indirildi.</t>
        </is>
      </c>
      <c r="O142" s="29" t="inlineStr">
        <is>
          <t>eindhoven:evidence:nationaal-zwemcentrum-de-tongelreep-02</t>
        </is>
      </c>
      <c r="P142" s="29" t="inlineStr">
        <is>
          <t>Evet</t>
        </is>
      </c>
      <c r="Q142" s="51" t="n">
        <v>2</v>
      </c>
      <c r="R142" s="29" t="inlineStr">
        <is>
          <t>Taslak</t>
        </is>
      </c>
      <c r="S142" s="52">
        <f>IF(OR(A142="",F142="",C142&lt;&gt;"Mekân"),0,IF(COUNTIFS($F$8:F142,F142,$C$8:C142,"Mekân")=1,1,0))</f>
        <v/>
      </c>
      <c r="T142" s="52">
        <f>IF(OR(A142="",F142="",C142&lt;&gt;"Kapak"),0,IF(COUNTIFS($F$8:F142,F142,$C$8:C142,"Kapak")=1,1,0))</f>
        <v/>
      </c>
    </row>
    <row r="143" ht="54" customHeight="1">
      <c r="A143" s="29" t="inlineStr">
        <is>
          <t>eindhoven:photo:henri-dunantpark-02</t>
        </is>
      </c>
      <c r="B143" s="29" t="inlineStr">
        <is>
          <t>eindhoven</t>
        </is>
      </c>
      <c r="C143" s="29" t="inlineStr">
        <is>
          <t>Mekân</t>
        </is>
      </c>
      <c r="D143" s="29" t="inlineStr">
        <is>
          <t>eindhoven:henri-dunantpark</t>
        </is>
      </c>
      <c r="E143" s="29" t="inlineStr">
        <is>
          <t>Fotoğraflar/eindhoven_henri-dunantpark_02.jpg</t>
        </is>
      </c>
      <c r="F143" s="29" t="inlineStr">
        <is>
          <t>be99e178824150cc6043a708d0aa476adf3c078bb050d4c1aed2f018707debe7</t>
        </is>
      </c>
      <c r="G143" s="29" t="inlineStr">
        <is>
          <t>Güneşli bir günde büyük ağaçların gölgelediği geniş çimenlik, ağaç altındaki piknik masaları ve arka planda ahşap yapılar</t>
        </is>
      </c>
      <c r="H143" s="29" t="inlineStr">
        <is>
          <t>S. Perquin</t>
        </is>
      </c>
      <c r="I143" s="29" t="inlineStr">
        <is>
          <t>CC BY-SA 4.0</t>
        </is>
      </c>
      <c r="J143" s="29" t="inlineStr">
        <is>
          <t>https://creativecommons.org/licenses/by-sa/4.0/</t>
        </is>
      </c>
      <c r="K143" s="29" t="inlineStr">
        <is>
          <t>https://commons.wikimedia.org/wiki/File:Speelpark_De_Splinter_(2025)_(28).jpg</t>
        </is>
      </c>
      <c r="L143" s="49" t="n">
        <v>45793</v>
      </c>
      <c r="M143" s="49" t="n">
        <v>46317</v>
      </c>
      <c r="N143" s="29" t="inlineStr">
        <is>
          <t>Wikimedia Commons'taki "Speelpark De Splinter (2025) (28).jpg" (6000×4000 px) özgün dosyasının 1280×853 px küçültülmüş kopyası indirildi; kırpma, rötuş ve renk düzeltmesi yapılmadı.</t>
        </is>
      </c>
      <c r="O143" s="29" t="inlineStr">
        <is>
          <t>eindhoven:evidence:henri-dunantpark-02</t>
        </is>
      </c>
      <c r="P143" s="29" t="inlineStr">
        <is>
          <t>Evet</t>
        </is>
      </c>
      <c r="Q143" s="51" t="n">
        <v>2</v>
      </c>
      <c r="R143" s="29" t="inlineStr">
        <is>
          <t>Taslak</t>
        </is>
      </c>
      <c r="S143" s="52">
        <f>IF(OR(A143="",F143="",C143&lt;&gt;"Mekân"),0,IF(COUNTIFS($F$8:F143,F143,$C$8:C143,"Mekân")=1,1,0))</f>
        <v/>
      </c>
      <c r="T143" s="52">
        <f>IF(OR(A143="",F143="",C143&lt;&gt;"Kapak"),0,IF(COUNTIFS($F$8:F143,F143,$C$8:C143,"Kapak")=1,1,0))</f>
        <v/>
      </c>
    </row>
    <row r="144" ht="54" customHeight="1">
      <c r="A144" s="29" t="inlineStr">
        <is>
          <t>eindhoven:photo:henri-dunantpark-03</t>
        </is>
      </c>
      <c r="B144" s="29" t="inlineStr">
        <is>
          <t>eindhoven</t>
        </is>
      </c>
      <c r="C144" s="29" t="inlineStr">
        <is>
          <t>Mekân</t>
        </is>
      </c>
      <c r="D144" s="29" t="inlineStr">
        <is>
          <t>eindhoven:henri-dunantpark</t>
        </is>
      </c>
      <c r="E144" s="29" t="inlineStr">
        <is>
          <t>Fotoğraflar/eindhoven_henri-dunantpark_03.jpg</t>
        </is>
      </c>
      <c r="F144" s="29" t="inlineStr">
        <is>
          <t>9aac09044740d47bbed36987d3efd94bf5e7ac93fdd18767b1a8c25abb9f8071</t>
        </is>
      </c>
      <c r="G144" s="29" t="inlineStr">
        <is>
          <t>Çimende otlayan beyaz-kahverengi benekli bir keçi, arkasında koyu renk ahşap ahır ve çitle çevrili hayvan bölmesi; çevrede yüksek ağaçlar</t>
        </is>
      </c>
      <c r="H144" s="29" t="inlineStr">
        <is>
          <t>S. Perquin</t>
        </is>
      </c>
      <c r="I144" s="29" t="inlineStr">
        <is>
          <t>CC BY-SA 4.0</t>
        </is>
      </c>
      <c r="J144" s="29" t="inlineStr">
        <is>
          <t>https://creativecommons.org/licenses/by-sa/4.0/</t>
        </is>
      </c>
      <c r="K144" s="29" t="inlineStr">
        <is>
          <t>https://commons.wikimedia.org/wiki/File:Speelpark_De_Splinter_(2025)_(35).jpg</t>
        </is>
      </c>
      <c r="L144" s="49" t="n">
        <v>45793</v>
      </c>
      <c r="M144" s="49" t="n">
        <v>46317</v>
      </c>
      <c r="N144" s="29" t="inlineStr">
        <is>
          <t>Wikimedia Commons'taki "Speelpark De Splinter (2025) (35).jpg" (6000×4000 px) özgün dosyasının 1280×853 px küçültülmüş kopyası indirildi; kırpma, rötuş ve renk düzeltmesi yapılmadı.</t>
        </is>
      </c>
      <c r="O144" s="29" t="inlineStr">
        <is>
          <t>eindhoven:evidence:henri-dunantpark-03</t>
        </is>
      </c>
      <c r="P144" s="29" t="inlineStr">
        <is>
          <t>Evet</t>
        </is>
      </c>
      <c r="Q144" s="51" t="n">
        <v>3</v>
      </c>
      <c r="R144" s="29" t="inlineStr">
        <is>
          <t>Taslak</t>
        </is>
      </c>
      <c r="S144" s="52">
        <f>IF(OR(A144="",F144="",C144&lt;&gt;"Mekân"),0,IF(COUNTIFS($F$8:F144,F144,$C$8:C144,"Mekân")=1,1,0))</f>
        <v/>
      </c>
      <c r="T144" s="52">
        <f>IF(OR(A144="",F144="",C144&lt;&gt;"Kapak"),0,IF(COUNTIFS($F$8:F144,F144,$C$8:C144,"Kapak")=1,1,0))</f>
        <v/>
      </c>
    </row>
    <row r="145" ht="54" customHeight="1">
      <c r="A145" s="29" t="inlineStr">
        <is>
          <t>eindhoven:photo:landgoed-de-wielewaal-02</t>
        </is>
      </c>
      <c r="B145" s="29" t="inlineStr">
        <is>
          <t>eindhoven</t>
        </is>
      </c>
      <c r="C145" s="29" t="inlineStr">
        <is>
          <t>Mekân</t>
        </is>
      </c>
      <c r="D145" s="29" t="inlineStr">
        <is>
          <t>eindhoven:landgoed-de-wielewaal</t>
        </is>
      </c>
      <c r="E145" s="29" t="inlineStr">
        <is>
          <t>Fotoğraflar/eindhoven_landgoed-de-wielewaal_02.jpg</t>
        </is>
      </c>
      <c r="F145" s="29" t="inlineStr">
        <is>
          <t>2f1853f3cadfd9f2167bdbb6e8ade3154f8aec08e3f947a3ea0be7f82fd023d9</t>
        </is>
      </c>
      <c r="G145" s="29" t="inlineStr">
        <is>
          <t>Mavi gökyüzü altında, ön planı kuru yapraklarla kaplı geniş çimenlik; solda yapraksız ağaç, sağda iğne yapraklı ağaçlar ve uzakta ağaçların arasında kiremit çatılı bir ev</t>
        </is>
      </c>
      <c r="H145" s="29" t="inlineStr">
        <is>
          <t>Chescargot</t>
        </is>
      </c>
      <c r="I145" s="29" t="inlineStr">
        <is>
          <t>CC BY 4.0</t>
        </is>
      </c>
      <c r="J145" s="29" t="inlineStr">
        <is>
          <t>https://creativecommons.org/licenses/by/4.0/</t>
        </is>
      </c>
      <c r="K145" s="29" t="inlineStr">
        <is>
          <t>https://commons.wikimedia.org/wiki/File:Lichtbos_Eindhoven_januari_2026_13.jpg</t>
        </is>
      </c>
      <c r="L145" s="49" t="n">
        <v>46040</v>
      </c>
      <c r="M145" s="49" t="n">
        <v>46317</v>
      </c>
      <c r="N145" s="29" t="inlineStr">
        <is>
          <t>Wikimedia Commons'taki "Lichtbos Eindhoven januari 2026 13.jpg" (3060×4080 px) özgün dosyasının 1280×1707 px küçültülmüş kopyası indirildi; kırpma, rötuş ve renk düzeltmesi yapılmadı.</t>
        </is>
      </c>
      <c r="O145" s="29" t="inlineStr">
        <is>
          <t>eindhoven:evidence:landgoed-de-wielewaal-02</t>
        </is>
      </c>
      <c r="P145" s="29" t="inlineStr">
        <is>
          <t>Evet</t>
        </is>
      </c>
      <c r="Q145" s="51" t="n">
        <v>2</v>
      </c>
      <c r="R145" s="29" t="inlineStr">
        <is>
          <t>Taslak</t>
        </is>
      </c>
      <c r="S145" s="52">
        <f>IF(OR(A145="",F145="",C145&lt;&gt;"Mekân"),0,IF(COUNTIFS($F$8:F145,F145,$C$8:C145,"Mekân")=1,1,0))</f>
        <v/>
      </c>
      <c r="T145" s="52">
        <f>IF(OR(A145="",F145="",C145&lt;&gt;"Kapak"),0,IF(COUNTIFS($F$8:F145,F145,$C$8:C145,"Kapak")=1,1,0))</f>
        <v/>
      </c>
    </row>
    <row r="146" ht="54" customHeight="1">
      <c r="A146" s="29" t="inlineStr">
        <is>
          <t>eindhoven:photo:sint-catharinakerk-02</t>
        </is>
      </c>
      <c r="B146" s="29" t="inlineStr">
        <is>
          <t>eindhoven</t>
        </is>
      </c>
      <c r="C146" s="29" t="inlineStr">
        <is>
          <t>Mekân</t>
        </is>
      </c>
      <c r="D146" s="29" t="inlineStr">
        <is>
          <t>eindhoven:sint-catharinakerk</t>
        </is>
      </c>
      <c r="E146" s="29" t="inlineStr">
        <is>
          <t>Fotoğraflar/eindhoven_sint-catharinakerk_02.jpg</t>
        </is>
      </c>
      <c r="F146" s="29" t="inlineStr">
        <is>
          <t>838a057cdc4e465a14b6b99c29bec2b6078c53c0cbb3d553ce2b53830450a57a</t>
        </is>
      </c>
      <c r="G146" s="29" t="inlineStr">
        <is>
          <t>Açık mavi gökyüzüne yükselen sivri tepeli iki kuleli tuğla kilise ve uzun gövdesi; önünde yapraksız ağaçlar, park edilmiş bisikletler ve geniş taş meydan</t>
        </is>
      </c>
      <c r="H146" s="29" t="inlineStr">
        <is>
          <t>Sailko</t>
        </is>
      </c>
      <c r="I146" s="29" t="inlineStr">
        <is>
          <t>CC BY 3.0</t>
        </is>
      </c>
      <c r="J146" s="29" t="inlineStr">
        <is>
          <t>https://creativecommons.org/licenses/by/3.0/</t>
        </is>
      </c>
      <c r="K146" s="29" t="inlineStr">
        <is>
          <t>https://commons.wikimedia.org/wiki/File:Eindhoven,_santa_caterina,_02.jpg</t>
        </is>
      </c>
      <c r="L146" s="49" t="n">
        <v>42441</v>
      </c>
      <c r="M146" s="49" t="n">
        <v>46317</v>
      </c>
      <c r="N146" s="29" t="inlineStr">
        <is>
          <t>Wikimedia Commons'taki "Eindhoven, santa caterina, 02.jpg" (2304×3456 px) özgün dosyasının 1280×1920 px küçültülmüş kopyası indirildi; kırpma, rötuş ve renk düzeltmesi yapılmadı.</t>
        </is>
      </c>
      <c r="O146" s="29" t="inlineStr">
        <is>
          <t>eindhoven:evidence:sint-catharinakerk-02</t>
        </is>
      </c>
      <c r="P146" s="29" t="inlineStr">
        <is>
          <t>Evet</t>
        </is>
      </c>
      <c r="Q146" s="51" t="n">
        <v>2</v>
      </c>
      <c r="R146" s="29" t="inlineStr">
        <is>
          <t>Taslak</t>
        </is>
      </c>
      <c r="S146" s="52">
        <f>IF(OR(A146="",F146="",C146&lt;&gt;"Mekân"),0,IF(COUNTIFS($F$8:F146,F146,$C$8:C146,"Mekân")=1,1,0))</f>
        <v/>
      </c>
      <c r="T146" s="52">
        <f>IF(OR(A146="",F146="",C146&lt;&gt;"Kapak"),0,IF(COUNTIFS($F$8:F146,F146,$C$8:C146,"Kapak")=1,1,0))</f>
        <v/>
      </c>
    </row>
    <row r="147" ht="54" customHeight="1">
      <c r="A147" s="29" t="inlineStr">
        <is>
          <t>eindhoven:photo:sint-catharinakerk-03</t>
        </is>
      </c>
      <c r="B147" s="29" t="inlineStr">
        <is>
          <t>eindhoven</t>
        </is>
      </c>
      <c r="C147" s="29" t="inlineStr">
        <is>
          <t>Mekân</t>
        </is>
      </c>
      <c r="D147" s="29" t="inlineStr">
        <is>
          <t>eindhoven:sint-catharinakerk</t>
        </is>
      </c>
      <c r="E147" s="29" t="inlineStr">
        <is>
          <t>Fotoğraflar/eindhoven_sint-catharinakerk_03.jpg</t>
        </is>
      </c>
      <c r="F147" s="29" t="inlineStr">
        <is>
          <t>61d02dfd2d34f0040d10288d0cf85ecdd56ed068637723aad9a09b60f9d3a5d4</t>
        </is>
      </c>
      <c r="G147" s="29" t="inlineStr">
        <is>
          <t>Masmavi gökyüzü önünde gül pencereli, üç sivri kemerli kapılı tuğla kilise cephesi ve iki yüksek sivri kule; önde basamaklı taş meydan ve çiçekli saksılar</t>
        </is>
      </c>
      <c r="H147" s="29" t="inlineStr">
        <is>
          <t>Ben Bender</t>
        </is>
      </c>
      <c r="I147" s="29" t="inlineStr">
        <is>
          <t>CC BY-SA 3.0</t>
        </is>
      </c>
      <c r="J147" s="29" t="inlineStr">
        <is>
          <t>https://creativecommons.org/licenses/by-sa/3.0/</t>
        </is>
      </c>
      <c r="K147" s="29" t="inlineStr">
        <is>
          <t>https://commons.wikimedia.org/wiki/File:Binnenstad,_5611_Eindhoven,_Netherlands_-_panoramio_(2).jpg</t>
        </is>
      </c>
      <c r="L147" s="49" t="n"/>
      <c r="M147" s="49" t="n">
        <v>46317</v>
      </c>
      <c r="N147" s="29" t="inlineStr">
        <is>
          <t>Wikimedia Commons'taki "Binnenstad, 5611 Eindhoven, Netherlands - panoramio (2).jpg" özgün dosyası (1375×2048 px) değiştirilmeden indirildi.</t>
        </is>
      </c>
      <c r="O147" s="29" t="inlineStr">
        <is>
          <t>eindhoven:evidence:sint-catharinakerk-03</t>
        </is>
      </c>
      <c r="P147" s="29" t="inlineStr">
        <is>
          <t>Evet</t>
        </is>
      </c>
      <c r="Q147" s="51" t="n">
        <v>3</v>
      </c>
      <c r="R147" s="29" t="inlineStr">
        <is>
          <t>Taslak</t>
        </is>
      </c>
      <c r="S147" s="52">
        <f>IF(OR(A147="",F147="",C147&lt;&gt;"Mekân"),0,IF(COUNTIFS($F$8:F147,F147,$C$8:C147,"Mekân")=1,1,0))</f>
        <v/>
      </c>
      <c r="T147" s="52">
        <f>IF(OR(A147="",F147="",C147&lt;&gt;"Kapak"),0,IF(COUNTIFS($F$8:F147,F147,$C$8:C147,"Kapak")=1,1,0))</f>
        <v/>
      </c>
    </row>
    <row r="148" ht="54" customHeight="1">
      <c r="A148" s="29" t="inlineStr">
        <is>
          <t>eindhoven:photo:strijp-s-02</t>
        </is>
      </c>
      <c r="B148" s="29" t="inlineStr">
        <is>
          <t>eindhoven</t>
        </is>
      </c>
      <c r="C148" s="29" t="inlineStr">
        <is>
          <t>Mekân</t>
        </is>
      </c>
      <c r="D148" s="29" t="inlineStr">
        <is>
          <t>eindhoven:strijp-s</t>
        </is>
      </c>
      <c r="E148" s="29" t="inlineStr">
        <is>
          <t>Fotoğraflar/eindhoven_strijp-s_02.jpg</t>
        </is>
      </c>
      <c r="F148" s="29" t="inlineStr">
        <is>
          <t>1e999c4964c3ba8e720dd4135890538de289fb7e2b87c6a4dbf06cedd58ad4f1</t>
        </is>
      </c>
      <c r="G148" s="29" t="inlineStr">
        <is>
          <t>Cephesinde dikey 'GLASGEBOUW' yazısı bulunan çok katlı tuğla bina; önünde genç ağaçlar, çimenlik ve üst üste istiflenmiş levhalar</t>
        </is>
      </c>
      <c r="H148" s="29" t="inlineStr">
        <is>
          <t>Steven Lek</t>
        </is>
      </c>
      <c r="I148" s="29" t="inlineStr">
        <is>
          <t>CC BY-SA 4.0</t>
        </is>
      </c>
      <c r="J148" s="29" t="inlineStr">
        <is>
          <t>https://creativecommons.org/licenses/by-sa/4.0/</t>
        </is>
      </c>
      <c r="K148" s="29" t="inlineStr">
        <is>
          <t>https://commons.wikimedia.org/wiki/File:Glasgebouw_Eindhoven.jpg</t>
        </is>
      </c>
      <c r="L148" s="49" t="n">
        <v>43312</v>
      </c>
      <c r="M148" s="49" t="n">
        <v>46317</v>
      </c>
      <c r="N148" s="29" t="inlineStr">
        <is>
          <t>Wikimedia Commons'taki "Glasgebouw Eindhoven.jpg" (3264×4928 px) özgün dosyasının 1280×1933 px küçültülmüş kopyası indirildi; kırpma, rötuş ve renk düzeltmesi yapılmadı.</t>
        </is>
      </c>
      <c r="O148" s="29" t="inlineStr">
        <is>
          <t>eindhoven:evidence:strijp-s-02</t>
        </is>
      </c>
      <c r="P148" s="29" t="inlineStr">
        <is>
          <t>Evet</t>
        </is>
      </c>
      <c r="Q148" s="51" t="n">
        <v>2</v>
      </c>
      <c r="R148" s="29" t="inlineStr">
        <is>
          <t>Taslak</t>
        </is>
      </c>
      <c r="S148" s="52">
        <f>IF(OR(A148="",F148="",C148&lt;&gt;"Mekân"),0,IF(COUNTIFS($F$8:F148,F148,$C$8:C148,"Mekân")=1,1,0))</f>
        <v/>
      </c>
      <c r="T148" s="52">
        <f>IF(OR(A148="",F148="",C148&lt;&gt;"Kapak"),0,IF(COUNTIFS($F$8:F148,F148,$C$8:C148,"Kapak")=1,1,0))</f>
        <v/>
      </c>
    </row>
    <row r="149" ht="54" customHeight="1">
      <c r="A149" s="29" t="inlineStr">
        <is>
          <t>eindhoven:photo:strijp-s-03</t>
        </is>
      </c>
      <c r="B149" s="29" t="inlineStr">
        <is>
          <t>eindhoven</t>
        </is>
      </c>
      <c r="C149" s="29" t="inlineStr">
        <is>
          <t>Mekân</t>
        </is>
      </c>
      <c r="D149" s="29" t="inlineStr">
        <is>
          <t>eindhoven:strijp-s</t>
        </is>
      </c>
      <c r="E149" s="29" t="inlineStr">
        <is>
          <t>Fotoğraflar/eindhoven_strijp-s_03.jpg</t>
        </is>
      </c>
      <c r="F149" s="29" t="inlineStr">
        <is>
          <t>3df5ad8eea64938986270ee8ec896520af1005ace930c8912bd8e76e95b52602</t>
        </is>
      </c>
      <c r="G149" s="29" t="inlineStr">
        <is>
          <t>Solda çok pencereli beyaz eski fabrika binaları ve borular, ortada kırmızı yüksek konut kulesi, arkada iki uzun baca, sağda masa ve şemsiyeli geniş meydan</t>
        </is>
      </c>
      <c r="H149" s="29" t="inlineStr">
        <is>
          <t>KatVanHuis</t>
        </is>
      </c>
      <c r="I149" s="29" t="inlineStr">
        <is>
          <t>CC BY-SA 4.0</t>
        </is>
      </c>
      <c r="J149" s="29" t="inlineStr">
        <is>
          <t>https://creativecommons.org/licenses/by-sa/4.0/</t>
        </is>
      </c>
      <c r="K149" s="29" t="inlineStr">
        <is>
          <t>https://commons.wikimedia.org/wiki/File:Haasje-2021.jpg</t>
        </is>
      </c>
      <c r="L149" s="49" t="n">
        <v>44355</v>
      </c>
      <c r="M149" s="49" t="n">
        <v>46317</v>
      </c>
      <c r="N149" s="29" t="inlineStr">
        <is>
          <t>Wikimedia Commons'taki "Haasje-2021.jpg" (4032×3024 px) özgün dosyasının 1280×960 px küçültülmüş kopyası indirildi; kırpma, rötuş ve renk düzeltmesi yapılmadı.</t>
        </is>
      </c>
      <c r="O149" s="29" t="inlineStr">
        <is>
          <t>eindhoven:evidence:strijp-s-03</t>
        </is>
      </c>
      <c r="P149" s="29" t="inlineStr">
        <is>
          <t>Evet</t>
        </is>
      </c>
      <c r="Q149" s="51" t="n">
        <v>3</v>
      </c>
      <c r="R149" s="29" t="inlineStr">
        <is>
          <t>Taslak</t>
        </is>
      </c>
      <c r="S149" s="52">
        <f>IF(OR(A149="",F149="",C149&lt;&gt;"Mekân"),0,IF(COUNTIFS($F$8:F149,F149,$C$8:C149,"Mekân")=1,1,0))</f>
        <v/>
      </c>
      <c r="T149" s="52">
        <f>IF(OR(A149="",F149="",C149&lt;&gt;"Kapak"),0,IF(COUNTIFS($F$8:F149,F149,$C$8:C149,"Kapak")=1,1,0))</f>
        <v/>
      </c>
    </row>
    <row r="150" ht="54" customHeight="1">
      <c r="A150" s="29" t="inlineStr">
        <is>
          <t>eindhoven:photo:catharinakerkhof-03</t>
        </is>
      </c>
      <c r="B150" s="29" t="inlineStr">
        <is>
          <t>eindhoven</t>
        </is>
      </c>
      <c r="C150" s="29" t="inlineStr">
        <is>
          <t>Mekân</t>
        </is>
      </c>
      <c r="D150" s="29" t="inlineStr">
        <is>
          <t>eindhoven:catharinakerkhof</t>
        </is>
      </c>
      <c r="E150" s="29" t="inlineStr">
        <is>
          <t>Fotoğraflar/eindhoven_catharinakerkhof_03.jpg</t>
        </is>
      </c>
      <c r="F150" s="29" t="inlineStr">
        <is>
          <t>ceadc7f43052cf1bc389b6a2f3939ab639eb48abf44b4dcafcb4bcea4cca231c</t>
        </is>
      </c>
      <c r="G150" s="29" t="inlineStr">
        <is>
          <t>Tepesinde taş haç bulunan, sivri kemerli ahşap kapılı kırmızı tuğla mezar şapeli; önünde taş mezarlar, demir parmaklıklar ve çakıllı yol, arkada yapraksız ağaçlar</t>
        </is>
      </c>
      <c r="H150" s="29" t="inlineStr">
        <is>
          <t>Sergé Technau</t>
        </is>
      </c>
      <c r="I150" s="29" t="inlineStr">
        <is>
          <t>CC BY-SA 4.0</t>
        </is>
      </c>
      <c r="J150" s="29" t="inlineStr">
        <is>
          <t>https://creativecommons.org/licenses/by-sa/4.0/</t>
        </is>
      </c>
      <c r="K150" s="29" t="inlineStr">
        <is>
          <t>https://commons.wikimedia.org/wiki/File:Grafkapel_familie_Smits_van_Oyen;_aan_de_voorzijde_is_een_houten_paneeldeur_in_een_hardstenen_omlijsting_geplaatst_-_Eindhoven_-_20410846_-_RCE.jpg</t>
        </is>
      </c>
      <c r="L150" s="49" t="n">
        <v>39451</v>
      </c>
      <c r="M150" s="49" t="n">
        <v>46317</v>
      </c>
      <c r="N150" s="29" t="inlineStr">
        <is>
          <t>Wikimedia Commons'taki "Grafkapel familie Smits van Oyen; aan de voorzijde is een houten paneeldeur in een hardste" (2362×3543 px) özgün dosyasının 1280×1920 px küçültülmüş kopyası indirildi; kırpma, rötuş ve renk düzeltmesi yapılmadı.</t>
        </is>
      </c>
      <c r="O150" s="29" t="inlineStr">
        <is>
          <t>eindhoven:evidence:catharinakerkhof-03</t>
        </is>
      </c>
      <c r="P150" s="29" t="inlineStr">
        <is>
          <t>Evet</t>
        </is>
      </c>
      <c r="Q150" s="51" t="n">
        <v>3</v>
      </c>
      <c r="R150" s="29" t="inlineStr">
        <is>
          <t>Taslak</t>
        </is>
      </c>
      <c r="S150" s="52">
        <f>IF(OR(A150="",F150="",C150&lt;&gt;"Mekân"),0,IF(COUNTIFS($F$8:F150,F150,$C$8:C150,"Mekân")=1,1,0))</f>
        <v/>
      </c>
      <c r="T150" s="52">
        <f>IF(OR(A150="",F150="",C150&lt;&gt;"Kapak"),0,IF(COUNTIFS($F$8:F150,F150,$C$8:C150,"Kapak")=1,1,0))</f>
        <v/>
      </c>
    </row>
    <row r="151" ht="54" customHeight="1">
      <c r="A151" s="29" t="inlineStr">
        <is>
          <t>eindhoven:photo:huize-de-laak-03</t>
        </is>
      </c>
      <c r="B151" s="29" t="inlineStr">
        <is>
          <t>eindhoven</t>
        </is>
      </c>
      <c r="C151" s="29" t="inlineStr">
        <is>
          <t>Mekân</t>
        </is>
      </c>
      <c r="D151" s="29" t="inlineStr">
        <is>
          <t>eindhoven:huize-de-laak</t>
        </is>
      </c>
      <c r="E151" s="29" t="inlineStr">
        <is>
          <t>Fotoğraflar/eindhoven_huize-de-laak_03.jpg</t>
        </is>
      </c>
      <c r="F151" s="29" t="inlineStr">
        <is>
          <t>25d8fe00f993d58bccc6181c4c924d0e945d8f146b83005e9c5dbf0d1006ca39</t>
        </is>
      </c>
      <c r="G151" s="29" t="inlineStr">
        <is>
          <t>Ön planda su, ardında geniş çimenlik ve iki bacalı, koyu çatılı simetrik tuğla villa; önünde bayrak direği, iki yanda çalılar ve yapraksız yüksek ağaçlar</t>
        </is>
      </c>
      <c r="H151" s="29" t="inlineStr">
        <is>
          <t>Perquirius</t>
        </is>
      </c>
      <c r="I151" s="29" t="inlineStr">
        <is>
          <t>CC BY-SA 4.0</t>
        </is>
      </c>
      <c r="J151" s="29" t="inlineStr">
        <is>
          <t>https://creativecommons.org/licenses/by-sa/4.0/</t>
        </is>
      </c>
      <c r="K151" s="29" t="inlineStr">
        <is>
          <t>https://commons.wikimedia.org/wiki/File:Fabrikantenvilla_Huize_De_Laak_(2026)_(1).jpg</t>
        </is>
      </c>
      <c r="L151" s="49" t="n">
        <v>46055</v>
      </c>
      <c r="M151" s="49" t="n">
        <v>46317</v>
      </c>
      <c r="N151" s="29" t="inlineStr">
        <is>
          <t>Wikimedia Commons'taki "Fabrikantenvilla Huize De Laak (2026) (1).jpg" (6000×4000 px) özgün dosyasının 1280×853 px küçültülmüş kopyası indirildi; kırpma, rötuş ve renk düzeltmesi yapılmadı.</t>
        </is>
      </c>
      <c r="O151" s="29" t="inlineStr">
        <is>
          <t>eindhoven:evidence:huize-de-laak-03</t>
        </is>
      </c>
      <c r="P151" s="29" t="inlineStr">
        <is>
          <t>Evet</t>
        </is>
      </c>
      <c r="Q151" s="51" t="n">
        <v>3</v>
      </c>
      <c r="R151" s="29" t="inlineStr">
        <is>
          <t>Taslak</t>
        </is>
      </c>
      <c r="S151" s="52">
        <f>IF(OR(A151="",F151="",C151&lt;&gt;"Mekân"),0,IF(COUNTIFS($F$8:F151,F151,$C$8:C151,"Mekân")=1,1,0))</f>
        <v/>
      </c>
      <c r="T151" s="52">
        <f>IF(OR(A151="",F151="",C151&lt;&gt;"Kapak"),0,IF(COUNTIFS($F$8:F151,F151,$C$8:C151,"Kapak")=1,1,0))</f>
        <v/>
      </c>
    </row>
    <row r="152" ht="54" customHeight="1">
      <c r="A152" s="29" t="inlineStr">
        <is>
          <t>eindhoven:photo:philipsdorp-03</t>
        </is>
      </c>
      <c r="B152" s="29" t="inlineStr">
        <is>
          <t>eindhoven</t>
        </is>
      </c>
      <c r="C152" s="29" t="inlineStr">
        <is>
          <t>Mekân</t>
        </is>
      </c>
      <c r="D152" s="29" t="inlineStr">
        <is>
          <t>eindhoven:philipsdorp</t>
        </is>
      </c>
      <c r="E152" s="29" t="inlineStr">
        <is>
          <t>Fotoğraflar/eindhoven_philipsdorp_03.jpg</t>
        </is>
      </c>
      <c r="F152" s="29" t="inlineStr">
        <is>
          <t>0d01e0ec34b454e0444dfe9d1467c2147247e0ed82cadb3a6f405feca9948b10</t>
        </is>
      </c>
      <c r="G152" s="29" t="inlineStr">
        <is>
          <t>Beyaz sıvalı cepheleri, kırmızı kapıları ve tuğla kemerli pencereleriyle sıra evler; önde park etmiş iki araba, sağda iskele kurulmuş evler ve yeşil bir konteyner, arkada cam cepheli yüksek bir bina.</t>
        </is>
      </c>
      <c r="H152" s="29" t="inlineStr">
        <is>
          <t>Jan Geerling</t>
        </is>
      </c>
      <c r="I152" s="29" t="inlineStr">
        <is>
          <t>CC BY-SA 4.0</t>
        </is>
      </c>
      <c r="J152" s="29" t="inlineStr">
        <is>
          <t>https://creativecommons.org/licenses/by-sa/4.0/</t>
        </is>
      </c>
      <c r="K152" s="29" t="inlineStr">
        <is>
          <t>https://commons.wikimedia.org/wiki/File:Annastraat_Eindhoven-_Philipsdorp_1509-119.jpg</t>
        </is>
      </c>
      <c r="L152" s="49" t="n"/>
      <c r="M152" s="49" t="n">
        <v>46317</v>
      </c>
      <c r="N152" s="29" t="inlineStr">
        <is>
          <t>Wikimedia Commons'taki "Annastraat Eindhoven- Philipsdorp 1509-119.jpg" (5070×3188 px) özgün dosyasının 1280×805 px küçültülmüş kopyası indirildi; kırpma, rötuş ve renk düzeltmesi yapılmadı.</t>
        </is>
      </c>
      <c r="O152" s="29" t="inlineStr">
        <is>
          <t>eindhoven:evidence:philipsdorp-03</t>
        </is>
      </c>
      <c r="P152" s="29" t="inlineStr">
        <is>
          <t>Evet</t>
        </is>
      </c>
      <c r="Q152" s="51" t="n">
        <v>3</v>
      </c>
      <c r="R152" s="29" t="inlineStr">
        <is>
          <t>Taslak</t>
        </is>
      </c>
      <c r="S152" s="52">
        <f>IF(OR(A152="",F152="",C152&lt;&gt;"Mekân"),0,IF(COUNTIFS($F$8:F152,F152,$C$8:C152,"Mekân")=1,1,0))</f>
        <v/>
      </c>
      <c r="T152" s="52">
        <f>IF(OR(A152="",F152="",C152&lt;&gt;"Kapak"),0,IF(COUNTIFS($F$8:F152,F152,$C$8:C152,"Kapak")=1,1,0))</f>
        <v/>
      </c>
    </row>
    <row r="153" ht="54" customHeight="1">
      <c r="A153" s="29" t="inlineStr">
        <is>
          <t>eindhoven:photo:stadhuis-van-eindhoven-02</t>
        </is>
      </c>
      <c r="B153" s="29" t="inlineStr">
        <is>
          <t>eindhoven</t>
        </is>
      </c>
      <c r="C153" s="29" t="inlineStr">
        <is>
          <t>Mekân</t>
        </is>
      </c>
      <c r="D153" s="29" t="inlineStr">
        <is>
          <t>eindhoven:stadhuis-van-eindhoven</t>
        </is>
      </c>
      <c r="E153" s="29" t="inlineStr">
        <is>
          <t>Fotoğraflar/eindhoven_stadhuis-van-eindhoven_02.jpg</t>
        </is>
      </c>
      <c r="F153" s="29" t="inlineStr">
        <is>
          <t>5b6f5f72e1d1169f438a930862a9507766d0ba09267c5d21b7ae584c4bf06495</t>
        </is>
      </c>
      <c r="G153" s="29" t="inlineStr">
        <is>
          <t>Yüksekten görülen belediye binası: ortada yüksek beton blok, önünde alçak ve geniş kanat, sağda dikdörtgen bir kule; solda çizgi desenli geniş meydan, sağda bayrak direkleri ve ağaçlar.</t>
        </is>
      </c>
      <c r="H153" s="29" t="inlineStr">
        <is>
          <t>Kris Roderburg</t>
        </is>
      </c>
      <c r="I153" s="29" t="inlineStr">
        <is>
          <t>CC BY-SA 4.0</t>
        </is>
      </c>
      <c r="J153" s="29" t="inlineStr">
        <is>
          <t>https://creativecommons.org/licenses/by-sa/4.0/</t>
        </is>
      </c>
      <c r="K153" s="29" t="inlineStr">
        <is>
          <t>https://commons.wikimedia.org/wiki/File:Overzicht_stadhuis_met_Stadhuisplein,_gezien_vanaf_de_Wal_-_Eindhoven_-_20413333_-_RCE.jpg</t>
        </is>
      </c>
      <c r="L153" s="49" t="n"/>
      <c r="M153" s="49" t="n">
        <v>46317</v>
      </c>
      <c r="N153" s="29" t="inlineStr">
        <is>
          <t>Wikimedia Commons'taki "Overzicht stadhuis met Stadhuisplein, gezien vanaf de Wal - Eindhoven - 20413333 - RCE.jpg" (2943×2422 px) özgün dosyasının 1280×1053 px küçültülmüş kopyası indirildi; kırpma, rötuş ve renk düzeltmesi yapılmadı.</t>
        </is>
      </c>
      <c r="O153" s="29" t="inlineStr">
        <is>
          <t>eindhoven:evidence:stadhuis-van-eindhoven-02</t>
        </is>
      </c>
      <c r="P153" s="29" t="inlineStr">
        <is>
          <t>Evet</t>
        </is>
      </c>
      <c r="Q153" s="51" t="n">
        <v>2</v>
      </c>
      <c r="R153" s="29" t="inlineStr">
        <is>
          <t>Taslak</t>
        </is>
      </c>
      <c r="S153" s="52">
        <f>IF(OR(A153="",F153="",C153&lt;&gt;"Mekân"),0,IF(COUNTIFS($F$8:F153,F153,$C$8:C153,"Mekân")=1,1,0))</f>
        <v/>
      </c>
      <c r="T153" s="52">
        <f>IF(OR(A153="",F153="",C153&lt;&gt;"Kapak"),0,IF(COUNTIFS($F$8:F153,F153,$C$8:C153,"Kapak")=1,1,0))</f>
        <v/>
      </c>
    </row>
    <row r="154" ht="54" customHeight="1">
      <c r="A154" s="29" t="inlineStr">
        <is>
          <t>eindhoven:photo:stadhuis-van-eindhoven-03</t>
        </is>
      </c>
      <c r="B154" s="29" t="inlineStr">
        <is>
          <t>eindhoven</t>
        </is>
      </c>
      <c r="C154" s="29" t="inlineStr">
        <is>
          <t>Mekân</t>
        </is>
      </c>
      <c r="D154" s="29" t="inlineStr">
        <is>
          <t>eindhoven:stadhuis-van-eindhoven</t>
        </is>
      </c>
      <c r="E154" s="29" t="inlineStr">
        <is>
          <t>Fotoğraflar/eindhoven_stadhuis-van-eindhoven_03.jpg</t>
        </is>
      </c>
      <c r="F154" s="29" t="inlineStr">
        <is>
          <t>c45d74baccc8ae3d97471b078a5b04d931bc718d29ccde6c5cbe9aadf5283278</t>
        </is>
      </c>
      <c r="G154" s="29" t="inlineStr">
        <is>
          <t>Geniş taş meydanın karşısında belediye binası: solda yatay pencere şeritli yüksek blok, sağda girişinde 'Stadhuis' yazan alçak beton kanat ve cephesindeki siyah metal heykel; açık mavi gökyüzü.</t>
        </is>
      </c>
      <c r="H154" s="29" t="inlineStr">
        <is>
          <t>S. Perquin</t>
        </is>
      </c>
      <c r="I154" s="29" t="inlineStr">
        <is>
          <t>CC BY-SA 4.0</t>
        </is>
      </c>
      <c r="J154" s="29" t="inlineStr">
        <is>
          <t>https://creativecommons.org/licenses/by-sa/4.0/</t>
        </is>
      </c>
      <c r="K154" s="29" t="inlineStr">
        <is>
          <t>https://commons.wikimedia.org/wiki/File:Stadhuis_Eindhoven_(2025).jpg</t>
        </is>
      </c>
      <c r="L154" s="49" t="n">
        <v>45919</v>
      </c>
      <c r="M154" s="49" t="n">
        <v>46317</v>
      </c>
      <c r="N154" s="29" t="inlineStr">
        <is>
          <t>Wikimedia Commons'taki "Stadhuis Eindhoven (2025).jpg" (6000×4000 px) özgün dosyasının 1280×853 px küçültülmüş kopyası indirildi; kırpma, rötuş ve renk düzeltmesi yapılmadı.</t>
        </is>
      </c>
      <c r="O154" s="29" t="inlineStr">
        <is>
          <t>eindhoven:evidence:stadhuis-van-eindhoven-03</t>
        </is>
      </c>
      <c r="P154" s="29" t="inlineStr">
        <is>
          <t>Evet</t>
        </is>
      </c>
      <c r="Q154" s="51" t="n">
        <v>3</v>
      </c>
      <c r="R154" s="29" t="inlineStr">
        <is>
          <t>Taslak</t>
        </is>
      </c>
      <c r="S154" s="52">
        <f>IF(OR(A154="",F154="",C154&lt;&gt;"Mekân"),0,IF(COUNTIFS($F$8:F154,F154,$C$8:C154,"Mekân")=1,1,0))</f>
        <v/>
      </c>
      <c r="T154" s="52">
        <f>IF(OR(A154="",F154="",C154&lt;&gt;"Kapak"),0,IF(COUNTIFS($F$8:F154,F154,$C$8:C154,"Kapak")=1,1,0))</f>
        <v/>
      </c>
    </row>
    <row r="155" ht="54" customHeight="1">
      <c r="A155" s="29" t="inlineStr">
        <is>
          <t>eindhoven:photo:centrum-bolgesi-03</t>
        </is>
      </c>
      <c r="B155" s="29" t="inlineStr">
        <is>
          <t>eindhoven</t>
        </is>
      </c>
      <c r="C155" s="29" t="inlineStr">
        <is>
          <t>Mekân</t>
        </is>
      </c>
      <c r="D155" s="29" t="inlineStr">
        <is>
          <t>eindhoven:centrum-bolgesi</t>
        </is>
      </c>
      <c r="E155" s="29" t="inlineStr">
        <is>
          <t>Fotoğraflar/eindhoven_centrum-bolgesi_03.jpg</t>
        </is>
      </c>
      <c r="F155" s="29" t="inlineStr">
        <is>
          <t>9cdc631f7d40e843a254abd747a05f8bdfcf4e0d8437b7512a7f2218df5c6b66</t>
        </is>
      </c>
      <c r="G155" s="29" t="inlineStr">
        <is>
          <t>İki yanı mağaza vitrinleriyle dolu, taş döşeli yaya alışveriş caddesi; tellere asılı sokak lambası, sağda 'Demer' sokak tabelası, uzakta yürüyen insanlar ve cam cepheli bir ofis binası; bulutlu hava.</t>
        </is>
      </c>
      <c r="H155" s="29" t="inlineStr">
        <is>
          <t>G.Lanting</t>
        </is>
      </c>
      <c r="I155" s="29" t="inlineStr">
        <is>
          <t>CC BY-SA 3.0</t>
        </is>
      </c>
      <c r="J155" s="29" t="inlineStr">
        <is>
          <t>https://creativecommons.org/licenses/by-sa/3.0/</t>
        </is>
      </c>
      <c r="K155" s="29" t="inlineStr">
        <is>
          <t>https://commons.wikimedia.org/wiki/File:Eindhoven_Centrum_014.JPG</t>
        </is>
      </c>
      <c r="L155" s="49" t="n">
        <v>40672</v>
      </c>
      <c r="M155" s="49" t="n">
        <v>46317</v>
      </c>
      <c r="N155" s="29" t="inlineStr">
        <is>
          <t>Wikimedia Commons'taki "Eindhoven Centrum 014.JPG" (4000×3000 px) özgün dosyasının 1280×960 px küçültülmüş kopyası indirildi; kırpma, rötuş ve renk düzeltmesi yapılmadı.</t>
        </is>
      </c>
      <c r="O155" s="29" t="inlineStr">
        <is>
          <t>eindhoven:evidence:centrum-bolgesi-03</t>
        </is>
      </c>
      <c r="P155" s="29" t="inlineStr">
        <is>
          <t>Evet</t>
        </is>
      </c>
      <c r="Q155" s="51" t="n">
        <v>3</v>
      </c>
      <c r="R155" s="29" t="inlineStr">
        <is>
          <t>Taslak</t>
        </is>
      </c>
      <c r="S155" s="52">
        <f>IF(OR(A155="",F155="",C155&lt;&gt;"Mekân"),0,IF(COUNTIFS($F$8:F155,F155,$C$8:C155,"Mekân")=1,1,0))</f>
        <v/>
      </c>
      <c r="T155" s="52">
        <f>IF(OR(A155="",F155="",C155&lt;&gt;"Kapak"),0,IF(COUNTIFS($F$8:F155,F155,$C$8:C155,"Kapak")=1,1,0))</f>
        <v/>
      </c>
    </row>
    <row r="156" ht="54" customHeight="1">
      <c r="A156" s="29" t="inlineStr">
        <is>
          <t>eindhoven:photo:de-bergen-mahallesi-02</t>
        </is>
      </c>
      <c r="B156" s="29" t="inlineStr">
        <is>
          <t>eindhoven</t>
        </is>
      </c>
      <c r="C156" s="29" t="inlineStr">
        <is>
          <t>Mekân</t>
        </is>
      </c>
      <c r="D156" s="29" t="inlineStr">
        <is>
          <t>eindhoven:de-bergen-mahallesi</t>
        </is>
      </c>
      <c r="E156" s="29" t="inlineStr">
        <is>
          <t>Fotoğraflar/eindhoven_de-bergen-mahallesi_02.jpg</t>
        </is>
      </c>
      <c r="F156" s="29" t="inlineStr">
        <is>
          <t>fb5018adf3fe6e4c8780618693841669ea1ef04f24a4700a0b6ec1173ac4c0ca</t>
        </is>
      </c>
      <c r="G156" s="29" t="inlineStr">
        <is>
          <t>Kırmızı kiremit çatılı, beyaz çerçeveli büyük pencereleri ve sarı şeritli süslemeleri olan uzun tuğla bina; çatısında küçük havalandırma kuleleri, önünde demir çit, yuvarlak taçlı ağaçlar ve sokak.</t>
        </is>
      </c>
      <c r="H156" s="29" t="inlineStr">
        <is>
          <t>Lempkesfabriek</t>
        </is>
      </c>
      <c r="I156" s="29" t="inlineStr">
        <is>
          <t>CC BY-SA 3.0</t>
        </is>
      </c>
      <c r="J156" s="29" t="inlineStr">
        <is>
          <t>https://creativecommons.org/licenses/by-sa/3.0/</t>
        </is>
      </c>
      <c r="K156" s="29" t="inlineStr">
        <is>
          <t>https://commons.wikimedia.org/wiki/File:De_Bergen05.jpg</t>
        </is>
      </c>
      <c r="L156" s="49" t="n"/>
      <c r="M156" s="49" t="n">
        <v>46317</v>
      </c>
      <c r="N156" s="29" t="inlineStr">
        <is>
          <t>Wikimedia Commons'taki "De Bergen05.jpg" özgün dosyası (876×720 px) değiştirilmeden indirildi.</t>
        </is>
      </c>
      <c r="O156" s="29" t="inlineStr">
        <is>
          <t>eindhoven:evidence:de-bergen-mahallesi-02</t>
        </is>
      </c>
      <c r="P156" s="29" t="inlineStr">
        <is>
          <t>Evet</t>
        </is>
      </c>
      <c r="Q156" s="51" t="n">
        <v>2</v>
      </c>
      <c r="R156" s="29" t="inlineStr">
        <is>
          <t>Taslak</t>
        </is>
      </c>
      <c r="S156" s="52">
        <f>IF(OR(A156="",F156="",C156&lt;&gt;"Mekân"),0,IF(COUNTIFS($F$8:F156,F156,$C$8:C156,"Mekân")=1,1,0))</f>
        <v/>
      </c>
      <c r="T156" s="52">
        <f>IF(OR(A156="",F156="",C156&lt;&gt;"Kapak"),0,IF(COUNTIFS($F$8:F156,F156,$C$8:C156,"Kapak")=1,1,0))</f>
        <v/>
      </c>
    </row>
    <row r="157" ht="54" customHeight="1">
      <c r="A157" s="29" t="inlineStr">
        <is>
          <t>eindhoven:photo:de-bergen-mahallesi-03</t>
        </is>
      </c>
      <c r="B157" s="29" t="inlineStr">
        <is>
          <t>eindhoven</t>
        </is>
      </c>
      <c r="C157" s="29" t="inlineStr">
        <is>
          <t>Mekân</t>
        </is>
      </c>
      <c r="D157" s="29" t="inlineStr">
        <is>
          <t>eindhoven:de-bergen-mahallesi</t>
        </is>
      </c>
      <c r="E157" s="29" t="inlineStr">
        <is>
          <t>Fotoğraflar/eindhoven_de-bergen-mahallesi_03.jpg</t>
        </is>
      </c>
      <c r="F157" s="29" t="inlineStr">
        <is>
          <t>4f3f842fc8667f8496e32dd569f6c2ab3e7b6e27d4bffaf7bbb3d96bb672ab1f</t>
        </is>
      </c>
      <c r="G157" s="29" t="inlineStr">
        <is>
          <t>Tenteli eski cepheli binaların önünde kalabalık kafe terasları ve beyaz şemsiyeler; ortada Hollanda bayrağı, sağda 'Kaffee De Groot' yazan dikey tabela, arkada yüksek bir kule bina ve açık mavi gökyüzü.</t>
        </is>
      </c>
      <c r="H157" s="29" t="inlineStr">
        <is>
          <t>Lempkesfabriek</t>
        </is>
      </c>
      <c r="I157" s="29" t="inlineStr">
        <is>
          <t>CC BY-SA 3.0</t>
        </is>
      </c>
      <c r="J157" s="29" t="inlineStr">
        <is>
          <t>https://creativecommons.org/licenses/by-sa/3.0/</t>
        </is>
      </c>
      <c r="K157" s="29" t="inlineStr">
        <is>
          <t>https://commons.wikimedia.org/wiki/File:De_Bergen08_-_Wilhelminaplein_Eindhoven.jpg</t>
        </is>
      </c>
      <c r="L157" s="49" t="n"/>
      <c r="M157" s="49" t="n">
        <v>46317</v>
      </c>
      <c r="N157" s="29" t="inlineStr">
        <is>
          <t>Wikimedia Commons'taki "De Bergen08 - Wilhelminaplein Eindhoven.jpg" özgün dosyası (601×651 px) değiştirilmeden indirildi.</t>
        </is>
      </c>
      <c r="O157" s="29" t="inlineStr">
        <is>
          <t>eindhoven:evidence:de-bergen-mahallesi-03</t>
        </is>
      </c>
      <c r="P157" s="29" t="inlineStr">
        <is>
          <t>Evet</t>
        </is>
      </c>
      <c r="Q157" s="51" t="n">
        <v>3</v>
      </c>
      <c r="R157" s="29" t="inlineStr">
        <is>
          <t>Taslak</t>
        </is>
      </c>
      <c r="S157" s="52">
        <f>IF(OR(A157="",F157="",C157&lt;&gt;"Mekân"),0,IF(COUNTIFS($F$8:F157,F157,$C$8:C157,"Mekân")=1,1,0))</f>
        <v/>
      </c>
      <c r="T157" s="52">
        <f>IF(OR(A157="",F157="",C157&lt;&gt;"Kapak"),0,IF(COUNTIFS($F$8:F157,F157,$C$8:C157,"Kapak")=1,1,0))</f>
        <v/>
      </c>
    </row>
    <row r="158" ht="54" customHeight="1">
      <c r="A158" s="29" t="inlineStr">
        <is>
          <t>eindhoven:photo:strijp-s-mahallesi-02</t>
        </is>
      </c>
      <c r="B158" s="29" t="inlineStr">
        <is>
          <t>eindhoven</t>
        </is>
      </c>
      <c r="C158" s="29" t="inlineStr">
        <is>
          <t>Mekân</t>
        </is>
      </c>
      <c r="D158" s="29" t="inlineStr">
        <is>
          <t>eindhoven:strijp-s-mahallesi</t>
        </is>
      </c>
      <c r="E158" s="29" t="inlineStr">
        <is>
          <t>Fotoğraflar/eindhoven_strijp-s-mahallesi_02.jpg</t>
        </is>
      </c>
      <c r="F158" s="29" t="inlineStr">
        <is>
          <t>262374cfb6151cdcb08880edf208611056352e3266940208fad25a6b0e298e28</t>
        </is>
      </c>
      <c r="G158" s="29" t="inlineStr">
        <is>
          <t>Tren peronunda aşağı inen merdivenin mavi saçaklı çıkışı; iki yanda raylar ve katener telleri, sağda demir çit, arkada yüksek modern binalar ve ağaçlar; parçalı bulutlu gökyüzü.</t>
        </is>
      </c>
      <c r="H158" s="29" t="inlineStr">
        <is>
          <t>Sneeuwvlakte</t>
        </is>
      </c>
      <c r="I158" s="29" t="inlineStr">
        <is>
          <t>CC BY-SA 4.0</t>
        </is>
      </c>
      <c r="J158" s="29" t="inlineStr">
        <is>
          <t>https://creativecommons.org/licenses/by-sa/4.0/</t>
        </is>
      </c>
      <c r="K158" s="29" t="inlineStr">
        <is>
          <t>https://commons.wikimedia.org/wiki/File:Station_Eindhoven_Strijp-S_(2024)-5.jpg</t>
        </is>
      </c>
      <c r="L158" s="49" t="n">
        <v>45506</v>
      </c>
      <c r="M158" s="49" t="n">
        <v>46317</v>
      </c>
      <c r="N158" s="29" t="inlineStr">
        <is>
          <t>Wikimedia Commons'taki "Station Eindhoven Strijp-S (2024)-5.jpg" (4608×3456 px) özgün dosyasının 1280×960 px küçültülmüş kopyası indirildi; kırpma, rötuş ve renk düzeltmesi yapılmadı.</t>
        </is>
      </c>
      <c r="O158" s="29" t="inlineStr">
        <is>
          <t>eindhoven:evidence:strijp-s-mahallesi-02</t>
        </is>
      </c>
      <c r="P158" s="29" t="inlineStr">
        <is>
          <t>Evet</t>
        </is>
      </c>
      <c r="Q158" s="51" t="n">
        <v>2</v>
      </c>
      <c r="R158" s="29" t="inlineStr">
        <is>
          <t>Taslak</t>
        </is>
      </c>
      <c r="S158" s="52">
        <f>IF(OR(A158="",F158="",C158&lt;&gt;"Mekân"),0,IF(COUNTIFS($F$8:F158,F158,$C$8:C158,"Mekân")=1,1,0))</f>
        <v/>
      </c>
      <c r="T158" s="52">
        <f>IF(OR(A158="",F158="",C158&lt;&gt;"Kapak"),0,IF(COUNTIFS($F$8:F158,F158,$C$8:C158,"Kapak")=1,1,0))</f>
        <v/>
      </c>
    </row>
    <row r="159" ht="54" customHeight="1">
      <c r="A159" s="29" t="inlineStr">
        <is>
          <t>eindhoven:photo:philipsdorp-mahallesi-02</t>
        </is>
      </c>
      <c r="B159" s="29" t="inlineStr">
        <is>
          <t>eindhoven</t>
        </is>
      </c>
      <c r="C159" s="29" t="inlineStr">
        <is>
          <t>Mekân</t>
        </is>
      </c>
      <c r="D159" s="29" t="inlineStr">
        <is>
          <t>eindhoven:philipsdorp-mahallesi</t>
        </is>
      </c>
      <c r="E159" s="29" t="inlineStr">
        <is>
          <t>Fotoğraflar/eindhoven_philipsdorp-mahallesi_02.jpg</t>
        </is>
      </c>
      <c r="F159" s="29" t="inlineStr">
        <is>
          <t>ee2b84651eaebe529a5f7afb162fa49111b2795067c26ecd023bb32bb13887a4</t>
        </is>
      </c>
      <c r="G159" s="29" t="inlineStr">
        <is>
          <t>Dükkânların sıralandığı geniş cadde; kaldırımda bisikletli ve yürüyen insanlar, önde kırmızı ve mavi arabalar, sağda stadyumun beyaz cephesi ve yüksek çelik direği, arkada sararmaya başlamış ağaçlar.</t>
        </is>
      </c>
      <c r="H159" s="29" t="inlineStr">
        <is>
          <t>Jan Geerling</t>
        </is>
      </c>
      <c r="I159" s="29" t="inlineStr">
        <is>
          <t>CC BY-SA 4.0</t>
        </is>
      </c>
      <c r="J159" s="29" t="inlineStr">
        <is>
          <t>https://creativecommons.org/licenses/by-sa/4.0/</t>
        </is>
      </c>
      <c r="K159" s="29" t="inlineStr">
        <is>
          <t>https://commons.wikimedia.org/wiki/File:PSV_stadion_Eindhoven-_Philipsdorp_1509-30.jpg</t>
        </is>
      </c>
      <c r="L159" s="49" t="n"/>
      <c r="M159" s="49" t="n">
        <v>46317</v>
      </c>
      <c r="N159" s="29" t="inlineStr">
        <is>
          <t>Wikimedia Commons'taki "PSV stadion Eindhoven- Philipsdorp 1509-30.jpg" (5472×3648 px) özgün dosyasının 1280×853 px küçültülmüş kopyası indirildi; kırpma, rötuş ve renk düzeltmesi yapılmadı.</t>
        </is>
      </c>
      <c r="O159" s="29" t="inlineStr">
        <is>
          <t>eindhoven:evidence:philipsdorp-mahallesi-02</t>
        </is>
      </c>
      <c r="P159" s="29" t="inlineStr">
        <is>
          <t>Evet</t>
        </is>
      </c>
      <c r="Q159" s="51" t="n">
        <v>2</v>
      </c>
      <c r="R159" s="29" t="inlineStr">
        <is>
          <t>Taslak</t>
        </is>
      </c>
      <c r="S159" s="52">
        <f>IF(OR(A159="",F159="",C159&lt;&gt;"Mekân"),0,IF(COUNTIFS($F$8:F159,F159,$C$8:C159,"Mekân")=1,1,0))</f>
        <v/>
      </c>
      <c r="T159" s="52">
        <f>IF(OR(A159="",F159="",C159&lt;&gt;"Kapak"),0,IF(COUNTIFS($F$8:F159,F159,$C$8:C159,"Kapak")=1,1,0))</f>
        <v/>
      </c>
    </row>
    <row r="160" ht="54" customHeight="1">
      <c r="A160" s="29" t="inlineStr">
        <is>
          <t>eindhoven:photo:den-elzent-mahallesi-01</t>
        </is>
      </c>
      <c r="B160" s="29" t="inlineStr">
        <is>
          <t>eindhoven</t>
        </is>
      </c>
      <c r="C160" s="29" t="inlineStr">
        <is>
          <t>Mekân</t>
        </is>
      </c>
      <c r="D160" s="29" t="inlineStr">
        <is>
          <t>eindhoven:den-elzent-mahallesi</t>
        </is>
      </c>
      <c r="E160" s="29" t="inlineStr">
        <is>
          <t>Fotoğraflar/eindhoven_den-elzent-mahallesi_01.jpg</t>
        </is>
      </c>
      <c r="F160" s="29" t="inlineStr">
        <is>
          <t>d19f5d9d6aa2be563b87d01fef075d38dc52c355ef0088b50ffd3bd6e7ed6720</t>
        </is>
      </c>
      <c r="G160" s="29" t="inlineStr">
        <is>
          <t>Kırmızı kiremit çatılı, beyaz çatı pencereli büyük tuğla bina; ortada sütunlu giriş, önünde geniş çimenlik, genç ağaç sırası ve alçak çit; parçalı bulutlu gökyüzü.</t>
        </is>
      </c>
      <c r="H160" s="29" t="inlineStr">
        <is>
          <t>Lempkesfabriek</t>
        </is>
      </c>
      <c r="I160" s="29" t="inlineStr">
        <is>
          <t>CC BY-SA 3.0</t>
        </is>
      </c>
      <c r="J160" s="29" t="inlineStr">
        <is>
          <t>https://creativecommons.org/licenses/by-sa/3.0/</t>
        </is>
      </c>
      <c r="K160" s="29" t="inlineStr">
        <is>
          <t>https://commons.wikimedia.org/wiki/File:Den_Elzent01.jpg</t>
        </is>
      </c>
      <c r="L160" s="49" t="n"/>
      <c r="M160" s="49" t="n">
        <v>46317</v>
      </c>
      <c r="N160" s="29" t="inlineStr">
        <is>
          <t>Wikimedia Commons'taki "Den Elzent01.jpg" özgün dosyası (1109×667 px) değiştirilmeden indirildi.</t>
        </is>
      </c>
      <c r="O160" s="29" t="inlineStr">
        <is>
          <t>eindhoven:evidence:den-elzent-mahallesi-01</t>
        </is>
      </c>
      <c r="P160" s="29" t="inlineStr">
        <is>
          <t>Evet</t>
        </is>
      </c>
      <c r="Q160" s="51" t="n">
        <v>1</v>
      </c>
      <c r="R160" s="29" t="inlineStr">
        <is>
          <t>Taslak</t>
        </is>
      </c>
      <c r="S160" s="52">
        <f>IF(OR(A160="",F160="",C160&lt;&gt;"Mekân"),0,IF(COUNTIFS($F$8:F160,F160,$C$8:C160,"Mekân")=1,1,0))</f>
        <v/>
      </c>
      <c r="T160" s="52">
        <f>IF(OR(A160="",F160="",C160&lt;&gt;"Kapak"),0,IF(COUNTIFS($F$8:F160,F160,$C$8:C160,"Kapak")=1,1,0))</f>
        <v/>
      </c>
    </row>
    <row r="161" ht="54" customHeight="1">
      <c r="A161" s="29" t="inlineStr">
        <is>
          <t>eindhoven:photo:den-elzent-mahallesi-02</t>
        </is>
      </c>
      <c r="B161" s="29" t="inlineStr">
        <is>
          <t>eindhoven</t>
        </is>
      </c>
      <c r="C161" s="29" t="inlineStr">
        <is>
          <t>Mekân</t>
        </is>
      </c>
      <c r="D161" s="29" t="inlineStr">
        <is>
          <t>eindhoven:den-elzent-mahallesi</t>
        </is>
      </c>
      <c r="E161" s="29" t="inlineStr">
        <is>
          <t>Fotoğraflar/eindhoven_den-elzent-mahallesi_02.jpg</t>
        </is>
      </c>
      <c r="F161" s="29" t="inlineStr">
        <is>
          <t>eda40bb43365454ba4937b17906049374a53092e6c546a1c2fd8428b55881cbc</t>
        </is>
      </c>
      <c r="G161" s="29" t="inlineStr">
        <is>
          <t>Beyaz ızgara biçimli çerçevesi ve gri baklava desenli kaplamasıyla modern apartman bloğu; cam korkuluklu balkonlarda şemsiyeler ve saksı çiçekleri, önde ince genç ağaçlar.</t>
        </is>
      </c>
      <c r="H161" s="29" t="inlineStr">
        <is>
          <t>Lempkesfabriek</t>
        </is>
      </c>
      <c r="I161" s="29" t="inlineStr">
        <is>
          <t>CC BY-SA 3.0</t>
        </is>
      </c>
      <c r="J161" s="29" t="inlineStr">
        <is>
          <t>https://creativecommons.org/licenses/by-sa/3.0/</t>
        </is>
      </c>
      <c r="K161" s="29" t="inlineStr">
        <is>
          <t>https://commons.wikimedia.org/wiki/File:DenElzentNoord.jpg</t>
        </is>
      </c>
      <c r="L161" s="49" t="n"/>
      <c r="M161" s="49" t="n">
        <v>46317</v>
      </c>
      <c r="N161" s="29" t="inlineStr">
        <is>
          <t>Wikimedia Commons'taki "DenElzentNoord.jpg" özgün dosyası (991×745 px) değiştirilmeden indirildi.</t>
        </is>
      </c>
      <c r="O161" s="29" t="inlineStr">
        <is>
          <t>eindhoven:evidence:den-elzent-mahallesi-02</t>
        </is>
      </c>
      <c r="P161" s="29" t="inlineStr">
        <is>
          <t>Evet</t>
        </is>
      </c>
      <c r="Q161" s="51" t="n">
        <v>2</v>
      </c>
      <c r="R161" s="29" t="inlineStr">
        <is>
          <t>Taslak</t>
        </is>
      </c>
      <c r="S161" s="52">
        <f>IF(OR(A161="",F161="",C161&lt;&gt;"Mekân"),0,IF(COUNTIFS($F$8:F161,F161,$C$8:C161,"Mekân")=1,1,0))</f>
        <v/>
      </c>
      <c r="T161" s="52">
        <f>IF(OR(A161="",F161="",C161&lt;&gt;"Kapak"),0,IF(COUNTIFS($F$8:F161,F161,$C$8:C161,"Kapak")=1,1,0))</f>
        <v/>
      </c>
    </row>
    <row r="162" ht="54" customHeight="1">
      <c r="A162" s="29" t="inlineStr">
        <is>
          <t>eindhoven:photo:den-elzent-mahallesi-03</t>
        </is>
      </c>
      <c r="B162" s="29" t="inlineStr">
        <is>
          <t>eindhoven</t>
        </is>
      </c>
      <c r="C162" s="29" t="inlineStr">
        <is>
          <t>Mekân</t>
        </is>
      </c>
      <c r="D162" s="29" t="inlineStr">
        <is>
          <t>eindhoven:den-elzent-mahallesi</t>
        </is>
      </c>
      <c r="E162" s="29" t="inlineStr">
        <is>
          <t>Fotoğraflar/eindhoven_den-elzent-mahallesi_03.jpg</t>
        </is>
      </c>
      <c r="F162" s="29" t="inlineStr">
        <is>
          <t>d702d98dfc222b02f84448d1c8591f74f1aa5c46a8b877bc90391a793ddfacf2</t>
        </is>
      </c>
      <c r="G162" s="29" t="inlineStr">
        <is>
          <t>Kırmızı tuğla iki katlı villa: üst katta beyaz sütunlu balkon, alt katta kırmızı tenteli ve kemerli pencereler; önde budanmış kutu çitler, konik süs ağacı ve 29 numaralı tabela.</t>
        </is>
      </c>
      <c r="H162" s="29" t="inlineStr">
        <is>
          <t>Mark Bergsma</t>
        </is>
      </c>
      <c r="I162" s="29" t="inlineStr">
        <is>
          <t>CC BY-SA 3.0</t>
        </is>
      </c>
      <c r="J162" s="29" t="inlineStr">
        <is>
          <t>https://creativecommons.org/licenses/by-sa/3.0/</t>
        </is>
      </c>
      <c r="K162" s="29" t="inlineStr">
        <is>
          <t>https://commons.wikimedia.org/wiki/File:Rijksmonument518795.jpg</t>
        </is>
      </c>
      <c r="L162" s="49" t="n">
        <v>40080</v>
      </c>
      <c r="M162" s="49" t="n">
        <v>46317</v>
      </c>
      <c r="N162" s="29" t="inlineStr">
        <is>
          <t>Wikimedia Commons'taki "Rijksmonument518795.jpg" (3325×2483 px) özgün dosyasının 1280×956 px küçültülmüş kopyası indirildi; kırpma, rötuş ve renk düzeltmesi yapılmadı.</t>
        </is>
      </c>
      <c r="O162" s="29" t="inlineStr">
        <is>
          <t>eindhoven:evidence:den-elzent-mahallesi-03</t>
        </is>
      </c>
      <c r="P162" s="29" t="inlineStr">
        <is>
          <t>Evet</t>
        </is>
      </c>
      <c r="Q162" s="51" t="n">
        <v>3</v>
      </c>
      <c r="R162" s="29" t="inlineStr">
        <is>
          <t>Taslak</t>
        </is>
      </c>
      <c r="S162" s="52">
        <f>IF(OR(A162="",F162="",C162&lt;&gt;"Mekân"),0,IF(COUNTIFS($F$8:F162,F162,$C$8:C162,"Mekân")=1,1,0))</f>
        <v/>
      </c>
      <c r="T162" s="52">
        <f>IF(OR(A162="",F162="",C162&lt;&gt;"Kapak"),0,IF(COUNTIFS($F$8:F162,F162,$C$8:C162,"Kapak")=1,1,0))</f>
        <v/>
      </c>
    </row>
    <row r="163" ht="54" customHeight="1">
      <c r="A163" s="29" t="inlineStr">
        <is>
          <t>eindhoven:photo:lakerlopen-mahallesi-03</t>
        </is>
      </c>
      <c r="B163" s="29" t="inlineStr">
        <is>
          <t>eindhoven</t>
        </is>
      </c>
      <c r="C163" s="29" t="inlineStr">
        <is>
          <t>Mekân</t>
        </is>
      </c>
      <c r="D163" s="29" t="inlineStr">
        <is>
          <t>eindhoven:lakerlopen-mahallesi</t>
        </is>
      </c>
      <c r="E163" s="29" t="inlineStr">
        <is>
          <t>Fotoğraflar/eindhoven_lakerlopen-mahallesi_03.jpg</t>
        </is>
      </c>
      <c r="F163" s="29" t="inlineStr">
        <is>
          <t>10de1f098e41a108bbf34bb48787063262d023db79ecdd1bbe742b0b8dc7b25a</t>
        </is>
      </c>
      <c r="G163" s="29" t="inlineStr">
        <is>
          <t>Akşam ışığında koyu kırmızı tuğla sıra evler; kapı önlerinde alçak tuğla basamaklar ve metal tırabzanlar, geniş kaldırım, solda park etmiş araba ve römork, uzakta ağaçlar.</t>
        </is>
      </c>
      <c r="H163" s="29" t="inlineStr">
        <is>
          <t>Lempkesfabriek</t>
        </is>
      </c>
      <c r="I163" s="29" t="inlineStr">
        <is>
          <t>CC BY-SA 3.0</t>
        </is>
      </c>
      <c r="J163" s="29" t="inlineStr">
        <is>
          <t>https://creativecommons.org/licenses/by-sa/3.0/</t>
        </is>
      </c>
      <c r="K163" s="29" t="inlineStr">
        <is>
          <t>https://commons.wikimedia.org/wiki/File:Lakerlopen02.jpg</t>
        </is>
      </c>
      <c r="L163" s="49" t="n"/>
      <c r="M163" s="49" t="n">
        <v>46317</v>
      </c>
      <c r="N163" s="29" t="inlineStr">
        <is>
          <t>Wikimedia Commons'taki "Lakerlopen02.jpg" özgün dosyası (850×638 px) değiştirilmeden indirildi.</t>
        </is>
      </c>
      <c r="O163" s="29" t="inlineStr">
        <is>
          <t>eindhoven:evidence:lakerlopen-mahallesi-03</t>
        </is>
      </c>
      <c r="P163" s="29" t="inlineStr">
        <is>
          <t>Evet</t>
        </is>
      </c>
      <c r="Q163" s="51" t="n">
        <v>3</v>
      </c>
      <c r="R163" s="29" t="inlineStr">
        <is>
          <t>Taslak</t>
        </is>
      </c>
      <c r="S163" s="52">
        <f>IF(OR(A163="",F163="",C163&lt;&gt;"Mekân"),0,IF(COUNTIFS($F$8:F163,F163,$C$8:C163,"Mekân")=1,1,0))</f>
        <v/>
      </c>
      <c r="T163" s="52">
        <f>IF(OR(A163="",F163="",C163&lt;&gt;"Kapak"),0,IF(COUNTIFS($F$8:F163,F163,$C$8:C163,"Kapak")=1,1,0))</f>
        <v/>
      </c>
    </row>
    <row r="164" ht="54" customHeight="1">
      <c r="A164" s="29" t="inlineStr">
        <is>
          <t>eindhoven:photo:18-septemberplein-04</t>
        </is>
      </c>
      <c r="B164" s="29" t="inlineStr">
        <is>
          <t>eindhoven</t>
        </is>
      </c>
      <c r="C164" s="29" t="inlineStr">
        <is>
          <t>Mekân</t>
        </is>
      </c>
      <c r="D164" s="29" t="inlineStr">
        <is>
          <t>eindhoven:18-septemberplein</t>
        </is>
      </c>
      <c r="E164" s="29" t="inlineStr">
        <is>
          <t>Fotoğraflar/eindhoven_18-septemberplein_04.jpg</t>
        </is>
      </c>
      <c r="F164" s="29" t="inlineStr">
        <is>
          <t>47eb148abfc7376817b73496e78296364754f65a6389281f87b91aa8ec629ff3</t>
        </is>
      </c>
      <c r="G164" s="29" t="inlineStr">
        <is>
          <t>Meydanın kenarında yeşil bitkilerle dolu kırmızı taş saksılar ve önlerinde park edilmiş bisikletler; yanda kırmızı taş kaide üzerinde koyu renk bir heykel, arkada arabaların geçtiği cadde, ağaçlar ve yüksek bir ofis kulesi.</t>
        </is>
      </c>
      <c r="H164" s="29" t="inlineStr">
        <is>
          <t>Ralf Roletschek</t>
        </is>
      </c>
      <c r="I164" s="29" t="inlineStr">
        <is>
          <t>CC BY 3.0</t>
        </is>
      </c>
      <c r="J164" s="29" t="inlineStr">
        <is>
          <t>https://creativecommons.org/licenses/by/3.0/</t>
        </is>
      </c>
      <c r="K164" s="29" t="inlineStr">
        <is>
          <t>https://commons.wikimedia.org/wiki/File:13-06-28-eindhoven-by-RalfR-17.jpg</t>
        </is>
      </c>
      <c r="L164" s="49" t="n">
        <v>41453</v>
      </c>
      <c r="M164" s="49" t="n">
        <v>46317</v>
      </c>
      <c r="N164" s="29" t="inlineStr">
        <is>
          <t>Wikimedia Commons'taki "13-06-28-eindhoven-by-RalfR-17.jpg" (4288×2848 px) özgün dosyasının 1280×850 px küçültülmüş kopyası indirildi; kırpma, rötuş ve renk düzeltmesi yapılmadı.</t>
        </is>
      </c>
      <c r="O164" s="29" t="inlineStr">
        <is>
          <t>eindhoven:evidence:18-septemberplein-04</t>
        </is>
      </c>
      <c r="P164" s="29" t="inlineStr">
        <is>
          <t>Evet</t>
        </is>
      </c>
      <c r="Q164" s="51" t="n">
        <v>4</v>
      </c>
      <c r="R164" s="29" t="inlineStr">
        <is>
          <t>Taslak</t>
        </is>
      </c>
      <c r="S164" s="52">
        <f>IF(OR(A164="",F164="",C164&lt;&gt;"Mekân"),0,IF(COUNTIFS($F$8:F164,F164,$C$8:C164,"Mekân")=1,1,0))</f>
        <v/>
      </c>
      <c r="T164" s="52">
        <f>IF(OR(A164="",F164="",C164&lt;&gt;"Kapak"),0,IF(COUNTIFS($F$8:F164,F164,$C$8:C164,"Kapak")=1,1,0))</f>
        <v/>
      </c>
    </row>
    <row r="165" ht="54" customHeight="1">
      <c r="A165" s="29" t="inlineStr">
        <is>
          <t>eindhoven:photo:daf-museum-04</t>
        </is>
      </c>
      <c r="B165" s="29" t="inlineStr">
        <is>
          <t>eindhoven</t>
        </is>
      </c>
      <c r="C165" s="29" t="inlineStr">
        <is>
          <t>Mekân</t>
        </is>
      </c>
      <c r="D165" s="29" t="inlineStr">
        <is>
          <t>eindhoven:daf-museum</t>
        </is>
      </c>
      <c r="E165" s="29" t="inlineStr">
        <is>
          <t>Fotoğraflar/eindhoven_daf-museum_04.jpg</t>
        </is>
      </c>
      <c r="F165" s="29" t="inlineStr">
        <is>
          <t>62c445b1fb9cd9d3efb86697df01c0b400ac2a28e3cb27c48a7fff73a2e63073</t>
        </is>
      </c>
      <c r="G165" s="29" t="inlineStr">
        <is>
          <t>Açık gri kabinli eski bir kamyon ve kasasında 'NS' ile 'NEDERLAND' yazan gri metal konteyner; arkadaki duvarda mavi zemin üzerinde DAF amblemi, solda ahşap platformlu bir römork.</t>
        </is>
      </c>
      <c r="H165" s="29" t="inlineStr">
        <is>
          <t>Ronald van der Graaf from Leiden, The Netherlands</t>
        </is>
      </c>
      <c r="I165" s="29" t="inlineStr">
        <is>
          <t>CC BY 2.0</t>
        </is>
      </c>
      <c r="J165" s="29" t="inlineStr">
        <is>
          <t>https://creativecommons.org/licenses/by/2.0/</t>
        </is>
      </c>
      <c r="K165" s="29" t="inlineStr">
        <is>
          <t>https://commons.wikimedia.org/wiki/File:DAF_Museum,_Eindhoven_(16064093033).jpg</t>
        </is>
      </c>
      <c r="L165" s="49" t="n">
        <v>42063</v>
      </c>
      <c r="M165" s="49" t="n">
        <v>46317</v>
      </c>
      <c r="N165" s="29" t="inlineStr">
        <is>
          <t>Wikimedia Commons'taki "DAF Museum, Eindhoven (16064093033).jpg" (6000×4000 px) özgün dosyasının 1280×853 px küçültülmüş kopyası indirildi; kırpma, rötuş ve renk düzeltmesi yapılmadı.</t>
        </is>
      </c>
      <c r="O165" s="29" t="inlineStr">
        <is>
          <t>eindhoven:evidence:daf-museum-04</t>
        </is>
      </c>
      <c r="P165" s="29" t="inlineStr">
        <is>
          <t>Evet</t>
        </is>
      </c>
      <c r="Q165" s="51" t="n">
        <v>4</v>
      </c>
      <c r="R165" s="29" t="inlineStr">
        <is>
          <t>Taslak</t>
        </is>
      </c>
      <c r="S165" s="52">
        <f>IF(OR(A165="",F165="",C165&lt;&gt;"Mekân"),0,IF(COUNTIFS($F$8:F165,F165,$C$8:C165,"Mekân")=1,1,0))</f>
        <v/>
      </c>
      <c r="T165" s="52">
        <f>IF(OR(A165="",F165="",C165&lt;&gt;"Kapak"),0,IF(COUNTIFS($F$8:F165,F165,$C$8:C165,"Kapak")=1,1,0))</f>
        <v/>
      </c>
    </row>
    <row r="166" ht="54" customHeight="1">
      <c r="A166" s="29" t="inlineStr">
        <is>
          <t>eindhoven:photo:daf-museum-05</t>
        </is>
      </c>
      <c r="B166" s="29" t="inlineStr">
        <is>
          <t>eindhoven</t>
        </is>
      </c>
      <c r="C166" s="29" t="inlineStr">
        <is>
          <t>Mekân</t>
        </is>
      </c>
      <c r="D166" s="29" t="inlineStr">
        <is>
          <t>eindhoven:daf-museum</t>
        </is>
      </c>
      <c r="E166" s="29" t="inlineStr">
        <is>
          <t>Fotoğraflar/eindhoven_daf-museum_05.jpg</t>
        </is>
      </c>
      <c r="F166" s="29" t="inlineStr">
        <is>
          <t>c901913d4f26f8763873bdce0620c2803bade0eae1d885f559b1e3851fd625dc</t>
        </is>
      </c>
      <c r="G166" s="29" t="inlineStr">
        <is>
          <t>Çelik makas kirişli tavanın altında, yandan görülen turuncu renkli iki kapılı eski bir sedan otomobil; arkasında metal korkuluklu yükseltilmiş bir platform ve ışıklı sergi panoları.</t>
        </is>
      </c>
      <c r="H166" s="29" t="inlineStr">
        <is>
          <t>Ronald van der Graaf from Leiden, The Netherlands</t>
        </is>
      </c>
      <c r="I166" s="29" t="inlineStr">
        <is>
          <t>CC BY 2.0</t>
        </is>
      </c>
      <c r="J166" s="29" t="inlineStr">
        <is>
          <t>https://creativecommons.org/licenses/by/2.0/</t>
        </is>
      </c>
      <c r="K166" s="29" t="inlineStr">
        <is>
          <t>https://commons.wikimedia.org/wiki/File:DAF_Museum,_Eindhoven_(16476776987).jpg</t>
        </is>
      </c>
      <c r="L166" s="49" t="n">
        <v>42063</v>
      </c>
      <c r="M166" s="49" t="n">
        <v>46317</v>
      </c>
      <c r="N166" s="29" t="inlineStr">
        <is>
          <t>Wikimedia Commons'taki "DAF Museum, Eindhoven (16476776987).jpg" (6000×4000 px) özgün dosyasının 1280×853 px küçültülmüş kopyası indirildi; kırpma, rötuş ve renk düzeltmesi yapılmadı.</t>
        </is>
      </c>
      <c r="O166" s="29" t="inlineStr">
        <is>
          <t>eindhoven:evidence:daf-museum-05</t>
        </is>
      </c>
      <c r="P166" s="29" t="inlineStr">
        <is>
          <t>Evet</t>
        </is>
      </c>
      <c r="Q166" s="51" t="n">
        <v>5</v>
      </c>
      <c r="R166" s="29" t="inlineStr">
        <is>
          <t>Taslak</t>
        </is>
      </c>
      <c r="S166" s="52">
        <f>IF(OR(A166="",F166="",C166&lt;&gt;"Mekân"),0,IF(COUNTIFS($F$8:F166,F166,$C$8:C166,"Mekân")=1,1,0))</f>
        <v/>
      </c>
      <c r="T166" s="52">
        <f>IF(OR(A166="",F166="",C166&lt;&gt;"Kapak"),0,IF(COUNTIFS($F$8:F166,F166,$C$8:C166,"Kapak")=1,1,0))</f>
        <v/>
      </c>
    </row>
    <row r="167" ht="54" customHeight="1">
      <c r="A167" s="29" t="inlineStr">
        <is>
          <t>eindhoven:photo:henri-dunantpark-04</t>
        </is>
      </c>
      <c r="B167" s="29" t="inlineStr">
        <is>
          <t>eindhoven</t>
        </is>
      </c>
      <c r="C167" s="29" t="inlineStr">
        <is>
          <t>Mekân</t>
        </is>
      </c>
      <c r="D167" s="29" t="inlineStr">
        <is>
          <t>eindhoven:henri-dunantpark</t>
        </is>
      </c>
      <c r="E167" s="29" t="inlineStr">
        <is>
          <t>Fotoğraflar/eindhoven_henri-dunantpark_04.jpg</t>
        </is>
      </c>
      <c r="F167" s="29" t="inlineStr">
        <is>
          <t>9e3158e1bfda5adb8ee57822485bd825605858b40a4f49e2c91ab23d8821e34f</t>
        </is>
      </c>
      <c r="G167" s="29" t="inlineStr">
        <is>
          <t>Suyu boşaltılmış su oyun alanında mor ahtapot biçimli kaydıraklar ve mavi bir oyun öğesi; alanı çevreleyen sarı korkuluk, önde geniş taş döşeli zemin, arkada güneş alan yüksek ağaçlar.</t>
        </is>
      </c>
      <c r="H167" s="29" t="inlineStr">
        <is>
          <t>S. Perquin</t>
        </is>
      </c>
      <c r="I167" s="29" t="inlineStr">
        <is>
          <t>CC BY-SA 4.0</t>
        </is>
      </c>
      <c r="J167" s="29" t="inlineStr">
        <is>
          <t>https://creativecommons.org/licenses/by-sa/4.0/</t>
        </is>
      </c>
      <c r="K167" s="29" t="inlineStr">
        <is>
          <t>https://commons.wikimedia.org/wiki/File:Speelpark_De_Splinter_(2025)_(3).jpg</t>
        </is>
      </c>
      <c r="L167" s="49" t="n">
        <v>45793</v>
      </c>
      <c r="M167" s="49" t="n">
        <v>46317</v>
      </c>
      <c r="N167" s="29" t="inlineStr">
        <is>
          <t>Wikimedia Commons'taki "Speelpark De Splinter (2025) (3).jpg" (6000×4000 px) özgün dosyasının 1280×853 px küçültülmüş kopyası indirildi; kırpma, rötuş ve renk düzeltmesi yapılmadı.</t>
        </is>
      </c>
      <c r="O167" s="29" t="inlineStr">
        <is>
          <t>eindhoven:evidence:henri-dunantpark-04</t>
        </is>
      </c>
      <c r="P167" s="29" t="inlineStr">
        <is>
          <t>Evet</t>
        </is>
      </c>
      <c r="Q167" s="51" t="n">
        <v>4</v>
      </c>
      <c r="R167" s="29" t="inlineStr">
        <is>
          <t>Taslak</t>
        </is>
      </c>
      <c r="S167" s="52">
        <f>IF(OR(A167="",F167="",C167&lt;&gt;"Mekân"),0,IF(COUNTIFS($F$8:F167,F167,$C$8:C167,"Mekân")=1,1,0))</f>
        <v/>
      </c>
      <c r="T167" s="52">
        <f>IF(OR(A167="",F167="",C167&lt;&gt;"Kapak"),0,IF(COUNTIFS($F$8:F167,F167,$C$8:C167,"Kapak")=1,1,0))</f>
        <v/>
      </c>
    </row>
    <row r="168" ht="54" customHeight="1">
      <c r="A168" s="29" t="inlineStr">
        <is>
          <t>eindhoven:photo:catharinakerkhof-04</t>
        </is>
      </c>
      <c r="B168" s="29" t="inlineStr">
        <is>
          <t>eindhoven</t>
        </is>
      </c>
      <c r="C168" s="29" t="inlineStr">
        <is>
          <t>Mekân</t>
        </is>
      </c>
      <c r="D168" s="29" t="inlineStr">
        <is>
          <t>eindhoven:catharinakerkhof</t>
        </is>
      </c>
      <c r="E168" s="29" t="inlineStr">
        <is>
          <t>Fotoğraflar/eindhoven_catharinakerkhof_04.jpg</t>
        </is>
      </c>
      <c r="F168" s="29" t="inlineStr">
        <is>
          <t>8c784acfb89f3efb281a1df46a53f55fa3365e98bd85ae136a232a92bb519a65</t>
        </is>
      </c>
      <c r="G168" s="29" t="inlineStr">
        <is>
          <t>Mezarlığın tuğla çevre duvarı; solda heykel nişli kıvrımlı alınlığı ve yuvarlak kemerli geçidiyle giriş binası, yanında yuvarlak kemerli siyah kapı, sağda fener başlıklı tuğla ayak; önde zincir bariyer, tuğla döşeli yol, çıplak ağaçlar.</t>
        </is>
      </c>
      <c r="H168" s="29" t="inlineStr">
        <is>
          <t>Sergé Technau</t>
        </is>
      </c>
      <c r="I168" s="29" t="inlineStr">
        <is>
          <t>CC BY-SA 4.0</t>
        </is>
      </c>
      <c r="J168" s="29" t="inlineStr">
        <is>
          <t>https://creativecommons.org/licenses/by-sa/4.0/</t>
        </is>
      </c>
      <c r="K168" s="29" t="inlineStr">
        <is>
          <t>https://commons.wikimedia.org/wiki/File:Gedeelte_van_de_ommuring_van_de_begraafplaats_-_Eindhoven_-_20410901_-_RCE.jpg</t>
        </is>
      </c>
      <c r="L168" s="49" t="n">
        <v>39451</v>
      </c>
      <c r="M168" s="49" t="n">
        <v>46317</v>
      </c>
      <c r="N168" s="29" t="inlineStr">
        <is>
          <t>Wikimedia Commons'taki "Gedeelte van de ommuring van de begraafplaats - Eindhoven - 20410901 - RCE.jpg" (3543×2362 px) özgün dosyasının 1280×853 px küçültülmüş kopyası indirildi; kırpma, rötuş ve renk düzeltmesi yapılmadı.</t>
        </is>
      </c>
      <c r="O168" s="29" t="inlineStr">
        <is>
          <t>eindhoven:evidence:catharinakerkhof-04</t>
        </is>
      </c>
      <c r="P168" s="29" t="inlineStr">
        <is>
          <t>Evet</t>
        </is>
      </c>
      <c r="Q168" s="51" t="n">
        <v>4</v>
      </c>
      <c r="R168" s="29" t="inlineStr">
        <is>
          <t>Taslak</t>
        </is>
      </c>
      <c r="S168" s="52">
        <f>IF(OR(A168="",F168="",C168&lt;&gt;"Mekân"),0,IF(COUNTIFS($F$8:F168,F168,$C$8:C168,"Mekân")=1,1,0))</f>
        <v/>
      </c>
      <c r="T168" s="52">
        <f>IF(OR(A168="",F168="",C168&lt;&gt;"Kapak"),0,IF(COUNTIFS($F$8:F168,F168,$C$8:C168,"Kapak")=1,1,0))</f>
        <v/>
      </c>
    </row>
    <row r="169" ht="54" customHeight="1">
      <c r="A169" s="29" t="inlineStr">
        <is>
          <t>eindhoven:photo:huize-de-laak-04</t>
        </is>
      </c>
      <c r="B169" s="29" t="inlineStr">
        <is>
          <t>eindhoven</t>
        </is>
      </c>
      <c r="C169" s="29" t="inlineStr">
        <is>
          <t>Mekân</t>
        </is>
      </c>
      <c r="D169" s="29" t="inlineStr">
        <is>
          <t>eindhoven:huize-de-laak</t>
        </is>
      </c>
      <c r="E169" s="29" t="inlineStr">
        <is>
          <t>Fotoğraflar/eindhoven_huize-de-laak_04.jpg</t>
        </is>
      </c>
      <c r="F169" s="29" t="inlineStr">
        <is>
          <t>5e67621146f9030e8d5521ca3df8e3fe8d5cdb2791d9bb5b0cf17abff086e0f3</t>
        </is>
      </c>
      <c r="G169" s="29" t="inlineStr">
        <is>
          <t>Gri kaplamalı dik çatısında çatı pencereleri ve iki yüksek bacası olan uzun tuğla çift konut; iki yeşil kapı, yeşil kepenkli pencereler, önde demir çit, kızıl yapraklı alçak çit ve sokak lambası.</t>
        </is>
      </c>
      <c r="H169" s="29" t="inlineStr">
        <is>
          <t>Perquirius</t>
        </is>
      </c>
      <c r="I169" s="29" t="inlineStr">
        <is>
          <t>CC BY-SA 4.0</t>
        </is>
      </c>
      <c r="J169" s="29" t="inlineStr">
        <is>
          <t>https://creativecommons.org/licenses/by-sa/4.0/</t>
        </is>
      </c>
      <c r="K169" s="29" t="inlineStr">
        <is>
          <t>https://commons.wikimedia.org/wiki/File:Dubbele_dienstwoning_Huize_De_Laak_(2026).jpg</t>
        </is>
      </c>
      <c r="L169" s="49" t="n">
        <v>46055</v>
      </c>
      <c r="M169" s="49" t="n">
        <v>46317</v>
      </c>
      <c r="N169" s="29" t="inlineStr">
        <is>
          <t>Wikimedia Commons'taki "Dubbele dienstwoning Huize De Laak (2026).jpg" (6000×4000 px) özgün dosyasının 1280×853 px küçültülmüş kopyası indirildi; kırpma, rötuş ve renk düzeltmesi yapılmadı.</t>
        </is>
      </c>
      <c r="O169" s="29" t="inlineStr">
        <is>
          <t>eindhoven:evidence:huize-de-laak-04</t>
        </is>
      </c>
      <c r="P169" s="29" t="inlineStr">
        <is>
          <t>Evet</t>
        </is>
      </c>
      <c r="Q169" s="51" t="n">
        <v>4</v>
      </c>
      <c r="R169" s="29" t="inlineStr">
        <is>
          <t>Taslak</t>
        </is>
      </c>
      <c r="S169" s="52">
        <f>IF(OR(A169="",F169="",C169&lt;&gt;"Mekân"),0,IF(COUNTIFS($F$8:F169,F169,$C$8:C169,"Mekân")=1,1,0))</f>
        <v/>
      </c>
      <c r="T169" s="52">
        <f>IF(OR(A169="",F169="",C169&lt;&gt;"Kapak"),0,IF(COUNTIFS($F$8:F169,F169,$C$8:C169,"Kapak")=1,1,0))</f>
        <v/>
      </c>
    </row>
    <row r="170" ht="54" customHeight="1">
      <c r="A170" s="29" t="inlineStr">
        <is>
          <t>eindhoven:photo:huize-de-laak-05</t>
        </is>
      </c>
      <c r="B170" s="29" t="inlineStr">
        <is>
          <t>eindhoven</t>
        </is>
      </c>
      <c r="C170" s="29" t="inlineStr">
        <is>
          <t>Mekân</t>
        </is>
      </c>
      <c r="D170" s="29" t="inlineStr">
        <is>
          <t>eindhoven:huize-de-laak</t>
        </is>
      </c>
      <c r="E170" s="29" t="inlineStr">
        <is>
          <t>Fotoğraflar/eindhoven_huize-de-laak_05.jpg</t>
        </is>
      </c>
      <c r="F170" s="29" t="inlineStr">
        <is>
          <t>5500568d22e023ad3c1e96bea026978f8d302b138f1c8e9406786a71dda32325</t>
        </is>
      </c>
      <c r="G170" s="29" t="inlineStr">
        <is>
          <t>Siyah ferforje kapının ardında iki bacalı tuğla arabalık: ortada büyük kemerli koyu renk kapı, iki yanında oval pencereler, üstte yuvarlak pencereli alınlık; önde çalılar ve çiçekli bitkiler.</t>
        </is>
      </c>
      <c r="H170" s="29" t="inlineStr">
        <is>
          <t>Mark Bergsma</t>
        </is>
      </c>
      <c r="I170" s="29" t="inlineStr">
        <is>
          <t>CC BY-SA 3.0</t>
        </is>
      </c>
      <c r="J170" s="29" t="inlineStr">
        <is>
          <t>https://creativecommons.org/licenses/by-sa/3.0/</t>
        </is>
      </c>
      <c r="K170" s="29" t="inlineStr">
        <is>
          <t>https://commons.wikimedia.org/wiki/File:Koetshuis_DeLaakEindhoven_Rijksmonument518760.jpg</t>
        </is>
      </c>
      <c r="L170" s="49" t="n">
        <v>40076</v>
      </c>
      <c r="M170" s="49" t="n">
        <v>46317</v>
      </c>
      <c r="N170" s="29" t="inlineStr">
        <is>
          <t>Wikimedia Commons'taki "Koetshuis DeLaakEindhoven Rijksmonument518760.jpg" (3968×2232 px) özgün dosyasının 1280×720 px küçültülmüş kopyası indirildi; kırpma, rötuş ve renk düzeltmesi yapılmadı.</t>
        </is>
      </c>
      <c r="O170" s="29" t="inlineStr">
        <is>
          <t>eindhoven:evidence:huize-de-laak-05</t>
        </is>
      </c>
      <c r="P170" s="29" t="inlineStr">
        <is>
          <t>Evet</t>
        </is>
      </c>
      <c r="Q170" s="51" t="n">
        <v>5</v>
      </c>
      <c r="R170" s="29" t="inlineStr">
        <is>
          <t>Taslak</t>
        </is>
      </c>
      <c r="S170" s="52">
        <f>IF(OR(A170="",F170="",C170&lt;&gt;"Mekân"),0,IF(COUNTIFS($F$8:F170,F170,$C$8:C170,"Mekân")=1,1,0))</f>
        <v/>
      </c>
      <c r="T170" s="52">
        <f>IF(OR(A170="",F170="",C170&lt;&gt;"Kapak"),0,IF(COUNTIFS($F$8:F170,F170,$C$8:C170,"Kapak")=1,1,0))</f>
        <v/>
      </c>
    </row>
    <row r="171" ht="54" customHeight="1">
      <c r="A171" s="29" t="inlineStr">
        <is>
          <t>eindhoven:photo:centrum-bolgesi-04</t>
        </is>
      </c>
      <c r="B171" s="29" t="inlineStr">
        <is>
          <t>eindhoven</t>
        </is>
      </c>
      <c r="C171" s="29" t="inlineStr">
        <is>
          <t>Mekân</t>
        </is>
      </c>
      <c r="D171" s="29" t="inlineStr">
        <is>
          <t>eindhoven:centrum-bolgesi</t>
        </is>
      </c>
      <c r="E171" s="29" t="inlineStr">
        <is>
          <t>Fotoğraflar/eindhoven_centrum-bolgesi_04.jpg</t>
        </is>
      </c>
      <c r="F171" s="29" t="inlineStr">
        <is>
          <t>be878ee9daa538129ab2e70ada65d110b23d684b35b6444d71d967d15c81e60e</t>
        </is>
      </c>
      <c r="G171" s="29" t="inlineStr">
        <is>
          <t>Gümüş grisi, üçgen desenli kaplamayla örtülü yuvarlak hatlı dev binanın kapalı yüzü; üzerinde iri oval cam açıklıklar, altta yeşil 'SALE' yazısı, önde sokak lambası ve yol; bulutlu hava.</t>
        </is>
      </c>
      <c r="H171" s="29" t="inlineStr">
        <is>
          <t>G.Lanting</t>
        </is>
      </c>
      <c r="I171" s="29" t="inlineStr">
        <is>
          <t>CC BY-SA 3.0</t>
        </is>
      </c>
      <c r="J171" s="29" t="inlineStr">
        <is>
          <t>https://creativecommons.org/licenses/by-sa/3.0/</t>
        </is>
      </c>
      <c r="K171" s="29" t="inlineStr">
        <is>
          <t>https://commons.wikimedia.org/wiki/File:Eindhoven_Centrum_023.JPG</t>
        </is>
      </c>
      <c r="L171" s="49" t="n">
        <v>40672</v>
      </c>
      <c r="M171" s="49" t="n">
        <v>46317</v>
      </c>
      <c r="N171" s="29" t="inlineStr">
        <is>
          <t>Wikimedia Commons'taki "Eindhoven Centrum 023.JPG" (3640×2762 px) özgün dosyasının 1280×971 px küçültülmüş kopyası indirildi; kırpma, rötuş ve renk düzeltmesi yapılmadı.</t>
        </is>
      </c>
      <c r="O171" s="29" t="inlineStr">
        <is>
          <t>eindhoven:evidence:centrum-bolgesi-04</t>
        </is>
      </c>
      <c r="P171" s="29" t="inlineStr">
        <is>
          <t>Evet</t>
        </is>
      </c>
      <c r="Q171" s="51" t="n">
        <v>4</v>
      </c>
      <c r="R171" s="29" t="inlineStr">
        <is>
          <t>Taslak</t>
        </is>
      </c>
      <c r="S171" s="52">
        <f>IF(OR(A171="",F171="",C171&lt;&gt;"Mekân"),0,IF(COUNTIFS($F$8:F171,F171,$C$8:C171,"Mekân")=1,1,0))</f>
        <v/>
      </c>
      <c r="T171" s="52">
        <f>IF(OR(A171="",F171="",C171&lt;&gt;"Kapak"),0,IF(COUNTIFS($F$8:F171,F171,$C$8:C171,"Kapak")=1,1,0))</f>
        <v/>
      </c>
    </row>
    <row r="172" ht="54" customHeight="1">
      <c r="A172" s="29" t="inlineStr">
        <is>
          <t>eindhoven:photo:stadswandelpark-04</t>
        </is>
      </c>
      <c r="B172" s="29" t="inlineStr">
        <is>
          <t>eindhoven</t>
        </is>
      </c>
      <c r="C172" s="29" t="inlineStr">
        <is>
          <t>Mekân</t>
        </is>
      </c>
      <c r="D172" s="29" t="inlineStr">
        <is>
          <t>eindhoven:stadswandelpark</t>
        </is>
      </c>
      <c r="E172" s="29" t="inlineStr">
        <is>
          <t>Fotoğraflar/eindhoven_stadswandelpark_04.jpg</t>
        </is>
      </c>
      <c r="F172" s="29" t="inlineStr">
        <is>
          <t>f855d34b644e1bc5761b9069a068393dde10263063702477f9db84e5cea01e9a</t>
        </is>
      </c>
      <c r="G172" s="29" t="inlineStr">
        <is>
          <t>Önde yosun tutmuş kalın bir ağaç gövdesi ve çimenlikte açmış beyaz bahar çiçekleri; yapraksız uzun ağaçların arasından kıvrılan asfalt yürüyüş yolu, arkada çalılıklar ve alçak tuğla bir yapı.</t>
        </is>
      </c>
      <c r="H172" s="29" t="inlineStr">
        <is>
          <t>Rosemoon</t>
        </is>
      </c>
      <c r="I172" s="29" t="inlineStr">
        <is>
          <t>CC BY-SA 4.0</t>
        </is>
      </c>
      <c r="J172" s="29" t="inlineStr">
        <is>
          <t>https://creativecommons.org/licenses/by-sa/4.0/</t>
        </is>
      </c>
      <c r="K172" s="29" t="inlineStr">
        <is>
          <t>https://commons.wikimedia.org/wiki/File:0772_WN011_Stadswandelpark_Eindhoven.jpg</t>
        </is>
      </c>
      <c r="L172" s="49" t="n">
        <v>43906</v>
      </c>
      <c r="M172" s="49" t="n">
        <v>46317</v>
      </c>
      <c r="N172" s="29" t="inlineStr">
        <is>
          <t>Wikimedia Commons'taki "0772 WN011 Stadswandelpark Eindhoven.jpg" (6000×4000 px) özgün dosyasının 1280×853 px küçültülmüş kopyası indirildi; kırpma, rötuş ve renk düzeltmesi yapılmadı.</t>
        </is>
      </c>
      <c r="O172" s="29" t="inlineStr">
        <is>
          <t>eindhoven:evidence:stadswandelpark-04</t>
        </is>
      </c>
      <c r="P172" s="29" t="inlineStr">
        <is>
          <t>Evet</t>
        </is>
      </c>
      <c r="Q172" s="51" t="n">
        <v>4</v>
      </c>
      <c r="R172" s="29" t="inlineStr">
        <is>
          <t>Taslak</t>
        </is>
      </c>
      <c r="S172" s="52">
        <f>IF(OR(A172="",F172="",C172&lt;&gt;"Mekân"),0,IF(COUNTIFS($F$8:F172,F172,$C$8:C172,"Mekân")=1,1,0))</f>
        <v/>
      </c>
      <c r="T172" s="52">
        <f>IF(OR(A172="",F172="",C172&lt;&gt;"Kapak"),0,IF(COUNTIFS($F$8:F172,F172,$C$8:C172,"Kapak")=1,1,0))</f>
        <v/>
      </c>
    </row>
    <row r="173" ht="54" customHeight="1">
      <c r="A173" s="29" t="inlineStr">
        <is>
          <t>eindhoven:photo:speelpark-de-splinter-04</t>
        </is>
      </c>
      <c r="B173" s="29" t="inlineStr">
        <is>
          <t>eindhoven</t>
        </is>
      </c>
      <c r="C173" s="29" t="inlineStr">
        <is>
          <t>Mekân</t>
        </is>
      </c>
      <c r="D173" s="29" t="inlineStr">
        <is>
          <t>eindhoven:speelpark-de-splinter</t>
        </is>
      </c>
      <c r="E173" s="29" t="inlineStr">
        <is>
          <t>Fotoğraflar/eindhoven_speelpark-de-splinter_04.jpg</t>
        </is>
      </c>
      <c r="F173" s="29" t="inlineStr">
        <is>
          <t>1c5e0b6fe4b77e3ee3f4f21d2cff206a438b411429564560c49e4c8d843ce529</t>
        </is>
      </c>
      <c r="G173" s="29" t="inlineStr">
        <is>
          <t>Yüksek ağaçlar ve çimenli bir şevle çevrili asfalt top sahası; sahada iki küçük futbol kalesi, önde tuğla döşeli kenar ve zemine düşen ağaç gölgeleri.</t>
        </is>
      </c>
      <c r="H173" s="29" t="inlineStr">
        <is>
          <t>S. Perquin</t>
        </is>
      </c>
      <c r="I173" s="29" t="inlineStr">
        <is>
          <t>CC BY-SA 4.0</t>
        </is>
      </c>
      <c r="J173" s="29" t="inlineStr">
        <is>
          <t>https://creativecommons.org/licenses/by-sa/4.0/</t>
        </is>
      </c>
      <c r="K173" s="29" t="inlineStr">
        <is>
          <t>https://commons.wikimedia.org/wiki/File:Speelpark_De_Splinter_(2025)_(1).jpg</t>
        </is>
      </c>
      <c r="L173" s="49" t="n">
        <v>45793</v>
      </c>
      <c r="M173" s="49" t="n">
        <v>46317</v>
      </c>
      <c r="N173" s="29" t="inlineStr">
        <is>
          <t>Wikimedia Commons'taki "Speelpark De Splinter (2025) (1).jpg" (6000×4000 px) özgün dosyasının 1280×853 px küçültülmüş kopyası indirildi; kırpma, rötuş ve renk düzeltmesi yapılmadı.</t>
        </is>
      </c>
      <c r="O173" s="29" t="inlineStr">
        <is>
          <t>eindhoven:evidence:speelpark-de-splinter-04</t>
        </is>
      </c>
      <c r="P173" s="29" t="inlineStr">
        <is>
          <t>Evet</t>
        </is>
      </c>
      <c r="Q173" s="51" t="n">
        <v>4</v>
      </c>
      <c r="R173" s="29" t="inlineStr">
        <is>
          <t>Taslak</t>
        </is>
      </c>
      <c r="S173" s="52">
        <f>IF(OR(A173="",F173="",C173&lt;&gt;"Mekân"),0,IF(COUNTIFS($F$8:F173,F173,$C$8:C173,"Mekân")=1,1,0))</f>
        <v/>
      </c>
      <c r="T173" s="52">
        <f>IF(OR(A173="",F173="",C173&lt;&gt;"Kapak"),0,IF(COUNTIFS($F$8:F173,F173,$C$8:C173,"Kapak")=1,1,0))</f>
        <v/>
      </c>
    </row>
    <row r="174" ht="54" customHeight="1">
      <c r="A174" s="29" t="inlineStr">
        <is>
          <t>eindhoven:photo:witte-dorp-mahallesi-04</t>
        </is>
      </c>
      <c r="B174" s="29" t="inlineStr">
        <is>
          <t>eindhoven</t>
        </is>
      </c>
      <c r="C174" s="29" t="inlineStr">
        <is>
          <t>Mekân</t>
        </is>
      </c>
      <c r="D174" s="29" t="inlineStr">
        <is>
          <t>eindhoven:witte-dorp-mahallesi</t>
        </is>
      </c>
      <c r="E174" s="29" t="inlineStr">
        <is>
          <t>Fotoğraflar/eindhoven_witte-dorp-mahallesi_04.jpg</t>
        </is>
      </c>
      <c r="F174" s="29" t="inlineStr">
        <is>
          <t>981da1bb8c9adeebd28689c091a54ca477ba1f7175c7efe915dabb807394f7d8</t>
        </is>
      </c>
      <c r="G174" s="29" t="inlineStr">
        <is>
          <t>Kırmızı kiremit çatılı beyaz köşe binasının üçgen alın cephesi; zemin katta camlı vitrinli bir kafeterya, solda devam eden beyaz sıra evler, önde trafik ışıklı bir kavşak.</t>
        </is>
      </c>
      <c r="H174" s="29" t="inlineStr">
        <is>
          <t>Rosemoon</t>
        </is>
      </c>
      <c r="I174" s="29" t="inlineStr">
        <is>
          <t>CC BY-SA 3.0 nl</t>
        </is>
      </c>
      <c r="J174" s="29" t="inlineStr">
        <is>
          <t>https://creativecommons.org/licenses/by-sa/3.0/nl/deed.en/</t>
        </is>
      </c>
      <c r="K174" s="29" t="inlineStr">
        <is>
          <t>https://commons.wikimedia.org/wiki/File:Monument_518735,_Sint_Jorislaan_2_Eindhoven-2.jpg</t>
        </is>
      </c>
      <c r="L174" s="49" t="n">
        <v>40810</v>
      </c>
      <c r="M174" s="49" t="n">
        <v>46317</v>
      </c>
      <c r="N174" s="29" t="inlineStr">
        <is>
          <t>Wikimedia Commons'taki "Monument 518735, Sint Jorislaan 2 Eindhoven-2.jpg" (4320×3240 px) özgün dosyasının 1280×960 px küçültülmüş kopyası indirildi; kırpma, rötuş ve renk düzeltmesi yapılmadı.</t>
        </is>
      </c>
      <c r="O174" s="29" t="inlineStr">
        <is>
          <t>eindhoven:evidence:witte-dorp-mahallesi-04</t>
        </is>
      </c>
      <c r="P174" s="29" t="inlineStr">
        <is>
          <t>Evet</t>
        </is>
      </c>
      <c r="Q174" s="51" t="n">
        <v>4</v>
      </c>
      <c r="R174" s="29" t="inlineStr">
        <is>
          <t>Taslak</t>
        </is>
      </c>
      <c r="S174" s="52">
        <f>IF(OR(A174="",F174="",C174&lt;&gt;"Mekân"),0,IF(COUNTIFS($F$8:F174,F174,$C$8:C174,"Mekân")=1,1,0))</f>
        <v/>
      </c>
      <c r="T174" s="52">
        <f>IF(OR(A174="",F174="",C174&lt;&gt;"Kapak"),0,IF(COUNTIFS($F$8:F174,F174,$C$8:C174,"Kapak")=1,1,0))</f>
        <v/>
      </c>
    </row>
    <row r="175" ht="54" customHeight="1">
      <c r="A175" s="29" t="inlineStr">
        <is>
          <t>eindhoven:photo:riel-mahallesi-04</t>
        </is>
      </c>
      <c r="B175" s="29" t="inlineStr">
        <is>
          <t>eindhoven</t>
        </is>
      </c>
      <c r="C175" s="29" t="inlineStr">
        <is>
          <t>Mekân</t>
        </is>
      </c>
      <c r="D175" s="29" t="inlineStr">
        <is>
          <t>eindhoven:riel-mahallesi</t>
        </is>
      </c>
      <c r="E175" s="29" t="inlineStr">
        <is>
          <t>Fotoğraflar/eindhoven_riel-mahallesi_04.jpg</t>
        </is>
      </c>
      <c r="F175" s="29" t="inlineStr">
        <is>
          <t>d81e2ab064f63ea46d7eb9d9e8b2f46a79eff2cb68cea33b20ed842855d22340</t>
        </is>
      </c>
      <c r="G175" s="29" t="inlineStr">
        <is>
          <t>Saz çatılı uzun bir çiftlik evinin koyu yeşil panjurlu ve kemerli pencereleri; önündeki çimenlikte kutu biçiminde budanmış üç ağaç, solda saz çatılı eski tuğla yapının kiremitli saçağı, sağda kumlu yol.</t>
        </is>
      </c>
      <c r="H175" s="29" t="inlineStr">
        <is>
          <t>Rosemoon</t>
        </is>
      </c>
      <c r="I175" s="29" t="inlineStr">
        <is>
          <t>CC BY-SA 4.0</t>
        </is>
      </c>
      <c r="J175" s="29" t="inlineStr">
        <is>
          <t>https://creativecommons.org/licenses/by-sa/4.0/</t>
        </is>
      </c>
      <c r="K175" s="29" t="inlineStr">
        <is>
          <t>https://commons.wikimedia.org/wiki/File:Riel_8,_Eindhoven-3.jpg</t>
        </is>
      </c>
      <c r="L175" s="49" t="n">
        <v>43960</v>
      </c>
      <c r="M175" s="49" t="n">
        <v>46317</v>
      </c>
      <c r="N175" s="29" t="inlineStr">
        <is>
          <t>Wikimedia Commons'taki "Riel 8, Eindhoven-3.jpg" (4032×3024 px) özgün dosyasının 1280×960 px küçültülmüş kopyası indirildi; kırpma, rötuş ve renk düzeltmesi yapılmadı.</t>
        </is>
      </c>
      <c r="O175" s="29" t="inlineStr">
        <is>
          <t>eindhoven:evidence:riel-mahallesi-04</t>
        </is>
      </c>
      <c r="P175" s="29" t="inlineStr">
        <is>
          <t>Evet</t>
        </is>
      </c>
      <c r="Q175" s="51" t="n">
        <v>4</v>
      </c>
      <c r="R175" s="29" t="inlineStr">
        <is>
          <t>Taslak</t>
        </is>
      </c>
      <c r="S175" s="52">
        <f>IF(OR(A175="",F175="",C175&lt;&gt;"Mekân"),0,IF(COUNTIFS($F$8:F175,F175,$C$8:C175,"Mekân")=1,1,0))</f>
        <v/>
      </c>
      <c r="T175" s="52">
        <f>IF(OR(A175="",F175="",C175&lt;&gt;"Kapak"),0,IF(COUNTIFS($F$8:F175,F175,$C$8:C175,"Kapak")=1,1,0))</f>
        <v/>
      </c>
    </row>
    <row r="176" ht="54" customHeight="1">
      <c r="A176" s="29" t="inlineStr">
        <is>
          <t>eindhoven:photo:tongelre-bolgesi-04</t>
        </is>
      </c>
      <c r="B176" s="29" t="inlineStr">
        <is>
          <t>eindhoven</t>
        </is>
      </c>
      <c r="C176" s="29" t="inlineStr">
        <is>
          <t>Mekân</t>
        </is>
      </c>
      <c r="D176" s="29" t="inlineStr">
        <is>
          <t>eindhoven:tongelre-bolgesi</t>
        </is>
      </c>
      <c r="E176" s="29" t="inlineStr">
        <is>
          <t>Fotoğraflar/eindhoven_tongelre-bolgesi_04.jpg</t>
        </is>
      </c>
      <c r="F176" s="29" t="inlineStr">
        <is>
          <t>4733a214ead595277fa2aef9364e3d630e5349b74a9c3596658f0f23bc1d3533</t>
        </is>
      </c>
      <c r="G176" s="29" t="inlineStr">
        <is>
          <t>Yosun tutmuş saz çatılı, ahşap kaplamalı ve tuğla duvarlı uzun çiftlik binası; ortada ahşap kanatları açık camlı giriş, solda beyaz bir parti çadırı, önde arnavut kaldırımlı avlu.</t>
        </is>
      </c>
      <c r="H176" s="29" t="inlineStr">
        <is>
          <t>AcroniusZ</t>
        </is>
      </c>
      <c r="I176" s="29" t="inlineStr">
        <is>
          <t>CC BY-SA 4.0</t>
        </is>
      </c>
      <c r="J176" s="29" t="inlineStr">
        <is>
          <t>https://creativecommons.org/licenses/by-sa/4.0/</t>
        </is>
      </c>
      <c r="K176" s="29" t="inlineStr">
        <is>
          <t>https://commons.wikimedia.org/wiki/File:Eindhoven_Tongelre_Celebeslaan_30_Philipsboerderij.jpg</t>
        </is>
      </c>
      <c r="L176" s="49" t="n">
        <v>44140</v>
      </c>
      <c r="M176" s="49" t="n">
        <v>46317</v>
      </c>
      <c r="N176" s="29" t="inlineStr">
        <is>
          <t>Wikimedia Commons'taki "Eindhoven Tongelre Celebeslaan 30 Philipsboerderij.jpg" (4000×3000 px) özgün dosyasının 1280×960 px küçültülmüş kopyası indirildi; kırpma, rötuş ve renk düzeltmesi yapılmadı.</t>
        </is>
      </c>
      <c r="O176" s="29" t="inlineStr">
        <is>
          <t>eindhoven:evidence:tongelre-bolgesi-04</t>
        </is>
      </c>
      <c r="P176" s="29" t="inlineStr">
        <is>
          <t>Evet</t>
        </is>
      </c>
      <c r="Q176" s="51" t="n">
        <v>4</v>
      </c>
      <c r="R176" s="29" t="inlineStr">
        <is>
          <t>Taslak</t>
        </is>
      </c>
      <c r="S176" s="52">
        <f>IF(OR(A176="",F176="",C176&lt;&gt;"Mekân"),0,IF(COUNTIFS($F$8:F176,F176,$C$8:C176,"Mekân")=1,1,0))</f>
        <v/>
      </c>
      <c r="T176" s="52">
        <f>IF(OR(A176="",F176="",C176&lt;&gt;"Kapak"),0,IF(COUNTIFS($F$8:F176,F176,$C$8:C176,"Kapak")=1,1,0))</f>
        <v/>
      </c>
    </row>
    <row r="177" ht="54" customHeight="1">
      <c r="A177" s="29" t="inlineStr">
        <is>
          <t>eindhoven:photo:parktheater-eindhoven-04</t>
        </is>
      </c>
      <c r="B177" s="29" t="inlineStr">
        <is>
          <t>eindhoven</t>
        </is>
      </c>
      <c r="C177" s="29" t="inlineStr">
        <is>
          <t>Mekân</t>
        </is>
      </c>
      <c r="D177" s="29" t="inlineStr">
        <is>
          <t>eindhoven:parktheater-eindhoven</t>
        </is>
      </c>
      <c r="E177" s="29" t="inlineStr">
        <is>
          <t>Fotoğraflar/eindhoven_parktheater-eindhoven_04.jpg</t>
        </is>
      </c>
      <c r="F177" s="29" t="inlineStr">
        <is>
          <t>b510d8c9ee569180bb213808f172b5c4b60cc1d4a7bae4ff1b8c794e35884a7f</t>
        </is>
      </c>
      <c r="G177" s="29" t="inlineStr">
        <is>
          <t>Fuayede alt kısmı mozaik kaplı, huni biçimli beyaz sütun, kırmızı banklar ve salona açılan ahşap kapı; tavanda kavisli beyaz duvar boyunca dizili küre biçimli spot lambalar, arkada kitap rafları ve tablolar.</t>
        </is>
      </c>
      <c r="H177" s="29" t="inlineStr">
        <is>
          <t>Alex P. Kok</t>
        </is>
      </c>
      <c r="I177" s="29" t="inlineStr">
        <is>
          <t>CC BY-SA 4.0</t>
        </is>
      </c>
      <c r="J177" s="29" t="inlineStr">
        <is>
          <t>https://creativecommons.org/licenses/by-sa/4.0/</t>
        </is>
      </c>
      <c r="K177" s="29" t="inlineStr">
        <is>
          <t>https://commons.wikimedia.org/wiki/File:Parktheater_Eindhoven,_buiten_de_grote_zaal.jpg</t>
        </is>
      </c>
      <c r="L177" s="49" t="n">
        <v>43723</v>
      </c>
      <c r="M177" s="49" t="n">
        <v>46317</v>
      </c>
      <c r="N177" s="29" t="inlineStr">
        <is>
          <t>Wikimedia Commons'taki "Parktheater Eindhoven, buiten de grote zaal.jpg" (5568×3712 px) özgün dosyasının 1280×853 px küçültülmüş kopyası indirildi; kırpma, rötuş ve renk düzeltmesi yapılmadı.</t>
        </is>
      </c>
      <c r="O177" s="29" t="inlineStr">
        <is>
          <t>eindhoven:evidence:parktheater-eindhoven-04</t>
        </is>
      </c>
      <c r="P177" s="29" t="inlineStr">
        <is>
          <t>Evet</t>
        </is>
      </c>
      <c r="Q177" s="51" t="n">
        <v>4</v>
      </c>
      <c r="R177" s="29" t="inlineStr">
        <is>
          <t>Taslak</t>
        </is>
      </c>
      <c r="S177" s="52">
        <f>IF(OR(A177="",F177="",C177&lt;&gt;"Mekân"),0,IF(COUNTIFS($F$8:F177,F177,$C$8:C177,"Mekân")=1,1,0))</f>
        <v/>
      </c>
      <c r="T177" s="52">
        <f>IF(OR(A177="",F177="",C177&lt;&gt;"Kapak"),0,IF(COUNTIFS($F$8:F177,F177,$C$8:C177,"Kapak")=1,1,0))</f>
        <v/>
      </c>
    </row>
    <row r="178" ht="54" customHeight="1">
      <c r="A178" s="29" t="inlineStr">
        <is>
          <t>eindhoven:photo:parktheater-eindhoven-05</t>
        </is>
      </c>
      <c r="B178" s="29" t="inlineStr">
        <is>
          <t>eindhoven</t>
        </is>
      </c>
      <c r="C178" s="29" t="inlineStr">
        <is>
          <t>Mekân</t>
        </is>
      </c>
      <c r="D178" s="29" t="inlineStr">
        <is>
          <t>eindhoven:parktheater-eindhoven</t>
        </is>
      </c>
      <c r="E178" s="29" t="inlineStr">
        <is>
          <t>Fotoğraflar/eindhoven_parktheater-eindhoven_05.jpg</t>
        </is>
      </c>
      <c r="F178" s="29" t="inlineStr">
        <is>
          <t>1e0cf799487cb5e9e1721b6370f5b0132772e5ab404ba91e421156222b83240e</t>
        </is>
      </c>
      <c r="G178" s="29" t="inlineStr">
        <is>
          <t>Ahşap çıtalarla kaplı kavisli duvarları ve parke zemini olan boş küçük salon; sağda alçak siyah sahne platformu, yüksek ahşap masalar, tavandaki ızgarada sıra sıra sahne ışıkları.</t>
        </is>
      </c>
      <c r="H178" s="29" t="inlineStr">
        <is>
          <t>Alex P. Kok</t>
        </is>
      </c>
      <c r="I178" s="29" t="inlineStr">
        <is>
          <t>CC BY-SA 4.0</t>
        </is>
      </c>
      <c r="J178" s="29" t="inlineStr">
        <is>
          <t>https://creativecommons.org/licenses/by-sa/4.0/</t>
        </is>
      </c>
      <c r="K178" s="29" t="inlineStr">
        <is>
          <t>https://commons.wikimedia.org/wiki/File:Parktheater_Eindhoven,_globezaal_1.jpg</t>
        </is>
      </c>
      <c r="L178" s="49" t="n">
        <v>43723</v>
      </c>
      <c r="M178" s="49" t="n">
        <v>46317</v>
      </c>
      <c r="N178" s="29" t="inlineStr">
        <is>
          <t>Wikimedia Commons'taki "Parktheater Eindhoven, globezaal 1.jpg" (5568×3712 px) özgün dosyasının 1280×853 px küçültülmüş kopyası indirildi; kırpma, rötuş ve renk düzeltmesi yapılmadı.</t>
        </is>
      </c>
      <c r="O178" s="29" t="inlineStr">
        <is>
          <t>eindhoven:evidence:parktheater-eindhoven-05</t>
        </is>
      </c>
      <c r="P178" s="29" t="inlineStr">
        <is>
          <t>Evet</t>
        </is>
      </c>
      <c r="Q178" s="51" t="n">
        <v>5</v>
      </c>
      <c r="R178" s="29" t="inlineStr">
        <is>
          <t>Taslak</t>
        </is>
      </c>
      <c r="S178" s="52">
        <f>IF(OR(A178="",F178="",C178&lt;&gt;"Mekân"),0,IF(COUNTIFS($F$8:F178,F178,$C$8:C178,"Mekân")=1,1,0))</f>
        <v/>
      </c>
      <c r="T178" s="52">
        <f>IF(OR(A178="",F178="",C178&lt;&gt;"Kapak"),0,IF(COUNTIFS($F$8:F178,F178,$C$8:C178,"Kapak")=1,1,0))</f>
        <v/>
      </c>
    </row>
    <row r="179" ht="54" customHeight="1">
      <c r="A179" s="29" t="inlineStr">
        <is>
          <t>eindhoven:photo:sint-catharinakerk-04</t>
        </is>
      </c>
      <c r="B179" s="29" t="inlineStr">
        <is>
          <t>eindhoven</t>
        </is>
      </c>
      <c r="C179" s="29" t="inlineStr">
        <is>
          <t>Mekân</t>
        </is>
      </c>
      <c r="D179" s="29" t="inlineStr">
        <is>
          <t>eindhoven:sint-catharinakerk</t>
        </is>
      </c>
      <c r="E179" s="29" t="inlineStr">
        <is>
          <t>Fotoğraflar/eindhoven_sint-catharinakerk_04.jpg</t>
        </is>
      </c>
      <c r="F179" s="29" t="inlineStr">
        <is>
          <t>ef657b7a95755a55c784993c386a4b8e6de2bc92597e219f99d4fed1e1a3ee88</t>
        </is>
      </c>
      <c r="G179" s="29" t="inlineStr">
        <is>
          <t>Stratumseind'in tuğla döşeli, boş yaya yolunun ucunda yükselen iki sivri kuleli kilise cephesi; solda tenteli kafeler ve damalı pankart, sağda kırmızı bir dükkân cephesi.</t>
        </is>
      </c>
      <c r="H179" s="29" t="inlineStr">
        <is>
          <t>Sailko</t>
        </is>
      </c>
      <c r="I179" s="29" t="inlineStr">
        <is>
          <t>CC BY 3.0</t>
        </is>
      </c>
      <c r="J179" s="29" t="inlineStr">
        <is>
          <t>https://creativecommons.org/licenses/by/3.0/</t>
        </is>
      </c>
      <c r="K179" s="29" t="inlineStr">
        <is>
          <t>https://commons.wikimedia.org/wiki/File:Eindhoven,_santa_caterina,_01.jpg</t>
        </is>
      </c>
      <c r="L179" s="49" t="n">
        <v>42441</v>
      </c>
      <c r="M179" s="49" t="n">
        <v>46317</v>
      </c>
      <c r="N179" s="29" t="inlineStr">
        <is>
          <t>Wikimedia Commons'taki "Eindhoven, santa caterina, 01.jpg" (2304×3456 px) özgün dosyasının 1280×1920 px küçültülmüş kopyası indirildi; kırpma, rötuş ve renk düzeltmesi yapılmadı.</t>
        </is>
      </c>
      <c r="O179" s="29" t="inlineStr">
        <is>
          <t>eindhoven:evidence:sint-catharinakerk-04</t>
        </is>
      </c>
      <c r="P179" s="29" t="inlineStr">
        <is>
          <t>Evet</t>
        </is>
      </c>
      <c r="Q179" s="51" t="n">
        <v>4</v>
      </c>
      <c r="R179" s="29" t="inlineStr">
        <is>
          <t>Taslak</t>
        </is>
      </c>
      <c r="S179" s="52">
        <f>IF(OR(A179="",F179="",C179&lt;&gt;"Mekân"),0,IF(COUNTIFS($F$8:F179,F179,$C$8:C179,"Mekân")=1,1,0))</f>
        <v/>
      </c>
      <c r="T179" s="52">
        <f>IF(OR(A179="",F179="",C179&lt;&gt;"Kapak"),0,IF(COUNTIFS($F$8:F179,F179,$C$8:C179,"Kapak")=1,1,0))</f>
        <v/>
      </c>
    </row>
    <row r="180" ht="54" customHeight="1">
      <c r="A180" s="29" t="inlineStr">
        <is>
          <t>eindhoven:photo:strijp-s-04</t>
        </is>
      </c>
      <c r="B180" s="29" t="inlineStr">
        <is>
          <t>eindhoven</t>
        </is>
      </c>
      <c r="C180" s="29" t="inlineStr">
        <is>
          <t>Mekân</t>
        </is>
      </c>
      <c r="D180" s="29" t="inlineStr">
        <is>
          <t>eindhoven:strijp-s</t>
        </is>
      </c>
      <c r="E180" s="29" t="inlineStr">
        <is>
          <t>Fotoğraflar/eindhoven_strijp-s_04.jpg</t>
        </is>
      </c>
      <c r="F180" s="29" t="inlineStr">
        <is>
          <t>7b42e736455bfbb656869caded7c599b403aecdc9944ff4f878443d601f1031c</t>
        </is>
      </c>
      <c r="G180" s="29" t="inlineStr">
        <is>
          <t>Kahverengi tuğla cepheli, köşelerinde balkonlar bulunan yüksek bir konut kulesi ve yanında balkonlu kırmızı tuğla apartman bloğu; solda beyaz çok katlı binalar, önde levhalı bir kavşak.</t>
        </is>
      </c>
      <c r="H180" s="29" t="inlineStr">
        <is>
          <t>Choinowski</t>
        </is>
      </c>
      <c r="I180" s="29" t="inlineStr">
        <is>
          <t>CC BY-SA 4.0</t>
        </is>
      </c>
      <c r="J180" s="29" t="inlineStr">
        <is>
          <t>https://creativecommons.org/licenses/by-sa/4.0/</t>
        </is>
      </c>
      <c r="K180" s="29" t="inlineStr">
        <is>
          <t>https://commons.wikimedia.org/wiki/File:Blok_59_Eindhoven.jpg</t>
        </is>
      </c>
      <c r="L180" s="49" t="n">
        <v>44142</v>
      </c>
      <c r="M180" s="49" t="n">
        <v>46317</v>
      </c>
      <c r="N180" s="29" t="inlineStr">
        <is>
          <t>Wikimedia Commons'taki "Blok 59 Eindhoven.jpg" (3442×5163 px) özgün dosyasının 1280×1920 px küçültülmüş kopyası indirildi; kırpma, rötuş ve renk düzeltmesi yapılmadı.</t>
        </is>
      </c>
      <c r="O180" s="29" t="inlineStr">
        <is>
          <t>eindhoven:evidence:strijp-s-04</t>
        </is>
      </c>
      <c r="P180" s="29" t="inlineStr">
        <is>
          <t>Evet</t>
        </is>
      </c>
      <c r="Q180" s="51" t="n">
        <v>4</v>
      </c>
      <c r="R180" s="29" t="inlineStr">
        <is>
          <t>Taslak</t>
        </is>
      </c>
      <c r="S180" s="52">
        <f>IF(OR(A180="",F180="",C180&lt;&gt;"Mekân"),0,IF(COUNTIFS($F$8:F180,F180,$C$8:C180,"Mekân")=1,1,0))</f>
        <v/>
      </c>
      <c r="T180" s="52">
        <f>IF(OR(A180="",F180="",C180&lt;&gt;"Kapak"),0,IF(COUNTIFS($F$8:F180,F180,$C$8:C180,"Kapak")=1,1,0))</f>
        <v/>
      </c>
    </row>
    <row r="181" ht="54" customHeight="1">
      <c r="A181" s="29" t="inlineStr">
        <is>
          <t>eindhoven:photo:strijp-s-05</t>
        </is>
      </c>
      <c r="B181" s="29" t="inlineStr">
        <is>
          <t>eindhoven</t>
        </is>
      </c>
      <c r="C181" s="29" t="inlineStr">
        <is>
          <t>Mekân</t>
        </is>
      </c>
      <c r="D181" s="29" t="inlineStr">
        <is>
          <t>eindhoven:strijp-s</t>
        </is>
      </c>
      <c r="E181" s="29" t="inlineStr">
        <is>
          <t>Fotoğraflar/eindhoven_strijp-s_05.jpg</t>
        </is>
      </c>
      <c r="F181" s="29" t="inlineStr">
        <is>
          <t>465f39ca8eb7f98749519881818867476c27f833f7ff664741f15dc1c4aa8c31</t>
        </is>
      </c>
      <c r="G181" s="29" t="inlineStr">
        <is>
          <t>Dikey pencere şeritli koyu kırmızı tuğla bina; cephesinde dikey 'HET LIGT OP STRAAT' yazısı, zemin katta dükkânlar ve bank-masalar; arkada tepesi kırmızı yüksek bir ofis binası, önde kuru çimenli arsa.</t>
        </is>
      </c>
      <c r="H181" s="29" t="inlineStr">
        <is>
          <t>Steven Lek</t>
        </is>
      </c>
      <c r="I181" s="29" t="inlineStr">
        <is>
          <t>CC BY-SA 4.0</t>
        </is>
      </c>
      <c r="J181" s="29" t="inlineStr">
        <is>
          <t>https://creativecommons.org/licenses/by-sa/4.0/</t>
        </is>
      </c>
      <c r="K181" s="29" t="inlineStr">
        <is>
          <t>https://commons.wikimedia.org/wiki/File:Ingenieur_Kalffstraat_Torenallee_Eindhoven.jpg</t>
        </is>
      </c>
      <c r="L181" s="49" t="n">
        <v>43312</v>
      </c>
      <c r="M181" s="49" t="n">
        <v>46317</v>
      </c>
      <c r="N181" s="29" t="inlineStr">
        <is>
          <t>Wikimedia Commons'taki "Ingenieur Kalffstraat Torenallee Eindhoven.jpg" (4928×3264 px) özgün dosyasının 1280×848 px küçültülmüş kopyası indirildi; kırpma, rötuş ve renk düzeltmesi yapılmadı.</t>
        </is>
      </c>
      <c r="O181" s="29" t="inlineStr">
        <is>
          <t>eindhoven:evidence:strijp-s-05</t>
        </is>
      </c>
      <c r="P181" s="29" t="inlineStr">
        <is>
          <t>Evet</t>
        </is>
      </c>
      <c r="Q181" s="51" t="n">
        <v>5</v>
      </c>
      <c r="R181" s="29" t="inlineStr">
        <is>
          <t>Taslak</t>
        </is>
      </c>
      <c r="S181" s="52">
        <f>IF(OR(A181="",F181="",C181&lt;&gt;"Mekân"),0,IF(COUNTIFS($F$8:F181,F181,$C$8:C181,"Mekân")=1,1,0))</f>
        <v/>
      </c>
      <c r="T181" s="52">
        <f>IF(OR(A181="",F181="",C181&lt;&gt;"Kapak"),0,IF(COUNTIFS($F$8:F181,F181,$C$8:C181,"Kapak")=1,1,0))</f>
        <v/>
      </c>
    </row>
    <row r="182" ht="54" customHeight="1">
      <c r="A182" s="29" t="inlineStr">
        <is>
          <t>eindhoven:photo:philips-museum-04</t>
        </is>
      </c>
      <c r="B182" s="29" t="inlineStr">
        <is>
          <t>eindhoven</t>
        </is>
      </c>
      <c r="C182" s="29" t="inlineStr">
        <is>
          <t>Mekân</t>
        </is>
      </c>
      <c r="D182" s="29" t="inlineStr">
        <is>
          <t>eindhoven:philips-museum</t>
        </is>
      </c>
      <c r="E182" s="29" t="inlineStr">
        <is>
          <t>Fotoğraflar/eindhoven_philips-museum_04.jpg</t>
        </is>
      </c>
      <c r="F182" s="29" t="inlineStr">
        <is>
          <t>304cee99972bd12b23670cc6b3869f99c4c8b391ed535fbc649e4846d2ae4fcd</t>
        </is>
      </c>
      <c r="G182" s="29" t="inlineStr">
        <is>
          <t>Tuğla duvarlı, iki yüksek kemerli pencereli eski atölye düzeni: ahşap tezgâhlarda cam kavanozlar ve aletler, tavandan sarkan yeşil lambalar, sağda büyük beyaz bir rulo ve parke taşı zemin</t>
        </is>
      </c>
      <c r="H182" s="29" t="inlineStr">
        <is>
          <t>S. Perquin</t>
        </is>
      </c>
      <c r="I182" s="29" t="inlineStr">
        <is>
          <t>CC BY-SA 4.0</t>
        </is>
      </c>
      <c r="J182" s="29" t="inlineStr">
        <is>
          <t>https://creativecommons.org/licenses/by-sa/4.0/</t>
        </is>
      </c>
      <c r="K182" s="29" t="inlineStr">
        <is>
          <t>https://commons.wikimedia.org/wiki/File:Philips_Museum_werkplaats_(2025)_(1).jpg</t>
        </is>
      </c>
      <c r="L182" s="49" t="n">
        <v>45711</v>
      </c>
      <c r="M182" s="49" t="n">
        <v>46317</v>
      </c>
      <c r="N182" s="29" t="inlineStr">
        <is>
          <t>Wikimedia Commons'taki "Philips Museum werkplaats (2025) (1).jpg" (6000×4000 px) özgün dosyasının 1280×853 px küçültülmüş kopyası indirildi; kırpma, rötuş ve renk düzeltmesi yapılmadı.</t>
        </is>
      </c>
      <c r="O182" s="29" t="inlineStr">
        <is>
          <t>eindhoven:evidence:philips-museum-04</t>
        </is>
      </c>
      <c r="P182" s="29" t="inlineStr">
        <is>
          <t>Evet</t>
        </is>
      </c>
      <c r="Q182" s="51" t="n">
        <v>4</v>
      </c>
      <c r="R182" s="29" t="inlineStr">
        <is>
          <t>Taslak</t>
        </is>
      </c>
      <c r="S182" s="52">
        <f>IF(OR(A182="",F182="",C182&lt;&gt;"Mekân"),0,IF(COUNTIFS($F$8:F182,F182,$C$8:C182,"Mekân")=1,1,0))</f>
        <v/>
      </c>
      <c r="T182" s="52">
        <f>IF(OR(A182="",F182="",C182&lt;&gt;"Kapak"),0,IF(COUNTIFS($F$8:F182,F182,$C$8:C182,"Kapak")=1,1,0))</f>
        <v/>
      </c>
    </row>
    <row r="183" ht="54" customHeight="1">
      <c r="A183" s="29" t="inlineStr">
        <is>
          <t>eindhoven:photo:museumpark-vonk-prehistorisch-dorp-04</t>
        </is>
      </c>
      <c r="B183" s="29" t="inlineStr">
        <is>
          <t>eindhoven</t>
        </is>
      </c>
      <c r="C183" s="29" t="inlineStr">
        <is>
          <t>Mekân</t>
        </is>
      </c>
      <c r="D183" s="29" t="inlineStr">
        <is>
          <t>eindhoven:museumpark-vonk-prehistorisch-dorp</t>
        </is>
      </c>
      <c r="E183" s="29" t="inlineStr">
        <is>
          <t>Fotoğraflar/eindhoven_museumpark-vonk-prehistorisch-dorp_04.jpg</t>
        </is>
      </c>
      <c r="F183" s="29" t="inlineStr">
        <is>
          <t>859f8d30c03c9572d3b984e73d700f4becf6440faf4496b92e860e8b61abf6b6</t>
        </is>
      </c>
      <c r="G183" s="29" t="inlineStr">
        <is>
          <t>Toprak katmanlı cepheli, yeşil çatısına ortadaki merdivenle çıkılan müze binası; solda büyük pencere, sağda şemsiyeli teras; önde kumlu patika, su dolu hendek, kaya blokları, yere yatırılmış bir kütük ve bisikletler</t>
        </is>
      </c>
      <c r="H183" s="29" t="inlineStr">
        <is>
          <t>Sander Perquin</t>
        </is>
      </c>
      <c r="I183" s="29" t="inlineStr">
        <is>
          <t>CC BY 4.0</t>
        </is>
      </c>
      <c r="J183" s="29" t="inlineStr">
        <is>
          <t>https://creativecommons.org/licenses/by/4.0/</t>
        </is>
      </c>
      <c r="K183" s="29" t="inlineStr">
        <is>
          <t>https://commons.wikimedia.org/wiki/File:Gebouw_Museumpark_VONK_(2026)_(5).jpg</t>
        </is>
      </c>
      <c r="L183" s="49" t="n">
        <v>46221</v>
      </c>
      <c r="M183" s="49" t="n">
        <v>46317</v>
      </c>
      <c r="N183" s="29" t="inlineStr">
        <is>
          <t>Wikimedia Commons'taki "Gebouw Museumpark VONK (2026) (5).jpg" (6000×4000 px) özgün dosyasının 1280×853 px küçültülmüş kopyası indirildi; kırpma, rötuş ve renk düzeltmesi yapılmadı.</t>
        </is>
      </c>
      <c r="O183" s="29" t="inlineStr">
        <is>
          <t>eindhoven:evidence:museumpark-vonk-prehistorisch-dorp-04</t>
        </is>
      </c>
      <c r="P183" s="29" t="inlineStr">
        <is>
          <t>Evet</t>
        </is>
      </c>
      <c r="Q183" s="51" t="n">
        <v>4</v>
      </c>
      <c r="R183" s="29" t="inlineStr">
        <is>
          <t>Taslak</t>
        </is>
      </c>
      <c r="S183" s="52">
        <f>IF(OR(A183="",F183="",C183&lt;&gt;"Mekân"),0,IF(COUNTIFS($F$8:F183,F183,$C$8:C183,"Mekân")=1,1,0))</f>
        <v/>
      </c>
      <c r="T183" s="52">
        <f>IF(OR(A183="",F183="",C183&lt;&gt;"Kapak"),0,IF(COUNTIFS($F$8:F183,F183,$C$8:C183,"Kapak")=1,1,0))</f>
        <v/>
      </c>
    </row>
    <row r="184" ht="54" customHeight="1">
      <c r="A184" s="29" t="inlineStr">
        <is>
          <t>eindhoven:photo:museumpark-vonk-prehistorisch-dorp-05</t>
        </is>
      </c>
      <c r="B184" s="29" t="inlineStr">
        <is>
          <t>eindhoven</t>
        </is>
      </c>
      <c r="C184" s="29" t="inlineStr">
        <is>
          <t>Mekân</t>
        </is>
      </c>
      <c r="D184" s="29" t="inlineStr">
        <is>
          <t>eindhoven:museumpark-vonk-prehistorisch-dorp</t>
        </is>
      </c>
      <c r="E184" s="29" t="inlineStr">
        <is>
          <t>Fotoğraflar/eindhoven_museumpark-vonk-prehistorisch-dorp_05.jpg</t>
        </is>
      </c>
      <c r="F184" s="29" t="inlineStr">
        <is>
          <t>672d381dc3a518c7abbcf23282d7f6f8d2fa9e1ed5891f102843b7a8bbdee81d</t>
        </is>
      </c>
      <c r="G184" s="29" t="inlineStr">
        <is>
          <t>Karanlık salonun ortasında, insan ve hayvan siluetleri yansıtılan yuvarlak ışıklı ekran; çevredeki duvarlarda mızraklı tarih öncesi insanların beyaz siluetleri</t>
        </is>
      </c>
      <c r="H184" s="29" t="inlineStr">
        <is>
          <t>Sander Perquin</t>
        </is>
      </c>
      <c r="I184" s="29" t="inlineStr">
        <is>
          <t>CC BY 4.0</t>
        </is>
      </c>
      <c r="J184" s="29" t="inlineStr">
        <is>
          <t>https://creativecommons.org/licenses/by/4.0/</t>
        </is>
      </c>
      <c r="K184" s="29" t="inlineStr">
        <is>
          <t>https://commons.wikimedia.org/wiki/File:Introshow_Museumpark_VONK_(2026)_(1).jpg</t>
        </is>
      </c>
      <c r="L184" s="49" t="n">
        <v>46221</v>
      </c>
      <c r="M184" s="49" t="n">
        <v>46317</v>
      </c>
      <c r="N184" s="29" t="inlineStr">
        <is>
          <t>Wikimedia Commons'taki "Introshow Museumpark VONK (2026) (1).jpg" (4000×6000 px) özgün dosyasının 1280×1920 px küçültülmüş kopyası indirildi; kırpma, rötuş ve renk düzeltmesi yapılmadı.</t>
        </is>
      </c>
      <c r="O184" s="29" t="inlineStr">
        <is>
          <t>eindhoven:evidence:museumpark-vonk-prehistorisch-dorp-05</t>
        </is>
      </c>
      <c r="P184" s="29" t="inlineStr">
        <is>
          <t>Evet</t>
        </is>
      </c>
      <c r="Q184" s="51" t="n">
        <v>5</v>
      </c>
      <c r="R184" s="29" t="inlineStr">
        <is>
          <t>Taslak</t>
        </is>
      </c>
      <c r="S184" s="52">
        <f>IF(OR(A184="",F184="",C184&lt;&gt;"Mekân"),0,IF(COUNTIFS($F$8:F184,F184,$C$8:C184,"Mekân")=1,1,0))</f>
        <v/>
      </c>
      <c r="T184" s="52">
        <f>IF(OR(A184="",F184="",C184&lt;&gt;"Kapak"),0,IF(COUNTIFS($F$8:F184,F184,$C$8:C184,"Kapak")=1,1,0))</f>
        <v/>
      </c>
    </row>
    <row r="185" ht="54" customHeight="1">
      <c r="A185" s="29" t="inlineStr">
        <is>
          <t>eindhoven:photo:philips-stadion-psv-04</t>
        </is>
      </c>
      <c r="B185" s="29" t="inlineStr">
        <is>
          <t>eindhoven</t>
        </is>
      </c>
      <c r="C185" s="29" t="inlineStr">
        <is>
          <t>Mekân</t>
        </is>
      </c>
      <c r="D185" s="29" t="inlineStr">
        <is>
          <t>eindhoven:philips-stadion-psv</t>
        </is>
      </c>
      <c r="E185" s="29" t="inlineStr">
        <is>
          <t>Fotoğraflar/eindhoven_philips-stadion-psv_04.jpg</t>
        </is>
      </c>
      <c r="F185" s="29" t="inlineStr">
        <is>
          <t>7a587ba791e2907b0b0e02f19b88fc7c20d537ab4474073d0e28c661216fd10d</t>
        </is>
      </c>
      <c r="G185" s="29" t="inlineStr">
        <is>
          <t>Yakın açıdan stadyumun panjurlu yuvarlak köşe kulesi ve ona yaslanan beyaz çelik pilon; sağa uzanan kırmızı-beyaz şeritli cephe, önde demir korkuluk ve yapraklarını dökmüş bir ağaç</t>
        </is>
      </c>
      <c r="H185" s="29" t="inlineStr">
        <is>
          <t>Michielverbeek</t>
        </is>
      </c>
      <c r="I185" s="29" t="inlineStr">
        <is>
          <t>CC BY-SA 4.0</t>
        </is>
      </c>
      <c r="J185" s="29" t="inlineStr">
        <is>
          <t>https://creativecommons.org/licenses/by-sa/4.0/</t>
        </is>
      </c>
      <c r="K185" s="29" t="inlineStr">
        <is>
          <t>https://commons.wikimedia.org/wiki/File:Eindhoven,_het_Philips_Stadion_IMG_8630_2019-01-20_12.22.jpg</t>
        </is>
      </c>
      <c r="L185" s="49" t="n">
        <v>43485</v>
      </c>
      <c r="M185" s="49" t="n">
        <v>46317</v>
      </c>
      <c r="N185" s="29" t="inlineStr">
        <is>
          <t>Wikimedia Commons'taki "Eindhoven, het Philips Stadion IMG 8630 2019-01-20 12.22.jpg" (5331×3554 px) özgün dosyasının 1280×853 px küçültülmüş kopyası indirildi; kırpma, rötuş ve renk düzeltmesi yapılmadı.</t>
        </is>
      </c>
      <c r="O185" s="29" t="inlineStr">
        <is>
          <t>eindhoven:evidence:philips-stadion-psv-04</t>
        </is>
      </c>
      <c r="P185" s="29" t="inlineStr">
        <is>
          <t>Evet</t>
        </is>
      </c>
      <c r="Q185" s="51" t="n">
        <v>4</v>
      </c>
      <c r="R185" s="29" t="inlineStr">
        <is>
          <t>Taslak</t>
        </is>
      </c>
      <c r="S185" s="52">
        <f>IF(OR(A185="",F185="",C185&lt;&gt;"Mekân"),0,IF(COUNTIFS($F$8:F185,F185,$C$8:C185,"Mekân")=1,1,0))</f>
        <v/>
      </c>
      <c r="T185" s="52">
        <f>IF(OR(A185="",F185="",C185&lt;&gt;"Kapak"),0,IF(COUNTIFS($F$8:F185,F185,$C$8:C185,"Kapak")=1,1,0))</f>
        <v/>
      </c>
    </row>
    <row r="186" ht="54" customHeight="1">
      <c r="A186" s="29" t="inlineStr">
        <is>
          <t>eindhoven:photo:genneper-parken-03</t>
        </is>
      </c>
      <c r="B186" s="29" t="inlineStr">
        <is>
          <t>eindhoven</t>
        </is>
      </c>
      <c r="C186" s="29" t="inlineStr">
        <is>
          <t>Mekân</t>
        </is>
      </c>
      <c r="D186" s="29" t="inlineStr">
        <is>
          <t>eindhoven:genneper-parken</t>
        </is>
      </c>
      <c r="E186" s="29" t="inlineStr">
        <is>
          <t>Fotoğraflar/eindhoven_genneper-parken_03.jpg</t>
        </is>
      </c>
      <c r="F186" s="29" t="inlineStr">
        <is>
          <t>d0c323bc8232086ea008e11658034f62384b8af1efed7612d8b0cbef39edc183</t>
        </is>
      </c>
      <c r="G186" s="29" t="inlineStr">
        <is>
          <t>Uzun kavakların sıralandığı toprak yolda sırtı dönük bir bisikletli ve uzakta yürüyüşçüler; sağda hendek ve çimenliğin ardında kırmızı kiremit çatılı tuğla bir ev</t>
        </is>
      </c>
      <c r="H186" s="29" t="inlineStr">
        <is>
          <t>Rosemoon</t>
        </is>
      </c>
      <c r="I186" s="29" t="inlineStr">
        <is>
          <t>CC BY-SA 3.0</t>
        </is>
      </c>
      <c r="J186" s="29" t="inlineStr">
        <is>
          <t>https://creativecommons.org/licenses/by-sa/3.0/</t>
        </is>
      </c>
      <c r="K186" s="29" t="inlineStr">
        <is>
          <t>https://commons.wikimedia.org/wiki/File:Genneperweg,_Eindhoven.JPG</t>
        </is>
      </c>
      <c r="L186" s="49" t="n">
        <v>41381</v>
      </c>
      <c r="M186" s="49" t="n">
        <v>46317</v>
      </c>
      <c r="N186" s="29" t="inlineStr">
        <is>
          <t>Wikimedia Commons'taki "Genneperweg, Eindhoven.JPG" (4320×3240 px) özgün dosyasının 1280×960 px küçültülmüş kopyası indirildi; kırpma, rötuş ve renk düzeltmesi yapılmadı.</t>
        </is>
      </c>
      <c r="O186" s="29" t="inlineStr">
        <is>
          <t>eindhoven:evidence:genneper-parken-03</t>
        </is>
      </c>
      <c r="P186" s="29" t="inlineStr">
        <is>
          <t>Evet</t>
        </is>
      </c>
      <c r="Q186" s="51" t="n">
        <v>3</v>
      </c>
      <c r="R186" s="29" t="inlineStr">
        <is>
          <t>Taslak</t>
        </is>
      </c>
      <c r="S186" s="52">
        <f>IF(OR(A186="",F186="",C186&lt;&gt;"Mekân"),0,IF(COUNTIFS($F$8:F186,F186,$C$8:C186,"Mekân")=1,1,0))</f>
        <v/>
      </c>
      <c r="T186" s="52">
        <f>IF(OR(A186="",F186="",C186&lt;&gt;"Kapak"),0,IF(COUNTIFS($F$8:F186,F186,$C$8:C186,"Kapak")=1,1,0))</f>
        <v/>
      </c>
    </row>
    <row r="187" ht="54" customHeight="1">
      <c r="A187" s="29" t="inlineStr">
        <is>
          <t>eindhoven:photo:stadswandelpark-05</t>
        </is>
      </c>
      <c r="B187" s="29" t="inlineStr">
        <is>
          <t>eindhoven</t>
        </is>
      </c>
      <c r="C187" s="29" t="inlineStr">
        <is>
          <t>Mekân</t>
        </is>
      </c>
      <c r="D187" s="29" t="inlineStr">
        <is>
          <t>eindhoven:stadswandelpark</t>
        </is>
      </c>
      <c r="E187" s="29" t="inlineStr">
        <is>
          <t>Fotoğraflar/eindhoven_stadswandelpark_05.jpg</t>
        </is>
      </c>
      <c r="F187" s="29" t="inlineStr">
        <is>
          <t>f59a6e7ae5a1dabfcc5ea5e5fa55091ac714d82fe98bc1f70db0ee9adbbaa71a</t>
        </is>
      </c>
      <c r="G187" s="29" t="inlineStr">
        <is>
          <t>Çimenlik ve yuvarlak çalılar arasında kıyısı sazlı bir su yolu; uzakta suyun üzerinde yeşil korkuluklu beyaz bir yaya köprüsü, solda ince gövdeli huş ağaçları</t>
        </is>
      </c>
      <c r="H187" s="29" t="inlineStr">
        <is>
          <t>Ralf Roletschek</t>
        </is>
      </c>
      <c r="I187" s="29" t="inlineStr">
        <is>
          <t>CC BY 3.0</t>
        </is>
      </c>
      <c r="J187" s="29" t="inlineStr">
        <is>
          <t>https://creativecommons.org/licenses/by/3.0/</t>
        </is>
      </c>
      <c r="K187" s="29" t="inlineStr">
        <is>
          <t>https://commons.wikimedia.org/wiki/File:13-06-29-eindhoven-50mm-56.jpg</t>
        </is>
      </c>
      <c r="L187" s="49" t="n">
        <v>41454</v>
      </c>
      <c r="M187" s="49" t="n">
        <v>46317</v>
      </c>
      <c r="N187" s="29" t="inlineStr">
        <is>
          <t>Wikimedia Commons'taki "13-06-29-eindhoven-50mm-56.jpg" (4288×2848 px) özgün dosyasının 1280×850 px küçültülmüş kopyası indirildi; kırpma, rötuş ve renk düzeltmesi yapılmadı.</t>
        </is>
      </c>
      <c r="O187" s="29" t="inlineStr">
        <is>
          <t>eindhoven:evidence:stadswandelpark-05</t>
        </is>
      </c>
      <c r="P187" s="29" t="inlineStr">
        <is>
          <t>Evet</t>
        </is>
      </c>
      <c r="Q187" s="51" t="n">
        <v>5</v>
      </c>
      <c r="R187" s="29" t="inlineStr">
        <is>
          <t>Taslak</t>
        </is>
      </c>
      <c r="S187" s="52">
        <f>IF(OR(A187="",F187="",C187&lt;&gt;"Mekân"),0,IF(COUNTIFS($F$8:F187,F187,$C$8:C187,"Mekân")=1,1,0))</f>
        <v/>
      </c>
      <c r="T187" s="52">
        <f>IF(OR(A187="",F187="",C187&lt;&gt;"Kapak"),0,IF(COUNTIFS($F$8:F187,F187,$C$8:C187,"Kapak")=1,1,0))</f>
        <v/>
      </c>
    </row>
    <row r="188" ht="54" customHeight="1">
      <c r="A188" s="29" t="inlineStr">
        <is>
          <t>eindhoven:photo:henri-dunantpark-05</t>
        </is>
      </c>
      <c r="B188" s="29" t="inlineStr">
        <is>
          <t>eindhoven</t>
        </is>
      </c>
      <c r="C188" s="29" t="inlineStr">
        <is>
          <t>Mekân</t>
        </is>
      </c>
      <c r="D188" s="29" t="inlineStr">
        <is>
          <t>eindhoven:henri-dunantpark</t>
        </is>
      </c>
      <c r="E188" s="29" t="inlineStr">
        <is>
          <t>Fotoğraflar/eindhoven_henri-dunantpark_05.jpg</t>
        </is>
      </c>
      <c r="F188" s="29" t="inlineStr">
        <is>
          <t>94f430e8508b4791132871c212b3ade9f9c031769592b7b60cc463afb8a3e5c9</t>
        </is>
      </c>
      <c r="G188" s="29" t="inlineStr">
        <is>
          <t>Yüksek ağaçların gölgesinde kumlu bir oyun alanı: krem renkli bez gölgeliğin altında ahşap platformlar ve rampa, solda turuncu kaydırak ve yuva salıncak, sağda koyu renk ahşap bir kulübe; üstte uzanan renkli bayrak ipleri</t>
        </is>
      </c>
      <c r="H188" s="29" t="inlineStr">
        <is>
          <t>S. Perquin</t>
        </is>
      </c>
      <c r="I188" s="29" t="inlineStr">
        <is>
          <t>CC BY-SA 4.0</t>
        </is>
      </c>
      <c r="J188" s="29" t="inlineStr">
        <is>
          <t>https://creativecommons.org/licenses/by-sa/4.0/</t>
        </is>
      </c>
      <c r="K188" s="29" t="inlineStr">
        <is>
          <t>https://commons.wikimedia.org/wiki/File:Speelpark_De_Splinter_(2025)_(44).jpg</t>
        </is>
      </c>
      <c r="L188" s="49" t="n">
        <v>45793</v>
      </c>
      <c r="M188" s="49" t="n">
        <v>46317</v>
      </c>
      <c r="N188" s="29" t="inlineStr">
        <is>
          <t>Wikimedia Commons'taki "Speelpark De Splinter (2025) (44).jpg" (5889×3926 px) özgün dosyasının 1280×853 px küçültülmüş kopyası indirildi; kırpma, rötuş ve renk düzeltmesi yapılmadı.</t>
        </is>
      </c>
      <c r="O188" s="29" t="inlineStr">
        <is>
          <t>eindhoven:evidence:henri-dunantpark-05</t>
        </is>
      </c>
      <c r="P188" s="29" t="inlineStr">
        <is>
          <t>Evet</t>
        </is>
      </c>
      <c r="Q188" s="51" t="n">
        <v>5</v>
      </c>
      <c r="R188" s="29" t="inlineStr">
        <is>
          <t>Taslak</t>
        </is>
      </c>
      <c r="S188" s="52">
        <f>IF(OR(A188="",F188="",C188&lt;&gt;"Mekân"),0,IF(COUNTIFS($F$8:F188,F188,$C$8:C188,"Mekân")=1,1,0))</f>
        <v/>
      </c>
      <c r="T188" s="52">
        <f>IF(OR(A188="",F188="",C188&lt;&gt;"Kapak"),0,IF(COUNTIFS($F$8:F188,F188,$C$8:C188,"Kapak")=1,1,0))</f>
        <v/>
      </c>
    </row>
    <row r="189" ht="54" customHeight="1">
      <c r="A189" s="29" t="inlineStr">
        <is>
          <t>eindhoven:photo:speelpark-de-splinter-05</t>
        </is>
      </c>
      <c r="B189" s="29" t="inlineStr">
        <is>
          <t>eindhoven</t>
        </is>
      </c>
      <c r="C189" s="29" t="inlineStr">
        <is>
          <t>Mekân</t>
        </is>
      </c>
      <c r="D189" s="29" t="inlineStr">
        <is>
          <t>eindhoven:speelpark-de-splinter</t>
        </is>
      </c>
      <c r="E189" s="29" t="inlineStr">
        <is>
          <t>Fotoğraflar/eindhoven_speelpark-de-splinter_05.jpg</t>
        </is>
      </c>
      <c r="F189" s="29" t="inlineStr">
        <is>
          <t>f75dc41dc3b48caaecf424939a3b90a59e9278c8735114b10ae8b64f98378b0e</t>
        </is>
      </c>
      <c r="G189" s="29" t="inlineStr">
        <is>
          <t>Yeşil ağaçlarla çevrili küçük bir gölet; karşı kıyıdaki kumlukta direkler üzerinde yükselen sivri çatılı ahşap oyun kulesi, su kenarında yüksek ahşap direkler; solda suya uzanan ahşap iskele, kıyıda sazlar ve önde kumluk</t>
        </is>
      </c>
      <c r="H189" s="29" t="inlineStr">
        <is>
          <t>S. Perquin</t>
        </is>
      </c>
      <c r="I189" s="29" t="inlineStr">
        <is>
          <t>CC BY-SA 4.0</t>
        </is>
      </c>
      <c r="J189" s="29" t="inlineStr">
        <is>
          <t>https://creativecommons.org/licenses/by-sa/4.0/</t>
        </is>
      </c>
      <c r="K189" s="29" t="inlineStr">
        <is>
          <t>https://commons.wikimedia.org/wiki/File:Speelpark_De_Splinter_(2025)_(14).jpg</t>
        </is>
      </c>
      <c r="L189" s="49" t="n">
        <v>45793</v>
      </c>
      <c r="M189" s="49" t="n">
        <v>46317</v>
      </c>
      <c r="N189" s="29" t="inlineStr">
        <is>
          <t>Wikimedia Commons'taki "Speelpark De Splinter (2025) (14).jpg" (6000×4000 px) özgün dosyasının 1280×853 px küçültülmüş kopyası indirildi; kırpma, rötuş ve renk düzeltmesi yapılmadı.</t>
        </is>
      </c>
      <c r="O189" s="29" t="inlineStr">
        <is>
          <t>eindhoven:evidence:speelpark-de-splinter-05</t>
        </is>
      </c>
      <c r="P189" s="29" t="inlineStr">
        <is>
          <t>Evet</t>
        </is>
      </c>
      <c r="Q189" s="51" t="n">
        <v>5</v>
      </c>
      <c r="R189" s="29" t="inlineStr">
        <is>
          <t>Taslak</t>
        </is>
      </c>
      <c r="S189" s="52">
        <f>IF(OR(A189="",F189="",C189&lt;&gt;"Mekân"),0,IF(COUNTIFS($F$8:F189,F189,$C$8:C189,"Mekân")=1,1,0))</f>
        <v/>
      </c>
      <c r="T189" s="52">
        <f>IF(OR(A189="",F189="",C189&lt;&gt;"Kapak"),0,IF(COUNTIFS($F$8:F189,F189,$C$8:C189,"Kapak")=1,1,0))</f>
        <v/>
      </c>
    </row>
    <row r="190" ht="54" customHeight="1">
      <c r="A190" s="29" t="inlineStr">
        <is>
          <t>eindhoven:photo:stratumseind-04</t>
        </is>
      </c>
      <c r="B190" s="29" t="inlineStr">
        <is>
          <t>eindhoven</t>
        </is>
      </c>
      <c r="C190" s="29" t="inlineStr">
        <is>
          <t>Mekân</t>
        </is>
      </c>
      <c r="D190" s="29" t="inlineStr">
        <is>
          <t>eindhoven:stratumseind</t>
        </is>
      </c>
      <c r="E190" s="29" t="inlineStr">
        <is>
          <t>Fotoğraflar/eindhoven_stratumseind_04.jpg</t>
        </is>
      </c>
      <c r="F190" s="29" t="inlineStr">
        <is>
          <t>dfd6c1547a5f00fc11498da915194fadc63875124b82478f499fa8051f7af016</t>
        </is>
      </c>
      <c r="G190" s="29" t="inlineStr">
        <is>
          <t>Üst kat pencerelerinde koyu yeşil tenteler bulunan krem cepheli iki katlı bar; kırmızı harfli tabelası, mavi ışıklı vitrinleri ve beyaz kapısı; önde eski tip sokak lambası, ona dayalı bisiklet ve sağda koyu gri bir bar cephesi</t>
        </is>
      </c>
      <c r="H190" s="29" t="inlineStr">
        <is>
          <t>Rosemoon</t>
        </is>
      </c>
      <c r="I190" s="29" t="inlineStr">
        <is>
          <t>CC BY-SA 3.0</t>
        </is>
      </c>
      <c r="J190" s="29" t="inlineStr">
        <is>
          <t>https://creativecommons.org/licenses/by-sa/3.0/</t>
        </is>
      </c>
      <c r="K190" s="29" t="inlineStr">
        <is>
          <t>https://commons.wikimedia.org/wiki/File:Stratumseind_20,_Eindhoven.JPG</t>
        </is>
      </c>
      <c r="L190" s="49" t="n">
        <v>41385</v>
      </c>
      <c r="M190" s="49" t="n">
        <v>46317</v>
      </c>
      <c r="N190" s="29" t="inlineStr">
        <is>
          <t>Wikimedia Commons'taki "Stratumseind 20, Eindhoven.JPG" (3240×4320 px) özgün dosyasının 1280×1707 px küçültülmüş kopyası indirildi; kırpma, rötuş ve renk düzeltmesi yapılmadı.</t>
        </is>
      </c>
      <c r="O190" s="29" t="inlineStr">
        <is>
          <t>eindhoven:evidence:stratumseind-04</t>
        </is>
      </c>
      <c r="P190" s="29" t="inlineStr">
        <is>
          <t>Evet</t>
        </is>
      </c>
      <c r="Q190" s="51" t="n">
        <v>4</v>
      </c>
      <c r="R190" s="29" t="inlineStr">
        <is>
          <t>Taslak</t>
        </is>
      </c>
      <c r="S190" s="52">
        <f>IF(OR(A190="",F190="",C190&lt;&gt;"Mekân"),0,IF(COUNTIFS($F$8:F190,F190,$C$8:C190,"Mekân")=1,1,0))</f>
        <v/>
      </c>
      <c r="T190" s="52">
        <f>IF(OR(A190="",F190="",C190&lt;&gt;"Kapak"),0,IF(COUNTIFS($F$8:F190,F190,$C$8:C190,"Kapak")=1,1,0))</f>
        <v/>
      </c>
    </row>
    <row r="191" ht="54" customHeight="1">
      <c r="A191" s="29" t="inlineStr">
        <is>
          <t>eindhoven:photo:stratumseind-05</t>
        </is>
      </c>
      <c r="B191" s="29" t="inlineStr">
        <is>
          <t>eindhoven</t>
        </is>
      </c>
      <c r="C191" s="29" t="inlineStr">
        <is>
          <t>Mekân</t>
        </is>
      </c>
      <c r="D191" s="29" t="inlineStr">
        <is>
          <t>eindhoven:stratumseind</t>
        </is>
      </c>
      <c r="E191" s="29" t="inlineStr">
        <is>
          <t>Fotoğraflar/eindhoven_stratumseind_05.jpg</t>
        </is>
      </c>
      <c r="F191" s="29" t="inlineStr">
        <is>
          <t>9017be2cb814b3feee2c683225bcca09d6358094edb671dc48a065ad4a67367b</t>
        </is>
      </c>
      <c r="G191" s="29" t="inlineStr">
        <is>
          <t>Lacivert panjurlu ve çatı pencereli krem renkli bina ile solunda basamaklı tuğla alınlıklı komşusu; zemin kattaki lacivert bar cephesinin pencere altlarında sıra sıra ülke bayrakları, duvar fenerleri ve bir bisiklet</t>
        </is>
      </c>
      <c r="H191" s="29" t="inlineStr">
        <is>
          <t>Rosemoon</t>
        </is>
      </c>
      <c r="I191" s="29" t="inlineStr">
        <is>
          <t>CC BY-SA 3.0</t>
        </is>
      </c>
      <c r="J191" s="29" t="inlineStr">
        <is>
          <t>https://creativecommons.org/licenses/by-sa/3.0/</t>
        </is>
      </c>
      <c r="K191" s="29" t="inlineStr">
        <is>
          <t>https://commons.wikimedia.org/wiki/File:Stratumseind_22,_Eindhoven.JPG</t>
        </is>
      </c>
      <c r="L191" s="49" t="n">
        <v>41385</v>
      </c>
      <c r="M191" s="49" t="n">
        <v>46317</v>
      </c>
      <c r="N191" s="29" t="inlineStr">
        <is>
          <t>Wikimedia Commons'taki "Stratumseind 22, Eindhoven.JPG" (3240×4320 px) özgün dosyasının 1280×1707 px küçültülmüş kopyası indirildi; kırpma, rötuş ve renk düzeltmesi yapılmadı.</t>
        </is>
      </c>
      <c r="O191" s="29" t="inlineStr">
        <is>
          <t>eindhoven:evidence:stratumseind-05</t>
        </is>
      </c>
      <c r="P191" s="29" t="inlineStr">
        <is>
          <t>Evet</t>
        </is>
      </c>
      <c r="Q191" s="51" t="n">
        <v>5</v>
      </c>
      <c r="R191" s="29" t="inlineStr">
        <is>
          <t>Taslak</t>
        </is>
      </c>
      <c r="S191" s="52">
        <f>IF(OR(A191="",F191="",C191&lt;&gt;"Mekân"),0,IF(COUNTIFS($F$8:F191,F191,$C$8:C191,"Mekân")=1,1,0))</f>
        <v/>
      </c>
      <c r="T191" s="52">
        <f>IF(OR(A191="",F191="",C191&lt;&gt;"Kapak"),0,IF(COUNTIFS($F$8:F191,F191,$C$8:C191,"Kapak")=1,1,0))</f>
        <v/>
      </c>
    </row>
    <row r="192" ht="54" customHeight="1">
      <c r="A192" s="29" t="inlineStr">
        <is>
          <t>eindhoven:photo:sint-catharinakerk-05</t>
        </is>
      </c>
      <c r="B192" s="29" t="inlineStr">
        <is>
          <t>eindhoven</t>
        </is>
      </c>
      <c r="C192" s="29" t="inlineStr">
        <is>
          <t>Mekân</t>
        </is>
      </c>
      <c r="D192" s="29" t="inlineStr">
        <is>
          <t>eindhoven:sint-catharinakerk</t>
        </is>
      </c>
      <c r="E192" s="29" t="inlineStr">
        <is>
          <t>Fotoğraflar/eindhoven_sint-catharinakerk_05.jpg</t>
        </is>
      </c>
      <c r="F192" s="29" t="inlineStr">
        <is>
          <t>bc109848db5758c3c7149dbd7bae090cc772cf555fd96ff18e9f9a095d96eeb9</t>
        </is>
      </c>
      <c r="G192" s="29" t="inlineStr">
        <is>
          <t>Kırmızımsı tuğla cephede sivri kemerli taş çerçeve içinde gül pencere; altında, ortadaki taş payede küçük bir heykel bulunan iki kanatlı yeşil ahşap kapı; iki yanda kısmen görünen sivri kemerli yan kapılar</t>
        </is>
      </c>
      <c r="H192" s="29" t="inlineStr">
        <is>
          <t>Ben Bender</t>
        </is>
      </c>
      <c r="I192" s="29" t="inlineStr">
        <is>
          <t>CC BY-SA 3.0</t>
        </is>
      </c>
      <c r="J192" s="29" t="inlineStr">
        <is>
          <t>https://creativecommons.org/licenses/by-sa/3.0/</t>
        </is>
      </c>
      <c r="K192" s="29" t="inlineStr">
        <is>
          <t>https://commons.wikimedia.org/wiki/File:Binnenstad,_5611_Eindhoven,_Netherlands_-_panoramio_(21).jpg</t>
        </is>
      </c>
      <c r="L192" s="49" t="n"/>
      <c r="M192" s="49" t="n">
        <v>46317</v>
      </c>
      <c r="N192" s="29" t="inlineStr">
        <is>
          <t>Wikimedia Commons'taki "Binnenstad, 5611 Eindhoven, Netherlands - panoramio (21).jpg" (2048×1148 px) özgün dosyasının 1280×717 px küçültülmüş kopyası indirildi; kırpma, rötuş ve renk düzeltmesi yapılmadı.</t>
        </is>
      </c>
      <c r="O192" s="29" t="inlineStr">
        <is>
          <t>eindhoven:evidence:sint-catharinakerk-05</t>
        </is>
      </c>
      <c r="P192" s="29" t="inlineStr">
        <is>
          <t>Evet</t>
        </is>
      </c>
      <c r="Q192" s="51" t="n">
        <v>5</v>
      </c>
      <c r="R192" s="29" t="inlineStr">
        <is>
          <t>Taslak</t>
        </is>
      </c>
      <c r="S192" s="52">
        <f>IF(OR(A192="",F192="",C192&lt;&gt;"Mekân"),0,IF(COUNTIFS($F$8:F192,F192,$C$8:C192,"Mekân")=1,1,0))</f>
        <v/>
      </c>
      <c r="T192" s="52">
        <f>IF(OR(A192="",F192="",C192&lt;&gt;"Kapak"),0,IF(COUNTIFS($F$8:F192,F192,$C$8:C192,"Kapak")=1,1,0))</f>
        <v/>
      </c>
    </row>
    <row r="193" ht="54" customHeight="1">
      <c r="A193" s="29" t="inlineStr">
        <is>
          <t>eindhoven:photo:klokgebouw-04</t>
        </is>
      </c>
      <c r="B193" s="29" t="inlineStr">
        <is>
          <t>eindhoven</t>
        </is>
      </c>
      <c r="C193" s="29" t="inlineStr">
        <is>
          <t>Mekân</t>
        </is>
      </c>
      <c r="D193" s="29" t="inlineStr">
        <is>
          <t>eindhoven:klokgebouw</t>
        </is>
      </c>
      <c r="E193" s="29" t="inlineStr">
        <is>
          <t>Fotoğraflar/eindhoven_klokgebouw_04.jpg</t>
        </is>
      </c>
      <c r="F193" s="29" t="inlineStr">
        <is>
          <t>35d72421dc5459715a88c9c512774edfdd01be8ac2be647095474b05c1a1d362</t>
        </is>
      </c>
      <c r="G193" s="29" t="inlineStr">
        <is>
          <t>Kulenin tepesinde, rakamların yerine mavi yuvarlaklar içinde harflerin dizildiği büyük beyaz saat kadranı ve mavi akrep-yelkovan; arkada ızgara desenli cephe ve korkuluk, üstte mavi bir dikme ve bulutlu gökyüzü</t>
        </is>
      </c>
      <c r="H193" s="29" t="inlineStr">
        <is>
          <t>Steven Lek</t>
        </is>
      </c>
      <c r="I193" s="29" t="inlineStr">
        <is>
          <t>CC BY-SA 4.0</t>
        </is>
      </c>
      <c r="J193" s="29" t="inlineStr">
        <is>
          <t>https://creativecommons.org/licenses/by-sa/4.0/</t>
        </is>
      </c>
      <c r="K193" s="29" t="inlineStr">
        <is>
          <t>https://commons.wikimedia.org/wiki/File:Klokgebouw_Philips_Strijp-S_3.jpg</t>
        </is>
      </c>
      <c r="L193" s="49" t="n">
        <v>43312</v>
      </c>
      <c r="M193" s="49" t="n">
        <v>46317</v>
      </c>
      <c r="N193" s="29" t="inlineStr">
        <is>
          <t>Wikimedia Commons'taki "Klokgebouw Philips Strijp-S 3.jpg" (4928×3264 px) özgün dosyasının 1280×848 px küçültülmüş kopyası indirildi; kırpma, rötuş ve renk düzeltmesi yapılmadı.</t>
        </is>
      </c>
      <c r="O193" s="29" t="inlineStr">
        <is>
          <t>eindhoven:evidence:klokgebouw-04</t>
        </is>
      </c>
      <c r="P193" s="29" t="inlineStr">
        <is>
          <t>Evet</t>
        </is>
      </c>
      <c r="Q193" s="51" t="n">
        <v>4</v>
      </c>
      <c r="R193" s="29" t="inlineStr">
        <is>
          <t>Taslak</t>
        </is>
      </c>
      <c r="S193" s="52">
        <f>IF(OR(A193="",F193="",C193&lt;&gt;"Mekân"),0,IF(COUNTIFS($F$8:F193,F193,$C$8:C193,"Mekân")=1,1,0))</f>
        <v/>
      </c>
      <c r="T193" s="52">
        <f>IF(OR(A193="",F193="",C193&lt;&gt;"Kapak"),0,IF(COUNTIFS($F$8:F193,F193,$C$8:C193,"Kapak")=1,1,0))</f>
        <v/>
      </c>
    </row>
    <row r="194" ht="54" customHeight="1">
      <c r="A194" s="29" t="inlineStr">
        <is>
          <t>eindhoven:photo:genneper-watermolen-04</t>
        </is>
      </c>
      <c r="B194" s="29" t="inlineStr">
        <is>
          <t>eindhoven</t>
        </is>
      </c>
      <c r="C194" s="29" t="inlineStr">
        <is>
          <t>Mekân</t>
        </is>
      </c>
      <c r="D194" s="29" t="inlineStr">
        <is>
          <t>eindhoven:genneper-watermolen</t>
        </is>
      </c>
      <c r="E194" s="29" t="inlineStr">
        <is>
          <t>Fotoğraflar/eindhoven_genneper-watermolen_04.jpg</t>
        </is>
      </c>
      <c r="F194" s="29" t="inlineStr">
        <is>
          <t>4052475b477518b7c8beed836ed85650f2156efb57dde0986ea8e12ac31e43ca</t>
        </is>
      </c>
      <c r="G194" s="29" t="inlineStr">
        <is>
          <t>Siyah ahşap değirmen duvarına bitişik, kalın ahşap kollu büyük su çarkı ve ona su taşıyan ahşap oluk; önde ahşap kirişler ve korkuluk, üstte yosun tutmuş kiremit çatı</t>
        </is>
      </c>
      <c r="H194" s="29" t="inlineStr">
        <is>
          <t>Wammes Waggel</t>
        </is>
      </c>
      <c r="I194" s="29" t="inlineStr">
        <is>
          <t>CC BY-SA 3.0</t>
        </is>
      </c>
      <c r="J194" s="29" t="inlineStr">
        <is>
          <t>https://creativecommons.org/licenses/by-sa/3.0/</t>
        </is>
      </c>
      <c r="K194" s="29" t="inlineStr">
        <is>
          <t>https://commons.wikimedia.org/wiki/File:Gennepermolen-2.jpg</t>
        </is>
      </c>
      <c r="L194" s="49" t="n"/>
      <c r="M194" s="49" t="n">
        <v>46317</v>
      </c>
      <c r="N194" s="29" t="inlineStr">
        <is>
          <t>Wikimedia Commons'taki "Gennepermolen-2.jpg" (3008×2000 px) özgün dosyasının 1280×851 px küçültülmüş kopyası indirildi; kırpma, rötuş ve renk düzeltmesi yapılmadı.</t>
        </is>
      </c>
      <c r="O194" s="29" t="inlineStr">
        <is>
          <t>eindhoven:evidence:genneper-watermolen-04</t>
        </is>
      </c>
      <c r="P194" s="29" t="inlineStr">
        <is>
          <t>Evet</t>
        </is>
      </c>
      <c r="Q194" s="51" t="n">
        <v>4</v>
      </c>
      <c r="R194" s="29" t="inlineStr">
        <is>
          <t>Taslak</t>
        </is>
      </c>
      <c r="S194" s="52">
        <f>IF(OR(A194="",F194="",C194&lt;&gt;"Mekân"),0,IF(COUNTIFS($F$8:F194,F194,$C$8:C194,"Mekân")=1,1,0))</f>
        <v/>
      </c>
      <c r="T194" s="52">
        <f>IF(OR(A194="",F194="",C194&lt;&gt;"Kapak"),0,IF(COUNTIFS($F$8:F194,F194,$C$8:C194,"Kapak")=1,1,0))</f>
        <v/>
      </c>
    </row>
    <row r="195" ht="54" customHeight="1">
      <c r="A195" s="29" t="inlineStr">
        <is>
          <t>eindhoven:photo:genneper-watermolen-05</t>
        </is>
      </c>
      <c r="B195" s="29" t="inlineStr">
        <is>
          <t>eindhoven</t>
        </is>
      </c>
      <c r="C195" s="29" t="inlineStr">
        <is>
          <t>Mekân</t>
        </is>
      </c>
      <c r="D195" s="29" t="inlineStr">
        <is>
          <t>eindhoven:genneper-watermolen</t>
        </is>
      </c>
      <c r="E195" s="29" t="inlineStr">
        <is>
          <t>Fotoğraflar/eindhoven_genneper-watermolen_05.jpg</t>
        </is>
      </c>
      <c r="F195" s="29" t="inlineStr">
        <is>
          <t>20d1fc9b47730f4140891f0981247aab4817d4641da2147fcf13e3115a3231b8</t>
        </is>
      </c>
      <c r="G195" s="29" t="inlineStr">
        <is>
          <t>Derenin karşı kıyısından görülen siyah ahşap değirmen binası; önde kemerli su geçidi olan alçak beton köprü, durgun su ve kıyıda ördekler, çevrede yapraksız ağaçlar ve evler</t>
        </is>
      </c>
      <c r="H195" s="29" t="inlineStr">
        <is>
          <t>Rosemoon</t>
        </is>
      </c>
      <c r="I195" s="29" t="inlineStr">
        <is>
          <t>CC BY-SA 3.0</t>
        </is>
      </c>
      <c r="J195" s="29" t="inlineStr">
        <is>
          <t>https://creativecommons.org/licenses/by-sa/3.0/</t>
        </is>
      </c>
      <c r="K195" s="29" t="inlineStr">
        <is>
          <t>https://commons.wikimedia.org/wiki/File:Molenbeek_Dommel_bij_Genneper_Watermolen_Eindhoven.JPG</t>
        </is>
      </c>
      <c r="L195" s="49" t="n">
        <v>41339</v>
      </c>
      <c r="M195" s="49" t="n">
        <v>46317</v>
      </c>
      <c r="N195" s="29" t="inlineStr">
        <is>
          <t>Wikimedia Commons'taki "Molenbeek Dommel bij Genneper Watermolen Eindhoven.JPG" (4320×3240 px) özgün dosyasının 1280×960 px küçültülmüş kopyası indirildi; kırpma, rötuş ve renk düzeltmesi yapılmadı.</t>
        </is>
      </c>
      <c r="O195" s="29" t="inlineStr">
        <is>
          <t>eindhoven:evidence:genneper-watermolen-05</t>
        </is>
      </c>
      <c r="P195" s="29" t="inlineStr">
        <is>
          <t>Evet</t>
        </is>
      </c>
      <c r="Q195" s="51" t="n">
        <v>5</v>
      </c>
      <c r="R195" s="29" t="inlineStr">
        <is>
          <t>Taslak</t>
        </is>
      </c>
      <c r="S195" s="52">
        <f>IF(OR(A195="",F195="",C195&lt;&gt;"Mekân"),0,IF(COUNTIFS($F$8:F195,F195,$C$8:C195,"Mekân")=1,1,0))</f>
        <v/>
      </c>
      <c r="T195" s="52">
        <f>IF(OR(A195="",F195="",C195&lt;&gt;"Kapak"),0,IF(COUNTIFS($F$8:F195,F195,$C$8:C195,"Kapak")=1,1,0))</f>
        <v/>
      </c>
    </row>
    <row r="196" ht="54" customHeight="1">
      <c r="A196" s="29" t="inlineStr">
        <is>
          <t>eindhoven:photo:catharinakerkhof-05</t>
        </is>
      </c>
      <c r="B196" s="29" t="inlineStr">
        <is>
          <t>eindhoven</t>
        </is>
      </c>
      <c r="C196" s="29" t="inlineStr">
        <is>
          <t>Mekân</t>
        </is>
      </c>
      <c r="D196" s="29" t="inlineStr">
        <is>
          <t>eindhoven:catharinakerkhof</t>
        </is>
      </c>
      <c r="E196" s="29" t="inlineStr">
        <is>
          <t>Fotoğraflar/eindhoven_catharinakerkhof_05.jpg</t>
        </is>
      </c>
      <c r="F196" s="29" t="inlineStr">
        <is>
          <t>1fc6b362d3d62c201ace344413f8d0b64af9947c7915755f898626d1aa44266e</t>
        </is>
      </c>
      <c r="G196" s="29" t="inlineStr">
        <is>
          <t>Beyaz taş bantlarla süslü kırmızı tuğla mezar şapelinin yan ve arka cephesi, küçük sivri pencereleri ve koyu gri çatısı; çevresinde alçak demir parmaklık, sıra sıra taş mezarlar, çakıllı yollar ve yüksek ağaçlar</t>
        </is>
      </c>
      <c r="H196" s="29" t="inlineStr">
        <is>
          <t>Sergé Technau</t>
        </is>
      </c>
      <c r="I196" s="29" t="inlineStr">
        <is>
          <t>CC BY-SA 4.0</t>
        </is>
      </c>
      <c r="J196" s="29" t="inlineStr">
        <is>
          <t>https://creativecommons.org/licenses/by-sa/4.0/</t>
        </is>
      </c>
      <c r="K196" s="29" t="inlineStr">
        <is>
          <t>https://commons.wikimedia.org/wiki/File:Grafkapel_familie_Smits_van_Oyen;_overzicht_achterzijde_-_Eindhoven_-_20410849_-_RCE.jpg</t>
        </is>
      </c>
      <c r="L196" s="49" t="n">
        <v>39451</v>
      </c>
      <c r="M196" s="49" t="n">
        <v>46317</v>
      </c>
      <c r="N196" s="29" t="inlineStr">
        <is>
          <t>Wikimedia Commons'taki "Grafkapel familie Smits van Oyen; overzicht achterzijde - Eindhoven - 20410849 - RCE.jpg" (3543×2362 px) özgün dosyasının 1280×853 px küçültülmüş kopyası indirildi; kırpma, rötuş ve renk düzeltmesi yapılmadı.</t>
        </is>
      </c>
      <c r="O196" s="29" t="inlineStr">
        <is>
          <t>eindhoven:evidence:catharinakerkhof-05</t>
        </is>
      </c>
      <c r="P196" s="29" t="inlineStr">
        <is>
          <t>Evet</t>
        </is>
      </c>
      <c r="Q196" s="51" t="n">
        <v>5</v>
      </c>
      <c r="R196" s="29" t="inlineStr">
        <is>
          <t>Taslak</t>
        </is>
      </c>
      <c r="S196" s="52">
        <f>IF(OR(A196="",F196="",C196&lt;&gt;"Mekân"),0,IF(COUNTIFS($F$8:F196,F196,$C$8:C196,"Mekân")=1,1,0))</f>
        <v/>
      </c>
      <c r="T196" s="52">
        <f>IF(OR(A196="",F196="",C196&lt;&gt;"Kapak"),0,IF(COUNTIFS($F$8:F196,F196,$C$8:C196,"Kapak")=1,1,0))</f>
        <v/>
      </c>
    </row>
    <row r="197" ht="54" customHeight="1">
      <c r="A197" s="29" t="inlineStr">
        <is>
          <t>eindhoven:photo:18-septemberplein-05</t>
        </is>
      </c>
      <c r="B197" s="29" t="inlineStr">
        <is>
          <t>eindhoven</t>
        </is>
      </c>
      <c r="C197" s="29" t="inlineStr">
        <is>
          <t>Mekân</t>
        </is>
      </c>
      <c r="D197" s="29" t="inlineStr">
        <is>
          <t>eindhoven:18-septemberplein</t>
        </is>
      </c>
      <c r="E197" s="29" t="inlineStr">
        <is>
          <t>Fotoğraflar/eindhoven_18-septemberplein_05.jpg</t>
        </is>
      </c>
      <c r="F197" s="29" t="inlineStr">
        <is>
          <t>b150d2fa099a89ec401cf5ef93ece82412f2fde02ad67b077bcf9e01c260a89b</t>
        </is>
      </c>
      <c r="G197" s="29" t="inlineStr">
        <is>
          <t>Taş döşeli meydanın üzerinde uzanan, yüksek kırmızı-kahve çelik sütunlara oturan cam saçak; altında yürüyen yayalar, solda kırmızı çiçekli bir saksı ve yeşil camlı bir bina, sağda yeşil karo kaplı bir mağaza binası; zeminde gömme cam karolar</t>
        </is>
      </c>
      <c r="H197" s="29" t="inlineStr">
        <is>
          <t>Ralf Roletschek</t>
        </is>
      </c>
      <c r="I197" s="29" t="inlineStr">
        <is>
          <t>CC BY 3.0</t>
        </is>
      </c>
      <c r="J197" s="29" t="inlineStr">
        <is>
          <t>https://creativecommons.org/licenses/by/3.0/</t>
        </is>
      </c>
      <c r="K197" s="29" t="inlineStr">
        <is>
          <t>https://commons.wikimedia.org/wiki/File:13-06-28-eindhoven-by-RalfR-60.jpg</t>
        </is>
      </c>
      <c r="L197" s="49" t="n">
        <v>41453</v>
      </c>
      <c r="M197" s="49" t="n">
        <v>46317</v>
      </c>
      <c r="N197" s="29" t="inlineStr">
        <is>
          <t>Wikimedia Commons'taki "13-06-28-eindhoven-by-RalfR-60.jpg" (2848×4288 px) özgün dosyasının 1280×1927 px küçültülmüş kopyası indirildi; kırpma, rötuş ve renk düzeltmesi yapılmadı.</t>
        </is>
      </c>
      <c r="O197" s="29" t="inlineStr">
        <is>
          <t>eindhoven:evidence:18-septemberplein-05</t>
        </is>
      </c>
      <c r="P197" s="29" t="inlineStr">
        <is>
          <t>Evet</t>
        </is>
      </c>
      <c r="Q197" s="51" t="n">
        <v>5</v>
      </c>
      <c r="R197" s="29" t="inlineStr">
        <is>
          <t>Taslak</t>
        </is>
      </c>
      <c r="S197" s="52">
        <f>IF(OR(A197="",F197="",C197&lt;&gt;"Mekân"),0,IF(COUNTIFS($F$8:F197,F197,$C$8:C197,"Mekân")=1,1,0))</f>
        <v/>
      </c>
      <c r="T197" s="52">
        <f>IF(OR(A197="",F197="",C197&lt;&gt;"Kapak"),0,IF(COUNTIFS($F$8:F197,F197,$C$8:C197,"Kapak")=1,1,0))</f>
        <v/>
      </c>
    </row>
    <row r="198" ht="54" customHeight="1">
      <c r="A198" s="29" t="inlineStr">
        <is>
          <t>eindhoven:photo:philipsdorp-04</t>
        </is>
      </c>
      <c r="B198" s="29" t="inlineStr">
        <is>
          <t>eindhoven</t>
        </is>
      </c>
      <c r="C198" s="29" t="inlineStr">
        <is>
          <t>Mekân</t>
        </is>
      </c>
      <c r="D198" s="29" t="inlineStr">
        <is>
          <t>eindhoven:philipsdorp</t>
        </is>
      </c>
      <c r="E198" s="29" t="inlineStr">
        <is>
          <t>Fotoğraflar/eindhoven_philipsdorp_04.jpg</t>
        </is>
      </c>
      <c r="F198" s="29" t="inlineStr">
        <is>
          <t>54ffe8004deff8f732818c9835712b3402152b73cc19283c6b921a63af794c07</t>
        </is>
      </c>
      <c r="G198" s="29" t="inlineStr">
        <is>
          <t>Geniş bir caddeye sıralanmış, turuncu kiremit çatılı ve çatı pencereli kırmızı tuğla sıra evler; yeşil kapılar, beyaz pencereler, önlerinde park etmiş arabalar, solda ince uzun ağaçlar ve bulutlu mavi gökyüzü</t>
        </is>
      </c>
      <c r="H198" s="29" t="inlineStr">
        <is>
          <t>Jan Geerling</t>
        </is>
      </c>
      <c r="I198" s="29" t="inlineStr">
        <is>
          <t>CC BY-SA 4.0</t>
        </is>
      </c>
      <c r="J198" s="29" t="inlineStr">
        <is>
          <t>https://creativecommons.org/licenses/by-sa/4.0/</t>
        </is>
      </c>
      <c r="K198" s="29" t="inlineStr">
        <is>
          <t>https://commons.wikimedia.org/wiki/File:Frederiklaan_Eindhoven-_Philipsdorp_1509-130.jpg</t>
        </is>
      </c>
      <c r="L198" s="49" t="n"/>
      <c r="M198" s="49" t="n">
        <v>46317</v>
      </c>
      <c r="N198" s="29" t="inlineStr">
        <is>
          <t>Wikimedia Commons'taki "Frederiklaan Eindhoven- Philipsdorp 1509-130.jpg" (3648×3648 px) özgün dosyasının 1280×1280 px küçültülmüş kopyası indirildi; kırpma, rötuş ve renk düzeltmesi yapılmadı.</t>
        </is>
      </c>
      <c r="O198" s="29" t="inlineStr">
        <is>
          <t>eindhoven:evidence:philipsdorp-04</t>
        </is>
      </c>
      <c r="P198" s="29" t="inlineStr">
        <is>
          <t>Evet</t>
        </is>
      </c>
      <c r="Q198" s="51" t="n">
        <v>4</v>
      </c>
      <c r="R198" s="29" t="inlineStr">
        <is>
          <t>Taslak</t>
        </is>
      </c>
      <c r="S198" s="52">
        <f>IF(OR(A198="",F198="",C198&lt;&gt;"Mekân"),0,IF(COUNTIFS($F$8:F198,F198,$C$8:C198,"Mekân")=1,1,0))</f>
        <v/>
      </c>
      <c r="T198" s="52">
        <f>IF(OR(A198="",F198="",C198&lt;&gt;"Kapak"),0,IF(COUNTIFS($F$8:F198,F198,$C$8:C198,"Kapak")=1,1,0))</f>
        <v/>
      </c>
    </row>
    <row r="199" ht="54" customHeight="1">
      <c r="A199" s="29" t="inlineStr">
        <is>
          <t>eindhoven:photo:de-witte-dame-lichtfabriek-04</t>
        </is>
      </c>
      <c r="B199" s="29" t="inlineStr">
        <is>
          <t>eindhoven</t>
        </is>
      </c>
      <c r="C199" s="29" t="inlineStr">
        <is>
          <t>Mekân</t>
        </is>
      </c>
      <c r="D199" s="29" t="inlineStr">
        <is>
          <t>eindhoven:de-witte-dame-lichtfabriek</t>
        </is>
      </c>
      <c r="E199" s="29" t="inlineStr">
        <is>
          <t>Fotoğraflar/eindhoven_de-witte-dame-lichtfabriek_04.jpg</t>
        </is>
      </c>
      <c r="F199" s="29" t="inlineStr">
        <is>
          <t>c96617536de1292bdbf19b345259c85be9fca6a009ff2ab2b71c9366d9649308</t>
        </is>
      </c>
      <c r="G199" s="29" t="inlineStr">
        <is>
          <t>Beyaz cepheli binanın zemin katında, çelik gergilerle asılı geniş saçağın altında içeri çekik giriş geçidi ve büyük vitrinler; solda kafe masaları ve turuncu bir bayrak tabela, önde taş döşeli kaldırım</t>
        </is>
      </c>
      <c r="H199" s="29" t="inlineStr">
        <is>
          <t>Romaine</t>
        </is>
      </c>
      <c r="I199" s="29" t="inlineStr">
        <is>
          <t>CC0 1.0</t>
        </is>
      </c>
      <c r="J199" s="29" t="inlineStr">
        <is>
          <t>https://creativecommons.org/publicdomain/zero/1.0/</t>
        </is>
      </c>
      <c r="K199" s="29" t="inlineStr">
        <is>
          <t>https://commons.wikimedia.org/wiki/File:Eindhoven-Witte_Dame_(5).jpg</t>
        </is>
      </c>
      <c r="L199" s="49" t="n">
        <v>42381</v>
      </c>
      <c r="M199" s="49" t="n">
        <v>46317</v>
      </c>
      <c r="N199" s="29" t="inlineStr">
        <is>
          <t>Wikimedia Commons'taki "Eindhoven-Witte Dame (5).jpg" (5312×2988 px) özgün dosyasının 1280×720 px küçültülmüş kopyası indirildi; kırpma, rötuş ve renk düzeltmesi yapılmadı.</t>
        </is>
      </c>
      <c r="O199" s="29" t="inlineStr">
        <is>
          <t>eindhoven:evidence:de-witte-dame-lichtfabriek-04</t>
        </is>
      </c>
      <c r="P199" s="29" t="inlineStr">
        <is>
          <t>Evet</t>
        </is>
      </c>
      <c r="Q199" s="51" t="n">
        <v>4</v>
      </c>
      <c r="R199" s="29" t="inlineStr">
        <is>
          <t>Taslak</t>
        </is>
      </c>
      <c r="S199" s="52">
        <f>IF(OR(A199="",F199="",C199&lt;&gt;"Mekân"),0,IF(COUNTIFS($F$8:F199,F199,$C$8:C199,"Mekân")=1,1,0))</f>
        <v/>
      </c>
      <c r="T199" s="52">
        <f>IF(OR(A199="",F199="",C199&lt;&gt;"Kapak"),0,IF(COUNTIFS($F$8:F199,F199,$C$8:C199,"Kapak")=1,1,0))</f>
        <v/>
      </c>
    </row>
    <row r="200" ht="54" customHeight="1">
      <c r="A200" s="29" t="inlineStr">
        <is>
          <t>eindhoven:photo:stadhuis-van-eindhoven-04</t>
        </is>
      </c>
      <c r="B200" s="29" t="inlineStr">
        <is>
          <t>eindhoven</t>
        </is>
      </c>
      <c r="C200" s="29" t="inlineStr">
        <is>
          <t>Mekân</t>
        </is>
      </c>
      <c r="D200" s="29" t="inlineStr">
        <is>
          <t>eindhoven:stadhuis-van-eindhoven</t>
        </is>
      </c>
      <c r="E200" s="29" t="inlineStr">
        <is>
          <t>Fotoğraflar/eindhoven_stadhuis-van-eindhoven_04.jpg</t>
        </is>
      </c>
      <c r="F200" s="29" t="inlineStr">
        <is>
          <t>170370799de9934dba3c029d36dc7ed9a02147c0b98254324d50803bff47ee91</t>
        </is>
      </c>
      <c r="G200" s="29" t="inlineStr">
        <is>
          <t>Köşeden ve alçak açıdan görülen gri taş kaplı alçak kanat: cephede büyük siyah metal heykel, üst katta boydan boya pencere şeridi; arkada yüksek blok, solda bayrak direkleri, önde kırmızı çizgili taş zemin.</t>
        </is>
      </c>
      <c r="H200" s="29" t="inlineStr">
        <is>
          <t>Rosemoon</t>
        </is>
      </c>
      <c r="I200" s="29" t="inlineStr">
        <is>
          <t>CC BY-SA 3.0</t>
        </is>
      </c>
      <c r="J200" s="29" t="inlineStr">
        <is>
          <t>https://creativecommons.org/licenses/by-sa/3.0/</t>
        </is>
      </c>
      <c r="K200" s="29" t="inlineStr">
        <is>
          <t>https://commons.wikimedia.org/wiki/File:Stadhuis_van_Eindhoven.JPG</t>
        </is>
      </c>
      <c r="L200" s="49" t="n">
        <v>41161</v>
      </c>
      <c r="M200" s="49" t="n">
        <v>46317</v>
      </c>
      <c r="N200" s="29" t="inlineStr">
        <is>
          <t>Wikimedia Commons'taki "Stadhuis van Eindhoven.JPG" (4320×3240 px) özgün dosyasının 1280×960 px küçültülmüş kopyası indirildi; kırpma, rötuş ve renk düzeltmesi yapılmadı.</t>
        </is>
      </c>
      <c r="O200" s="29" t="inlineStr">
        <is>
          <t>eindhoven:evidence:stadhuis-van-eindhoven-04</t>
        </is>
      </c>
      <c r="P200" s="29" t="inlineStr">
        <is>
          <t>Evet</t>
        </is>
      </c>
      <c r="Q200" s="51" t="n">
        <v>4</v>
      </c>
      <c r="R200" s="29" t="inlineStr">
        <is>
          <t>Taslak</t>
        </is>
      </c>
      <c r="S200" s="52">
        <f>IF(OR(A200="",F200="",C200&lt;&gt;"Mekân"),0,IF(COUNTIFS($F$8:F200,F200,$C$8:C200,"Mekân")=1,1,0))</f>
        <v/>
      </c>
      <c r="T200" s="52">
        <f>IF(OR(A200="",F200="",C200&lt;&gt;"Kapak"),0,IF(COUNTIFS($F$8:F200,F200,$C$8:C200,"Kapak")=1,1,0))</f>
        <v/>
      </c>
    </row>
    <row r="201" ht="54" customHeight="1">
      <c r="A201" s="29" t="inlineStr">
        <is>
          <t>eindhoven:photo:centrum-bolgesi-05</t>
        </is>
      </c>
      <c r="B201" s="29" t="inlineStr">
        <is>
          <t>eindhoven</t>
        </is>
      </c>
      <c r="C201" s="29" t="inlineStr">
        <is>
          <t>Mekân</t>
        </is>
      </c>
      <c r="D201" s="29" t="inlineStr">
        <is>
          <t>eindhoven:centrum-bolgesi</t>
        </is>
      </c>
      <c r="E201" s="29" t="inlineStr">
        <is>
          <t>Fotoğraflar/eindhoven_centrum-bolgesi_05.jpg</t>
        </is>
      </c>
      <c r="F201" s="29" t="inlineStr">
        <is>
          <t>10f9c8f3d110da28ee9f70a5d0e20fff4401cc4387e474fbfbbf84079943427d</t>
        </is>
      </c>
      <c r="G201" s="29" t="inlineStr">
        <is>
          <t>Ortasından sarımsı tuğladan ince uzun bir baca yükselen, sıra pencereli, koyu kırmızı sıvalı alçak bina; önünde park edilmiş bisikletler ve genç ağaçlar, iki yanında modern binalar, önde asfalt yol; bulutlu gökyüzü.</t>
        </is>
      </c>
      <c r="H201" s="29" t="inlineStr">
        <is>
          <t>G.Lanting</t>
        </is>
      </c>
      <c r="I201" s="29" t="inlineStr">
        <is>
          <t>CC BY-SA 3.0</t>
        </is>
      </c>
      <c r="J201" s="29" t="inlineStr">
        <is>
          <t>https://creativecommons.org/licenses/by-sa/3.0/</t>
        </is>
      </c>
      <c r="K201" s="29" t="inlineStr">
        <is>
          <t>https://commons.wikimedia.org/wiki/File:Eindhoven_Centrum_024.JPG</t>
        </is>
      </c>
      <c r="L201" s="49" t="n">
        <v>40672</v>
      </c>
      <c r="M201" s="49" t="n">
        <v>46317</v>
      </c>
      <c r="N201" s="29" t="inlineStr">
        <is>
          <t>Wikimedia Commons'taki "Eindhoven Centrum 024.JPG" (4000×3000 px) özgün dosyasının 1280×960 px küçültülmüş kopyası indirildi; kırpma, rötuş ve renk düzeltmesi yapılmadı.</t>
        </is>
      </c>
      <c r="O201" s="29" t="inlineStr">
        <is>
          <t>eindhoven:evidence:centrum-bolgesi-05</t>
        </is>
      </c>
      <c r="P201" s="29" t="inlineStr">
        <is>
          <t>Evet</t>
        </is>
      </c>
      <c r="Q201" s="51" t="n">
        <v>5</v>
      </c>
      <c r="R201" s="29" t="inlineStr">
        <is>
          <t>Taslak</t>
        </is>
      </c>
      <c r="S201" s="52">
        <f>IF(OR(A201="",F201="",C201&lt;&gt;"Mekân"),0,IF(COUNTIFS($F$8:F201,F201,$C$8:C201,"Mekân")=1,1,0))</f>
        <v/>
      </c>
      <c r="T201" s="52">
        <f>IF(OR(A201="",F201="",C201&lt;&gt;"Kapak"),0,IF(COUNTIFS($F$8:F201,F201,$C$8:C201,"Kapak")=1,1,0))</f>
        <v/>
      </c>
    </row>
    <row r="202" ht="54" customHeight="1">
      <c r="A202" s="29" t="inlineStr">
        <is>
          <t>eindhoven:photo:strijp-s-mahallesi-03</t>
        </is>
      </c>
      <c r="B202" s="29" t="inlineStr">
        <is>
          <t>eindhoven</t>
        </is>
      </c>
      <c r="C202" s="29" t="inlineStr">
        <is>
          <t>Mekân</t>
        </is>
      </c>
      <c r="D202" s="29" t="inlineStr">
        <is>
          <t>eindhoven:strijp-s-mahallesi</t>
        </is>
      </c>
      <c r="E202" s="29" t="inlineStr">
        <is>
          <t>Fotoğraflar/eindhoven_strijp-s-mahallesi_03.jpg</t>
        </is>
      </c>
      <c r="F202" s="29" t="inlineStr">
        <is>
          <t>5ac660b93dcb98c1b781de565cdf49f54a7542f52e969a52b643e02d93ad9ab3</t>
        </is>
      </c>
      <c r="G202" s="29" t="inlineStr">
        <is>
          <t>Sokaktan istasyon girişine çıkan geniş beton merdiven; girişin üstünde mavi NS logosu, solda perona çıkan kırmızı korkuluklu ikinci merdiven ve üstü kapalı bisiklet park yeri; çevrede çimenli şevler ve katener telleri.</t>
        </is>
      </c>
      <c r="H202" s="29" t="inlineStr">
        <is>
          <t>Sneeuwvlakte</t>
        </is>
      </c>
      <c r="I202" s="29" t="inlineStr">
        <is>
          <t>CC BY-SA 4.0</t>
        </is>
      </c>
      <c r="J202" s="29" t="inlineStr">
        <is>
          <t>https://creativecommons.org/licenses/by-sa/4.0/</t>
        </is>
      </c>
      <c r="K202" s="29" t="inlineStr">
        <is>
          <t>https://commons.wikimedia.org/wiki/File:Station_Eindhoven_Strijp-S_(2024).jpg</t>
        </is>
      </c>
      <c r="L202" s="49" t="n">
        <v>45506</v>
      </c>
      <c r="M202" s="49" t="n">
        <v>46317</v>
      </c>
      <c r="N202" s="29" t="inlineStr">
        <is>
          <t>Wikimedia Commons'taki "Station Eindhoven Strijp-S (2024).jpg" (4608×3456 px) özgün dosyasının 1280×960 px küçültülmüş kopyası indirildi; kırpma, rötuş ve renk düzeltmesi yapılmadı.</t>
        </is>
      </c>
      <c r="O202" s="29" t="inlineStr">
        <is>
          <t>eindhoven:evidence:strijp-s-mahallesi-03</t>
        </is>
      </c>
      <c r="P202" s="29" t="inlineStr">
        <is>
          <t>Evet</t>
        </is>
      </c>
      <c r="Q202" s="51" t="n">
        <v>3</v>
      </c>
      <c r="R202" s="29" t="inlineStr">
        <is>
          <t>Taslak</t>
        </is>
      </c>
      <c r="S202" s="52">
        <f>IF(OR(A202="",F202="",C202&lt;&gt;"Mekân"),0,IF(COUNTIFS($F$8:F202,F202,$C$8:C202,"Mekân")=1,1,0))</f>
        <v/>
      </c>
      <c r="T202" s="52">
        <f>IF(OR(A202="",F202="",C202&lt;&gt;"Kapak"),0,IF(COUNTIFS($F$8:F202,F202,$C$8:C202,"Kapak")=1,1,0))</f>
        <v/>
      </c>
    </row>
    <row r="203" ht="54" customHeight="1">
      <c r="A203" s="29" t="inlineStr">
        <is>
          <t>eindhoven:photo:strijp-s-mahallesi-04</t>
        </is>
      </c>
      <c r="B203" s="29" t="inlineStr">
        <is>
          <t>eindhoven</t>
        </is>
      </c>
      <c r="C203" s="29" t="inlineStr">
        <is>
          <t>Mekân</t>
        </is>
      </c>
      <c r="D203" s="29" t="inlineStr">
        <is>
          <t>eindhoven:strijp-s-mahallesi</t>
        </is>
      </c>
      <c r="E203" s="29" t="inlineStr">
        <is>
          <t>Fotoğraflar/eindhoven_strijp-s-mahallesi_04.jpg</t>
        </is>
      </c>
      <c r="F203" s="29" t="inlineStr">
        <is>
          <t>189ad37ede889bb61d95eb4231d79b6f215db310d0735cd08cf5956aa7c06530</t>
        </is>
      </c>
      <c r="G203" s="29" t="inlineStr">
        <is>
          <t>İki yanı sık ağaç sıralarıyla çevrili geniş, gri asfalt bisiklet ve yaya yolu; sağda park etmiş arabalar ve modern binalar, yolda bisiklet süren birkaç kişi, kenarlarda yere dökülmüş kuru yapraklar.</t>
        </is>
      </c>
      <c r="H203" s="29" t="inlineStr">
        <is>
          <t>Steven Lek</t>
        </is>
      </c>
      <c r="I203" s="29" t="inlineStr">
        <is>
          <t>CC BY-SA 4.0</t>
        </is>
      </c>
      <c r="J203" s="29" t="inlineStr">
        <is>
          <t>https://creativecommons.org/licenses/by-sa/4.0/</t>
        </is>
      </c>
      <c r="K203" s="29" t="inlineStr">
        <is>
          <t>https://commons.wikimedia.org/wiki/File:Torenallee_Eindhoven_3.jpg</t>
        </is>
      </c>
      <c r="L203" s="49" t="n">
        <v>43312</v>
      </c>
      <c r="M203" s="49" t="n">
        <v>46317</v>
      </c>
      <c r="N203" s="29" t="inlineStr">
        <is>
          <t>Wikimedia Commons'taki "Torenallee Eindhoven 3.jpg" (4928×3264 px) özgün dosyasının 1280×848 px küçültülmüş kopyası indirildi; kırpma, rötuş ve renk düzeltmesi yapılmadı.</t>
        </is>
      </c>
      <c r="O203" s="29" t="inlineStr">
        <is>
          <t>eindhoven:evidence:strijp-s-mahallesi-04</t>
        </is>
      </c>
      <c r="P203" s="29" t="inlineStr">
        <is>
          <t>Evet</t>
        </is>
      </c>
      <c r="Q203" s="51" t="n">
        <v>4</v>
      </c>
      <c r="R203" s="29" t="inlineStr">
        <is>
          <t>Taslak</t>
        </is>
      </c>
      <c r="S203" s="52">
        <f>IF(OR(A203="",F203="",C203&lt;&gt;"Mekân"),0,IF(COUNTIFS($F$8:F203,F203,$C$8:C203,"Mekân")=1,1,0))</f>
        <v/>
      </c>
      <c r="T203" s="52">
        <f>IF(OR(A203="",F203="",C203&lt;&gt;"Kapak"),0,IF(COUNTIFS($F$8:F203,F203,$C$8:C203,"Kapak")=1,1,0))</f>
        <v/>
      </c>
    </row>
    <row r="204" ht="54" customHeight="1">
      <c r="A204" s="29" t="inlineStr">
        <is>
          <t>eindhoven:photo:strijp-s-mahallesi-05</t>
        </is>
      </c>
      <c r="B204" s="29" t="inlineStr">
        <is>
          <t>eindhoven</t>
        </is>
      </c>
      <c r="C204" s="29" t="inlineStr">
        <is>
          <t>Mekân</t>
        </is>
      </c>
      <c r="D204" s="29" t="inlineStr">
        <is>
          <t>eindhoven:strijp-s-mahallesi</t>
        </is>
      </c>
      <c r="E204" s="29" t="inlineStr">
        <is>
          <t>Fotoğraflar/eindhoven_strijp-s-mahallesi_05.jpg</t>
        </is>
      </c>
      <c r="F204" s="29" t="inlineStr">
        <is>
          <t>c372d95e866ac6c2596583f7d291c06523025409facca98f5e3f51765739bee6</t>
        </is>
      </c>
      <c r="G204" s="29" t="inlineStr">
        <is>
          <t>Düzensiz dizilmiş beton balkon çıkıntılarıyla kaplı yüksek konut kulesi; her balkonda küçük ağaçlar ve çalılar, arkada açık mavi gökyüzü ve ince bulutlar.</t>
        </is>
      </c>
      <c r="H204" s="29" t="inlineStr">
        <is>
          <t>Nanda Sluijsmans from Den Haag, Nederland</t>
        </is>
      </c>
      <c r="I204" s="29" t="inlineStr">
        <is>
          <t>CC BY-SA 2.0</t>
        </is>
      </c>
      <c r="J204" s="29" t="inlineStr">
        <is>
          <t>https://creativecommons.org/licenses/by-sa/2.0/</t>
        </is>
      </c>
      <c r="K204" s="29" t="inlineStr">
        <is>
          <t>https://commons.wikimedia.org/wiki/File:Trudo_Toren_Strijp-S_Eindhoven_(51284789918).jpg</t>
        </is>
      </c>
      <c r="L204" s="49" t="n">
        <v>44366</v>
      </c>
      <c r="M204" s="49" t="n">
        <v>46317</v>
      </c>
      <c r="N204" s="29" t="inlineStr">
        <is>
          <t>Wikimedia Commons'taki "Trudo Toren Strijp-S Eindhoven (51284789918).jpg" (6000×4000 px) özgün dosyasının 1280×853 px küçültülmüş kopyası indirildi; kırpma, rötuş ve renk düzeltmesi yapılmadı.</t>
        </is>
      </c>
      <c r="O204" s="29" t="inlineStr">
        <is>
          <t>eindhoven:evidence:strijp-s-mahallesi-05</t>
        </is>
      </c>
      <c r="P204" s="29" t="inlineStr">
        <is>
          <t>Evet</t>
        </is>
      </c>
      <c r="Q204" s="51" t="n">
        <v>5</v>
      </c>
      <c r="R204" s="29" t="inlineStr">
        <is>
          <t>Taslak</t>
        </is>
      </c>
      <c r="S204" s="52">
        <f>IF(OR(A204="",F204="",C204&lt;&gt;"Mekân"),0,IF(COUNTIFS($F$8:F204,F204,$C$8:C204,"Mekân")=1,1,0))</f>
        <v/>
      </c>
      <c r="T204" s="52">
        <f>IF(OR(A204="",F204="",C204&lt;&gt;"Kapak"),0,IF(COUNTIFS($F$8:F204,F204,$C$8:C204,"Kapak")=1,1,0))</f>
        <v/>
      </c>
    </row>
    <row r="205" ht="54" customHeight="1">
      <c r="A205" s="29" t="inlineStr">
        <is>
          <t>eindhoven:photo:philipsdorp-mahallesi-03</t>
        </is>
      </c>
      <c r="B205" s="29" t="inlineStr">
        <is>
          <t>eindhoven</t>
        </is>
      </c>
      <c r="C205" s="29" t="inlineStr">
        <is>
          <t>Mekân</t>
        </is>
      </c>
      <c r="D205" s="29" t="inlineStr">
        <is>
          <t>eindhoven:philipsdorp-mahallesi</t>
        </is>
      </c>
      <c r="E205" s="29" t="inlineStr">
        <is>
          <t>Fotoğraflar/eindhoven_philipsdorp-mahallesi_03.jpg</t>
        </is>
      </c>
      <c r="F205" s="29" t="inlineStr">
        <is>
          <t>921bb27399b9ea67577af26857b375e3b42ace46e0f62a89a023077f3db465a0</t>
        </is>
      </c>
      <c r="G205" s="29" t="inlineStr">
        <is>
          <t>Kaldırım boyunca uzanan krem boyalı ve kırmızı tuğla eski sıra evler; yolun karşısında 'Philips Stadion' yazılı beyaz-mavi stadyum cephesi ve beyaz çelik pilon, siyah-beyaz damalı bordür ve sonbahar renkli ağaçlar.</t>
        </is>
      </c>
      <c r="H205" s="29" t="inlineStr">
        <is>
          <t>Jan Geerling</t>
        </is>
      </c>
      <c r="I205" s="29" t="inlineStr">
        <is>
          <t>CC BY-SA 4.0</t>
        </is>
      </c>
      <c r="J205" s="29" t="inlineStr">
        <is>
          <t>https://creativecommons.org/licenses/by-sa/4.0/</t>
        </is>
      </c>
      <c r="K205" s="29" t="inlineStr">
        <is>
          <t>https://commons.wikimedia.org/wiki/File:PSV_stadion_Eindhoven-_Philipsdorp_1509-56.jpg</t>
        </is>
      </c>
      <c r="L205" s="49" t="n"/>
      <c r="M205" s="49" t="n">
        <v>46317</v>
      </c>
      <c r="N205" s="29" t="inlineStr">
        <is>
          <t>Wikimedia Commons'taki "PSV stadion Eindhoven- Philipsdorp 1509-56.jpg" (5472×3648 px) özgün dosyasının 1280×853 px küçültülmüş kopyası indirildi; kırpma, rötuş ve renk düzeltmesi yapılmadı.</t>
        </is>
      </c>
      <c r="O205" s="29" t="inlineStr">
        <is>
          <t>eindhoven:evidence:philipsdorp-mahallesi-03</t>
        </is>
      </c>
      <c r="P205" s="29" t="inlineStr">
        <is>
          <t>Evet</t>
        </is>
      </c>
      <c r="Q205" s="51" t="n">
        <v>3</v>
      </c>
      <c r="R205" s="29" t="inlineStr">
        <is>
          <t>Taslak</t>
        </is>
      </c>
      <c r="S205" s="52">
        <f>IF(OR(A205="",F205="",C205&lt;&gt;"Mekân"),0,IF(COUNTIFS($F$8:F205,F205,$C$8:C205,"Mekân")=1,1,0))</f>
        <v/>
      </c>
      <c r="T205" s="52">
        <f>IF(OR(A205="",F205="",C205&lt;&gt;"Kapak"),0,IF(COUNTIFS($F$8:F205,F205,$C$8:C205,"Kapak")=1,1,0))</f>
        <v/>
      </c>
    </row>
    <row r="206" ht="54" customHeight="1">
      <c r="A206" s="29" t="inlineStr">
        <is>
          <t>eindhoven:photo:witte-dorp-mahallesi-05</t>
        </is>
      </c>
      <c r="B206" s="29" t="inlineStr">
        <is>
          <t>eindhoven</t>
        </is>
      </c>
      <c r="C206" s="29" t="inlineStr">
        <is>
          <t>Mekân</t>
        </is>
      </c>
      <c r="D206" s="29" t="inlineStr">
        <is>
          <t>eindhoven:witte-dorp-mahallesi</t>
        </is>
      </c>
      <c r="E206" s="29" t="inlineStr">
        <is>
          <t>Fotoğraflar/eindhoven_witte-dorp-mahallesi_05.jpg</t>
        </is>
      </c>
      <c r="F206" s="29" t="inlineStr">
        <is>
          <t>095ada33bc7206313a7622bfa8253eb7acb6fab3df15e3ac268045f30517c6f4</t>
        </is>
      </c>
      <c r="G206" s="29" t="inlineStr">
        <is>
          <t>Cadde boyunca uzanan iki katlı beyaz sıra evler; koyu kırmızı kiremit çatıda dizi halinde bacalar, zemin katta dükkân vitrinleri ve cephede sarmaşık; önde refüjlü yol ve sarı bir direk, bulutlu gökyüzü.</t>
        </is>
      </c>
      <c r="H206" s="29" t="inlineStr">
        <is>
          <t>Rosemoon</t>
        </is>
      </c>
      <c r="I206" s="29" t="inlineStr">
        <is>
          <t>CC BY-SA 3.0 nl</t>
        </is>
      </c>
      <c r="J206" s="29" t="inlineStr">
        <is>
          <t>https://creativecommons.org/licenses/by-sa/3.0/nl/deed.en/</t>
        </is>
      </c>
      <c r="K206" s="29" t="inlineStr">
        <is>
          <t>https://commons.wikimedia.org/wiki/File:Monument_518738,_Geldropseweg_136_Eindhoven_-_2.jpg</t>
        </is>
      </c>
      <c r="L206" s="49" t="n">
        <v>40804</v>
      </c>
      <c r="M206" s="49" t="n">
        <v>46317</v>
      </c>
      <c r="N206" s="29" t="inlineStr">
        <is>
          <t>Wikimedia Commons'taki "Monument 518738, Geldropseweg 136 Eindhoven - 2.jpg" (4320×3240 px) özgün dosyasının 1280×960 px küçültülmüş kopyası indirildi; kırpma, rötuş ve renk düzeltmesi yapılmadı.</t>
        </is>
      </c>
      <c r="O206" s="29" t="inlineStr">
        <is>
          <t>eindhoven:evidence:witte-dorp-mahallesi-05</t>
        </is>
      </c>
      <c r="P206" s="29" t="inlineStr">
        <is>
          <t>Evet</t>
        </is>
      </c>
      <c r="Q206" s="51" t="n">
        <v>5</v>
      </c>
      <c r="R206" s="29" t="inlineStr">
        <is>
          <t>Taslak</t>
        </is>
      </c>
      <c r="S206" s="52">
        <f>IF(OR(A206="",F206="",C206&lt;&gt;"Mekân"),0,IF(COUNTIFS($F$8:F206,F206,$C$8:C206,"Mekân")=1,1,0))</f>
        <v/>
      </c>
      <c r="T206" s="52">
        <f>IF(OR(A206="",F206="",C206&lt;&gt;"Kapak"),0,IF(COUNTIFS($F$8:F206,F206,$C$8:C206,"Kapak")=1,1,0))</f>
        <v/>
      </c>
    </row>
    <row r="207" ht="54" customHeight="1">
      <c r="A207" s="29" t="inlineStr">
        <is>
          <t>eindhoven:photo:riel-mahallesi-05</t>
        </is>
      </c>
      <c r="B207" s="29" t="inlineStr">
        <is>
          <t>eindhoven</t>
        </is>
      </c>
      <c r="C207" s="29" t="inlineStr">
        <is>
          <t>Mekân</t>
        </is>
      </c>
      <c r="D207" s="29" t="inlineStr">
        <is>
          <t>eindhoven:riel-mahallesi</t>
        </is>
      </c>
      <c r="E207" s="29" t="inlineStr">
        <is>
          <t>Fotoğraflar/eindhoven_riel-mahallesi_05.jpg</t>
        </is>
      </c>
      <c r="F207" s="29" t="inlineStr">
        <is>
          <t>7db7261be006fe2c9d2b62a360a8b2210ddb112ea4d661283ba99f8fbfb3f8fd</t>
        </is>
      </c>
      <c r="G207" s="29" t="inlineStr">
        <is>
          <t>Budanmış çitlerin ardında, dik çatısının üstü saz, alt şeridi koyu kiremit kaplı, bacalı tuğla çiftlik evi; yanında turuncu ve sarı yapraklı sonbahar ağaçları, önde kıvrılan kumlu yol ve yeşil bir dağıtım kutusu.</t>
        </is>
      </c>
      <c r="H207" s="29" t="inlineStr">
        <is>
          <t>Mark Bergsma</t>
        </is>
      </c>
      <c r="I207" s="29" t="inlineStr">
        <is>
          <t>CC BY-SA 3.0</t>
        </is>
      </c>
      <c r="J207" s="29" t="inlineStr">
        <is>
          <t>https://creativecommons.org/licenses/by-sa/3.0/</t>
        </is>
      </c>
      <c r="K207" s="29" t="inlineStr">
        <is>
          <t>https://commons.wikimedia.org/wiki/File:Riel13_Eindhoven.jpg</t>
        </is>
      </c>
      <c r="L207" s="49" t="n">
        <v>40082</v>
      </c>
      <c r="M207" s="49" t="n">
        <v>46317</v>
      </c>
      <c r="N207" s="29" t="inlineStr">
        <is>
          <t>Wikimedia Commons'taki "Riel13 Eindhoven.jpg" (3968×2232 px) özgün dosyasının 1280×720 px küçültülmüş kopyası indirildi; kırpma, rötuş ve renk düzeltmesi yapılmadı.</t>
        </is>
      </c>
      <c r="O207" s="29" t="inlineStr">
        <is>
          <t>eindhoven:evidence:riel-mahallesi-05</t>
        </is>
      </c>
      <c r="P207" s="29" t="inlineStr">
        <is>
          <t>Evet</t>
        </is>
      </c>
      <c r="Q207" s="51" t="n">
        <v>5</v>
      </c>
      <c r="R207" s="29" t="inlineStr">
        <is>
          <t>Taslak</t>
        </is>
      </c>
      <c r="S207" s="52">
        <f>IF(OR(A207="",F207="",C207&lt;&gt;"Mekân"),0,IF(COUNTIFS($F$8:F207,F207,$C$8:C207,"Mekân")=1,1,0))</f>
        <v/>
      </c>
      <c r="T207" s="52">
        <f>IF(OR(A207="",F207="",C207&lt;&gt;"Kapak"),0,IF(COUNTIFS($F$8:F207,F207,$C$8:C207,"Kapak")=1,1,0))</f>
        <v/>
      </c>
    </row>
    <row r="208" ht="54" customHeight="1">
      <c r="A208" s="29" t="inlineStr">
        <is>
          <t>eindhoven:photo:tongelre-bolgesi-05</t>
        </is>
      </c>
      <c r="B208" s="29" t="inlineStr">
        <is>
          <t>eindhoven</t>
        </is>
      </c>
      <c r="C208" s="29" t="inlineStr">
        <is>
          <t>Mekân</t>
        </is>
      </c>
      <c r="D208" s="29" t="inlineStr">
        <is>
          <t>eindhoven:tongelre-bolgesi</t>
        </is>
      </c>
      <c r="E208" s="29" t="inlineStr">
        <is>
          <t>Fotoğraflar/eindhoven_tongelre-bolgesi_05.jpg</t>
        </is>
      </c>
      <c r="F208" s="29" t="inlineStr">
        <is>
          <t>86761de8ef24290946c754ff8f455dc1c2777a4516afde86b8d41e303443ea86</t>
        </is>
      </c>
      <c r="G208" s="29" t="inlineStr">
        <is>
          <t>Koyu kayrak çatısında tek pencere bulunan, beyaz pencereli tek katlı tarihî tuğla bina ve kemerli sundurmalı girişi; önünde genç bir ağaç ve kırmızı tuğla döşeli geniş zemin, solda park etmiş araba; bulutlu mavi gök.</t>
        </is>
      </c>
      <c r="H208" s="29" t="inlineStr">
        <is>
          <t>Rosemoon</t>
        </is>
      </c>
      <c r="I208" s="29" t="inlineStr">
        <is>
          <t>CC BY-SA 3.0</t>
        </is>
      </c>
      <c r="J208" s="29" t="inlineStr">
        <is>
          <t>https://creativecommons.org/licenses/by-sa/3.0/</t>
        </is>
      </c>
      <c r="K208" s="29" t="inlineStr">
        <is>
          <t>https://commons.wikimedia.org/wiki/File:Wijkcentrum_%27t_Oude_Raadhuis_Tongelre_Eindhoven.JPG</t>
        </is>
      </c>
      <c r="L208" s="49" t="n">
        <v>41181</v>
      </c>
      <c r="M208" s="49" t="n">
        <v>46317</v>
      </c>
      <c r="N208" s="29" t="inlineStr">
        <is>
          <t>Wikimedia Commons'taki "Wijkcentrum 't Oude Raadhuis Tongelre Eindhoven.JPG" (4320×3240 px) özgün dosyasının 1280×960 px küçültülmüş kopyası indirildi; kırpma, rötuş ve renk düzeltmesi yapılmadı.</t>
        </is>
      </c>
      <c r="O208" s="29" t="inlineStr">
        <is>
          <t>eindhoven:evidence:tongelre-bolgesi-05</t>
        </is>
      </c>
      <c r="P208" s="29" t="inlineStr">
        <is>
          <t>Evet</t>
        </is>
      </c>
      <c r="Q208" s="51" t="n">
        <v>5</v>
      </c>
      <c r="R208" s="29" t="inlineStr">
        <is>
          <t>Taslak</t>
        </is>
      </c>
      <c r="S208" s="52">
        <f>IF(OR(A208="",F208="",C208&lt;&gt;"Mekân"),0,IF(COUNTIFS($F$8:F208,F208,$C$8:C208,"Mekân")=1,1,0))</f>
        <v/>
      </c>
      <c r="T208" s="52">
        <f>IF(OR(A208="",F208="",C208&lt;&gt;"Kapak"),0,IF(COUNTIFS($F$8:F208,F208,$C$8:C208,"Kapak")=1,1,0))</f>
        <v/>
      </c>
    </row>
    <row r="209" ht="54" customHeight="1">
      <c r="A209" s="29" t="inlineStr">
        <is>
          <t>eindhoven:photo:landgoed-de-grote-beek-01</t>
        </is>
      </c>
      <c r="B209" s="29" t="inlineStr">
        <is>
          <t>eindhoven</t>
        </is>
      </c>
      <c r="C209" s="29" t="inlineStr">
        <is>
          <t>Mekân</t>
        </is>
      </c>
      <c r="D209" s="29" t="inlineStr">
        <is>
          <t>eindhoven:landgoed-de-grote-beek</t>
        </is>
      </c>
      <c r="E209" s="29" t="inlineStr">
        <is>
          <t>Fotoğraflar/eindhoven_landgoed-de-grote-beek_01.jpg</t>
        </is>
      </c>
      <c r="F209" s="29" t="inlineStr">
        <is>
          <t>e017b1514aee7efff646d068eda32c46f9c4f50d3efbf4bc44cac303015f7cbd</t>
        </is>
      </c>
      <c r="G209" s="29" t="inlineStr">
        <is>
          <t>Uzun bir çiçek tarhının uzandığı geniş çimenlik; çevrede iri çam ve yapraklı ağaçlar, ağaçların arasından büyük pencereli tarihî tuğla ana bina görünüyor; bulutlu gökyüzü.</t>
        </is>
      </c>
      <c r="H209" s="29" t="inlineStr">
        <is>
          <t>Kris Roderburg</t>
        </is>
      </c>
      <c r="I209" s="29" t="inlineStr">
        <is>
          <t>CC BY-SA 4.0</t>
        </is>
      </c>
      <c r="J209" s="29" t="inlineStr">
        <is>
          <t>https://creativecommons.org/licenses/by-sa/4.0/</t>
        </is>
      </c>
      <c r="K209" s="29" t="inlineStr">
        <is>
          <t>https://commons.wikimedia.org/wiki/File:Overzicht_achtergevel_hoofdgebouw_met_omgeving_-_Eindhoven_-_20380598_-_RCE.jpg</t>
        </is>
      </c>
      <c r="L209" s="49" t="n"/>
      <c r="M209" s="49" t="n">
        <v>46317</v>
      </c>
      <c r="N209" s="29" t="inlineStr">
        <is>
          <t>Wikimedia Commons'taki "Overzicht achtergevel hoofdgebouw met omgeving - Eindhoven - 20380598 - RCE.jpg" (3460×2760 px) özgün dosyasının 1280×1021 px küçültülmüş kopyası indirildi; kırpma, rötuş ve renk düzeltmesi yapılmadı.</t>
        </is>
      </c>
      <c r="O209" s="29" t="inlineStr">
        <is>
          <t>eindhoven:evidence:landgoed-de-grote-beek-01</t>
        </is>
      </c>
      <c r="P209" s="29" t="inlineStr">
        <is>
          <t>Evet</t>
        </is>
      </c>
      <c r="Q209" s="51" t="n">
        <v>1</v>
      </c>
      <c r="R209" s="29" t="inlineStr">
        <is>
          <t>Taslak</t>
        </is>
      </c>
      <c r="S209" s="52">
        <f>IF(OR(A209="",F209="",C209&lt;&gt;"Mekân"),0,IF(COUNTIFS($F$8:F209,F209,$C$8:C209,"Mekân")=1,1,0))</f>
        <v/>
      </c>
      <c r="T209" s="52">
        <f>IF(OR(A209="",F209="",C209&lt;&gt;"Kapak"),0,IF(COUNTIFS($F$8:F209,F209,$C$8:C209,"Kapak")=1,1,0))</f>
        <v/>
      </c>
    </row>
    <row r="210" ht="54" customHeight="1">
      <c r="A210" s="29" t="inlineStr">
        <is>
          <t>eindhoven:photo:landgoed-de-grote-beek-02</t>
        </is>
      </c>
      <c r="B210" s="29" t="inlineStr">
        <is>
          <t>eindhoven</t>
        </is>
      </c>
      <c r="C210" s="29" t="inlineStr">
        <is>
          <t>Mekân</t>
        </is>
      </c>
      <c r="D210" s="29" t="inlineStr">
        <is>
          <t>eindhoven:landgoed-de-grote-beek</t>
        </is>
      </c>
      <c r="E210" s="29" t="inlineStr">
        <is>
          <t>Fotoğraflar/eindhoven_landgoed-de-grote-beek_02.jpg</t>
        </is>
      </c>
      <c r="F210" s="29" t="inlineStr">
        <is>
          <t>de56cb380465a71e6dcbded84d87dce2a075d1ba52d3ca84cbdc5d654f6c6ad2</t>
        </is>
      </c>
      <c r="G210" s="29" t="inlineStr">
        <is>
          <t>Geniş çimenliğin ardında simetrik cepheli tarihî tuğla ana bina; ortada sivri külahlı kule, pencerelerde sarı tenteler, önde yuvarlak budanmış iri bir çalı ve alçak ahşap babalar.</t>
        </is>
      </c>
      <c r="H210" s="29" t="inlineStr">
        <is>
          <t>Kris Roderburg</t>
        </is>
      </c>
      <c r="I210" s="29" t="inlineStr">
        <is>
          <t>CC BY-SA 4.0</t>
        </is>
      </c>
      <c r="J210" s="29" t="inlineStr">
        <is>
          <t>https://creativecommons.org/licenses/by-sa/4.0/</t>
        </is>
      </c>
      <c r="K210" s="29" t="inlineStr">
        <is>
          <t>https://commons.wikimedia.org/wiki/File:Overzicht_voorgevel_hoofdgebouw_-_Eindhoven_-_20380617_-_RCE.jpg</t>
        </is>
      </c>
      <c r="L210" s="49" t="n"/>
      <c r="M210" s="49" t="n">
        <v>46317</v>
      </c>
      <c r="N210" s="29" t="inlineStr">
        <is>
          <t>Wikimedia Commons'taki "Overzicht voorgevel hoofdgebouw - Eindhoven - 20380617 - RCE.jpg" (3460×2760 px) özgün dosyasının 1280×1021 px küçültülmüş kopyası indirildi; kırpma, rötuş ve renk düzeltmesi yapılmadı.</t>
        </is>
      </c>
      <c r="O210" s="29" t="inlineStr">
        <is>
          <t>eindhoven:evidence:landgoed-de-grote-beek-02</t>
        </is>
      </c>
      <c r="P210" s="29" t="inlineStr">
        <is>
          <t>Evet</t>
        </is>
      </c>
      <c r="Q210" s="51" t="n">
        <v>2</v>
      </c>
      <c r="R210" s="29" t="inlineStr">
        <is>
          <t>Taslak</t>
        </is>
      </c>
      <c r="S210" s="52">
        <f>IF(OR(A210="",F210="",C210&lt;&gt;"Mekân"),0,IF(COUNTIFS($F$8:F210,F210,$C$8:C210,"Mekân")=1,1,0))</f>
        <v/>
      </c>
      <c r="T210" s="52">
        <f>IF(OR(A210="",F210="",C210&lt;&gt;"Kapak"),0,IF(COUNTIFS($F$8:F210,F210,$C$8:C210,"Kapak")=1,1,0))</f>
        <v/>
      </c>
    </row>
    <row r="211" ht="54" customHeight="1">
      <c r="A211" s="29" t="inlineStr">
        <is>
          <t>eindhoven:photo:stratumse-heide-01</t>
        </is>
      </c>
      <c r="B211" s="29" t="inlineStr">
        <is>
          <t>eindhoven</t>
        </is>
      </c>
      <c r="C211" s="29" t="inlineStr">
        <is>
          <t>Mekân</t>
        </is>
      </c>
      <c r="D211" s="29" t="inlineStr">
        <is>
          <t>eindhoven:stratumse-heide</t>
        </is>
      </c>
      <c r="E211" s="29" t="inlineStr">
        <is>
          <t>Fotoğraflar/eindhoven_stratumse-heide_01.jpg</t>
        </is>
      </c>
      <c r="F211" s="29" t="inlineStr">
        <is>
          <t>21d61ab9c9def75f905af8b0feedee7ddb7e33000307a837949f7d0c550ee639</t>
        </is>
      </c>
      <c r="G211" s="29" t="inlineStr">
        <is>
          <t>Fundalık ve kuru çayır arasından geçen kumlu patika; uzakta otlayan kahverengi, uzun tüylü İskoç dağ sığırları ve sonbahar renklerine dönmüş ağaçlar; açık mavi gökyüzü.</t>
        </is>
      </c>
      <c r="H211" s="29" t="inlineStr">
        <is>
          <t>Sanne 2345</t>
        </is>
      </c>
      <c r="I211" s="29" t="inlineStr">
        <is>
          <t>CC BY 4.0</t>
        </is>
      </c>
      <c r="J211" s="29" t="inlineStr">
        <is>
          <t>https://creativecommons.org/licenses/by/4.0/</t>
        </is>
      </c>
      <c r="K211" s="29" t="inlineStr">
        <is>
          <t>https://commons.wikimedia.org/wiki/File:Bizons_in_Stratumse_Heide.jpg</t>
        </is>
      </c>
      <c r="L211" s="49" t="n">
        <v>44149</v>
      </c>
      <c r="M211" s="49" t="n">
        <v>46317</v>
      </c>
      <c r="N211" s="29" t="inlineStr">
        <is>
          <t>Wikimedia Commons'taki "Bizons in Stratumse Heide.jpg" (3024×4032 px) özgün dosyasının 1280×1707 px küçültülmüş kopyası indirildi; kırpma, rötuş ve renk düzeltmesi yapılmadı.</t>
        </is>
      </c>
      <c r="O211" s="29" t="inlineStr">
        <is>
          <t>eindhoven:evidence:stratumse-heide-01</t>
        </is>
      </c>
      <c r="P211" s="29" t="inlineStr">
        <is>
          <t>Evet</t>
        </is>
      </c>
      <c r="Q211" s="51" t="n">
        <v>1</v>
      </c>
      <c r="R211" s="29" t="inlineStr">
        <is>
          <t>Taslak</t>
        </is>
      </c>
      <c r="S211" s="52">
        <f>IF(OR(A211="",F211="",C211&lt;&gt;"Mekân"),0,IF(COUNTIFS($F$8:F211,F211,$C$8:C211,"Mekân")=1,1,0))</f>
        <v/>
      </c>
      <c r="T211" s="52">
        <f>IF(OR(A211="",F211="",C211&lt;&gt;"Kapak"),0,IF(COUNTIFS($F$8:F211,F211,$C$8:C211,"Kapak")=1,1,0))</f>
        <v/>
      </c>
    </row>
    <row r="212" ht="54" customHeight="1">
      <c r="A212" s="29" t="inlineStr">
        <is>
          <t>eindhoven:photo:inkijkmuseum-01</t>
        </is>
      </c>
      <c r="B212" s="29" t="inlineStr">
        <is>
          <t>eindhoven</t>
        </is>
      </c>
      <c r="C212" s="29" t="inlineStr">
        <is>
          <t>Mekân</t>
        </is>
      </c>
      <c r="D212" s="29" t="inlineStr">
        <is>
          <t>eindhoven:inkijkmuseum</t>
        </is>
      </c>
      <c r="E212" s="29" t="inlineStr">
        <is>
          <t>Fotoğraflar/eindhoven_inkijkmuseum_01.jpg</t>
        </is>
      </c>
      <c r="F212" s="29" t="inlineStr">
        <is>
          <t>478b88c88ab50d8a14cfd3f55e8d60631cded32d55359cb093d2a1790ec13f3a</t>
        </is>
      </c>
      <c r="G212" s="29" t="inlineStr">
        <is>
          <t>Dik, koyu kiremit çatılı küçük beyaz badanalı ev; cephesinde sarmaşık, önünde beyaz kafes çit. Tuğla döşeli sokağın solunda alçak kırmızı tuğla bina, arkada modern yapılar ve bir vinç.</t>
        </is>
      </c>
      <c r="H212" s="29" t="inlineStr">
        <is>
          <t>Sneeuwvlakte</t>
        </is>
      </c>
      <c r="I212" s="29" t="inlineStr">
        <is>
          <t>CC BY-SA 4.0</t>
        </is>
      </c>
      <c r="J212" s="29" t="inlineStr">
        <is>
          <t>https://creativecommons.org/licenses/by-sa/4.0/</t>
        </is>
      </c>
      <c r="K212" s="29" t="inlineStr">
        <is>
          <t>https://commons.wikimedia.org/wiki/File:Inkijkmuseum_-_Eindhoven_(2026-09-18).jpg</t>
        </is>
      </c>
      <c r="L212" s="49" t="n">
        <v>46283</v>
      </c>
      <c r="M212" s="49" t="n">
        <v>46317</v>
      </c>
      <c r="N212" s="29" t="inlineStr">
        <is>
          <t>Wikimedia Commons'taki "Inkijkmuseum - Eindhoven (2026-09-18).jpg" (4272×2848 px) özgün dosyasının 1280×853 px küçültülmüş kopyası indirildi; kırpma, rötuş ve renk düzeltmesi yapılmadı.</t>
        </is>
      </c>
      <c r="O212" s="29" t="inlineStr">
        <is>
          <t>eindhoven:evidence:inkijkmuseum-01</t>
        </is>
      </c>
      <c r="P212" s="29" t="inlineStr">
        <is>
          <t>Evet</t>
        </is>
      </c>
      <c r="Q212" s="51" t="n">
        <v>1</v>
      </c>
      <c r="R212" s="29" t="inlineStr">
        <is>
          <t>Taslak</t>
        </is>
      </c>
      <c r="S212" s="52">
        <f>IF(OR(A212="",F212="",C212&lt;&gt;"Mekân"),0,IF(COUNTIFS($F$8:F212,F212,$C$8:C212,"Mekân")=1,1,0))</f>
        <v/>
      </c>
      <c r="T212" s="52">
        <f>IF(OR(A212="",F212="",C212&lt;&gt;"Kapak"),0,IF(COUNTIFS($F$8:F212,F212,$C$8:C212,"Kapak")=1,1,0))</f>
        <v/>
      </c>
    </row>
    <row r="213" ht="54" customHeight="1">
      <c r="A213" s="29" t="inlineStr">
        <is>
          <t>eindhoven:photo:inkijkmuseum-02</t>
        </is>
      </c>
      <c r="B213" s="29" t="inlineStr">
        <is>
          <t>eindhoven</t>
        </is>
      </c>
      <c r="C213" s="29" t="inlineStr">
        <is>
          <t>Mekân</t>
        </is>
      </c>
      <c r="D213" s="29" t="inlineStr">
        <is>
          <t>eindhoven:inkijkmuseum</t>
        </is>
      </c>
      <c r="E213" s="29" t="inlineStr">
        <is>
          <t>Fotoğraflar/eindhoven_inkijkmuseum_02.jpg</t>
        </is>
      </c>
      <c r="F213" s="29" t="inlineStr">
        <is>
          <t>1be744dd7cac68a3b391d284b6efde28a0bc7b5ed5e346f246bb37725e7c13dd</t>
        </is>
      </c>
      <c r="G213" s="29" t="inlineStr">
        <is>
          <t>Dik üçgen çatılı beyaz badanalı evin alın cephesi; kemerli büyük pencere, duvarda küçük vitrin kutusu ve fener, solda siyah demir parmaklıklı çit ve kapı.</t>
        </is>
      </c>
      <c r="H213" s="29" t="inlineStr">
        <is>
          <t>Rosemoon</t>
        </is>
      </c>
      <c r="I213" s="29" t="inlineStr">
        <is>
          <t>CC BY-SA 3.0</t>
        </is>
      </c>
      <c r="J213" s="29" t="inlineStr">
        <is>
          <t>https://creativecommons.org/licenses/by-sa/3.0/</t>
        </is>
      </c>
      <c r="K213" s="29" t="inlineStr">
        <is>
          <t>https://commons.wikimedia.org/wiki/File:Inkijkmuseum_Eindhoven_1.jpg</t>
        </is>
      </c>
      <c r="L213" s="49" t="n">
        <v>40873</v>
      </c>
      <c r="M213" s="49" t="n">
        <v>46317</v>
      </c>
      <c r="N213" s="29" t="inlineStr">
        <is>
          <t>Wikimedia Commons'taki "Inkijkmuseum Eindhoven 1.jpg" (3240×4320 px) özgün dosyasının 1280×1707 px küçültülmüş kopyası indirildi; kırpma, rötuş ve renk düzeltmesi yapılmadı.</t>
        </is>
      </c>
      <c r="O213" s="29" t="inlineStr">
        <is>
          <t>eindhoven:evidence:inkijkmuseum-02</t>
        </is>
      </c>
      <c r="P213" s="29" t="inlineStr">
        <is>
          <t>Evet</t>
        </is>
      </c>
      <c r="Q213" s="51" t="n">
        <v>2</v>
      </c>
      <c r="R213" s="29" t="inlineStr">
        <is>
          <t>Taslak</t>
        </is>
      </c>
      <c r="S213" s="52">
        <f>IF(OR(A213="",F213="",C213&lt;&gt;"Mekân"),0,IF(COUNTIFS($F$8:F213,F213,$C$8:C213,"Mekân")=1,1,0))</f>
        <v/>
      </c>
      <c r="T213" s="52">
        <f>IF(OR(A213="",F213="",C213&lt;&gt;"Kapak"),0,IF(COUNTIFS($F$8:F213,F213,$C$8:C213,"Kapak")=1,1,0))</f>
        <v/>
      </c>
    </row>
    <row r="214" ht="54" customHeight="1">
      <c r="A214" s="29" t="inlineStr">
        <is>
          <t>eindhoven:photo:inkijkmuseum-03</t>
        </is>
      </c>
      <c r="B214" s="29" t="inlineStr">
        <is>
          <t>eindhoven</t>
        </is>
      </c>
      <c r="C214" s="29" t="inlineStr">
        <is>
          <t>Mekân</t>
        </is>
      </c>
      <c r="D214" s="29" t="inlineStr">
        <is>
          <t>eindhoven:inkijkmuseum</t>
        </is>
      </c>
      <c r="E214" s="29" t="inlineStr">
        <is>
          <t>Fotoğraflar/eindhoven_inkijkmuseum_03.jpg</t>
        </is>
      </c>
      <c r="F214" s="29" t="inlineStr">
        <is>
          <t>022afc9afb0e4d5e9a2af2c9421155f93b47929ff4e699c527c88cd38a893905</t>
        </is>
      </c>
      <c r="G214" s="29" t="inlineStr">
        <is>
          <t>Beyaz badanalı küçük evin yan cephesi; önünde sivri uçlu siyah demir parmaklık ve kapı, duvarda ferforje kollu 'Het Spoelhuis' tabelası, vitrin kutusu ve ahşap banklar.</t>
        </is>
      </c>
      <c r="H214" s="29" t="inlineStr">
        <is>
          <t>Rosemoon</t>
        </is>
      </c>
      <c r="I214" s="29" t="inlineStr">
        <is>
          <t>CC BY-SA 3.0</t>
        </is>
      </c>
      <c r="J214" s="29" t="inlineStr">
        <is>
          <t>https://creativecommons.org/licenses/by-sa/3.0/</t>
        </is>
      </c>
      <c r="K214" s="29" t="inlineStr">
        <is>
          <t>https://commons.wikimedia.org/wiki/File:Inkijkmuseum_Eindhoven_2.jpg</t>
        </is>
      </c>
      <c r="L214" s="49" t="n">
        <v>40873</v>
      </c>
      <c r="M214" s="49" t="n">
        <v>46317</v>
      </c>
      <c r="N214" s="29" t="inlineStr">
        <is>
          <t>Wikimedia Commons'taki "Inkijkmuseum Eindhoven 2.jpg" (4320×3240 px) özgün dosyasının 1280×960 px küçültülmüş kopyası indirildi; kırpma, rötuş ve renk düzeltmesi yapılmadı.</t>
        </is>
      </c>
      <c r="O214" s="29" t="inlineStr">
        <is>
          <t>eindhoven:evidence:inkijkmuseum-03</t>
        </is>
      </c>
      <c r="P214" s="29" t="inlineStr">
        <is>
          <t>Evet</t>
        </is>
      </c>
      <c r="Q214" s="51" t="n">
        <v>3</v>
      </c>
      <c r="R214" s="29" t="inlineStr">
        <is>
          <t>Taslak</t>
        </is>
      </c>
      <c r="S214" s="52">
        <f>IF(OR(A214="",F214="",C214&lt;&gt;"Mekân"),0,IF(COUNTIFS($F$8:F214,F214,$C$8:C214,"Mekân")=1,1,0))</f>
        <v/>
      </c>
      <c r="T214" s="52">
        <f>IF(OR(A214="",F214="",C214&lt;&gt;"Kapak"),0,IF(COUNTIFS($F$8:F214,F214,$C$8:C214,"Kapak")=1,1,0))</f>
        <v/>
      </c>
    </row>
    <row r="215" ht="54" customHeight="1">
      <c r="A215" s="29" t="inlineStr">
        <is>
          <t>eindhoven:photo:de-vooruitgang-01</t>
        </is>
      </c>
      <c r="B215" s="29" t="inlineStr">
        <is>
          <t>eindhoven</t>
        </is>
      </c>
      <c r="C215" s="29" t="inlineStr">
        <is>
          <t>Mekân</t>
        </is>
      </c>
      <c r="D215" s="29" t="inlineStr">
        <is>
          <t>eindhoven:de-vooruitgang</t>
        </is>
      </c>
      <c r="E215" s="29" t="inlineStr">
        <is>
          <t>Fotoğraflar/eindhoven_de-vooruitgang_01.jpg</t>
        </is>
      </c>
      <c r="F215" s="29" t="inlineStr">
        <is>
          <t>06d6436016f923a09b57ca91d9dad32876cdddf4fc2f476a0d1341cb757bda0b</t>
        </is>
      </c>
      <c r="G215" s="29" t="inlineStr">
        <is>
          <t>Çok katlı iç mekân: duvarları kaplayan şarap rafları ve ışıklı camlı dolaplar, metal merdivenler ve bitkili asma kat; bakır renkli sarkıt lambaların altında sarı ışıklı uzun bar tezgâhı, tabureler ve mumlu masalar.</t>
        </is>
      </c>
      <c r="H215" s="29" t="inlineStr">
        <is>
          <t>Jorgvanm</t>
        </is>
      </c>
      <c r="I215" s="29" t="inlineStr">
        <is>
          <t>CC BY-SA 4.0</t>
        </is>
      </c>
      <c r="J215" s="29" t="inlineStr">
        <is>
          <t>https://creativecommons.org/licenses/by-sa/4.0/</t>
        </is>
      </c>
      <c r="K215" s="29" t="inlineStr">
        <is>
          <t>https://commons.wikimedia.org/wiki/File:Gamko_koelingen_in_caf%C3%A9_de_Vooruitgang.jpg</t>
        </is>
      </c>
      <c r="L215" s="49" t="n">
        <v>42012</v>
      </c>
      <c r="M215" s="49" t="n">
        <v>46317</v>
      </c>
      <c r="N215" s="29" t="inlineStr">
        <is>
          <t>Wikimedia Commons'taki "Gamko koelingen in café de Vooruitgang.jpg" (5796×3870 px) özgün dosyasının 1280×855 px küçültülmüş kopyası indirildi; kırpma, rötuş ve renk düzeltmesi yapılmadı.</t>
        </is>
      </c>
      <c r="O215" s="29" t="inlineStr">
        <is>
          <t>eindhoven:evidence:de-vooruitgang-01</t>
        </is>
      </c>
      <c r="P215" s="29" t="inlineStr">
        <is>
          <t>Evet</t>
        </is>
      </c>
      <c r="Q215" s="51" t="n">
        <v>1</v>
      </c>
      <c r="R215" s="29" t="inlineStr">
        <is>
          <t>Taslak</t>
        </is>
      </c>
      <c r="S215" s="52">
        <f>IF(OR(A215="",F215="",C215&lt;&gt;"Mekân"),0,IF(COUNTIFS($F$8:F215,F215,$C$8:C215,"Mekân")=1,1,0))</f>
        <v/>
      </c>
      <c r="T215" s="52">
        <f>IF(OR(A215="",F215="",C215&lt;&gt;"Kapak"),0,IF(COUNTIFS($F$8:F215,F215,$C$8:C215,"Kapak")=1,1,0))</f>
        <v/>
      </c>
    </row>
    <row r="216" ht="54" customHeight="1">
      <c r="A216" s="29" t="inlineStr">
        <is>
          <t>eindhoven:photo:de-vooruitgang-02</t>
        </is>
      </c>
      <c r="B216" s="29" t="inlineStr">
        <is>
          <t>eindhoven</t>
        </is>
      </c>
      <c r="C216" s="29" t="inlineStr">
        <is>
          <t>Mekân</t>
        </is>
      </c>
      <c r="D216" s="29" t="inlineStr">
        <is>
          <t>eindhoven:de-vooruitgang</t>
        </is>
      </c>
      <c r="E216" s="29" t="inlineStr">
        <is>
          <t>Fotoğraflar/eindhoven_de-vooruitgang_02.jpg</t>
        </is>
      </c>
      <c r="F216" s="29" t="inlineStr">
        <is>
          <t>a10f39ecb9afaabd4ae18b0c4178f9e1c6db22e7e7066a7835d816c0b5548c1c</t>
        </is>
      </c>
      <c r="G216" s="29" t="inlineStr">
        <is>
          <t>Kemerli pencereli kırmızı tuğla cephe; frizde ve tentede 'De Vooruitgang' yazısı, üst katta büyük bir afiş. Önde kapalı beyaz şemsiyeli, sandalyeli teras ve masalarda oturan birkaç kişi.</t>
        </is>
      </c>
      <c r="H216" s="29" t="inlineStr">
        <is>
          <t>Rosemoon</t>
        </is>
      </c>
      <c r="I216" s="29" t="inlineStr">
        <is>
          <t>CC BY-SA 3.0</t>
        </is>
      </c>
      <c r="J216" s="29" t="inlineStr">
        <is>
          <t>https://creativecommons.org/licenses/by-sa/3.0/</t>
        </is>
      </c>
      <c r="K216" s="29" t="inlineStr">
        <is>
          <t>https://commons.wikimedia.org/wiki/File:Markt_11,_EindhovenStadscafe_-_De_Vooruitgang_GM.JPG</t>
        </is>
      </c>
      <c r="L216" s="49" t="n">
        <v>41385</v>
      </c>
      <c r="M216" s="49" t="n">
        <v>46317</v>
      </c>
      <c r="N216" s="29" t="inlineStr">
        <is>
          <t>Wikimedia Commons'taki "Markt 11, EindhovenStadscafe - De Vooruitgang GM.JPG" (3240×4320 px) özgün dosyasının 1280×1707 px küçültülmüş kopyası indirildi; kırpma, rötuş ve renk düzeltmesi yapılmadı.</t>
        </is>
      </c>
      <c r="O216" s="29" t="inlineStr">
        <is>
          <t>eindhoven:evidence:de-vooruitgang-02</t>
        </is>
      </c>
      <c r="P216" s="29" t="inlineStr">
        <is>
          <t>Evet</t>
        </is>
      </c>
      <c r="Q216" s="51" t="n">
        <v>2</v>
      </c>
      <c r="R216" s="29" t="inlineStr">
        <is>
          <t>Taslak</t>
        </is>
      </c>
      <c r="S216" s="52">
        <f>IF(OR(A216="",F216="",C216&lt;&gt;"Mekân"),0,IF(COUNTIFS($F$8:F216,F216,$C$8:C216,"Mekân")=1,1,0))</f>
        <v/>
      </c>
      <c r="T216" s="52">
        <f>IF(OR(A216="",F216="",C216&lt;&gt;"Kapak"),0,IF(COUNTIFS($F$8:F216,F216,$C$8:C216,"Kapak")=1,1,0))</f>
        <v/>
      </c>
    </row>
    <row r="217" ht="54" customHeight="1">
      <c r="A217" s="29" t="inlineStr">
        <is>
          <t>eindhoven:photo:de-wildeman-01</t>
        </is>
      </c>
      <c r="B217" s="29" t="inlineStr">
        <is>
          <t>eindhoven</t>
        </is>
      </c>
      <c r="C217" s="29" t="inlineStr">
        <is>
          <t>Mekân</t>
        </is>
      </c>
      <c r="D217" s="29" t="inlineStr">
        <is>
          <t>eindhoven:de-wildeman</t>
        </is>
      </c>
      <c r="E217" s="29" t="inlineStr">
        <is>
          <t>Fotoğraflar/eindhoven_de-wildeman_01.jpg</t>
        </is>
      </c>
      <c r="F217" s="29" t="inlineStr">
        <is>
          <t>b900f0ad4c4e94f1ea3f580a0b46f71bb0b2a6351e653be51c027ee8e34c8ffe</t>
        </is>
      </c>
      <c r="G217" s="29" t="inlineStr">
        <is>
          <t>Beyaz pencereli, yüksek kırmızı tuğla bina; zemin kattaki koyu tentede 'Bavaria' ve 'de Wildeman' yazıları. Önde kapalı şemsiyeli, masalarında insanların oturduğu kalabalık teras.</t>
        </is>
      </c>
      <c r="H217" s="29" t="inlineStr">
        <is>
          <t>Rosemoon</t>
        </is>
      </c>
      <c r="I217" s="29" t="inlineStr">
        <is>
          <t>CC BY-SA 3.0</t>
        </is>
      </c>
      <c r="J217" s="29" t="inlineStr">
        <is>
          <t>https://creativecommons.org/licenses/by-sa/3.0/</t>
        </is>
      </c>
      <c r="K217" s="29" t="inlineStr">
        <is>
          <t>https://commons.wikimedia.org/wiki/File:Markt_9-10,_Eindhoven_Cafe_De_Wildeman.JPG</t>
        </is>
      </c>
      <c r="L217" s="49" t="n">
        <v>41385</v>
      </c>
      <c r="M217" s="49" t="n">
        <v>46317</v>
      </c>
      <c r="N217" s="29" t="inlineStr">
        <is>
          <t>Wikimedia Commons'taki "Markt 9-10, Eindhoven Cafe De Wildeman.JPG" (3240×4320 px) özgün dosyasının 1280×1707 px küçültülmüş kopyası indirildi; kırpma, rötuş ve renk düzeltmesi yapılmadı.</t>
        </is>
      </c>
      <c r="O217" s="29" t="inlineStr">
        <is>
          <t>eindhoven:evidence:de-wildeman-01</t>
        </is>
      </c>
      <c r="P217" s="29" t="inlineStr">
        <is>
          <t>Evet</t>
        </is>
      </c>
      <c r="Q217" s="51" t="n">
        <v>1</v>
      </c>
      <c r="R217" s="29" t="inlineStr">
        <is>
          <t>Taslak</t>
        </is>
      </c>
      <c r="S217" s="52">
        <f>IF(OR(A217="",F217="",C217&lt;&gt;"Mekân"),0,IF(COUNTIFS($F$8:F217,F217,$C$8:C217,"Mekân")=1,1,0))</f>
        <v/>
      </c>
      <c r="T217" s="52">
        <f>IF(OR(A217="",F217="",C217&lt;&gt;"Kapak"),0,IF(COUNTIFS($F$8:F217,F217,$C$8:C217,"Kapak")=1,1,0))</f>
        <v/>
      </c>
    </row>
    <row r="218" ht="54" customHeight="1">
      <c r="A218" s="29" t="inlineStr">
        <is>
          <t>eindhoven:photo:restaurant-1910-01</t>
        </is>
      </c>
      <c r="B218" s="29" t="inlineStr">
        <is>
          <t>eindhoven</t>
        </is>
      </c>
      <c r="C218" s="29" t="inlineStr">
        <is>
          <t>Mekân</t>
        </is>
      </c>
      <c r="D218" s="29" t="inlineStr">
        <is>
          <t>eindhoven:restaurant-1910</t>
        </is>
      </c>
      <c r="E218" s="29" t="inlineStr">
        <is>
          <t>Fotoğraflar/eindhoven_restaurant-1910_01.jpg</t>
        </is>
      </c>
      <c r="F218" s="29" t="inlineStr">
        <is>
          <t>fabef9ea0c6dce5c181cd0bd2420fc4945f9d73382ebee160aa1f0389297c2a2</t>
        </is>
      </c>
      <c r="G218" s="29" t="inlineStr">
        <is>
          <t>Koyu kiremit çatılı, beyaz boyalı köşe evi; köşede '1910' logolu tabela ve bira bayrağı, girişte saksılarda konik çalılar ve sarmaşıklı çit; önünden bisikletli biri geçiyor.</t>
        </is>
      </c>
      <c r="H218" s="29" t="inlineStr">
        <is>
          <t>Rosemoon</t>
        </is>
      </c>
      <c r="I218" s="29" t="inlineStr">
        <is>
          <t>CC BY-SA 3.0</t>
        </is>
      </c>
      <c r="J218" s="29" t="inlineStr">
        <is>
          <t>https://creativecommons.org/licenses/by-sa/3.0/</t>
        </is>
      </c>
      <c r="K218" s="29" t="inlineStr">
        <is>
          <t>https://commons.wikimedia.org/wiki/File:Restaurant_1910_Willemstraat_43A_Eindhoven.JPG</t>
        </is>
      </c>
      <c r="L218" s="49" t="n">
        <v>41271</v>
      </c>
      <c r="M218" s="49" t="n">
        <v>46317</v>
      </c>
      <c r="N218" s="29" t="inlineStr">
        <is>
          <t>Wikimedia Commons'taki "Restaurant 1910 Willemstraat 43A Eindhoven.JPG" (4320×3240 px) özgün dosyasının 1280×960 px küçültülmüş kopyası indirildi; kırpma, rötuş ve renk düzeltmesi yapılmadı.</t>
        </is>
      </c>
      <c r="O218" s="29" t="inlineStr">
        <is>
          <t>eindhoven:evidence:restaurant-1910-01</t>
        </is>
      </c>
      <c r="P218" s="29" t="inlineStr">
        <is>
          <t>Evet</t>
        </is>
      </c>
      <c r="Q218" s="51" t="n">
        <v>1</v>
      </c>
      <c r="R218" s="29" t="inlineStr">
        <is>
          <t>Taslak</t>
        </is>
      </c>
      <c r="S218" s="52">
        <f>IF(OR(A218="",F218="",C218&lt;&gt;"Mekân"),0,IF(COUNTIFS($F$8:F218,F218,$C$8:C218,"Mekân")=1,1,0))</f>
        <v/>
      </c>
      <c r="T218" s="52">
        <f>IF(OR(A218="",F218="",C218&lt;&gt;"Kapak"),0,IF(COUNTIFS($F$8:F218,F218,$C$8:C218,"Kapak")=1,1,0))</f>
        <v/>
      </c>
    </row>
    <row r="219" ht="54" customHeight="1">
      <c r="A219" s="29" t="inlineStr">
        <is>
          <t>eindhoven:photo:de-gaper-01</t>
        </is>
      </c>
      <c r="B219" s="29" t="inlineStr">
        <is>
          <t>eindhoven</t>
        </is>
      </c>
      <c r="C219" s="29" t="inlineStr">
        <is>
          <t>Mekân</t>
        </is>
      </c>
      <c r="D219" s="29" t="inlineStr">
        <is>
          <t>eindhoven:de-gaper</t>
        </is>
      </c>
      <c r="E219" s="29" t="inlineStr">
        <is>
          <t>Fotoğraflar/eindhoven_de-gaper_01.jpg</t>
        </is>
      </c>
      <c r="F219" s="29" t="inlineStr">
        <is>
          <t>eb3d5dada5607b3224729f9b415352006c2e70802b7385650108d9f85ced67c0</t>
        </is>
      </c>
      <c r="G219" s="29" t="inlineStr">
        <is>
          <t>Lacivert zemin katlı beyaz köşe binası; cephede 'De Gaper', 'Proeflokaal' ve 'Eetkamer' yazıları, üstte 'Dommelsch Bier' tabelası. Önde taş babalar, ahşap bank ve kapalı şemsiyeler.</t>
        </is>
      </c>
      <c r="H219" s="29" t="inlineStr">
        <is>
          <t>Rosemoon</t>
        </is>
      </c>
      <c r="I219" s="29" t="inlineStr">
        <is>
          <t>CC BY-SA 3.0</t>
        </is>
      </c>
      <c r="J219" s="29" t="inlineStr">
        <is>
          <t>https://creativecommons.org/licenses/by-sa/3.0/</t>
        </is>
      </c>
      <c r="K219" s="29" t="inlineStr">
        <is>
          <t>https://commons.wikimedia.org/wiki/File:De_Gaper_Wilhelminaplein_5_Eindhoven_(1).JPG</t>
        </is>
      </c>
      <c r="L219" s="49" t="n">
        <v>41271</v>
      </c>
      <c r="M219" s="49" t="n">
        <v>46317</v>
      </c>
      <c r="N219" s="29" t="inlineStr">
        <is>
          <t>Wikimedia Commons'taki "De Gaper Wilhelminaplein 5 Eindhoven (1).JPG" (4320×3240 px) özgün dosyasının 1280×960 px küçültülmüş kopyası indirildi; kırpma, rötuş ve renk düzeltmesi yapılmadı.</t>
        </is>
      </c>
      <c r="O219" s="29" t="inlineStr">
        <is>
          <t>eindhoven:evidence:de-gaper-01</t>
        </is>
      </c>
      <c r="P219" s="29" t="inlineStr">
        <is>
          <t>Evet</t>
        </is>
      </c>
      <c r="Q219" s="51" t="n">
        <v>1</v>
      </c>
      <c r="R219" s="29" t="inlineStr">
        <is>
          <t>Taslak</t>
        </is>
      </c>
      <c r="S219" s="52">
        <f>IF(OR(A219="",F219="",C219&lt;&gt;"Mekân"),0,IF(COUNTIFS($F$8:F219,F219,$C$8:C219,"Mekân")=1,1,0))</f>
        <v/>
      </c>
      <c r="T219" s="52">
        <f>IF(OR(A219="",F219="",C219&lt;&gt;"Kapak"),0,IF(COUNTIFS($F$8:F219,F219,$C$8:C219,"Kapak")=1,1,0))</f>
        <v/>
      </c>
    </row>
    <row r="220" ht="54" customHeight="1">
      <c r="A220" s="29" t="inlineStr">
        <is>
          <t>eindhoven:photo:cafe-wilhelmina-01</t>
        </is>
      </c>
      <c r="B220" s="29" t="inlineStr">
        <is>
          <t>eindhoven</t>
        </is>
      </c>
      <c r="C220" s="29" t="inlineStr">
        <is>
          <t>Mekân</t>
        </is>
      </c>
      <c r="D220" s="29" t="inlineStr">
        <is>
          <t>eindhoven:cafe-wilhelmina</t>
        </is>
      </c>
      <c r="E220" s="29" t="inlineStr">
        <is>
          <t>Fotoğraflar/eindhoven_cafe-wilhelmina_01.jpg</t>
        </is>
      </c>
      <c r="F220" s="29" t="inlineStr">
        <is>
          <t>da912aa7fa90500e36be14223af52bab94b96db693eea760f43b46934e406a05</t>
        </is>
      </c>
      <c r="G220" s="29" t="inlineStr">
        <is>
          <t>Ortası üçgen alınlıklı tuğla bina; üstte 'Dommelsch' yazısı, pencerelerde çizgili tenteler, zemin katta solda 'Wilhelmina' tabelası. Önde uzun koyu tenteli teras, önünde hasır sandalyeler ve piknik masaları; kimse yok.</t>
        </is>
      </c>
      <c r="H220" s="29" t="inlineStr">
        <is>
          <t>Rosemoon</t>
        </is>
      </c>
      <c r="I220" s="29" t="inlineStr">
        <is>
          <t>CC BY-SA 3.0</t>
        </is>
      </c>
      <c r="J220" s="29" t="inlineStr">
        <is>
          <t>https://creativecommons.org/licenses/by-sa/3.0/</t>
        </is>
      </c>
      <c r="K220" s="29" t="inlineStr">
        <is>
          <t>https://commons.wikimedia.org/wiki/File:Wilhelminaplein_6-7_Eindhoven.JPG</t>
        </is>
      </c>
      <c r="L220" s="49" t="n">
        <v>41271</v>
      </c>
      <c r="M220" s="49" t="n">
        <v>46317</v>
      </c>
      <c r="N220" s="29" t="inlineStr">
        <is>
          <t>Wikimedia Commons'taki "Wilhelminaplein 6-7 Eindhoven.JPG" (3240×4320 px) özgün dosyasının 1280×1707 px küçültülmüş kopyası indirildi; kırpma, rötuş ve renk düzeltmesi yapılmadı.</t>
        </is>
      </c>
      <c r="O220" s="29" t="inlineStr">
        <is>
          <t>eindhoven:evidence:cafe-wilhelmina-01</t>
        </is>
      </c>
      <c r="P220" s="29" t="inlineStr">
        <is>
          <t>Evet</t>
        </is>
      </c>
      <c r="Q220" s="51" t="n">
        <v>1</v>
      </c>
      <c r="R220" s="29" t="inlineStr">
        <is>
          <t>Taslak</t>
        </is>
      </c>
      <c r="S220" s="52">
        <f>IF(OR(A220="",F220="",C220&lt;&gt;"Mekân"),0,IF(COUNTIFS($F$8:F220,F220,$C$8:C220,"Mekân")=1,1,0))</f>
        <v/>
      </c>
      <c r="T220" s="52">
        <f>IF(OR(A220="",F220="",C220&lt;&gt;"Kapak"),0,IF(COUNTIFS($F$8:F220,F220,$C$8:C220,"Kapak")=1,1,0))</f>
        <v/>
      </c>
    </row>
    <row r="221" ht="54" customHeight="1">
      <c r="A221" s="29" t="inlineStr">
        <is>
          <t>eindhoven:photo:altstadt-eindhoven-01</t>
        </is>
      </c>
      <c r="B221" s="29" t="inlineStr">
        <is>
          <t>eindhoven</t>
        </is>
      </c>
      <c r="C221" s="29" t="inlineStr">
        <is>
          <t>Mekân</t>
        </is>
      </c>
      <c r="D221" s="29" t="inlineStr">
        <is>
          <t>eindhoven:altstadt-eindhoven</t>
        </is>
      </c>
      <c r="E221" s="29" t="inlineStr">
        <is>
          <t>Fotoğraflar/eindhoven_altstadt-eindhoven_01.jpg</t>
        </is>
      </c>
      <c r="F221" s="29" t="inlineStr">
        <is>
          <t>a69d663d6858a082f07e829f96117b51d3692922baddd2544f7eda5210e0c8c2</t>
        </is>
      </c>
      <c r="G221" s="29" t="inlineStr">
        <is>
          <t>Cephesinde turuncu 'altstadt' harfleri ve yeşil pano bulunan kafe; 'café altstadt' yazılı koyu tentenin önünde hasır sandalyeli teras. Sağda Stratumseind boyunca sıralanan diğer kafeler.</t>
        </is>
      </c>
      <c r="H221" s="29" t="inlineStr">
        <is>
          <t>Jan Geerling</t>
        </is>
      </c>
      <c r="I221" s="29" t="inlineStr">
        <is>
          <t>CC BY-SA 4.0</t>
        </is>
      </c>
      <c r="J221" s="29" t="inlineStr">
        <is>
          <t>https://creativecommons.org/licenses/by-sa/4.0/</t>
        </is>
      </c>
      <c r="K221" s="29" t="inlineStr">
        <is>
          <t>https://commons.wikimedia.org/wiki/File:Stratumseind_Eindhoven_-_Centrum_1803-78.jpg</t>
        </is>
      </c>
      <c r="L221" s="49" t="n"/>
      <c r="M221" s="49" t="n">
        <v>46317</v>
      </c>
      <c r="N221" s="29" t="inlineStr">
        <is>
          <t>Wikimedia Commons'taki "Stratumseind Eindhoven - Centrum 1803-78.jpg" (4503×3652 px) özgün dosyasının 1280×1038 px küçültülmüş kopyası indirildi; kırpma, rötuş ve renk düzeltmesi yapılmadı.</t>
        </is>
      </c>
      <c r="O221" s="29" t="inlineStr">
        <is>
          <t>eindhoven:evidence:altstadt-eindhoven-01</t>
        </is>
      </c>
      <c r="P221" s="29" t="inlineStr">
        <is>
          <t>Evet</t>
        </is>
      </c>
      <c r="Q221" s="51" t="n">
        <v>1</v>
      </c>
      <c r="R221" s="29" t="inlineStr">
        <is>
          <t>Taslak</t>
        </is>
      </c>
      <c r="S221" s="52">
        <f>IF(OR(A221="",F221="",C221&lt;&gt;"Mekân"),0,IF(COUNTIFS($F$8:F221,F221,$C$8:C221,"Mekân")=1,1,0))</f>
        <v/>
      </c>
      <c r="T221" s="52">
        <f>IF(OR(A221="",F221="",C221&lt;&gt;"Kapak"),0,IF(COUNTIFS($F$8:F221,F221,$C$8:C221,"Kapak")=1,1,0))</f>
        <v/>
      </c>
    </row>
    <row r="222" ht="54" customHeight="1">
      <c r="A222" s="29" t="inlineStr">
        <is>
          <t>eindhoven:photo:altstadt-eindhoven-02</t>
        </is>
      </c>
      <c r="B222" s="29" t="inlineStr">
        <is>
          <t>eindhoven</t>
        </is>
      </c>
      <c r="C222" s="29" t="inlineStr">
        <is>
          <t>Mekân</t>
        </is>
      </c>
      <c r="D222" s="29" t="inlineStr">
        <is>
          <t>eindhoven:altstadt-eindhoven</t>
        </is>
      </c>
      <c r="E222" s="29" t="inlineStr">
        <is>
          <t>Fotoğraflar/eindhoven_altstadt-eindhoven_02.jpg</t>
        </is>
      </c>
      <c r="F222" s="29" t="inlineStr">
        <is>
          <t>90008ab27507dec39300ee641287e6d096d7f954841caed51d4c625841302143</t>
        </is>
      </c>
      <c r="G222" s="29" t="inlineStr">
        <is>
          <t>Açık yeşil boyalı iki katlı cephe, üstte kırmızı 'altstadt' harfleri; koyu zemin katın önünde istiflenmiş hasır sandalyeler, ahşap yüksek masalar ve kara tahta; sağda sarı komşu bina.</t>
        </is>
      </c>
      <c r="H222" s="29" t="inlineStr">
        <is>
          <t>Rosemoon</t>
        </is>
      </c>
      <c r="I222" s="29" t="inlineStr">
        <is>
          <t>CC BY-SA 3.0</t>
        </is>
      </c>
      <c r="J222" s="29" t="inlineStr">
        <is>
          <t>https://creativecommons.org/licenses/by-sa/3.0/</t>
        </is>
      </c>
      <c r="K222" s="29" t="inlineStr">
        <is>
          <t>https://commons.wikimedia.org/wiki/File:Stratumseind_71,_Eindhoven.JPG</t>
        </is>
      </c>
      <c r="L222" s="49" t="n">
        <v>41385</v>
      </c>
      <c r="M222" s="49" t="n">
        <v>46317</v>
      </c>
      <c r="N222" s="29" t="inlineStr">
        <is>
          <t>Wikimedia Commons'taki "Stratumseind 71, Eindhoven.JPG" (4320×3240 px) özgün dosyasının 1280×960 px küçültülmüş kopyası indirildi; kırpma, rötuş ve renk düzeltmesi yapılmadı.</t>
        </is>
      </c>
      <c r="O222" s="29" t="inlineStr">
        <is>
          <t>eindhoven:evidence:altstadt-eindhoven-02</t>
        </is>
      </c>
      <c r="P222" s="29" t="inlineStr">
        <is>
          <t>Evet</t>
        </is>
      </c>
      <c r="Q222" s="51" t="n">
        <v>2</v>
      </c>
      <c r="R222" s="29" t="inlineStr">
        <is>
          <t>Taslak</t>
        </is>
      </c>
      <c r="S222" s="52">
        <f>IF(OR(A222="",F222="",C222&lt;&gt;"Mekân"),0,IF(COUNTIFS($F$8:F222,F222,$C$8:C222,"Mekân")=1,1,0))</f>
        <v/>
      </c>
      <c r="T222" s="52">
        <f>IF(OR(A222="",F222="",C222&lt;&gt;"Kapak"),0,IF(COUNTIFS($F$8:F222,F222,$C$8:C222,"Kapak")=1,1,0))</f>
        <v/>
      </c>
    </row>
    <row r="223" ht="54" customHeight="1">
      <c r="A223" s="29" t="inlineStr">
        <is>
          <t>eindhoven:photo:rugby-club-eindhoven-01</t>
        </is>
      </c>
      <c r="B223" s="29" t="inlineStr">
        <is>
          <t>eindhoven</t>
        </is>
      </c>
      <c r="C223" s="29" t="inlineStr">
        <is>
          <t>Mekân</t>
        </is>
      </c>
      <c r="D223" s="29" t="inlineStr">
        <is>
          <t>eindhoven:rugby-club-eindhoven</t>
        </is>
      </c>
      <c r="E223" s="29" t="inlineStr">
        <is>
          <t>Fotoğraflar/eindhoven_rugby-club-eindhoven_01.jpg</t>
        </is>
      </c>
      <c r="F223" s="29" t="inlineStr">
        <is>
          <t>678754cde2f22e1d18ec39085640b9e12213ef1a9c64ca22f59ac15c5f88204b</t>
        </is>
      </c>
      <c r="G223" s="29" t="inlineStr">
        <is>
          <t>Beyaz çizgili geniş çim rugby sahası; sağda yüksek H biçimli kale direkleri, arkada yapraksız ağaç sırası ve uzakta alçak, koyu renkli kulüp binası; açık mavi gökyüzü.</t>
        </is>
      </c>
      <c r="H223" s="29" t="inlineStr">
        <is>
          <t>Joris</t>
        </is>
      </c>
      <c r="I223" s="29" t="inlineStr">
        <is>
          <t>CC BY-SA 4.0</t>
        </is>
      </c>
      <c r="J223" s="29" t="inlineStr">
        <is>
          <t>https://creativecommons.org/licenses/by-sa/4.0/</t>
        </is>
      </c>
      <c r="K223" s="29" t="inlineStr">
        <is>
          <t>https://commons.wikimedia.org/wiki/File:Rugbyclub_Eindhoven_1.jpg</t>
        </is>
      </c>
      <c r="L223" s="49" t="n">
        <v>45031</v>
      </c>
      <c r="M223" s="49" t="n">
        <v>46317</v>
      </c>
      <c r="N223" s="29" t="inlineStr">
        <is>
          <t>Wikimedia Commons'taki "Rugbyclub Eindhoven 1.jpg" (4624×2604 px) özgün dosyasının 1280×721 px küçültülmüş kopyası indirildi; kırpma, rötuş ve renk düzeltmesi yapılmadı.</t>
        </is>
      </c>
      <c r="O223" s="29" t="inlineStr">
        <is>
          <t>eindhoven:evidence:rugby-club-eindhoven-01</t>
        </is>
      </c>
      <c r="P223" s="29" t="inlineStr">
        <is>
          <t>Evet</t>
        </is>
      </c>
      <c r="Q223" s="51" t="n">
        <v>1</v>
      </c>
      <c r="R223" s="29" t="inlineStr">
        <is>
          <t>Taslak</t>
        </is>
      </c>
      <c r="S223" s="52">
        <f>IF(OR(A223="",F223="",C223&lt;&gt;"Mekân"),0,IF(COUNTIFS($F$8:F223,F223,$C$8:C223,"Mekân")=1,1,0))</f>
        <v/>
      </c>
      <c r="T223" s="52">
        <f>IF(OR(A223="",F223="",C223&lt;&gt;"Kapak"),0,IF(COUNTIFS($F$8:F223,F223,$C$8:C223,"Kapak")=1,1,0))</f>
        <v/>
      </c>
    </row>
    <row r="224" ht="54" customHeight="1">
      <c r="A224" s="29" t="inlineStr">
        <is>
          <t>eindhoven:photo:rugby-club-eindhoven-02</t>
        </is>
      </c>
      <c r="B224" s="29" t="inlineStr">
        <is>
          <t>eindhoven</t>
        </is>
      </c>
      <c r="C224" s="29" t="inlineStr">
        <is>
          <t>Mekân</t>
        </is>
      </c>
      <c r="D224" s="29" t="inlineStr">
        <is>
          <t>eindhoven:rugby-club-eindhoven</t>
        </is>
      </c>
      <c r="E224" s="29" t="inlineStr">
        <is>
          <t>Fotoğraflar/eindhoven_rugby-club-eindhoven_02.jpg</t>
        </is>
      </c>
      <c r="F224" s="29" t="inlineStr">
        <is>
          <t>32cf905debbdecd8efa9da2339a25ece3e0ee59a3ad5157347c356fc0aaac2be</t>
        </is>
      </c>
      <c r="G224" s="29" t="inlineStr">
        <is>
          <t>Çim sahanın ardında 'Rugby Club Eindhoven' yazılı koyu gri, tek katlı kulüp binası; önünde toplanmış insanlar, piknik masaları ve bisikletler, çevrede yapraksız ağaçlar.</t>
        </is>
      </c>
      <c r="H224" s="29" t="inlineStr">
        <is>
          <t>Joris</t>
        </is>
      </c>
      <c r="I224" s="29" t="inlineStr">
        <is>
          <t>CC BY-SA 4.0</t>
        </is>
      </c>
      <c r="J224" s="29" t="inlineStr">
        <is>
          <t>https://creativecommons.org/licenses/by-sa/4.0/</t>
        </is>
      </c>
      <c r="K224" s="29" t="inlineStr">
        <is>
          <t>https://commons.wikimedia.org/wiki/File:Rugbyclub_Eindhoven_2.jpg</t>
        </is>
      </c>
      <c r="L224" s="49" t="n">
        <v>45031</v>
      </c>
      <c r="M224" s="49" t="n">
        <v>46317</v>
      </c>
      <c r="N224" s="29" t="inlineStr">
        <is>
          <t>Wikimedia Commons'taki "Rugbyclub Eindhoven 2.jpg" (4624×2604 px) özgün dosyasının 1280×721 px küçültülmüş kopyası indirildi; kırpma, rötuş ve renk düzeltmesi yapılmadı.</t>
        </is>
      </c>
      <c r="O224" s="29" t="inlineStr">
        <is>
          <t>eindhoven:evidence:rugby-club-eindhoven-02</t>
        </is>
      </c>
      <c r="P224" s="29" t="inlineStr">
        <is>
          <t>Evet</t>
        </is>
      </c>
      <c r="Q224" s="51" t="n">
        <v>2</v>
      </c>
      <c r="R224" s="29" t="inlineStr">
        <is>
          <t>Taslak</t>
        </is>
      </c>
      <c r="S224" s="52">
        <f>IF(OR(A224="",F224="",C224&lt;&gt;"Mekân"),0,IF(COUNTIFS($F$8:F224,F224,$C$8:C224,"Mekân")=1,1,0))</f>
        <v/>
      </c>
      <c r="T224" s="52">
        <f>IF(OR(A224="",F224="",C224&lt;&gt;"Kapak"),0,IF(COUNTIFS($F$8:F224,F224,$C$8:C224,"Kapak")=1,1,0))</f>
        <v/>
      </c>
    </row>
    <row r="225" ht="54" customHeight="1">
      <c r="A225" s="29" t="inlineStr">
        <is>
          <t>eindhoven:photo:hc-oranje-rood-01</t>
        </is>
      </c>
      <c r="B225" s="29" t="inlineStr">
        <is>
          <t>eindhoven</t>
        </is>
      </c>
      <c r="C225" s="29" t="inlineStr">
        <is>
          <t>Mekân</t>
        </is>
      </c>
      <c r="D225" s="29" t="inlineStr">
        <is>
          <t>eindhoven:hc-oranje-rood</t>
        </is>
      </c>
      <c r="E225" s="29" t="inlineStr">
        <is>
          <t>Fotoğraflar/eindhoven_hc-oranje-rood_01.jpg</t>
        </is>
      </c>
      <c r="F225" s="29" t="inlineStr">
        <is>
          <t>ee3bba419569412fd8b54dc4670be4b2d18f731a2b1b06ccc5add28bf3279c71</t>
        </is>
      </c>
      <c r="G225" s="29" t="inlineStr">
        <is>
          <t>Yeşil sentetik çim hokey sahasında maç; beyaz ve kırmızı-siyah formalı oyuncular, arkada seyircilerle dolu tribün, üstünde gri modern kulüp binası, yüksek ışık direkleri ve mavi şemsiyeler.</t>
        </is>
      </c>
      <c r="H225" s="29" t="inlineStr">
        <is>
          <t>de:Benutzer:Feathil</t>
        </is>
      </c>
      <c r="I225" s="29" t="inlineStr">
        <is>
          <t>CC BY-SA 3.0 de</t>
        </is>
      </c>
      <c r="J225" s="29" t="inlineStr">
        <is>
          <t>https://creativecommons.org/licenses/by-sa/3.0/de/deed.en/</t>
        </is>
      </c>
      <c r="K225" s="29" t="inlineStr">
        <is>
          <t>https://commons.wikimedia.org/wiki/File:Oranje-rood-stadion.jpg</t>
        </is>
      </c>
      <c r="L225" s="49" t="n">
        <v>42839</v>
      </c>
      <c r="M225" s="49" t="n">
        <v>46317</v>
      </c>
      <c r="N225" s="29" t="inlineStr">
        <is>
          <t>Wikimedia Commons'taki "Oranje-rood-stadion.jpg" (3000×2000 px) özgün dosyasının 1280×853 px küçültülmüş kopyası indirildi; kırpma, rötuş ve renk düzeltmesi yapılmadı.</t>
        </is>
      </c>
      <c r="O225" s="29" t="inlineStr">
        <is>
          <t>eindhoven:evidence:hc-oranje-rood-01</t>
        </is>
      </c>
      <c r="P225" s="29" t="inlineStr">
        <is>
          <t>Evet</t>
        </is>
      </c>
      <c r="Q225" s="51" t="n">
        <v>1</v>
      </c>
      <c r="R225" s="29" t="inlineStr">
        <is>
          <t>Taslak</t>
        </is>
      </c>
      <c r="S225" s="52">
        <f>IF(OR(A225="",F225="",C225&lt;&gt;"Mekân"),0,IF(COUNTIFS($F$8:F225,F225,$C$8:C225,"Mekân")=1,1,0))</f>
        <v/>
      </c>
      <c r="T225" s="52">
        <f>IF(OR(A225="",F225="",C225&lt;&gt;"Kapak"),0,IF(COUNTIFS($F$8:F225,F225,$C$8:C225,"Kapak")=1,1,0))</f>
        <v/>
      </c>
    </row>
    <row r="226" ht="54" customHeight="1">
      <c r="A226" s="29" t="inlineStr">
        <is>
          <t>eindhoven:photo:kapak-01</t>
        </is>
      </c>
      <c r="B226" s="29" t="inlineStr">
        <is>
          <t>eindhoven</t>
        </is>
      </c>
      <c r="C226" s="29" t="inlineStr">
        <is>
          <t>Kapak</t>
        </is>
      </c>
      <c r="D226" s="29" t="n"/>
      <c r="E226" s="29" t="inlineStr">
        <is>
          <t>Fotoğraflar/eindhoven_kapak_01.jpg</t>
        </is>
      </c>
      <c r="F226" s="29" t="inlineStr">
        <is>
          <t>1df5445ff7ebe3e5549a3f2f309e499437d230623a87227117998dc29fc1e6fc</t>
        </is>
      </c>
      <c r="G226" s="29" t="inlineStr">
        <is>
          <t>Şehir merkezinde 18 Septemberplein: taş döşeli geniş meydanda yürüyen insanlar ve bisikletliler, ortada üçgen cam panelli kubbe biçimli yapı, sağda beyaz eğik bir yapı, arkada ağaçlar ve çok katlı binalar</t>
        </is>
      </c>
      <c r="H226" s="29" t="inlineStr">
        <is>
          <t>Ralf Roletschek</t>
        </is>
      </c>
      <c r="I226" s="29" t="inlineStr">
        <is>
          <t>CC BY 3.0</t>
        </is>
      </c>
      <c r="J226" s="29" t="inlineStr">
        <is>
          <t>https://creativecommons.org/licenses/by/3.0/</t>
        </is>
      </c>
      <c r="K226" s="29" t="inlineStr">
        <is>
          <t>https://commons.wikimedia.org/wiki/File:13-06-28-eindhoven-by-RalfR-16.jpg</t>
        </is>
      </c>
      <c r="L226" s="49" t="n">
        <v>41453</v>
      </c>
      <c r="M226" s="49" t="n">
        <v>46317</v>
      </c>
      <c r="N226" s="29" t="inlineStr">
        <is>
          <t>Wikimedia Commons'taki "13-06-28-eindhoven-by-RalfR-16.jpg" (4288×2848 px) özgün dosyasının 1280×850 px küçültülmüş kopyası indirildi; kırpma, rötuş ve renk düzeltmesi yapılmadı.</t>
        </is>
      </c>
      <c r="O226" s="29" t="inlineStr">
        <is>
          <t>eindhoven:evidence:kapak-01</t>
        </is>
      </c>
      <c r="P226" s="29" t="inlineStr">
        <is>
          <t>Evet</t>
        </is>
      </c>
      <c r="Q226" s="51" t="n">
        <v>1</v>
      </c>
      <c r="R226" s="29" t="inlineStr">
        <is>
          <t>Taslak</t>
        </is>
      </c>
      <c r="S226" s="52">
        <f>IF(OR(A226="",F226="",C226&lt;&gt;"Mekân"),0,IF(COUNTIFS($F$8:F226,F226,$C$8:C226,"Mekân")=1,1,0))</f>
        <v/>
      </c>
      <c r="T226" s="52">
        <f>IF(OR(A226="",F226="",C226&lt;&gt;"Kapak"),0,IF(COUNTIFS($F$8:F226,F226,$C$8:C226,"Kapak")=1,1,0))</f>
        <v/>
      </c>
    </row>
    <row r="227" ht="54" customHeight="1">
      <c r="A227" s="29" t="inlineStr">
        <is>
          <t>eindhoven:photo:kapak-02</t>
        </is>
      </c>
      <c r="B227" s="29" t="inlineStr">
        <is>
          <t>eindhoven</t>
        </is>
      </c>
      <c r="C227" s="29" t="inlineStr">
        <is>
          <t>Kapak</t>
        </is>
      </c>
      <c r="D227" s="29" t="n"/>
      <c r="E227" s="29" t="inlineStr">
        <is>
          <t>Fotoğraflar/eindhoven_kapak_02.jpg</t>
        </is>
      </c>
      <c r="F227" s="29" t="inlineStr">
        <is>
          <t>855df4b7b2f6662a4d802ba47f0f27e3e472e429f27060961a6c3e25b03733c9</t>
        </is>
      </c>
      <c r="G227" s="29" t="inlineStr">
        <is>
          <t>Strijp-S'te Klokgebouw: mavi gökyüzü ve beyaz bulutlar altında uzanan, sıra sıra pencereli beyaz eski fabrika binası; solda tepesinde büyük saat bulunan kule, önde geniş çimenlik</t>
        </is>
      </c>
      <c r="H227" s="29" t="inlineStr">
        <is>
          <t>Choinowski</t>
        </is>
      </c>
      <c r="I227" s="29" t="inlineStr">
        <is>
          <t>CC BY-SA 4.0</t>
        </is>
      </c>
      <c r="J227" s="29" t="inlineStr">
        <is>
          <t>https://creativecommons.org/licenses/by-sa/4.0/</t>
        </is>
      </c>
      <c r="K227" s="29" t="inlineStr">
        <is>
          <t>https://commons.wikimedia.org/wiki/File:Klokgebouw_Eindhoven.jpg</t>
        </is>
      </c>
      <c r="L227" s="49" t="n">
        <v>42619</v>
      </c>
      <c r="M227" s="49" t="n">
        <v>46317</v>
      </c>
      <c r="N227" s="29" t="inlineStr">
        <is>
          <t>Wikimedia Commons'taki "Klokgebouw Eindhoven.jpg" (5059×3373 px) özgün dosyasının 1280×853 px küçültülmüş kopyası indirildi; kırpma, rötuş ve renk düzeltmesi yapılmadı.</t>
        </is>
      </c>
      <c r="O227" s="29" t="inlineStr">
        <is>
          <t>eindhoven:evidence:kapak-02</t>
        </is>
      </c>
      <c r="P227" s="29" t="inlineStr">
        <is>
          <t>Evet</t>
        </is>
      </c>
      <c r="Q227" s="51" t="n">
        <v>2</v>
      </c>
      <c r="R227" s="29" t="inlineStr">
        <is>
          <t>Taslak</t>
        </is>
      </c>
      <c r="S227" s="52">
        <f>IF(OR(A227="",F227="",C227&lt;&gt;"Mekân"),0,IF(COUNTIFS($F$8:F227,F227,$C$8:C227,"Mekân")=1,1,0))</f>
        <v/>
      </c>
      <c r="T227" s="52">
        <f>IF(OR(A227="",F227="",C227&lt;&gt;"Kapak"),0,IF(COUNTIFS($F$8:F227,F227,$C$8:C227,"Kapak")=1,1,0))</f>
        <v/>
      </c>
    </row>
    <row r="228" ht="54" customHeight="1">
      <c r="A228" s="29" t="inlineStr">
        <is>
          <t>eindhoven:photo:kapak-03</t>
        </is>
      </c>
      <c r="B228" s="29" t="inlineStr">
        <is>
          <t>eindhoven</t>
        </is>
      </c>
      <c r="C228" s="29" t="inlineStr">
        <is>
          <t>Kapak</t>
        </is>
      </c>
      <c r="D228" s="29" t="n"/>
      <c r="E228" s="29" t="inlineStr">
        <is>
          <t>Fotoğraflar/eindhoven_kapak_03.jpg</t>
        </is>
      </c>
      <c r="F228" s="29" t="inlineStr">
        <is>
          <t>5b7bb1a887f86730dcc46c45d232c1db83d9f3240430bda60d90c2e9d1c55d66</t>
        </is>
      </c>
      <c r="G228" s="29" t="inlineStr">
        <is>
          <t>Van Abbemuseum'un gri taş plakalarla kaplı, köşeli ve çıkıntılı yeni kanadı; çatı kenarında müzenin adı, önde sazlıklı su kenarı, arkada masmavi gökyüzü ve sağda çok katlı bir bina</t>
        </is>
      </c>
      <c r="H228" s="29" t="inlineStr">
        <is>
          <t>Choinowski</t>
        </is>
      </c>
      <c r="I228" s="29" t="inlineStr">
        <is>
          <t>CC BY-SA 4.0</t>
        </is>
      </c>
      <c r="J228" s="29" t="inlineStr">
        <is>
          <t>https://creativecommons.org/licenses/by-sa/4.0/</t>
        </is>
      </c>
      <c r="K228" s="29" t="inlineStr">
        <is>
          <t>https://commons.wikimedia.org/wiki/File:Uitbreiding_Van_Abbemuseum.jpg</t>
        </is>
      </c>
      <c r="L228" s="49" t="n">
        <v>42021</v>
      </c>
      <c r="M228" s="49" t="n">
        <v>46317</v>
      </c>
      <c r="N228" s="29" t="inlineStr">
        <is>
          <t>Wikimedia Commons'taki "Uitbreiding Van Abbemuseum.jpg" (5351×3567 px) özgün dosyasının 1280×853 px küçültülmüş kopyası indirildi; kırpma, rötuş ve renk düzeltmesi yapılmadı.</t>
        </is>
      </c>
      <c r="O228" s="29" t="inlineStr">
        <is>
          <t>eindhoven:evidence:kapak-03</t>
        </is>
      </c>
      <c r="P228" s="29" t="inlineStr">
        <is>
          <t>Evet</t>
        </is>
      </c>
      <c r="Q228" s="51" t="n">
        <v>3</v>
      </c>
      <c r="R228" s="29" t="inlineStr">
        <is>
          <t>Taslak</t>
        </is>
      </c>
      <c r="S228" s="52">
        <f>IF(OR(A228="",F228="",C228&lt;&gt;"Mekân"),0,IF(COUNTIFS($F$8:F228,F228,$C$8:C228,"Mekân")=1,1,0))</f>
        <v/>
      </c>
      <c r="T228" s="52">
        <f>IF(OR(A228="",F228="",C228&lt;&gt;"Kapak"),0,IF(COUNTIFS($F$8:F228,F228,$C$8:C228,"Kapak")=1,1,0))</f>
        <v/>
      </c>
    </row>
    <row r="229" ht="54" customHeight="1">
      <c r="A229" s="29" t="inlineStr">
        <is>
          <t>eindhoven:photo:kapak-04</t>
        </is>
      </c>
      <c r="B229" s="29" t="inlineStr">
        <is>
          <t>eindhoven</t>
        </is>
      </c>
      <c r="C229" s="29" t="inlineStr">
        <is>
          <t>Kapak</t>
        </is>
      </c>
      <c r="D229" s="29" t="n"/>
      <c r="E229" s="29" t="inlineStr">
        <is>
          <t>Fotoğraflar/eindhoven_kapak_04.jpg</t>
        </is>
      </c>
      <c r="F229" s="29" t="inlineStr">
        <is>
          <t>99597a9a72bfdebd093ee9b2be28cdc0071b4108c37cc17547dcc3ae93d1cd2a</t>
        </is>
      </c>
      <c r="G229" s="29" t="inlineStr">
        <is>
          <t>Henri Dunantpark'ta akşam güneşi: ağaçlarla çevrili göletin kıyısında, ışıkta parlayan farklı yükseklikte gümüş renkli dikey sütunlardan oluşan heykel ve sudaki yansıması; üstte açık mavi gökyüzü</t>
        </is>
      </c>
      <c r="H229" s="29" t="inlineStr">
        <is>
          <t>WVDW95</t>
        </is>
      </c>
      <c r="I229" s="29" t="inlineStr">
        <is>
          <t>CC0 1.0</t>
        </is>
      </c>
      <c r="J229" s="29" t="inlineStr">
        <is>
          <t>https://creativecommons.org/publicdomain/zero/1.0/</t>
        </is>
      </c>
      <c r="K229" s="29" t="inlineStr">
        <is>
          <t>https://commons.wikimedia.org/wiki/File:HenriDunantPark.jpg</t>
        </is>
      </c>
      <c r="L229" s="49" t="n">
        <v>46119</v>
      </c>
      <c r="M229" s="49" t="n">
        <v>46317</v>
      </c>
      <c r="N229" s="29" t="inlineStr">
        <is>
          <t>Wikimedia Commons'taki "HenriDunantPark.jpg" (5234×3473 px) özgün dosyasının 1280×849 px küçültülmüş kopyası indirildi; kırpma, rötuş ve renk düzeltmesi yapılmadı.</t>
        </is>
      </c>
      <c r="O229" s="29" t="inlineStr">
        <is>
          <t>eindhoven:evidence:kapak-04</t>
        </is>
      </c>
      <c r="P229" s="29" t="inlineStr">
        <is>
          <t>Evet</t>
        </is>
      </c>
      <c r="Q229" s="51" t="n">
        <v>4</v>
      </c>
      <c r="R229" s="29" t="inlineStr">
        <is>
          <t>Taslak</t>
        </is>
      </c>
      <c r="S229" s="52">
        <f>IF(OR(A229="",F229="",C229&lt;&gt;"Mekân"),0,IF(COUNTIFS($F$8:F229,F229,$C$8:C229,"Mekân")=1,1,0))</f>
        <v/>
      </c>
      <c r="T229" s="52">
        <f>IF(OR(A229="",F229="",C229&lt;&gt;"Kapak"),0,IF(COUNTIFS($F$8:F229,F229,$C$8:C229,"Kapak")=1,1,0))</f>
        <v/>
      </c>
    </row>
    <row r="230" ht="54" customHeight="1">
      <c r="A230" s="29" t="inlineStr">
        <is>
          <t>eindhoven:photo:kapak-05</t>
        </is>
      </c>
      <c r="B230" s="29" t="inlineStr">
        <is>
          <t>eindhoven</t>
        </is>
      </c>
      <c r="C230" s="29" t="inlineStr">
        <is>
          <t>Kapak</t>
        </is>
      </c>
      <c r="D230" s="29" t="n"/>
      <c r="E230" s="29" t="inlineStr">
        <is>
          <t>Fotoğraflar/eindhoven_kapak_05.jpg</t>
        </is>
      </c>
      <c r="F230" s="29" t="inlineStr">
        <is>
          <t>d30be382f89b5e3e01b5f2848202de8fe64922c112d25547fffc97af1ce5ae12</t>
        </is>
      </c>
      <c r="G230" s="29" t="inlineStr">
        <is>
          <t>Huize De Laak: geniş, bakımlı çimenliğin ardında yaşlı ağaçlarla çevrili iki katlı tuğla villa; tenteli pencereler, süslü bacalar, önünde beyaz şemsiyeler ve çiçek tarhları, masmavi gökyüzü</t>
        </is>
      </c>
      <c r="H230" s="29" t="inlineStr">
        <is>
          <t>VriendHuug</t>
        </is>
      </c>
      <c r="I230" s="29" t="inlineStr">
        <is>
          <t>CC BY-SA 3.0 nl</t>
        </is>
      </c>
      <c r="J230" s="29" t="inlineStr">
        <is>
          <t>https://creativecommons.org/licenses/by-sa/3.0/nl/deed.en/</t>
        </is>
      </c>
      <c r="K230" s="29" t="inlineStr">
        <is>
          <t>https://commons.wikimedia.org/wiki/File:De_Laak_2012-09-20_15-05-20.jpg</t>
        </is>
      </c>
      <c r="L230" s="49" t="n">
        <v>41172</v>
      </c>
      <c r="M230" s="49" t="n">
        <v>46317</v>
      </c>
      <c r="N230" s="29" t="inlineStr">
        <is>
          <t>Wikimedia Commons'taki "De Laak 2012-09-20 15-05-20.jpg" (2592×1944 px) özgün dosyasının 1280×960 px küçültülmüş kopyası indirildi; kırpma, rötuş ve renk düzeltmesi yapılmadı.</t>
        </is>
      </c>
      <c r="O230" s="29" t="inlineStr">
        <is>
          <t>eindhoven:evidence:kapak-05</t>
        </is>
      </c>
      <c r="P230" s="29" t="inlineStr">
        <is>
          <t>Evet</t>
        </is>
      </c>
      <c r="Q230" s="51" t="n">
        <v>5</v>
      </c>
      <c r="R230" s="29" t="inlineStr">
        <is>
          <t>Taslak</t>
        </is>
      </c>
      <c r="S230" s="52">
        <f>IF(OR(A230="",F230="",C230&lt;&gt;"Mekân"),0,IF(COUNTIFS($F$8:F230,F230,$C$8:C230,"Mekân")=1,1,0))</f>
        <v/>
      </c>
      <c r="T230" s="52">
        <f>IF(OR(A230="",F230="",C230&lt;&gt;"Kapak"),0,IF(COUNTIFS($F$8:F230,F230,$C$8:C230,"Kapak")=1,1,0))</f>
        <v/>
      </c>
    </row>
    <row r="231" ht="54" customHeight="1">
      <c r="A231" s="29" t="inlineStr">
        <is>
          <t>eindhoven:photo:kapak-06</t>
        </is>
      </c>
      <c r="B231" s="29" t="inlineStr">
        <is>
          <t>eindhoven</t>
        </is>
      </c>
      <c r="C231" s="29" t="inlineStr">
        <is>
          <t>Kapak</t>
        </is>
      </c>
      <c r="D231" s="29" t="n"/>
      <c r="E231" s="29" t="inlineStr">
        <is>
          <t>Fotoğraflar/eindhoven_kapak_06.jpg</t>
        </is>
      </c>
      <c r="F231" s="29" t="inlineStr">
        <is>
          <t>4df9475b5e7006732e939f16efed5c22127de9e92c3ab2196e853fa9a5db0b10</t>
        </is>
      </c>
      <c r="G231" s="29" t="inlineStr">
        <is>
          <t>Yüksekten bakış: iki yanı ağaçlı ve çok katlı binalarla çevrili caddenin sonunda Philips Stadion'un kavisli çatısı ve çelik kafes taşıyıcıları; arkada yüksek bir kule</t>
        </is>
      </c>
      <c r="H231" s="29" t="inlineStr">
        <is>
          <t>Ralf Roletschek</t>
        </is>
      </c>
      <c r="I231" s="29" t="inlineStr">
        <is>
          <t>CC BY 3.0</t>
        </is>
      </c>
      <c r="J231" s="29" t="inlineStr">
        <is>
          <t>https://creativecommons.org/licenses/by/3.0/</t>
        </is>
      </c>
      <c r="K231" s="29" t="inlineStr">
        <is>
          <t>https://commons.wikimedia.org/wiki/File:13-06-29-eindhoven-50mm-04.jpg</t>
        </is>
      </c>
      <c r="L231" s="49" t="n">
        <v>41454</v>
      </c>
      <c r="M231" s="49" t="n">
        <v>46317</v>
      </c>
      <c r="N231" s="29" t="inlineStr">
        <is>
          <t>Wikimedia Commons'taki "13-06-29-eindhoven-50mm-04.jpg" (4288×2848 px) özgün dosyasının 1280×850 px küçültülmüş kopyası indirildi; kırpma, rötuş ve renk düzeltmesi yapılmadı.</t>
        </is>
      </c>
      <c r="O231" s="29" t="inlineStr">
        <is>
          <t>eindhoven:evidence:kapak-06</t>
        </is>
      </c>
      <c r="P231" s="29" t="inlineStr">
        <is>
          <t>Evet</t>
        </is>
      </c>
      <c r="Q231" s="51" t="n">
        <v>6</v>
      </c>
      <c r="R231" s="29" t="inlineStr">
        <is>
          <t>Taslak</t>
        </is>
      </c>
      <c r="S231" s="52">
        <f>IF(OR(A231="",F231="",C231&lt;&gt;"Mekân"),0,IF(COUNTIFS($F$8:F231,F231,$C$8:C231,"Mekân")=1,1,0))</f>
        <v/>
      </c>
      <c r="T231" s="52">
        <f>IF(OR(A231="",F231="",C231&lt;&gt;"Kapak"),0,IF(COUNTIFS($F$8:F231,F231,$C$8:C231,"Kapak")=1,1,0))</f>
        <v/>
      </c>
    </row>
    <row r="232" ht="54" customHeight="1">
      <c r="A232" s="29" t="inlineStr">
        <is>
          <t>eindhoven:photo:kapak-07</t>
        </is>
      </c>
      <c r="B232" s="29" t="inlineStr">
        <is>
          <t>eindhoven</t>
        </is>
      </c>
      <c r="C232" s="29" t="inlineStr">
        <is>
          <t>Kapak</t>
        </is>
      </c>
      <c r="D232" s="29" t="n"/>
      <c r="E232" s="29" t="inlineStr">
        <is>
          <t>Fotoğraflar/eindhoven_kapak_07.jpg</t>
        </is>
      </c>
      <c r="F232" s="29" t="inlineStr">
        <is>
          <t>56c16af5ff0b554a3e4f6b9d8d762ab2d289fce623f7c1771150dbf9eaee4719</t>
        </is>
      </c>
      <c r="G232" s="29" t="inlineStr">
        <is>
          <t>Eindhoven Centraal: masmavi gökyüzü altında, cephesinde büyük saat ve çatı kenarında 'Eindhoven' yazısı bulunan uzun cam cepheli istasyon binası; arkada yüksek cam kule, önde meydan ve park etmiş arabalar</t>
        </is>
      </c>
      <c r="H232" s="29" t="inlineStr">
        <is>
          <t>Jan Geerling</t>
        </is>
      </c>
      <c r="I232" s="29" t="inlineStr">
        <is>
          <t>CC BY-SA 4.0</t>
        </is>
      </c>
      <c r="J232" s="29" t="inlineStr">
        <is>
          <t>https://creativecommons.org/licenses/by-sa/4.0/</t>
        </is>
      </c>
      <c r="K232" s="29" t="inlineStr">
        <is>
          <t>https://commons.wikimedia.org/wiki/File:Centraal_Station_Eindhoven_-_Centrum_1803-100.jpg</t>
        </is>
      </c>
      <c r="L232" s="49" t="n"/>
      <c r="M232" s="49" t="n">
        <v>46317</v>
      </c>
      <c r="N232" s="29" t="inlineStr">
        <is>
          <t>Wikimedia Commons'taki "Centraal Station Eindhoven - Centrum 1803-100.jpg" (4359×2452 px) özgün dosyasının 1280×720 px küçültülmüş kopyası indirildi; kırpma, rötuş ve renk düzeltmesi yapılmadı.</t>
        </is>
      </c>
      <c r="O232" s="29" t="inlineStr">
        <is>
          <t>eindhoven:evidence:kapak-07</t>
        </is>
      </c>
      <c r="P232" s="29" t="inlineStr">
        <is>
          <t>Evet</t>
        </is>
      </c>
      <c r="Q232" s="51" t="n">
        <v>7</v>
      </c>
      <c r="R232" s="29" t="inlineStr">
        <is>
          <t>Taslak</t>
        </is>
      </c>
      <c r="S232" s="52">
        <f>IF(OR(A232="",F232="",C232&lt;&gt;"Mekân"),0,IF(COUNTIFS($F$8:F232,F232,$C$8:C232,"Mekân")=1,1,0))</f>
        <v/>
      </c>
      <c r="T232" s="52">
        <f>IF(OR(A232="",F232="",C232&lt;&gt;"Kapak"),0,IF(COUNTIFS($F$8:F232,F232,$C$8:C232,"Kapak")=1,1,0))</f>
        <v/>
      </c>
    </row>
    <row r="233" ht="54" customHeight="1">
      <c r="A233" s="29" t="inlineStr">
        <is>
          <t>eindhoven:photo:kapak-08</t>
        </is>
      </c>
      <c r="B233" s="29" t="inlineStr">
        <is>
          <t>eindhoven</t>
        </is>
      </c>
      <c r="C233" s="29" t="inlineStr">
        <is>
          <t>Kapak</t>
        </is>
      </c>
      <c r="D233" s="29" t="n"/>
      <c r="E233" s="29" t="inlineStr">
        <is>
          <t>Fotoğraflar/eindhoven_kapak_08.jpg</t>
        </is>
      </c>
      <c r="F233" s="29" t="inlineStr">
        <is>
          <t>2b8136d8c1bd250c5d037ee013159c1ca8ef4eb8ace8317c573c2309b0211320</t>
        </is>
      </c>
      <c r="G233" s="29" t="inlineStr">
        <is>
          <t>Gece Strijp-S: pencereleri ışıl ışıl yanan uzun, çok katlı beyaz endüstri binası, önünden geçen boru köprüsü ve solda turuncu sokak lambalarıyla aydınlanan yol</t>
        </is>
      </c>
      <c r="H233" s="29" t="inlineStr">
        <is>
          <t>point'n'shoot</t>
        </is>
      </c>
      <c r="I233" s="29" t="inlineStr">
        <is>
          <t>CC BY-SA 3.0</t>
        </is>
      </c>
      <c r="J233" s="29" t="inlineStr">
        <is>
          <t>https://creativecommons.org/licenses/by-sa/3.0/</t>
        </is>
      </c>
      <c r="K233" s="29" t="inlineStr">
        <is>
          <t>https://commons.wikimedia.org/wiki/File:Anton_loft_building_in_Strip-S_-_panoramio.jpg</t>
        </is>
      </c>
      <c r="L233" s="49" t="n"/>
      <c r="M233" s="49" t="n">
        <v>46317</v>
      </c>
      <c r="N233" s="29" t="inlineStr">
        <is>
          <t>Wikimedia Commons'taki "Anton loft building in Strip-S - panoramio.jpg" (4000×2664 px) özgün dosyasının 1280×852 px küçültülmüş kopyası indirildi; kırpma, rötuş ve renk düzeltmesi yapılmadı.</t>
        </is>
      </c>
      <c r="O233" s="29" t="inlineStr">
        <is>
          <t>eindhoven:evidence:kapak-08</t>
        </is>
      </c>
      <c r="P233" s="29" t="inlineStr">
        <is>
          <t>Evet</t>
        </is>
      </c>
      <c r="Q233" s="51" t="n">
        <v>8</v>
      </c>
      <c r="R233" s="29" t="inlineStr">
        <is>
          <t>Taslak</t>
        </is>
      </c>
      <c r="S233" s="52">
        <f>IF(OR(A233="",F233="",C233&lt;&gt;"Mekân"),0,IF(COUNTIFS($F$8:F233,F233,$C$8:C233,"Mekân")=1,1,0))</f>
        <v/>
      </c>
      <c r="T233" s="52">
        <f>IF(OR(A233="",F233="",C233&lt;&gt;"Kapak"),0,IF(COUNTIFS($F$8:F233,F233,$C$8:C233,"Kapak")=1,1,0))</f>
        <v/>
      </c>
    </row>
    <row r="234" ht="54" customHeight="1">
      <c r="A234" s="29" t="n"/>
      <c r="B234" s="29" t="n"/>
      <c r="C234" s="29" t="n"/>
      <c r="D234" s="29" t="n"/>
      <c r="E234" s="29" t="n"/>
      <c r="F234" s="29" t="n"/>
      <c r="G234" s="29" t="n"/>
      <c r="H234" s="29" t="n"/>
      <c r="I234" s="29" t="n"/>
      <c r="J234" s="29" t="n"/>
      <c r="K234" s="29" t="n"/>
      <c r="L234" s="49" t="n"/>
      <c r="M234" s="49" t="n"/>
      <c r="N234" s="29" t="n"/>
      <c r="O234" s="29" t="n"/>
      <c r="P234" s="29" t="n"/>
      <c r="Q234" s="51" t="n"/>
      <c r="R234" s="29" t="n"/>
      <c r="S234" s="52">
        <f>IF(OR(A234="",F234="",C234&lt;&gt;"Mekân"),0,IF(COUNTIFS($F$8:F234,F234,$C$8:C234,"Mekân")=1,1,0))</f>
        <v/>
      </c>
      <c r="T234" s="52">
        <f>IF(OR(A234="",F234="",C234&lt;&gt;"Kapak"),0,IF(COUNTIFS($F$8:F234,F234,$C$8:C234,"Kapak")=1,1,0))</f>
        <v/>
      </c>
    </row>
    <row r="235" ht="54" customHeight="1">
      <c r="A235" s="29" t="n"/>
      <c r="B235" s="29" t="n"/>
      <c r="C235" s="29" t="n"/>
      <c r="D235" s="29" t="n"/>
      <c r="E235" s="29" t="n"/>
      <c r="F235" s="29" t="n"/>
      <c r="G235" s="29" t="n"/>
      <c r="H235" s="29" t="n"/>
      <c r="I235" s="29" t="n"/>
      <c r="J235" s="29" t="n"/>
      <c r="K235" s="29" t="n"/>
      <c r="L235" s="49" t="n"/>
      <c r="M235" s="49" t="n"/>
      <c r="N235" s="29" t="n"/>
      <c r="O235" s="29" t="n"/>
      <c r="P235" s="29" t="n"/>
      <c r="Q235" s="51" t="n"/>
      <c r="R235" s="29" t="n"/>
      <c r="S235" s="52">
        <f>IF(OR(A235="",F235="",C235&lt;&gt;"Mekân"),0,IF(COUNTIFS($F$8:F235,F235,$C$8:C235,"Mekân")=1,1,0))</f>
        <v/>
      </c>
      <c r="T235" s="52">
        <f>IF(OR(A235="",F235="",C235&lt;&gt;"Kapak"),0,IF(COUNTIFS($F$8:F235,F235,$C$8:C235,"Kapak")=1,1,0))</f>
        <v/>
      </c>
    </row>
    <row r="236" ht="54" customHeight="1">
      <c r="A236" s="29" t="n"/>
      <c r="B236" s="29" t="n"/>
      <c r="C236" s="29" t="n"/>
      <c r="D236" s="29" t="n"/>
      <c r="E236" s="29" t="n"/>
      <c r="F236" s="29" t="n"/>
      <c r="G236" s="29" t="n"/>
      <c r="H236" s="29" t="n"/>
      <c r="I236" s="29" t="n"/>
      <c r="J236" s="29" t="n"/>
      <c r="K236" s="29" t="n"/>
      <c r="L236" s="49" t="n"/>
      <c r="M236" s="49" t="n"/>
      <c r="N236" s="29" t="n"/>
      <c r="O236" s="29" t="n"/>
      <c r="P236" s="29" t="n"/>
      <c r="Q236" s="51" t="n"/>
      <c r="R236" s="29" t="n"/>
      <c r="S236" s="52">
        <f>IF(OR(A236="",F236="",C236&lt;&gt;"Mekân"),0,IF(COUNTIFS($F$8:F236,F236,$C$8:C236,"Mekân")=1,1,0))</f>
        <v/>
      </c>
      <c r="T236" s="52">
        <f>IF(OR(A236="",F236="",C236&lt;&gt;"Kapak"),0,IF(COUNTIFS($F$8:F236,F236,$C$8:C236,"Kapak")=1,1,0))</f>
        <v/>
      </c>
    </row>
    <row r="237" ht="54" customHeight="1">
      <c r="A237" s="29" t="n"/>
      <c r="B237" s="29" t="n"/>
      <c r="C237" s="29" t="n"/>
      <c r="D237" s="29" t="n"/>
      <c r="E237" s="29" t="n"/>
      <c r="F237" s="29" t="n"/>
      <c r="G237" s="29" t="n"/>
      <c r="H237" s="29" t="n"/>
      <c r="I237" s="29" t="n"/>
      <c r="J237" s="29" t="n"/>
      <c r="K237" s="29" t="n"/>
      <c r="L237" s="49" t="n"/>
      <c r="M237" s="49" t="n"/>
      <c r="N237" s="29" t="n"/>
      <c r="O237" s="29" t="n"/>
      <c r="P237" s="29" t="n"/>
      <c r="Q237" s="51" t="n"/>
      <c r="R237" s="29" t="n"/>
      <c r="S237" s="52">
        <f>IF(OR(A237="",F237="",C237&lt;&gt;"Mekân"),0,IF(COUNTIFS($F$8:F237,F237,$C$8:C237,"Mekân")=1,1,0))</f>
        <v/>
      </c>
      <c r="T237" s="52">
        <f>IF(OR(A237="",F237="",C237&lt;&gt;"Kapak"),0,IF(COUNTIFS($F$8:F237,F237,$C$8:C237,"Kapak")=1,1,0))</f>
        <v/>
      </c>
    </row>
    <row r="238" ht="54" customHeight="1">
      <c r="A238" s="29" t="n"/>
      <c r="B238" s="29" t="n"/>
      <c r="C238" s="29" t="n"/>
      <c r="D238" s="29" t="n"/>
      <c r="E238" s="29" t="n"/>
      <c r="F238" s="29" t="n"/>
      <c r="G238" s="29" t="n"/>
      <c r="H238" s="29" t="n"/>
      <c r="I238" s="29" t="n"/>
      <c r="J238" s="29" t="n"/>
      <c r="K238" s="29" t="n"/>
      <c r="L238" s="49" t="n"/>
      <c r="M238" s="49" t="n"/>
      <c r="N238" s="29" t="n"/>
      <c r="O238" s="29" t="n"/>
      <c r="P238" s="29" t="n"/>
      <c r="Q238" s="51" t="n"/>
      <c r="R238" s="29" t="n"/>
      <c r="S238" s="52">
        <f>IF(OR(A238="",F238="",C238&lt;&gt;"Mekân"),0,IF(COUNTIFS($F$8:F238,F238,$C$8:C238,"Mekân")=1,1,0))</f>
        <v/>
      </c>
      <c r="T238" s="52">
        <f>IF(OR(A238="",F238="",C238&lt;&gt;"Kapak"),0,IF(COUNTIFS($F$8:F238,F238,$C$8:C238,"Kapak")=1,1,0))</f>
        <v/>
      </c>
    </row>
    <row r="239" ht="54" customHeight="1">
      <c r="A239" s="29" t="n"/>
      <c r="B239" s="29" t="n"/>
      <c r="C239" s="29" t="n"/>
      <c r="D239" s="29" t="n"/>
      <c r="E239" s="29" t="n"/>
      <c r="F239" s="29" t="n"/>
      <c r="G239" s="29" t="n"/>
      <c r="H239" s="29" t="n"/>
      <c r="I239" s="29" t="n"/>
      <c r="J239" s="29" t="n"/>
      <c r="K239" s="29" t="n"/>
      <c r="L239" s="49" t="n"/>
      <c r="M239" s="49" t="n"/>
      <c r="N239" s="29" t="n"/>
      <c r="O239" s="29" t="n"/>
      <c r="P239" s="29" t="n"/>
      <c r="Q239" s="51" t="n"/>
      <c r="R239" s="29" t="n"/>
      <c r="S239" s="52">
        <f>IF(OR(A239="",F239="",C239&lt;&gt;"Mekân"),0,IF(COUNTIFS($F$8:F239,F239,$C$8:C239,"Mekân")=1,1,0))</f>
        <v/>
      </c>
      <c r="T239" s="52">
        <f>IF(OR(A239="",F239="",C239&lt;&gt;"Kapak"),0,IF(COUNTIFS($F$8:F239,F239,$C$8:C239,"Kapak")=1,1,0))</f>
        <v/>
      </c>
    </row>
    <row r="240" ht="54" customHeight="1">
      <c r="A240" s="29" t="n"/>
      <c r="B240" s="29" t="n"/>
      <c r="C240" s="29" t="n"/>
      <c r="D240" s="29" t="n"/>
      <c r="E240" s="29" t="n"/>
      <c r="F240" s="29" t="n"/>
      <c r="G240" s="29" t="n"/>
      <c r="H240" s="29" t="n"/>
      <c r="I240" s="29" t="n"/>
      <c r="J240" s="29" t="n"/>
      <c r="K240" s="29" t="n"/>
      <c r="L240" s="49" t="n"/>
      <c r="M240" s="49" t="n"/>
      <c r="N240" s="29" t="n"/>
      <c r="O240" s="29" t="n"/>
      <c r="P240" s="29" t="n"/>
      <c r="Q240" s="51" t="n"/>
      <c r="R240" s="29" t="n"/>
      <c r="S240" s="52">
        <f>IF(OR(A240="",F240="",C240&lt;&gt;"Mekân"),0,IF(COUNTIFS($F$8:F240,F240,$C$8:C240,"Mekân")=1,1,0))</f>
        <v/>
      </c>
      <c r="T240" s="52">
        <f>IF(OR(A240="",F240="",C240&lt;&gt;"Kapak"),0,IF(COUNTIFS($F$8:F240,F240,$C$8:C240,"Kapak")=1,1,0))</f>
        <v/>
      </c>
    </row>
    <row r="241" ht="54" customHeight="1">
      <c r="A241" s="29" t="n"/>
      <c r="B241" s="29" t="n"/>
      <c r="C241" s="29" t="n"/>
      <c r="D241" s="29" t="n"/>
      <c r="E241" s="29" t="n"/>
      <c r="F241" s="29" t="n"/>
      <c r="G241" s="29" t="n"/>
      <c r="H241" s="29" t="n"/>
      <c r="I241" s="29" t="n"/>
      <c r="J241" s="29" t="n"/>
      <c r="K241" s="29" t="n"/>
      <c r="L241" s="49" t="n"/>
      <c r="M241" s="49" t="n"/>
      <c r="N241" s="29" t="n"/>
      <c r="O241" s="29" t="n"/>
      <c r="P241" s="29" t="n"/>
      <c r="Q241" s="51" t="n"/>
      <c r="R241" s="29" t="n"/>
      <c r="S241" s="52">
        <f>IF(OR(A241="",F241="",C241&lt;&gt;"Mekân"),0,IF(COUNTIFS($F$8:F241,F241,$C$8:C241,"Mekân")=1,1,0))</f>
        <v/>
      </c>
      <c r="T241" s="52">
        <f>IF(OR(A241="",F241="",C241&lt;&gt;"Kapak"),0,IF(COUNTIFS($F$8:F241,F241,$C$8:C241,"Kapak")=1,1,0))</f>
        <v/>
      </c>
    </row>
    <row r="242" ht="54" customHeight="1">
      <c r="A242" s="29" t="n"/>
      <c r="B242" s="29" t="n"/>
      <c r="C242" s="29" t="n"/>
      <c r="D242" s="29" t="n"/>
      <c r="E242" s="29" t="n"/>
      <c r="F242" s="29" t="n"/>
      <c r="G242" s="29" t="n"/>
      <c r="H242" s="29" t="n"/>
      <c r="I242" s="29" t="n"/>
      <c r="J242" s="29" t="n"/>
      <c r="K242" s="29" t="n"/>
      <c r="L242" s="49" t="n"/>
      <c r="M242" s="49" t="n"/>
      <c r="N242" s="29" t="n"/>
      <c r="O242" s="29" t="n"/>
      <c r="P242" s="29" t="n"/>
      <c r="Q242" s="51" t="n"/>
      <c r="R242" s="29" t="n"/>
      <c r="S242" s="52">
        <f>IF(OR(A242="",F242="",C242&lt;&gt;"Mekân"),0,IF(COUNTIFS($F$8:F242,F242,$C$8:C242,"Mekân")=1,1,0))</f>
        <v/>
      </c>
      <c r="T242" s="52">
        <f>IF(OR(A242="",F242="",C242&lt;&gt;"Kapak"),0,IF(COUNTIFS($F$8:F242,F242,$C$8:C242,"Kapak")=1,1,0))</f>
        <v/>
      </c>
    </row>
    <row r="243" ht="54" customHeight="1">
      <c r="A243" s="29" t="n"/>
      <c r="B243" s="29" t="n"/>
      <c r="C243" s="29" t="n"/>
      <c r="D243" s="29" t="n"/>
      <c r="E243" s="29" t="n"/>
      <c r="F243" s="29" t="n"/>
      <c r="G243" s="29" t="n"/>
      <c r="H243" s="29" t="n"/>
      <c r="I243" s="29" t="n"/>
      <c r="J243" s="29" t="n"/>
      <c r="K243" s="29" t="n"/>
      <c r="L243" s="49" t="n"/>
      <c r="M243" s="49" t="n"/>
      <c r="N243" s="29" t="n"/>
      <c r="O243" s="29" t="n"/>
      <c r="P243" s="29" t="n"/>
      <c r="Q243" s="51" t="n"/>
      <c r="R243" s="29" t="n"/>
      <c r="S243" s="52">
        <f>IF(OR(A243="",F243="",C243&lt;&gt;"Mekân"),0,IF(COUNTIFS($F$8:F243,F243,$C$8:C243,"Mekân")=1,1,0))</f>
        <v/>
      </c>
      <c r="T243" s="52">
        <f>IF(OR(A243="",F243="",C243&lt;&gt;"Kapak"),0,IF(COUNTIFS($F$8:F243,F243,$C$8:C243,"Kapak")=1,1,0))</f>
        <v/>
      </c>
    </row>
    <row r="244" ht="54" customHeight="1">
      <c r="A244" s="29" t="n"/>
      <c r="B244" s="29" t="n"/>
      <c r="C244" s="29" t="n"/>
      <c r="D244" s="29" t="n"/>
      <c r="E244" s="29" t="n"/>
      <c r="F244" s="29" t="n"/>
      <c r="G244" s="29" t="n"/>
      <c r="H244" s="29" t="n"/>
      <c r="I244" s="29" t="n"/>
      <c r="J244" s="29" t="n"/>
      <c r="K244" s="29" t="n"/>
      <c r="L244" s="49" t="n"/>
      <c r="M244" s="49" t="n"/>
      <c r="N244" s="29" t="n"/>
      <c r="O244" s="29" t="n"/>
      <c r="P244" s="29" t="n"/>
      <c r="Q244" s="51" t="n"/>
      <c r="R244" s="29" t="n"/>
      <c r="S244" s="52">
        <f>IF(OR(A244="",F244="",C244&lt;&gt;"Mekân"),0,IF(COUNTIFS($F$8:F244,F244,$C$8:C244,"Mekân")=1,1,0))</f>
        <v/>
      </c>
      <c r="T244" s="52">
        <f>IF(OR(A244="",F244="",C244&lt;&gt;"Kapak"),0,IF(COUNTIFS($F$8:F244,F244,$C$8:C244,"Kapak")=1,1,0))</f>
        <v/>
      </c>
    </row>
    <row r="245" ht="54" customHeight="1">
      <c r="A245" s="29" t="n"/>
      <c r="B245" s="29" t="n"/>
      <c r="C245" s="29" t="n"/>
      <c r="D245" s="29" t="n"/>
      <c r="E245" s="29" t="n"/>
      <c r="F245" s="29" t="n"/>
      <c r="G245" s="29" t="n"/>
      <c r="H245" s="29" t="n"/>
      <c r="I245" s="29" t="n"/>
      <c r="J245" s="29" t="n"/>
      <c r="K245" s="29" t="n"/>
      <c r="L245" s="49" t="n"/>
      <c r="M245" s="49" t="n"/>
      <c r="N245" s="29" t="n"/>
      <c r="O245" s="29" t="n"/>
      <c r="P245" s="29" t="n"/>
      <c r="Q245" s="51" t="n"/>
      <c r="R245" s="29" t="n"/>
      <c r="S245" s="52">
        <f>IF(OR(A245="",F245="",C245&lt;&gt;"Mekân"),0,IF(COUNTIFS($F$8:F245,F245,$C$8:C245,"Mekân")=1,1,0))</f>
        <v/>
      </c>
      <c r="T245" s="52">
        <f>IF(OR(A245="",F245="",C245&lt;&gt;"Kapak"),0,IF(COUNTIFS($F$8:F245,F245,$C$8:C245,"Kapak")=1,1,0))</f>
        <v/>
      </c>
    </row>
    <row r="246" ht="54" customHeight="1">
      <c r="A246" s="29" t="n"/>
      <c r="B246" s="29" t="n"/>
      <c r="C246" s="29" t="n"/>
      <c r="D246" s="29" t="n"/>
      <c r="E246" s="29" t="n"/>
      <c r="F246" s="29" t="n"/>
      <c r="G246" s="29" t="n"/>
      <c r="H246" s="29" t="n"/>
      <c r="I246" s="29" t="n"/>
      <c r="J246" s="29" t="n"/>
      <c r="K246" s="29" t="n"/>
      <c r="L246" s="49" t="n"/>
      <c r="M246" s="49" t="n"/>
      <c r="N246" s="29" t="n"/>
      <c r="O246" s="29" t="n"/>
      <c r="P246" s="29" t="n"/>
      <c r="Q246" s="51" t="n"/>
      <c r="R246" s="29" t="n"/>
      <c r="S246" s="52">
        <f>IF(OR(A246="",F246="",C246&lt;&gt;"Mekân"),0,IF(COUNTIFS($F$8:F246,F246,$C$8:C246,"Mekân")=1,1,0))</f>
        <v/>
      </c>
      <c r="T246" s="52">
        <f>IF(OR(A246="",F246="",C246&lt;&gt;"Kapak"),0,IF(COUNTIFS($F$8:F246,F246,$C$8:C246,"Kapak")=1,1,0))</f>
        <v/>
      </c>
    </row>
    <row r="247" ht="54" customHeight="1">
      <c r="A247" s="29" t="n"/>
      <c r="B247" s="29" t="n"/>
      <c r="C247" s="29" t="n"/>
      <c r="D247" s="29" t="n"/>
      <c r="E247" s="29" t="n"/>
      <c r="F247" s="29" t="n"/>
      <c r="G247" s="29" t="n"/>
      <c r="H247" s="29" t="n"/>
      <c r="I247" s="29" t="n"/>
      <c r="J247" s="29" t="n"/>
      <c r="K247" s="29" t="n"/>
      <c r="L247" s="49" t="n"/>
      <c r="M247" s="49" t="n"/>
      <c r="N247" s="29" t="n"/>
      <c r="O247" s="29" t="n"/>
      <c r="P247" s="29" t="n"/>
      <c r="Q247" s="51" t="n"/>
      <c r="R247" s="29" t="n"/>
      <c r="S247" s="52">
        <f>IF(OR(A247="",F247="",C247&lt;&gt;"Mekân"),0,IF(COUNTIFS($F$8:F247,F247,$C$8:C247,"Mekân")=1,1,0))</f>
        <v/>
      </c>
      <c r="T247" s="52">
        <f>IF(OR(A247="",F247="",C247&lt;&gt;"Kapak"),0,IF(COUNTIFS($F$8:F247,F247,$C$8:C247,"Kapak")=1,1,0))</f>
        <v/>
      </c>
    </row>
    <row r="248" ht="54" customHeight="1">
      <c r="A248" s="29" t="n"/>
      <c r="B248" s="29" t="n"/>
      <c r="C248" s="29" t="n"/>
      <c r="D248" s="29" t="n"/>
      <c r="E248" s="29" t="n"/>
      <c r="F248" s="29" t="n"/>
      <c r="G248" s="29" t="n"/>
      <c r="H248" s="29" t="n"/>
      <c r="I248" s="29" t="n"/>
      <c r="J248" s="29" t="n"/>
      <c r="K248" s="29" t="n"/>
      <c r="L248" s="49" t="n"/>
      <c r="M248" s="49" t="n"/>
      <c r="N248" s="29" t="n"/>
      <c r="O248" s="29" t="n"/>
      <c r="P248" s="29" t="n"/>
      <c r="Q248" s="51" t="n"/>
      <c r="R248" s="29" t="n"/>
      <c r="S248" s="52">
        <f>IF(OR(A248="",F248="",C248&lt;&gt;"Mekân"),0,IF(COUNTIFS($F$8:F248,F248,$C$8:C248,"Mekân")=1,1,0))</f>
        <v/>
      </c>
      <c r="T248" s="52">
        <f>IF(OR(A248="",F248="",C248&lt;&gt;"Kapak"),0,IF(COUNTIFS($F$8:F248,F248,$C$8:C248,"Kapak")=1,1,0))</f>
        <v/>
      </c>
    </row>
    <row r="249" ht="54" customHeight="1">
      <c r="A249" s="29" t="n"/>
      <c r="B249" s="29" t="n"/>
      <c r="C249" s="29" t="n"/>
      <c r="D249" s="29" t="n"/>
      <c r="E249" s="29" t="n"/>
      <c r="F249" s="29" t="n"/>
      <c r="G249" s="29" t="n"/>
      <c r="H249" s="29" t="n"/>
      <c r="I249" s="29" t="n"/>
      <c r="J249" s="29" t="n"/>
      <c r="K249" s="29" t="n"/>
      <c r="L249" s="49" t="n"/>
      <c r="M249" s="49" t="n"/>
      <c r="N249" s="29" t="n"/>
      <c r="O249" s="29" t="n"/>
      <c r="P249" s="29" t="n"/>
      <c r="Q249" s="51" t="n"/>
      <c r="R249" s="29" t="n"/>
      <c r="S249" s="52">
        <f>IF(OR(A249="",F249="",C249&lt;&gt;"Mekân"),0,IF(COUNTIFS($F$8:F249,F249,$C$8:C249,"Mekân")=1,1,0))</f>
        <v/>
      </c>
      <c r="T249" s="52">
        <f>IF(OR(A249="",F249="",C249&lt;&gt;"Kapak"),0,IF(COUNTIFS($F$8:F249,F249,$C$8:C249,"Kapak")=1,1,0))</f>
        <v/>
      </c>
    </row>
    <row r="250" ht="54" customHeight="1">
      <c r="A250" s="29" t="n"/>
      <c r="B250" s="29" t="n"/>
      <c r="C250" s="29" t="n"/>
      <c r="D250" s="29" t="n"/>
      <c r="E250" s="29" t="n"/>
      <c r="F250" s="29" t="n"/>
      <c r="G250" s="29" t="n"/>
      <c r="H250" s="29" t="n"/>
      <c r="I250" s="29" t="n"/>
      <c r="J250" s="29" t="n"/>
      <c r="K250" s="29" t="n"/>
      <c r="L250" s="49" t="n"/>
      <c r="M250" s="49" t="n"/>
      <c r="N250" s="29" t="n"/>
      <c r="O250" s="29" t="n"/>
      <c r="P250" s="29" t="n"/>
      <c r="Q250" s="51" t="n"/>
      <c r="R250" s="29" t="n"/>
      <c r="S250" s="52">
        <f>IF(OR(A250="",F250="",C250&lt;&gt;"Mekân"),0,IF(COUNTIFS($F$8:F250,F250,$C$8:C250,"Mekân")=1,1,0))</f>
        <v/>
      </c>
      <c r="T250" s="52">
        <f>IF(OR(A250="",F250="",C250&lt;&gt;"Kapak"),0,IF(COUNTIFS($F$8:F250,F250,$C$8:C250,"Kapak")=1,1,0))</f>
        <v/>
      </c>
    </row>
    <row r="251" ht="54" customHeight="1">
      <c r="A251" s="29" t="n"/>
      <c r="B251" s="29" t="n"/>
      <c r="C251" s="29" t="n"/>
      <c r="D251" s="29" t="n"/>
      <c r="E251" s="29" t="n"/>
      <c r="F251" s="29" t="n"/>
      <c r="G251" s="29" t="n"/>
      <c r="H251" s="29" t="n"/>
      <c r="I251" s="29" t="n"/>
      <c r="J251" s="29" t="n"/>
      <c r="K251" s="29" t="n"/>
      <c r="L251" s="49" t="n"/>
      <c r="M251" s="49" t="n"/>
      <c r="N251" s="29" t="n"/>
      <c r="O251" s="29" t="n"/>
      <c r="P251" s="29" t="n"/>
      <c r="Q251" s="51" t="n"/>
      <c r="R251" s="29" t="n"/>
      <c r="S251" s="52">
        <f>IF(OR(A251="",F251="",C251&lt;&gt;"Mekân"),0,IF(COUNTIFS($F$8:F251,F251,$C$8:C251,"Mekân")=1,1,0))</f>
        <v/>
      </c>
      <c r="T251" s="52">
        <f>IF(OR(A251="",F251="",C251&lt;&gt;"Kapak"),0,IF(COUNTIFS($F$8:F251,F251,$C$8:C251,"Kapak")=1,1,0))</f>
        <v/>
      </c>
    </row>
    <row r="252" ht="54" customHeight="1">
      <c r="A252" s="29" t="n"/>
      <c r="B252" s="29" t="n"/>
      <c r="C252" s="29" t="n"/>
      <c r="D252" s="29" t="n"/>
      <c r="E252" s="29" t="n"/>
      <c r="F252" s="29" t="n"/>
      <c r="G252" s="29" t="n"/>
      <c r="H252" s="29" t="n"/>
      <c r="I252" s="29" t="n"/>
      <c r="J252" s="29" t="n"/>
      <c r="K252" s="29" t="n"/>
      <c r="L252" s="49" t="n"/>
      <c r="M252" s="49" t="n"/>
      <c r="N252" s="29" t="n"/>
      <c r="O252" s="29" t="n"/>
      <c r="P252" s="29" t="n"/>
      <c r="Q252" s="51" t="n"/>
      <c r="R252" s="29" t="n"/>
      <c r="S252" s="52">
        <f>IF(OR(A252="",F252="",C252&lt;&gt;"Mekân"),0,IF(COUNTIFS($F$8:F252,F252,$C$8:C252,"Mekân")=1,1,0))</f>
        <v/>
      </c>
      <c r="T252" s="52">
        <f>IF(OR(A252="",F252="",C252&lt;&gt;"Kapak"),0,IF(COUNTIFS($F$8:F252,F252,$C$8:C252,"Kapak")=1,1,0))</f>
        <v/>
      </c>
    </row>
    <row r="253" ht="54" customHeight="1">
      <c r="A253" s="29" t="n"/>
      <c r="B253" s="29" t="n"/>
      <c r="C253" s="29" t="n"/>
      <c r="D253" s="29" t="n"/>
      <c r="E253" s="29" t="n"/>
      <c r="F253" s="29" t="n"/>
      <c r="G253" s="29" t="n"/>
      <c r="H253" s="29" t="n"/>
      <c r="I253" s="29" t="n"/>
      <c r="J253" s="29" t="n"/>
      <c r="K253" s="29" t="n"/>
      <c r="L253" s="49" t="n"/>
      <c r="M253" s="49" t="n"/>
      <c r="N253" s="29" t="n"/>
      <c r="O253" s="29" t="n"/>
      <c r="P253" s="29" t="n"/>
      <c r="Q253" s="51" t="n"/>
      <c r="R253" s="29" t="n"/>
      <c r="S253" s="52">
        <f>IF(OR(A253="",F253="",C253&lt;&gt;"Mekân"),0,IF(COUNTIFS($F$8:F253,F253,$C$8:C253,"Mekân")=1,1,0))</f>
        <v/>
      </c>
      <c r="T253" s="52">
        <f>IF(OR(A253="",F253="",C253&lt;&gt;"Kapak"),0,IF(COUNTIFS($F$8:F253,F253,$C$8:C253,"Kapak")=1,1,0))</f>
        <v/>
      </c>
    </row>
    <row r="254" ht="54" customHeight="1">
      <c r="A254" s="29" t="n"/>
      <c r="B254" s="29" t="n"/>
      <c r="C254" s="29" t="n"/>
      <c r="D254" s="29" t="n"/>
      <c r="E254" s="29" t="n"/>
      <c r="F254" s="29" t="n"/>
      <c r="G254" s="29" t="n"/>
      <c r="H254" s="29" t="n"/>
      <c r="I254" s="29" t="n"/>
      <c r="J254" s="29" t="n"/>
      <c r="K254" s="29" t="n"/>
      <c r="L254" s="49" t="n"/>
      <c r="M254" s="49" t="n"/>
      <c r="N254" s="29" t="n"/>
      <c r="O254" s="29" t="n"/>
      <c r="P254" s="29" t="n"/>
      <c r="Q254" s="51" t="n"/>
      <c r="R254" s="29" t="n"/>
      <c r="S254" s="52">
        <f>IF(OR(A254="",F254="",C254&lt;&gt;"Mekân"),0,IF(COUNTIFS($F$8:F254,F254,$C$8:C254,"Mekân")=1,1,0))</f>
        <v/>
      </c>
      <c r="T254" s="52">
        <f>IF(OR(A254="",F254="",C254&lt;&gt;"Kapak"),0,IF(COUNTIFS($F$8:F254,F254,$C$8:C254,"Kapak")=1,1,0))</f>
        <v/>
      </c>
    </row>
    <row r="255" ht="54" customHeight="1">
      <c r="A255" s="29" t="n"/>
      <c r="B255" s="29" t="n"/>
      <c r="C255" s="29" t="n"/>
      <c r="D255" s="29" t="n"/>
      <c r="E255" s="29" t="n"/>
      <c r="F255" s="29" t="n"/>
      <c r="G255" s="29" t="n"/>
      <c r="H255" s="29" t="n"/>
      <c r="I255" s="29" t="n"/>
      <c r="J255" s="29" t="n"/>
      <c r="K255" s="29" t="n"/>
      <c r="L255" s="49" t="n"/>
      <c r="M255" s="49" t="n"/>
      <c r="N255" s="29" t="n"/>
      <c r="O255" s="29" t="n"/>
      <c r="P255" s="29" t="n"/>
      <c r="Q255" s="51" t="n"/>
      <c r="R255" s="29" t="n"/>
      <c r="S255" s="52">
        <f>IF(OR(A255="",F255="",C255&lt;&gt;"Mekân"),0,IF(COUNTIFS($F$8:F255,F255,$C$8:C255,"Mekân")=1,1,0))</f>
        <v/>
      </c>
      <c r="T255" s="52">
        <f>IF(OR(A255="",F255="",C255&lt;&gt;"Kapak"),0,IF(COUNTIFS($F$8:F255,F255,$C$8:C255,"Kapak")=1,1,0))</f>
        <v/>
      </c>
    </row>
    <row r="256" ht="54" customHeight="1">
      <c r="A256" s="29" t="n"/>
      <c r="B256" s="29" t="n"/>
      <c r="C256" s="29" t="n"/>
      <c r="D256" s="29" t="n"/>
      <c r="E256" s="29" t="n"/>
      <c r="F256" s="29" t="n"/>
      <c r="G256" s="29" t="n"/>
      <c r="H256" s="29" t="n"/>
      <c r="I256" s="29" t="n"/>
      <c r="J256" s="29" t="n"/>
      <c r="K256" s="29" t="n"/>
      <c r="L256" s="49" t="n"/>
      <c r="M256" s="49" t="n"/>
      <c r="N256" s="29" t="n"/>
      <c r="O256" s="29" t="n"/>
      <c r="P256" s="29" t="n"/>
      <c r="Q256" s="51" t="n"/>
      <c r="R256" s="29" t="n"/>
      <c r="S256" s="52">
        <f>IF(OR(A256="",F256="",C256&lt;&gt;"Mekân"),0,IF(COUNTIFS($F$8:F256,F256,$C$8:C256,"Mekân")=1,1,0))</f>
        <v/>
      </c>
      <c r="T256" s="52">
        <f>IF(OR(A256="",F256="",C256&lt;&gt;"Kapak"),0,IF(COUNTIFS($F$8:F256,F256,$C$8:C256,"Kapak")=1,1,0))</f>
        <v/>
      </c>
    </row>
    <row r="257" ht="54" customHeight="1">
      <c r="A257" s="29" t="n"/>
      <c r="B257" s="29" t="n"/>
      <c r="C257" s="29" t="n"/>
      <c r="D257" s="29" t="n"/>
      <c r="E257" s="29" t="n"/>
      <c r="F257" s="29" t="n"/>
      <c r="G257" s="29" t="n"/>
      <c r="H257" s="29" t="n"/>
      <c r="I257" s="29" t="n"/>
      <c r="J257" s="29" t="n"/>
      <c r="K257" s="29" t="n"/>
      <c r="L257" s="49" t="n"/>
      <c r="M257" s="49" t="n"/>
      <c r="N257" s="29" t="n"/>
      <c r="O257" s="29" t="n"/>
      <c r="P257" s="29" t="n"/>
      <c r="Q257" s="51" t="n"/>
      <c r="R257" s="29" t="n"/>
      <c r="S257" s="52">
        <f>IF(OR(A257="",F257="",C257&lt;&gt;"Mekân"),0,IF(COUNTIFS($F$8:F257,F257,$C$8:C257,"Mekân")=1,1,0))</f>
        <v/>
      </c>
      <c r="T257" s="52">
        <f>IF(OR(A257="",F257="",C257&lt;&gt;"Kapak"),0,IF(COUNTIFS($F$8:F257,F257,$C$8:C257,"Kapak")=1,1,0))</f>
        <v/>
      </c>
    </row>
    <row r="258" ht="54" customHeight="1">
      <c r="A258" s="29" t="n"/>
      <c r="B258" s="29" t="n"/>
      <c r="C258" s="29" t="n"/>
      <c r="D258" s="29" t="n"/>
      <c r="E258" s="29" t="n"/>
      <c r="F258" s="29" t="n"/>
      <c r="G258" s="29" t="n"/>
      <c r="H258" s="29" t="n"/>
      <c r="I258" s="29" t="n"/>
      <c r="J258" s="29" t="n"/>
      <c r="K258" s="29" t="n"/>
      <c r="L258" s="49" t="n"/>
      <c r="M258" s="49" t="n"/>
      <c r="N258" s="29" t="n"/>
      <c r="O258" s="29" t="n"/>
      <c r="P258" s="29" t="n"/>
      <c r="Q258" s="51" t="n"/>
      <c r="R258" s="29" t="n"/>
      <c r="S258" s="52">
        <f>IF(OR(A258="",F258="",C258&lt;&gt;"Mekân"),0,IF(COUNTIFS($F$8:F258,F258,$C$8:C258,"Mekân")=1,1,0))</f>
        <v/>
      </c>
      <c r="T258" s="52">
        <f>IF(OR(A258="",F258="",C258&lt;&gt;"Kapak"),0,IF(COUNTIFS($F$8:F258,F258,$C$8:C258,"Kapak")=1,1,0))</f>
        <v/>
      </c>
    </row>
    <row r="259" ht="54" customHeight="1">
      <c r="A259" s="29" t="n"/>
      <c r="B259" s="29" t="n"/>
      <c r="C259" s="29" t="n"/>
      <c r="D259" s="29" t="n"/>
      <c r="E259" s="29" t="n"/>
      <c r="F259" s="29" t="n"/>
      <c r="G259" s="29" t="n"/>
      <c r="H259" s="29" t="n"/>
      <c r="I259" s="29" t="n"/>
      <c r="J259" s="29" t="n"/>
      <c r="K259" s="29" t="n"/>
      <c r="L259" s="49" t="n"/>
      <c r="M259" s="49" t="n"/>
      <c r="N259" s="29" t="n"/>
      <c r="O259" s="29" t="n"/>
      <c r="P259" s="29" t="n"/>
      <c r="Q259" s="51" t="n"/>
      <c r="R259" s="29" t="n"/>
      <c r="S259" s="52">
        <f>IF(OR(A259="",F259="",C259&lt;&gt;"Mekân"),0,IF(COUNTIFS($F$8:F259,F259,$C$8:C259,"Mekân")=1,1,0))</f>
        <v/>
      </c>
      <c r="T259" s="52">
        <f>IF(OR(A259="",F259="",C259&lt;&gt;"Kapak"),0,IF(COUNTIFS($F$8:F259,F259,$C$8:C259,"Kapak")=1,1,0))</f>
        <v/>
      </c>
    </row>
    <row r="260" ht="54" customHeight="1">
      <c r="A260" s="29" t="n"/>
      <c r="B260" s="29" t="n"/>
      <c r="C260" s="29" t="n"/>
      <c r="D260" s="29" t="n"/>
      <c r="E260" s="29" t="n"/>
      <c r="F260" s="29" t="n"/>
      <c r="G260" s="29" t="n"/>
      <c r="H260" s="29" t="n"/>
      <c r="I260" s="29" t="n"/>
      <c r="J260" s="29" t="n"/>
      <c r="K260" s="29" t="n"/>
      <c r="L260" s="49" t="n"/>
      <c r="M260" s="49" t="n"/>
      <c r="N260" s="29" t="n"/>
      <c r="O260" s="29" t="n"/>
      <c r="P260" s="29" t="n"/>
      <c r="Q260" s="51" t="n"/>
      <c r="R260" s="29" t="n"/>
      <c r="S260" s="52">
        <f>IF(OR(A260="",F260="",C260&lt;&gt;"Mekân"),0,IF(COUNTIFS($F$8:F260,F260,$C$8:C260,"Mekân")=1,1,0))</f>
        <v/>
      </c>
      <c r="T260" s="52">
        <f>IF(OR(A260="",F260="",C260&lt;&gt;"Kapak"),0,IF(COUNTIFS($F$8:F260,F260,$C$8:C260,"Kapak")=1,1,0))</f>
        <v/>
      </c>
    </row>
    <row r="261" ht="54" customHeight="1">
      <c r="A261" s="29" t="n"/>
      <c r="B261" s="29" t="n"/>
      <c r="C261" s="29" t="n"/>
      <c r="D261" s="29" t="n"/>
      <c r="E261" s="29" t="n"/>
      <c r="F261" s="29" t="n"/>
      <c r="G261" s="29" t="n"/>
      <c r="H261" s="29" t="n"/>
      <c r="I261" s="29" t="n"/>
      <c r="J261" s="29" t="n"/>
      <c r="K261" s="29" t="n"/>
      <c r="L261" s="49" t="n"/>
      <c r="M261" s="49" t="n"/>
      <c r="N261" s="29" t="n"/>
      <c r="O261" s="29" t="n"/>
      <c r="P261" s="29" t="n"/>
      <c r="Q261" s="51" t="n"/>
      <c r="R261" s="29" t="n"/>
      <c r="S261" s="52">
        <f>IF(OR(A261="",F261="",C261&lt;&gt;"Mekân"),0,IF(COUNTIFS($F$8:F261,F261,$C$8:C261,"Mekân")=1,1,0))</f>
        <v/>
      </c>
      <c r="T261" s="52">
        <f>IF(OR(A261="",F261="",C261&lt;&gt;"Kapak"),0,IF(COUNTIFS($F$8:F261,F261,$C$8:C261,"Kapak")=1,1,0))</f>
        <v/>
      </c>
    </row>
    <row r="262" ht="54" customHeight="1">
      <c r="A262" s="29" t="n"/>
      <c r="B262" s="29" t="n"/>
      <c r="C262" s="29" t="n"/>
      <c r="D262" s="29" t="n"/>
      <c r="E262" s="29" t="n"/>
      <c r="F262" s="29" t="n"/>
      <c r="G262" s="29" t="n"/>
      <c r="H262" s="29" t="n"/>
      <c r="I262" s="29" t="n"/>
      <c r="J262" s="29" t="n"/>
      <c r="K262" s="29" t="n"/>
      <c r="L262" s="49" t="n"/>
      <c r="M262" s="49" t="n"/>
      <c r="N262" s="29" t="n"/>
      <c r="O262" s="29" t="n"/>
      <c r="P262" s="29" t="n"/>
      <c r="Q262" s="51" t="n"/>
      <c r="R262" s="29" t="n"/>
      <c r="S262" s="52">
        <f>IF(OR(A262="",F262="",C262&lt;&gt;"Mekân"),0,IF(COUNTIFS($F$8:F262,F262,$C$8:C262,"Mekân")=1,1,0))</f>
        <v/>
      </c>
      <c r="T262" s="52">
        <f>IF(OR(A262="",F262="",C262&lt;&gt;"Kapak"),0,IF(COUNTIFS($F$8:F262,F262,$C$8:C262,"Kapak")=1,1,0))</f>
        <v/>
      </c>
    </row>
    <row r="263" ht="54" customHeight="1">
      <c r="A263" s="29" t="n"/>
      <c r="B263" s="29" t="n"/>
      <c r="C263" s="29" t="n"/>
      <c r="D263" s="29" t="n"/>
      <c r="E263" s="29" t="n"/>
      <c r="F263" s="29" t="n"/>
      <c r="G263" s="29" t="n"/>
      <c r="H263" s="29" t="n"/>
      <c r="I263" s="29" t="n"/>
      <c r="J263" s="29" t="n"/>
      <c r="K263" s="29" t="n"/>
      <c r="L263" s="49" t="n"/>
      <c r="M263" s="49" t="n"/>
      <c r="N263" s="29" t="n"/>
      <c r="O263" s="29" t="n"/>
      <c r="P263" s="29" t="n"/>
      <c r="Q263" s="51" t="n"/>
      <c r="R263" s="29" t="n"/>
      <c r="S263" s="52">
        <f>IF(OR(A263="",F263="",C263&lt;&gt;"Mekân"),0,IF(COUNTIFS($F$8:F263,F263,$C$8:C263,"Mekân")=1,1,0))</f>
        <v/>
      </c>
      <c r="T263" s="52">
        <f>IF(OR(A263="",F263="",C263&lt;&gt;"Kapak"),0,IF(COUNTIFS($F$8:F263,F263,$C$8:C263,"Kapak")=1,1,0))</f>
        <v/>
      </c>
    </row>
    <row r="264" ht="54" customHeight="1">
      <c r="A264" s="29" t="n"/>
      <c r="B264" s="29" t="n"/>
      <c r="C264" s="29" t="n"/>
      <c r="D264" s="29" t="n"/>
      <c r="E264" s="29" t="n"/>
      <c r="F264" s="29" t="n"/>
      <c r="G264" s="29" t="n"/>
      <c r="H264" s="29" t="n"/>
      <c r="I264" s="29" t="n"/>
      <c r="J264" s="29" t="n"/>
      <c r="K264" s="29" t="n"/>
      <c r="L264" s="49" t="n"/>
      <c r="M264" s="49" t="n"/>
      <c r="N264" s="29" t="n"/>
      <c r="O264" s="29" t="n"/>
      <c r="P264" s="29" t="n"/>
      <c r="Q264" s="51" t="n"/>
      <c r="R264" s="29" t="n"/>
      <c r="S264" s="52">
        <f>IF(OR(A264="",F264="",C264&lt;&gt;"Mekân"),0,IF(COUNTIFS($F$8:F264,F264,$C$8:C264,"Mekân")=1,1,0))</f>
        <v/>
      </c>
      <c r="T264" s="52">
        <f>IF(OR(A264="",F264="",C264&lt;&gt;"Kapak"),0,IF(COUNTIFS($F$8:F264,F264,$C$8:C264,"Kapak")=1,1,0))</f>
        <v/>
      </c>
    </row>
    <row r="265" ht="54" customHeight="1">
      <c r="A265" s="29" t="n"/>
      <c r="B265" s="29" t="n"/>
      <c r="C265" s="29" t="n"/>
      <c r="D265" s="29" t="n"/>
      <c r="E265" s="29" t="n"/>
      <c r="F265" s="29" t="n"/>
      <c r="G265" s="29" t="n"/>
      <c r="H265" s="29" t="n"/>
      <c r="I265" s="29" t="n"/>
      <c r="J265" s="29" t="n"/>
      <c r="K265" s="29" t="n"/>
      <c r="L265" s="49" t="n"/>
      <c r="M265" s="49" t="n"/>
      <c r="N265" s="29" t="n"/>
      <c r="O265" s="29" t="n"/>
      <c r="P265" s="29" t="n"/>
      <c r="Q265" s="51" t="n"/>
      <c r="R265" s="29" t="n"/>
      <c r="S265" s="52">
        <f>IF(OR(A265="",F265="",C265&lt;&gt;"Mekân"),0,IF(COUNTIFS($F$8:F265,F265,$C$8:C265,"Mekân")=1,1,0))</f>
        <v/>
      </c>
      <c r="T265" s="52">
        <f>IF(OR(A265="",F265="",C265&lt;&gt;"Kapak"),0,IF(COUNTIFS($F$8:F265,F265,$C$8:C265,"Kapak")=1,1,0))</f>
        <v/>
      </c>
    </row>
    <row r="266" ht="54" customHeight="1">
      <c r="A266" s="29" t="n"/>
      <c r="B266" s="29" t="n"/>
      <c r="C266" s="29" t="n"/>
      <c r="D266" s="29" t="n"/>
      <c r="E266" s="29" t="n"/>
      <c r="F266" s="29" t="n"/>
      <c r="G266" s="29" t="n"/>
      <c r="H266" s="29" t="n"/>
      <c r="I266" s="29" t="n"/>
      <c r="J266" s="29" t="n"/>
      <c r="K266" s="29" t="n"/>
      <c r="L266" s="49" t="n"/>
      <c r="M266" s="49" t="n"/>
      <c r="N266" s="29" t="n"/>
      <c r="O266" s="29" t="n"/>
      <c r="P266" s="29" t="n"/>
      <c r="Q266" s="51" t="n"/>
      <c r="R266" s="29" t="n"/>
      <c r="S266" s="52">
        <f>IF(OR(A266="",F266="",C266&lt;&gt;"Mekân"),0,IF(COUNTIFS($F$8:F266,F266,$C$8:C266,"Mekân")=1,1,0))</f>
        <v/>
      </c>
      <c r="T266" s="52">
        <f>IF(OR(A266="",F266="",C266&lt;&gt;"Kapak"),0,IF(COUNTIFS($F$8:F266,F266,$C$8:C266,"Kapak")=1,1,0))</f>
        <v/>
      </c>
    </row>
    <row r="267" ht="54" customHeight="1">
      <c r="A267" s="29" t="n"/>
      <c r="B267" s="29" t="n"/>
      <c r="C267" s="29" t="n"/>
      <c r="D267" s="29" t="n"/>
      <c r="E267" s="29" t="n"/>
      <c r="F267" s="29" t="n"/>
      <c r="G267" s="29" t="n"/>
      <c r="H267" s="29" t="n"/>
      <c r="I267" s="29" t="n"/>
      <c r="J267" s="29" t="n"/>
      <c r="K267" s="29" t="n"/>
      <c r="L267" s="49" t="n"/>
      <c r="M267" s="49" t="n"/>
      <c r="N267" s="29" t="n"/>
      <c r="O267" s="29" t="n"/>
      <c r="P267" s="29" t="n"/>
      <c r="Q267" s="51" t="n"/>
      <c r="R267" s="29" t="n"/>
      <c r="S267" s="52">
        <f>IF(OR(A267="",F267="",C267&lt;&gt;"Mekân"),0,IF(COUNTIFS($F$8:F267,F267,$C$8:C267,"Mekân")=1,1,0))</f>
        <v/>
      </c>
      <c r="T267" s="52">
        <f>IF(OR(A267="",F267="",C267&lt;&gt;"Kapak"),0,IF(COUNTIFS($F$8:F267,F267,$C$8:C267,"Kapak")=1,1,0))</f>
        <v/>
      </c>
    </row>
    <row r="268" ht="54" customHeight="1">
      <c r="A268" s="29" t="n"/>
      <c r="B268" s="29" t="n"/>
      <c r="C268" s="29" t="n"/>
      <c r="D268" s="29" t="n"/>
      <c r="E268" s="29" t="n"/>
      <c r="F268" s="29" t="n"/>
      <c r="G268" s="29" t="n"/>
      <c r="H268" s="29" t="n"/>
      <c r="I268" s="29" t="n"/>
      <c r="J268" s="29" t="n"/>
      <c r="K268" s="29" t="n"/>
      <c r="L268" s="49" t="n"/>
      <c r="M268" s="49" t="n"/>
      <c r="N268" s="29" t="n"/>
      <c r="O268" s="29" t="n"/>
      <c r="P268" s="29" t="n"/>
      <c r="Q268" s="51" t="n"/>
      <c r="R268" s="29" t="n"/>
      <c r="S268" s="52">
        <f>IF(OR(A268="",F268="",C268&lt;&gt;"Mekân"),0,IF(COUNTIFS($F$8:F268,F268,$C$8:C268,"Mekân")=1,1,0))</f>
        <v/>
      </c>
      <c r="T268" s="52">
        <f>IF(OR(A268="",F268="",C268&lt;&gt;"Kapak"),0,IF(COUNTIFS($F$8:F268,F268,$C$8:C268,"Kapak")=1,1,0))</f>
        <v/>
      </c>
    </row>
    <row r="269" ht="54" customHeight="1">
      <c r="A269" s="29" t="n"/>
      <c r="B269" s="29" t="n"/>
      <c r="C269" s="29" t="n"/>
      <c r="D269" s="29" t="n"/>
      <c r="E269" s="29" t="n"/>
      <c r="F269" s="29" t="n"/>
      <c r="G269" s="29" t="n"/>
      <c r="H269" s="29" t="n"/>
      <c r="I269" s="29" t="n"/>
      <c r="J269" s="29" t="n"/>
      <c r="K269" s="29" t="n"/>
      <c r="L269" s="49" t="n"/>
      <c r="M269" s="49" t="n"/>
      <c r="N269" s="29" t="n"/>
      <c r="O269" s="29" t="n"/>
      <c r="P269" s="29" t="n"/>
      <c r="Q269" s="51" t="n"/>
      <c r="R269" s="29" t="n"/>
      <c r="S269" s="52">
        <f>IF(OR(A269="",F269="",C269&lt;&gt;"Mekân"),0,IF(COUNTIFS($F$8:F269,F269,$C$8:C269,"Mekân")=1,1,0))</f>
        <v/>
      </c>
      <c r="T269" s="52">
        <f>IF(OR(A269="",F269="",C269&lt;&gt;"Kapak"),0,IF(COUNTIFS($F$8:F269,F269,$C$8:C269,"Kapak")=1,1,0))</f>
        <v/>
      </c>
    </row>
    <row r="270" ht="54" customHeight="1">
      <c r="A270" s="29" t="n"/>
      <c r="B270" s="29" t="n"/>
      <c r="C270" s="29" t="n"/>
      <c r="D270" s="29" t="n"/>
      <c r="E270" s="29" t="n"/>
      <c r="F270" s="29" t="n"/>
      <c r="G270" s="29" t="n"/>
      <c r="H270" s="29" t="n"/>
      <c r="I270" s="29" t="n"/>
      <c r="J270" s="29" t="n"/>
      <c r="K270" s="29" t="n"/>
      <c r="L270" s="49" t="n"/>
      <c r="M270" s="49" t="n"/>
      <c r="N270" s="29" t="n"/>
      <c r="O270" s="29" t="n"/>
      <c r="P270" s="29" t="n"/>
      <c r="Q270" s="51" t="n"/>
      <c r="R270" s="29" t="n"/>
      <c r="S270" s="52">
        <f>IF(OR(A270="",F270="",C270&lt;&gt;"Mekân"),0,IF(COUNTIFS($F$8:F270,F270,$C$8:C270,"Mekân")=1,1,0))</f>
        <v/>
      </c>
      <c r="T270" s="52">
        <f>IF(OR(A270="",F270="",C270&lt;&gt;"Kapak"),0,IF(COUNTIFS($F$8:F270,F270,$C$8:C270,"Kapak")=1,1,0))</f>
        <v/>
      </c>
    </row>
    <row r="271" ht="54" customHeight="1">
      <c r="A271" s="29" t="n"/>
      <c r="B271" s="29" t="n"/>
      <c r="C271" s="29" t="n"/>
      <c r="D271" s="29" t="n"/>
      <c r="E271" s="29" t="n"/>
      <c r="F271" s="29" t="n"/>
      <c r="G271" s="29" t="n"/>
      <c r="H271" s="29" t="n"/>
      <c r="I271" s="29" t="n"/>
      <c r="J271" s="29" t="n"/>
      <c r="K271" s="29" t="n"/>
      <c r="L271" s="49" t="n"/>
      <c r="M271" s="49" t="n"/>
      <c r="N271" s="29" t="n"/>
      <c r="O271" s="29" t="n"/>
      <c r="P271" s="29" t="n"/>
      <c r="Q271" s="51" t="n"/>
      <c r="R271" s="29" t="n"/>
      <c r="S271" s="52">
        <f>IF(OR(A271="",F271="",C271&lt;&gt;"Mekân"),0,IF(COUNTIFS($F$8:F271,F271,$C$8:C271,"Mekân")=1,1,0))</f>
        <v/>
      </c>
      <c r="T271" s="52">
        <f>IF(OR(A271="",F271="",C271&lt;&gt;"Kapak"),0,IF(COUNTIFS($F$8:F271,F271,$C$8:C271,"Kapak")=1,1,0))</f>
        <v/>
      </c>
    </row>
    <row r="272" ht="54" customHeight="1">
      <c r="A272" s="29" t="n"/>
      <c r="B272" s="29" t="n"/>
      <c r="C272" s="29" t="n"/>
      <c r="D272" s="29" t="n"/>
      <c r="E272" s="29" t="n"/>
      <c r="F272" s="29" t="n"/>
      <c r="G272" s="29" t="n"/>
      <c r="H272" s="29" t="n"/>
      <c r="I272" s="29" t="n"/>
      <c r="J272" s="29" t="n"/>
      <c r="K272" s="29" t="n"/>
      <c r="L272" s="49" t="n"/>
      <c r="M272" s="49" t="n"/>
      <c r="N272" s="29" t="n"/>
      <c r="O272" s="29" t="n"/>
      <c r="P272" s="29" t="n"/>
      <c r="Q272" s="51" t="n"/>
      <c r="R272" s="29" t="n"/>
      <c r="S272" s="52">
        <f>IF(OR(A272="",F272="",C272&lt;&gt;"Mekân"),0,IF(COUNTIFS($F$8:F272,F272,$C$8:C272,"Mekân")=1,1,0))</f>
        <v/>
      </c>
      <c r="T272" s="52">
        <f>IF(OR(A272="",F272="",C272&lt;&gt;"Kapak"),0,IF(COUNTIFS($F$8:F272,F272,$C$8:C272,"Kapak")=1,1,0))</f>
        <v/>
      </c>
    </row>
    <row r="273" ht="54" customHeight="1">
      <c r="A273" s="29" t="n"/>
      <c r="B273" s="29" t="n"/>
      <c r="C273" s="29" t="n"/>
      <c r="D273" s="29" t="n"/>
      <c r="E273" s="29" t="n"/>
      <c r="F273" s="29" t="n"/>
      <c r="G273" s="29" t="n"/>
      <c r="H273" s="29" t="n"/>
      <c r="I273" s="29" t="n"/>
      <c r="J273" s="29" t="n"/>
      <c r="K273" s="29" t="n"/>
      <c r="L273" s="49" t="n"/>
      <c r="M273" s="49" t="n"/>
      <c r="N273" s="29" t="n"/>
      <c r="O273" s="29" t="n"/>
      <c r="P273" s="29" t="n"/>
      <c r="Q273" s="51" t="n"/>
      <c r="R273" s="29" t="n"/>
      <c r="S273" s="52">
        <f>IF(OR(A273="",F273="",C273&lt;&gt;"Mekân"),0,IF(COUNTIFS($F$8:F273,F273,$C$8:C273,"Mekân")=1,1,0))</f>
        <v/>
      </c>
      <c r="T273" s="52">
        <f>IF(OR(A273="",F273="",C273&lt;&gt;"Kapak"),0,IF(COUNTIFS($F$8:F273,F273,$C$8:C273,"Kapak")=1,1,0))</f>
        <v/>
      </c>
    </row>
    <row r="274" ht="54" customHeight="1">
      <c r="A274" s="29" t="n"/>
      <c r="B274" s="29" t="n"/>
      <c r="C274" s="29" t="n"/>
      <c r="D274" s="29" t="n"/>
      <c r="E274" s="29" t="n"/>
      <c r="F274" s="29" t="n"/>
      <c r="G274" s="29" t="n"/>
      <c r="H274" s="29" t="n"/>
      <c r="I274" s="29" t="n"/>
      <c r="J274" s="29" t="n"/>
      <c r="K274" s="29" t="n"/>
      <c r="L274" s="49" t="n"/>
      <c r="M274" s="49" t="n"/>
      <c r="N274" s="29" t="n"/>
      <c r="O274" s="29" t="n"/>
      <c r="P274" s="29" t="n"/>
      <c r="Q274" s="51" t="n"/>
      <c r="R274" s="29" t="n"/>
      <c r="S274" s="52">
        <f>IF(OR(A274="",F274="",C274&lt;&gt;"Mekân"),0,IF(COUNTIFS($F$8:F274,F274,$C$8:C274,"Mekân")=1,1,0))</f>
        <v/>
      </c>
      <c r="T274" s="52">
        <f>IF(OR(A274="",F274="",C274&lt;&gt;"Kapak"),0,IF(COUNTIFS($F$8:F274,F274,$C$8:C274,"Kapak")=1,1,0))</f>
        <v/>
      </c>
    </row>
    <row r="275" ht="54" customHeight="1">
      <c r="A275" s="29" t="n"/>
      <c r="B275" s="29" t="n"/>
      <c r="C275" s="29" t="n"/>
      <c r="D275" s="29" t="n"/>
      <c r="E275" s="29" t="n"/>
      <c r="F275" s="29" t="n"/>
      <c r="G275" s="29" t="n"/>
      <c r="H275" s="29" t="n"/>
      <c r="I275" s="29" t="n"/>
      <c r="J275" s="29" t="n"/>
      <c r="K275" s="29" t="n"/>
      <c r="L275" s="49" t="n"/>
      <c r="M275" s="49" t="n"/>
      <c r="N275" s="29" t="n"/>
      <c r="O275" s="29" t="n"/>
      <c r="P275" s="29" t="n"/>
      <c r="Q275" s="51" t="n"/>
      <c r="R275" s="29" t="n"/>
      <c r="S275" s="52">
        <f>IF(OR(A275="",F275="",C275&lt;&gt;"Mekân"),0,IF(COUNTIFS($F$8:F275,F275,$C$8:C275,"Mekân")=1,1,0))</f>
        <v/>
      </c>
      <c r="T275" s="52">
        <f>IF(OR(A275="",F275="",C275&lt;&gt;"Kapak"),0,IF(COUNTIFS($F$8:F275,F275,$C$8:C275,"Kapak")=1,1,0))</f>
        <v/>
      </c>
    </row>
    <row r="276" ht="54" customHeight="1">
      <c r="A276" s="29" t="n"/>
      <c r="B276" s="29" t="n"/>
      <c r="C276" s="29" t="n"/>
      <c r="D276" s="29" t="n"/>
      <c r="E276" s="29" t="n"/>
      <c r="F276" s="29" t="n"/>
      <c r="G276" s="29" t="n"/>
      <c r="H276" s="29" t="n"/>
      <c r="I276" s="29" t="n"/>
      <c r="J276" s="29" t="n"/>
      <c r="K276" s="29" t="n"/>
      <c r="L276" s="49" t="n"/>
      <c r="M276" s="49" t="n"/>
      <c r="N276" s="29" t="n"/>
      <c r="O276" s="29" t="n"/>
      <c r="P276" s="29" t="n"/>
      <c r="Q276" s="51" t="n"/>
      <c r="R276" s="29" t="n"/>
      <c r="S276" s="52">
        <f>IF(OR(A276="",F276="",C276&lt;&gt;"Mekân"),0,IF(COUNTIFS($F$8:F276,F276,$C$8:C276,"Mekân")=1,1,0))</f>
        <v/>
      </c>
      <c r="T276" s="52">
        <f>IF(OR(A276="",F276="",C276&lt;&gt;"Kapak"),0,IF(COUNTIFS($F$8:F276,F276,$C$8:C276,"Kapak")=1,1,0))</f>
        <v/>
      </c>
    </row>
    <row r="277" ht="54" customHeight="1">
      <c r="A277" s="29" t="n"/>
      <c r="B277" s="29" t="n"/>
      <c r="C277" s="29" t="n"/>
      <c r="D277" s="29" t="n"/>
      <c r="E277" s="29" t="n"/>
      <c r="F277" s="29" t="n"/>
      <c r="G277" s="29" t="n"/>
      <c r="H277" s="29" t="n"/>
      <c r="I277" s="29" t="n"/>
      <c r="J277" s="29" t="n"/>
      <c r="K277" s="29" t="n"/>
      <c r="L277" s="49" t="n"/>
      <c r="M277" s="49" t="n"/>
      <c r="N277" s="29" t="n"/>
      <c r="O277" s="29" t="n"/>
      <c r="P277" s="29" t="n"/>
      <c r="Q277" s="51" t="n"/>
      <c r="R277" s="29" t="n"/>
      <c r="S277" s="52">
        <f>IF(OR(A277="",F277="",C277&lt;&gt;"Mekân"),0,IF(COUNTIFS($F$8:F277,F277,$C$8:C277,"Mekân")=1,1,0))</f>
        <v/>
      </c>
      <c r="T277" s="52">
        <f>IF(OR(A277="",F277="",C277&lt;&gt;"Kapak"),0,IF(COUNTIFS($F$8:F277,F277,$C$8:C277,"Kapak")=1,1,0))</f>
        <v/>
      </c>
    </row>
    <row r="278" ht="54" customHeight="1">
      <c r="A278" s="29" t="n"/>
      <c r="B278" s="29" t="n"/>
      <c r="C278" s="29" t="n"/>
      <c r="D278" s="29" t="n"/>
      <c r="E278" s="29" t="n"/>
      <c r="F278" s="29" t="n"/>
      <c r="G278" s="29" t="n"/>
      <c r="H278" s="29" t="n"/>
      <c r="I278" s="29" t="n"/>
      <c r="J278" s="29" t="n"/>
      <c r="K278" s="29" t="n"/>
      <c r="L278" s="49" t="n"/>
      <c r="M278" s="49" t="n"/>
      <c r="N278" s="29" t="n"/>
      <c r="O278" s="29" t="n"/>
      <c r="P278" s="29" t="n"/>
      <c r="Q278" s="51" t="n"/>
      <c r="R278" s="29" t="n"/>
      <c r="S278" s="52">
        <f>IF(OR(A278="",F278="",C278&lt;&gt;"Mekân"),0,IF(COUNTIFS($F$8:F278,F278,$C$8:C278,"Mekân")=1,1,0))</f>
        <v/>
      </c>
      <c r="T278" s="52">
        <f>IF(OR(A278="",F278="",C278&lt;&gt;"Kapak"),0,IF(COUNTIFS($F$8:F278,F278,$C$8:C278,"Kapak")=1,1,0))</f>
        <v/>
      </c>
    </row>
    <row r="279" ht="54" customHeight="1">
      <c r="A279" s="29" t="n"/>
      <c r="B279" s="29" t="n"/>
      <c r="C279" s="29" t="n"/>
      <c r="D279" s="29" t="n"/>
      <c r="E279" s="29" t="n"/>
      <c r="F279" s="29" t="n"/>
      <c r="G279" s="29" t="n"/>
      <c r="H279" s="29" t="n"/>
      <c r="I279" s="29" t="n"/>
      <c r="J279" s="29" t="n"/>
      <c r="K279" s="29" t="n"/>
      <c r="L279" s="49" t="n"/>
      <c r="M279" s="49" t="n"/>
      <c r="N279" s="29" t="n"/>
      <c r="O279" s="29" t="n"/>
      <c r="P279" s="29" t="n"/>
      <c r="Q279" s="51" t="n"/>
      <c r="R279" s="29" t="n"/>
      <c r="S279" s="52">
        <f>IF(OR(A279="",F279="",C279&lt;&gt;"Mekân"),0,IF(COUNTIFS($F$8:F279,F279,$C$8:C279,"Mekân")=1,1,0))</f>
        <v/>
      </c>
      <c r="T279" s="52">
        <f>IF(OR(A279="",F279="",C279&lt;&gt;"Kapak"),0,IF(COUNTIFS($F$8:F279,F279,$C$8:C279,"Kapak")=1,1,0))</f>
        <v/>
      </c>
    </row>
    <row r="280" ht="54" customHeight="1">
      <c r="A280" s="29" t="n"/>
      <c r="B280" s="29" t="n"/>
      <c r="C280" s="29" t="n"/>
      <c r="D280" s="29" t="n"/>
      <c r="E280" s="29" t="n"/>
      <c r="F280" s="29" t="n"/>
      <c r="G280" s="29" t="n"/>
      <c r="H280" s="29" t="n"/>
      <c r="I280" s="29" t="n"/>
      <c r="J280" s="29" t="n"/>
      <c r="K280" s="29" t="n"/>
      <c r="L280" s="49" t="n"/>
      <c r="M280" s="49" t="n"/>
      <c r="N280" s="29" t="n"/>
      <c r="O280" s="29" t="n"/>
      <c r="P280" s="29" t="n"/>
      <c r="Q280" s="51" t="n"/>
      <c r="R280" s="29" t="n"/>
      <c r="S280" s="52">
        <f>IF(OR(A280="",F280="",C280&lt;&gt;"Mekân"),0,IF(COUNTIFS($F$8:F280,F280,$C$8:C280,"Mekân")=1,1,0))</f>
        <v/>
      </c>
      <c r="T280" s="52">
        <f>IF(OR(A280="",F280="",C280&lt;&gt;"Kapak"),0,IF(COUNTIFS($F$8:F280,F280,$C$8:C280,"Kapak")=1,1,0))</f>
        <v/>
      </c>
    </row>
    <row r="281" ht="54" customHeight="1">
      <c r="A281" s="29" t="n"/>
      <c r="B281" s="29" t="n"/>
      <c r="C281" s="29" t="n"/>
      <c r="D281" s="29" t="n"/>
      <c r="E281" s="29" t="n"/>
      <c r="F281" s="29" t="n"/>
      <c r="G281" s="29" t="n"/>
      <c r="H281" s="29" t="n"/>
      <c r="I281" s="29" t="n"/>
      <c r="J281" s="29" t="n"/>
      <c r="K281" s="29" t="n"/>
      <c r="L281" s="49" t="n"/>
      <c r="M281" s="49" t="n"/>
      <c r="N281" s="29" t="n"/>
      <c r="O281" s="29" t="n"/>
      <c r="P281" s="29" t="n"/>
      <c r="Q281" s="51" t="n"/>
      <c r="R281" s="29" t="n"/>
      <c r="S281" s="52">
        <f>IF(OR(A281="",F281="",C281&lt;&gt;"Mekân"),0,IF(COUNTIFS($F$8:F281,F281,$C$8:C281,"Mekân")=1,1,0))</f>
        <v/>
      </c>
      <c r="T281" s="52">
        <f>IF(OR(A281="",F281="",C281&lt;&gt;"Kapak"),0,IF(COUNTIFS($F$8:F281,F281,$C$8:C281,"Kapak")=1,1,0))</f>
        <v/>
      </c>
    </row>
    <row r="282" ht="54" customHeight="1">
      <c r="A282" s="29" t="n"/>
      <c r="B282" s="29" t="n"/>
      <c r="C282" s="29" t="n"/>
      <c r="D282" s="29" t="n"/>
      <c r="E282" s="29" t="n"/>
      <c r="F282" s="29" t="n"/>
      <c r="G282" s="29" t="n"/>
      <c r="H282" s="29" t="n"/>
      <c r="I282" s="29" t="n"/>
      <c r="J282" s="29" t="n"/>
      <c r="K282" s="29" t="n"/>
      <c r="L282" s="49" t="n"/>
      <c r="M282" s="49" t="n"/>
      <c r="N282" s="29" t="n"/>
      <c r="O282" s="29" t="n"/>
      <c r="P282" s="29" t="n"/>
      <c r="Q282" s="51" t="n"/>
      <c r="R282" s="29" t="n"/>
      <c r="S282" s="52">
        <f>IF(OR(A282="",F282="",C282&lt;&gt;"Mekân"),0,IF(COUNTIFS($F$8:F282,F282,$C$8:C282,"Mekân")=1,1,0))</f>
        <v/>
      </c>
      <c r="T282" s="52">
        <f>IF(OR(A282="",F282="",C282&lt;&gt;"Kapak"),0,IF(COUNTIFS($F$8:F282,F282,$C$8:C282,"Kapak")=1,1,0))</f>
        <v/>
      </c>
    </row>
    <row r="283" ht="54" customHeight="1">
      <c r="A283" s="29" t="n"/>
      <c r="B283" s="29" t="n"/>
      <c r="C283" s="29" t="n"/>
      <c r="D283" s="29" t="n"/>
      <c r="E283" s="29" t="n"/>
      <c r="F283" s="29" t="n"/>
      <c r="G283" s="29" t="n"/>
      <c r="H283" s="29" t="n"/>
      <c r="I283" s="29" t="n"/>
      <c r="J283" s="29" t="n"/>
      <c r="K283" s="29" t="n"/>
      <c r="L283" s="49" t="n"/>
      <c r="M283" s="49" t="n"/>
      <c r="N283" s="29" t="n"/>
      <c r="O283" s="29" t="n"/>
      <c r="P283" s="29" t="n"/>
      <c r="Q283" s="51" t="n"/>
      <c r="R283" s="29" t="n"/>
      <c r="S283" s="52">
        <f>IF(OR(A283="",F283="",C283&lt;&gt;"Mekân"),0,IF(COUNTIFS($F$8:F283,F283,$C$8:C283,"Mekân")=1,1,0))</f>
        <v/>
      </c>
      <c r="T283" s="52">
        <f>IF(OR(A283="",F283="",C283&lt;&gt;"Kapak"),0,IF(COUNTIFS($F$8:F283,F283,$C$8:C283,"Kapak")=1,1,0))</f>
        <v/>
      </c>
    </row>
    <row r="284" ht="54" customHeight="1">
      <c r="A284" s="29" t="n"/>
      <c r="B284" s="29" t="n"/>
      <c r="C284" s="29" t="n"/>
      <c r="D284" s="29" t="n"/>
      <c r="E284" s="29" t="n"/>
      <c r="F284" s="29" t="n"/>
      <c r="G284" s="29" t="n"/>
      <c r="H284" s="29" t="n"/>
      <c r="I284" s="29" t="n"/>
      <c r="J284" s="29" t="n"/>
      <c r="K284" s="29" t="n"/>
      <c r="L284" s="49" t="n"/>
      <c r="M284" s="49" t="n"/>
      <c r="N284" s="29" t="n"/>
      <c r="O284" s="29" t="n"/>
      <c r="P284" s="29" t="n"/>
      <c r="Q284" s="51" t="n"/>
      <c r="R284" s="29" t="n"/>
      <c r="S284" s="52">
        <f>IF(OR(A284="",F284="",C284&lt;&gt;"Mekân"),0,IF(COUNTIFS($F$8:F284,F284,$C$8:C284,"Mekân")=1,1,0))</f>
        <v/>
      </c>
      <c r="T284" s="52">
        <f>IF(OR(A284="",F284="",C284&lt;&gt;"Kapak"),0,IF(COUNTIFS($F$8:F284,F284,$C$8:C284,"Kapak")=1,1,0))</f>
        <v/>
      </c>
    </row>
    <row r="285" ht="54" customHeight="1">
      <c r="A285" s="29" t="n"/>
      <c r="B285" s="29" t="n"/>
      <c r="C285" s="29" t="n"/>
      <c r="D285" s="29" t="n"/>
      <c r="E285" s="29" t="n"/>
      <c r="F285" s="29" t="n"/>
      <c r="G285" s="29" t="n"/>
      <c r="H285" s="29" t="n"/>
      <c r="I285" s="29" t="n"/>
      <c r="J285" s="29" t="n"/>
      <c r="K285" s="29" t="n"/>
      <c r="L285" s="49" t="n"/>
      <c r="M285" s="49" t="n"/>
      <c r="N285" s="29" t="n"/>
      <c r="O285" s="29" t="n"/>
      <c r="P285" s="29" t="n"/>
      <c r="Q285" s="51" t="n"/>
      <c r="R285" s="29" t="n"/>
      <c r="S285" s="52">
        <f>IF(OR(A285="",F285="",C285&lt;&gt;"Mekân"),0,IF(COUNTIFS($F$8:F285,F285,$C$8:C285,"Mekân")=1,1,0))</f>
        <v/>
      </c>
      <c r="T285" s="52">
        <f>IF(OR(A285="",F285="",C285&lt;&gt;"Kapak"),0,IF(COUNTIFS($F$8:F285,F285,$C$8:C285,"Kapak")=1,1,0))</f>
        <v/>
      </c>
    </row>
    <row r="286" ht="54" customHeight="1">
      <c r="A286" s="29" t="n"/>
      <c r="B286" s="29" t="n"/>
      <c r="C286" s="29" t="n"/>
      <c r="D286" s="29" t="n"/>
      <c r="E286" s="29" t="n"/>
      <c r="F286" s="29" t="n"/>
      <c r="G286" s="29" t="n"/>
      <c r="H286" s="29" t="n"/>
      <c r="I286" s="29" t="n"/>
      <c r="J286" s="29" t="n"/>
      <c r="K286" s="29" t="n"/>
      <c r="L286" s="49" t="n"/>
      <c r="M286" s="49" t="n"/>
      <c r="N286" s="29" t="n"/>
      <c r="O286" s="29" t="n"/>
      <c r="P286" s="29" t="n"/>
      <c r="Q286" s="51" t="n"/>
      <c r="R286" s="29" t="n"/>
      <c r="S286" s="52">
        <f>IF(OR(A286="",F286="",C286&lt;&gt;"Mekân"),0,IF(COUNTIFS($F$8:F286,F286,$C$8:C286,"Mekân")=1,1,0))</f>
        <v/>
      </c>
      <c r="T286" s="52">
        <f>IF(OR(A286="",F286="",C286&lt;&gt;"Kapak"),0,IF(COUNTIFS($F$8:F286,F286,$C$8:C286,"Kapak")=1,1,0))</f>
        <v/>
      </c>
    </row>
    <row r="287" ht="54" customHeight="1">
      <c r="A287" s="29" t="n"/>
      <c r="B287" s="29" t="n"/>
      <c r="C287" s="29" t="n"/>
      <c r="D287" s="29" t="n"/>
      <c r="E287" s="29" t="n"/>
      <c r="F287" s="29" t="n"/>
      <c r="G287" s="29" t="n"/>
      <c r="H287" s="29" t="n"/>
      <c r="I287" s="29" t="n"/>
      <c r="J287" s="29" t="n"/>
      <c r="K287" s="29" t="n"/>
      <c r="L287" s="49" t="n"/>
      <c r="M287" s="49" t="n"/>
      <c r="N287" s="29" t="n"/>
      <c r="O287" s="29" t="n"/>
      <c r="P287" s="29" t="n"/>
      <c r="Q287" s="51" t="n"/>
      <c r="R287" s="29" t="n"/>
      <c r="S287" s="52">
        <f>IF(OR(A287="",F287="",C287&lt;&gt;"Mekân"),0,IF(COUNTIFS($F$8:F287,F287,$C$8:C287,"Mekân")=1,1,0))</f>
        <v/>
      </c>
      <c r="T287" s="52">
        <f>IF(OR(A287="",F287="",C287&lt;&gt;"Kapak"),0,IF(COUNTIFS($F$8:F287,F287,$C$8:C287,"Kapak")=1,1,0))</f>
        <v/>
      </c>
    </row>
    <row r="288" ht="54" customHeight="1">
      <c r="A288" s="29" t="n"/>
      <c r="B288" s="29" t="n"/>
      <c r="C288" s="29" t="n"/>
      <c r="D288" s="29" t="n"/>
      <c r="E288" s="29" t="n"/>
      <c r="F288" s="29" t="n"/>
      <c r="G288" s="29" t="n"/>
      <c r="H288" s="29" t="n"/>
      <c r="I288" s="29" t="n"/>
      <c r="J288" s="29" t="n"/>
      <c r="K288" s="29" t="n"/>
      <c r="L288" s="49" t="n"/>
      <c r="M288" s="49" t="n"/>
      <c r="N288" s="29" t="n"/>
      <c r="O288" s="29" t="n"/>
      <c r="P288" s="29" t="n"/>
      <c r="Q288" s="51" t="n"/>
      <c r="R288" s="29" t="n"/>
      <c r="S288" s="52">
        <f>IF(OR(A288="",F288="",C288&lt;&gt;"Mekân"),0,IF(COUNTIFS($F$8:F288,F288,$C$8:C288,"Mekân")=1,1,0))</f>
        <v/>
      </c>
      <c r="T288" s="52">
        <f>IF(OR(A288="",F288="",C288&lt;&gt;"Kapak"),0,IF(COUNTIFS($F$8:F288,F288,$C$8:C288,"Kapak")=1,1,0))</f>
        <v/>
      </c>
    </row>
    <row r="289" ht="54" customHeight="1">
      <c r="A289" s="29" t="n"/>
      <c r="B289" s="29" t="n"/>
      <c r="C289" s="29" t="n"/>
      <c r="D289" s="29" t="n"/>
      <c r="E289" s="29" t="n"/>
      <c r="F289" s="29" t="n"/>
      <c r="G289" s="29" t="n"/>
      <c r="H289" s="29" t="n"/>
      <c r="I289" s="29" t="n"/>
      <c r="J289" s="29" t="n"/>
      <c r="K289" s="29" t="n"/>
      <c r="L289" s="49" t="n"/>
      <c r="M289" s="49" t="n"/>
      <c r="N289" s="29" t="n"/>
      <c r="O289" s="29" t="n"/>
      <c r="P289" s="29" t="n"/>
      <c r="Q289" s="51" t="n"/>
      <c r="R289" s="29" t="n"/>
      <c r="S289" s="52">
        <f>IF(OR(A289="",F289="",C289&lt;&gt;"Mekân"),0,IF(COUNTIFS($F$8:F289,F289,$C$8:C289,"Mekân")=1,1,0))</f>
        <v/>
      </c>
      <c r="T289" s="52">
        <f>IF(OR(A289="",F289="",C289&lt;&gt;"Kapak"),0,IF(COUNTIFS($F$8:F289,F289,$C$8:C289,"Kapak")=1,1,0))</f>
        <v/>
      </c>
    </row>
    <row r="290" ht="54" customHeight="1">
      <c r="A290" s="29" t="n"/>
      <c r="B290" s="29" t="n"/>
      <c r="C290" s="29" t="n"/>
      <c r="D290" s="29" t="n"/>
      <c r="E290" s="29" t="n"/>
      <c r="F290" s="29" t="n"/>
      <c r="G290" s="29" t="n"/>
      <c r="H290" s="29" t="n"/>
      <c r="I290" s="29" t="n"/>
      <c r="J290" s="29" t="n"/>
      <c r="K290" s="29" t="n"/>
      <c r="L290" s="49" t="n"/>
      <c r="M290" s="49" t="n"/>
      <c r="N290" s="29" t="n"/>
      <c r="O290" s="29" t="n"/>
      <c r="P290" s="29" t="n"/>
      <c r="Q290" s="51" t="n"/>
      <c r="R290" s="29" t="n"/>
      <c r="S290" s="52">
        <f>IF(OR(A290="",F290="",C290&lt;&gt;"Mekân"),0,IF(COUNTIFS($F$8:F290,F290,$C$8:C290,"Mekân")=1,1,0))</f>
        <v/>
      </c>
      <c r="T290" s="52">
        <f>IF(OR(A290="",F290="",C290&lt;&gt;"Kapak"),0,IF(COUNTIFS($F$8:F290,F290,$C$8:C290,"Kapak")=1,1,0))</f>
        <v/>
      </c>
    </row>
    <row r="291" ht="54" customHeight="1">
      <c r="A291" s="29" t="n"/>
      <c r="B291" s="29" t="n"/>
      <c r="C291" s="29" t="n"/>
      <c r="D291" s="29" t="n"/>
      <c r="E291" s="29" t="n"/>
      <c r="F291" s="29" t="n"/>
      <c r="G291" s="29" t="n"/>
      <c r="H291" s="29" t="n"/>
      <c r="I291" s="29" t="n"/>
      <c r="J291" s="29" t="n"/>
      <c r="K291" s="29" t="n"/>
      <c r="L291" s="49" t="n"/>
      <c r="M291" s="49" t="n"/>
      <c r="N291" s="29" t="n"/>
      <c r="O291" s="29" t="n"/>
      <c r="P291" s="29" t="n"/>
      <c r="Q291" s="51" t="n"/>
      <c r="R291" s="29" t="n"/>
      <c r="S291" s="52">
        <f>IF(OR(A291="",F291="",C291&lt;&gt;"Mekân"),0,IF(COUNTIFS($F$8:F291,F291,$C$8:C291,"Mekân")=1,1,0))</f>
        <v/>
      </c>
      <c r="T291" s="52">
        <f>IF(OR(A291="",F291="",C291&lt;&gt;"Kapak"),0,IF(COUNTIFS($F$8:F291,F291,$C$8:C291,"Kapak")=1,1,0))</f>
        <v/>
      </c>
    </row>
    <row r="292" ht="54" customHeight="1">
      <c r="A292" s="29" t="n"/>
      <c r="B292" s="29" t="n"/>
      <c r="C292" s="29" t="n"/>
      <c r="D292" s="29" t="n"/>
      <c r="E292" s="29" t="n"/>
      <c r="F292" s="29" t="n"/>
      <c r="G292" s="29" t="n"/>
      <c r="H292" s="29" t="n"/>
      <c r="I292" s="29" t="n"/>
      <c r="J292" s="29" t="n"/>
      <c r="K292" s="29" t="n"/>
      <c r="L292" s="49" t="n"/>
      <c r="M292" s="49" t="n"/>
      <c r="N292" s="29" t="n"/>
      <c r="O292" s="29" t="n"/>
      <c r="P292" s="29" t="n"/>
      <c r="Q292" s="51" t="n"/>
      <c r="R292" s="29" t="n"/>
      <c r="S292" s="52">
        <f>IF(OR(A292="",F292="",C292&lt;&gt;"Mekân"),0,IF(COUNTIFS($F$8:F292,F292,$C$8:C292,"Mekân")=1,1,0))</f>
        <v/>
      </c>
      <c r="T292" s="52">
        <f>IF(OR(A292="",F292="",C292&lt;&gt;"Kapak"),0,IF(COUNTIFS($F$8:F292,F292,$C$8:C292,"Kapak")=1,1,0))</f>
        <v/>
      </c>
    </row>
    <row r="293" ht="54" customHeight="1">
      <c r="A293" s="29" t="n"/>
      <c r="B293" s="29" t="n"/>
      <c r="C293" s="29" t="n"/>
      <c r="D293" s="29" t="n"/>
      <c r="E293" s="29" t="n"/>
      <c r="F293" s="29" t="n"/>
      <c r="G293" s="29" t="n"/>
      <c r="H293" s="29" t="n"/>
      <c r="I293" s="29" t="n"/>
      <c r="J293" s="29" t="n"/>
      <c r="K293" s="29" t="n"/>
      <c r="L293" s="49" t="n"/>
      <c r="M293" s="49" t="n"/>
      <c r="N293" s="29" t="n"/>
      <c r="O293" s="29" t="n"/>
      <c r="P293" s="29" t="n"/>
      <c r="Q293" s="51" t="n"/>
      <c r="R293" s="29" t="n"/>
      <c r="S293" s="52">
        <f>IF(OR(A293="",F293="",C293&lt;&gt;"Mekân"),0,IF(COUNTIFS($F$8:F293,F293,$C$8:C293,"Mekân")=1,1,0))</f>
        <v/>
      </c>
      <c r="T293" s="52">
        <f>IF(OR(A293="",F293="",C293&lt;&gt;"Kapak"),0,IF(COUNTIFS($F$8:F293,F293,$C$8:C293,"Kapak")=1,1,0))</f>
        <v/>
      </c>
    </row>
    <row r="294" ht="54" customHeight="1">
      <c r="A294" s="29" t="n"/>
      <c r="B294" s="29" t="n"/>
      <c r="C294" s="29" t="n"/>
      <c r="D294" s="29" t="n"/>
      <c r="E294" s="29" t="n"/>
      <c r="F294" s="29" t="n"/>
      <c r="G294" s="29" t="n"/>
      <c r="H294" s="29" t="n"/>
      <c r="I294" s="29" t="n"/>
      <c r="J294" s="29" t="n"/>
      <c r="K294" s="29" t="n"/>
      <c r="L294" s="49" t="n"/>
      <c r="M294" s="49" t="n"/>
      <c r="N294" s="29" t="n"/>
      <c r="O294" s="29" t="n"/>
      <c r="P294" s="29" t="n"/>
      <c r="Q294" s="51" t="n"/>
      <c r="R294" s="29" t="n"/>
      <c r="S294" s="52">
        <f>IF(OR(A294="",F294="",C294&lt;&gt;"Mekân"),0,IF(COUNTIFS($F$8:F294,F294,$C$8:C294,"Mekân")=1,1,0))</f>
        <v/>
      </c>
      <c r="T294" s="52">
        <f>IF(OR(A294="",F294="",C294&lt;&gt;"Kapak"),0,IF(COUNTIFS($F$8:F294,F294,$C$8:C294,"Kapak")=1,1,0))</f>
        <v/>
      </c>
    </row>
    <row r="295" ht="54" customHeight="1">
      <c r="A295" s="29" t="n"/>
      <c r="B295" s="29" t="n"/>
      <c r="C295" s="29" t="n"/>
      <c r="D295" s="29" t="n"/>
      <c r="E295" s="29" t="n"/>
      <c r="F295" s="29" t="n"/>
      <c r="G295" s="29" t="n"/>
      <c r="H295" s="29" t="n"/>
      <c r="I295" s="29" t="n"/>
      <c r="J295" s="29" t="n"/>
      <c r="K295" s="29" t="n"/>
      <c r="L295" s="49" t="n"/>
      <c r="M295" s="49" t="n"/>
      <c r="N295" s="29" t="n"/>
      <c r="O295" s="29" t="n"/>
      <c r="P295" s="29" t="n"/>
      <c r="Q295" s="51" t="n"/>
      <c r="R295" s="29" t="n"/>
      <c r="S295" s="52">
        <f>IF(OR(A295="",F295="",C295&lt;&gt;"Mekân"),0,IF(COUNTIFS($F$8:F295,F295,$C$8:C295,"Mekân")=1,1,0))</f>
        <v/>
      </c>
      <c r="T295" s="52">
        <f>IF(OR(A295="",F295="",C295&lt;&gt;"Kapak"),0,IF(COUNTIFS($F$8:F295,F295,$C$8:C295,"Kapak")=1,1,0))</f>
        <v/>
      </c>
    </row>
    <row r="296" ht="54" customHeight="1">
      <c r="A296" s="29" t="n"/>
      <c r="B296" s="29" t="n"/>
      <c r="C296" s="29" t="n"/>
      <c r="D296" s="29" t="n"/>
      <c r="E296" s="29" t="n"/>
      <c r="F296" s="29" t="n"/>
      <c r="G296" s="29" t="n"/>
      <c r="H296" s="29" t="n"/>
      <c r="I296" s="29" t="n"/>
      <c r="J296" s="29" t="n"/>
      <c r="K296" s="29" t="n"/>
      <c r="L296" s="49" t="n"/>
      <c r="M296" s="49" t="n"/>
      <c r="N296" s="29" t="n"/>
      <c r="O296" s="29" t="n"/>
      <c r="P296" s="29" t="n"/>
      <c r="Q296" s="51" t="n"/>
      <c r="R296" s="29" t="n"/>
      <c r="S296" s="52">
        <f>IF(OR(A296="",F296="",C296&lt;&gt;"Mekân"),0,IF(COUNTIFS($F$8:F296,F296,$C$8:C296,"Mekân")=1,1,0))</f>
        <v/>
      </c>
      <c r="T296" s="52">
        <f>IF(OR(A296="",F296="",C296&lt;&gt;"Kapak"),0,IF(COUNTIFS($F$8:F296,F296,$C$8:C296,"Kapak")=1,1,0))</f>
        <v/>
      </c>
    </row>
    <row r="297" ht="54" customHeight="1">
      <c r="A297" s="29" t="n"/>
      <c r="B297" s="29" t="n"/>
      <c r="C297" s="29" t="n"/>
      <c r="D297" s="29" t="n"/>
      <c r="E297" s="29" t="n"/>
      <c r="F297" s="29" t="n"/>
      <c r="G297" s="29" t="n"/>
      <c r="H297" s="29" t="n"/>
      <c r="I297" s="29" t="n"/>
      <c r="J297" s="29" t="n"/>
      <c r="K297" s="29" t="n"/>
      <c r="L297" s="49" t="n"/>
      <c r="M297" s="49" t="n"/>
      <c r="N297" s="29" t="n"/>
      <c r="O297" s="29" t="n"/>
      <c r="P297" s="29" t="n"/>
      <c r="Q297" s="51" t="n"/>
      <c r="R297" s="29" t="n"/>
      <c r="S297" s="52">
        <f>IF(OR(A297="",F297="",C297&lt;&gt;"Mekân"),0,IF(COUNTIFS($F$8:F297,F297,$C$8:C297,"Mekân")=1,1,0))</f>
        <v/>
      </c>
      <c r="T297" s="52">
        <f>IF(OR(A297="",F297="",C297&lt;&gt;"Kapak"),0,IF(COUNTIFS($F$8:F297,F297,$C$8:C297,"Kapak")=1,1,0))</f>
        <v/>
      </c>
    </row>
    <row r="298" ht="54" customHeight="1">
      <c r="A298" s="29" t="n"/>
      <c r="B298" s="29" t="n"/>
      <c r="C298" s="29" t="n"/>
      <c r="D298" s="29" t="n"/>
      <c r="E298" s="29" t="n"/>
      <c r="F298" s="29" t="n"/>
      <c r="G298" s="29" t="n"/>
      <c r="H298" s="29" t="n"/>
      <c r="I298" s="29" t="n"/>
      <c r="J298" s="29" t="n"/>
      <c r="K298" s="29" t="n"/>
      <c r="L298" s="49" t="n"/>
      <c r="M298" s="49" t="n"/>
      <c r="N298" s="29" t="n"/>
      <c r="O298" s="29" t="n"/>
      <c r="P298" s="29" t="n"/>
      <c r="Q298" s="51" t="n"/>
      <c r="R298" s="29" t="n"/>
      <c r="S298" s="52">
        <f>IF(OR(A298="",F298="",C298&lt;&gt;"Mekân"),0,IF(COUNTIFS($F$8:F298,F298,$C$8:C298,"Mekân")=1,1,0))</f>
        <v/>
      </c>
      <c r="T298" s="52">
        <f>IF(OR(A298="",F298="",C298&lt;&gt;"Kapak"),0,IF(COUNTIFS($F$8:F298,F298,$C$8:C298,"Kapak")=1,1,0))</f>
        <v/>
      </c>
    </row>
    <row r="299" ht="54" customHeight="1">
      <c r="A299" s="29" t="n"/>
      <c r="B299" s="29" t="n"/>
      <c r="C299" s="29" t="n"/>
      <c r="D299" s="29" t="n"/>
      <c r="E299" s="29" t="n"/>
      <c r="F299" s="29" t="n"/>
      <c r="G299" s="29" t="n"/>
      <c r="H299" s="29" t="n"/>
      <c r="I299" s="29" t="n"/>
      <c r="J299" s="29" t="n"/>
      <c r="K299" s="29" t="n"/>
      <c r="L299" s="49" t="n"/>
      <c r="M299" s="49" t="n"/>
      <c r="N299" s="29" t="n"/>
      <c r="O299" s="29" t="n"/>
      <c r="P299" s="29" t="n"/>
      <c r="Q299" s="51" t="n"/>
      <c r="R299" s="29" t="n"/>
      <c r="S299" s="52">
        <f>IF(OR(A299="",F299="",C299&lt;&gt;"Mekân"),0,IF(COUNTIFS($F$8:F299,F299,$C$8:C299,"Mekân")=1,1,0))</f>
        <v/>
      </c>
      <c r="T299" s="52">
        <f>IF(OR(A299="",F299="",C299&lt;&gt;"Kapak"),0,IF(COUNTIFS($F$8:F299,F299,$C$8:C299,"Kapak")=1,1,0))</f>
        <v/>
      </c>
    </row>
    <row r="300" ht="54" customHeight="1">
      <c r="A300" s="29" t="n"/>
      <c r="B300" s="29" t="n"/>
      <c r="C300" s="29" t="n"/>
      <c r="D300" s="29" t="n"/>
      <c r="E300" s="29" t="n"/>
      <c r="F300" s="29" t="n"/>
      <c r="G300" s="29" t="n"/>
      <c r="H300" s="29" t="n"/>
      <c r="I300" s="29" t="n"/>
      <c r="J300" s="29" t="n"/>
      <c r="K300" s="29" t="n"/>
      <c r="L300" s="49" t="n"/>
      <c r="M300" s="49" t="n"/>
      <c r="N300" s="29" t="n"/>
      <c r="O300" s="29" t="n"/>
      <c r="P300" s="29" t="n"/>
      <c r="Q300" s="51" t="n"/>
      <c r="R300" s="29" t="n"/>
      <c r="S300" s="52">
        <f>IF(OR(A300="",F300="",C300&lt;&gt;"Mekân"),0,IF(COUNTIFS($F$8:F300,F300,$C$8:C300,"Mekân")=1,1,0))</f>
        <v/>
      </c>
      <c r="T300" s="52">
        <f>IF(OR(A300="",F300="",C300&lt;&gt;"Kapak"),0,IF(COUNTIFS($F$8:F300,F300,$C$8:C300,"Kapak")=1,1,0))</f>
        <v/>
      </c>
    </row>
    <row r="301" ht="54" customHeight="1">
      <c r="A301" s="29" t="n"/>
      <c r="B301" s="29" t="n"/>
      <c r="C301" s="29" t="n"/>
      <c r="D301" s="29" t="n"/>
      <c r="E301" s="29" t="n"/>
      <c r="F301" s="29" t="n"/>
      <c r="G301" s="29" t="n"/>
      <c r="H301" s="29" t="n"/>
      <c r="I301" s="29" t="n"/>
      <c r="J301" s="29" t="n"/>
      <c r="K301" s="29" t="n"/>
      <c r="L301" s="49" t="n"/>
      <c r="M301" s="49" t="n"/>
      <c r="N301" s="29" t="n"/>
      <c r="O301" s="29" t="n"/>
      <c r="P301" s="29" t="n"/>
      <c r="Q301" s="51" t="n"/>
      <c r="R301" s="29" t="n"/>
      <c r="S301" s="52">
        <f>IF(OR(A301="",F301="",C301&lt;&gt;"Mekân"),0,IF(COUNTIFS($F$8:F301,F301,$C$8:C301,"Mekân")=1,1,0))</f>
        <v/>
      </c>
      <c r="T301" s="52">
        <f>IF(OR(A301="",F301="",C301&lt;&gt;"Kapak"),0,IF(COUNTIFS($F$8:F301,F301,$C$8:C301,"Kapak")=1,1,0))</f>
        <v/>
      </c>
    </row>
    <row r="302" ht="54" customHeight="1">
      <c r="A302" s="29" t="n"/>
      <c r="B302" s="29" t="n"/>
      <c r="C302" s="29" t="n"/>
      <c r="D302" s="29" t="n"/>
      <c r="E302" s="29" t="n"/>
      <c r="F302" s="29" t="n"/>
      <c r="G302" s="29" t="n"/>
      <c r="H302" s="29" t="n"/>
      <c r="I302" s="29" t="n"/>
      <c r="J302" s="29" t="n"/>
      <c r="K302" s="29" t="n"/>
      <c r="L302" s="49" t="n"/>
      <c r="M302" s="49" t="n"/>
      <c r="N302" s="29" t="n"/>
      <c r="O302" s="29" t="n"/>
      <c r="P302" s="29" t="n"/>
      <c r="Q302" s="51" t="n"/>
      <c r="R302" s="29" t="n"/>
      <c r="S302" s="52">
        <f>IF(OR(A302="",F302="",C302&lt;&gt;"Mekân"),0,IF(COUNTIFS($F$8:F302,F302,$C$8:C302,"Mekân")=1,1,0))</f>
        <v/>
      </c>
      <c r="T302" s="52">
        <f>IF(OR(A302="",F302="",C302&lt;&gt;"Kapak"),0,IF(COUNTIFS($F$8:F302,F302,$C$8:C302,"Kapak")=1,1,0))</f>
        <v/>
      </c>
    </row>
    <row r="303" ht="54" customHeight="1">
      <c r="A303" s="29" t="n"/>
      <c r="B303" s="29" t="n"/>
      <c r="C303" s="29" t="n"/>
      <c r="D303" s="29" t="n"/>
      <c r="E303" s="29" t="n"/>
      <c r="F303" s="29" t="n"/>
      <c r="G303" s="29" t="n"/>
      <c r="H303" s="29" t="n"/>
      <c r="I303" s="29" t="n"/>
      <c r="J303" s="29" t="n"/>
      <c r="K303" s="29" t="n"/>
      <c r="L303" s="49" t="n"/>
      <c r="M303" s="49" t="n"/>
      <c r="N303" s="29" t="n"/>
      <c r="O303" s="29" t="n"/>
      <c r="P303" s="29" t="n"/>
      <c r="Q303" s="51" t="n"/>
      <c r="R303" s="29" t="n"/>
      <c r="S303" s="52">
        <f>IF(OR(A303="",F303="",C303&lt;&gt;"Mekân"),0,IF(COUNTIFS($F$8:F303,F303,$C$8:C303,"Mekân")=1,1,0))</f>
        <v/>
      </c>
      <c r="T303" s="52">
        <f>IF(OR(A303="",F303="",C303&lt;&gt;"Kapak"),0,IF(COUNTIFS($F$8:F303,F303,$C$8:C303,"Kapak")=1,1,0))</f>
        <v/>
      </c>
    </row>
    <row r="304" ht="54" customHeight="1">
      <c r="A304" s="29" t="n"/>
      <c r="B304" s="29" t="n"/>
      <c r="C304" s="29" t="n"/>
      <c r="D304" s="29" t="n"/>
      <c r="E304" s="29" t="n"/>
      <c r="F304" s="29" t="n"/>
      <c r="G304" s="29" t="n"/>
      <c r="H304" s="29" t="n"/>
      <c r="I304" s="29" t="n"/>
      <c r="J304" s="29" t="n"/>
      <c r="K304" s="29" t="n"/>
      <c r="L304" s="49" t="n"/>
      <c r="M304" s="49" t="n"/>
      <c r="N304" s="29" t="n"/>
      <c r="O304" s="29" t="n"/>
      <c r="P304" s="29" t="n"/>
      <c r="Q304" s="51" t="n"/>
      <c r="R304" s="29" t="n"/>
      <c r="S304" s="52">
        <f>IF(OR(A304="",F304="",C304&lt;&gt;"Mekân"),0,IF(COUNTIFS($F$8:F304,F304,$C$8:C304,"Mekân")=1,1,0))</f>
        <v/>
      </c>
      <c r="T304" s="52">
        <f>IF(OR(A304="",F304="",C304&lt;&gt;"Kapak"),0,IF(COUNTIFS($F$8:F304,F304,$C$8:C304,"Kapak")=1,1,0))</f>
        <v/>
      </c>
    </row>
    <row r="305" ht="54" customHeight="1">
      <c r="A305" s="29" t="n"/>
      <c r="B305" s="29" t="n"/>
      <c r="C305" s="29" t="n"/>
      <c r="D305" s="29" t="n"/>
      <c r="E305" s="29" t="n"/>
      <c r="F305" s="29" t="n"/>
      <c r="G305" s="29" t="n"/>
      <c r="H305" s="29" t="n"/>
      <c r="I305" s="29" t="n"/>
      <c r="J305" s="29" t="n"/>
      <c r="K305" s="29" t="n"/>
      <c r="L305" s="49" t="n"/>
      <c r="M305" s="49" t="n"/>
      <c r="N305" s="29" t="n"/>
      <c r="O305" s="29" t="n"/>
      <c r="P305" s="29" t="n"/>
      <c r="Q305" s="51" t="n"/>
      <c r="R305" s="29" t="n"/>
      <c r="S305" s="52">
        <f>IF(OR(A305="",F305="",C305&lt;&gt;"Mekân"),0,IF(COUNTIFS($F$8:F305,F305,$C$8:C305,"Mekân")=1,1,0))</f>
        <v/>
      </c>
      <c r="T305" s="52">
        <f>IF(OR(A305="",F305="",C305&lt;&gt;"Kapak"),0,IF(COUNTIFS($F$8:F305,F305,$C$8:C305,"Kapak")=1,1,0))</f>
        <v/>
      </c>
    </row>
    <row r="306" ht="54" customHeight="1">
      <c r="A306" s="29" t="n"/>
      <c r="B306" s="29" t="n"/>
      <c r="C306" s="29" t="n"/>
      <c r="D306" s="29" t="n"/>
      <c r="E306" s="29" t="n"/>
      <c r="F306" s="29" t="n"/>
      <c r="G306" s="29" t="n"/>
      <c r="H306" s="29" t="n"/>
      <c r="I306" s="29" t="n"/>
      <c r="J306" s="29" t="n"/>
      <c r="K306" s="29" t="n"/>
      <c r="L306" s="49" t="n"/>
      <c r="M306" s="49" t="n"/>
      <c r="N306" s="29" t="n"/>
      <c r="O306" s="29" t="n"/>
      <c r="P306" s="29" t="n"/>
      <c r="Q306" s="51" t="n"/>
      <c r="R306" s="29" t="n"/>
      <c r="S306" s="52">
        <f>IF(OR(A306="",F306="",C306&lt;&gt;"Mekân"),0,IF(COUNTIFS($F$8:F306,F306,$C$8:C306,"Mekân")=1,1,0))</f>
        <v/>
      </c>
      <c r="T306" s="52">
        <f>IF(OR(A306="",F306="",C306&lt;&gt;"Kapak"),0,IF(COUNTIFS($F$8:F306,F306,$C$8:C306,"Kapak")=1,1,0))</f>
        <v/>
      </c>
    </row>
    <row r="307" ht="54" customHeight="1">
      <c r="A307" s="29" t="n"/>
      <c r="B307" s="29" t="n"/>
      <c r="C307" s="29" t="n"/>
      <c r="D307" s="29" t="n"/>
      <c r="E307" s="29" t="n"/>
      <c r="F307" s="29" t="n"/>
      <c r="G307" s="29" t="n"/>
      <c r="H307" s="29" t="n"/>
      <c r="I307" s="29" t="n"/>
      <c r="J307" s="29" t="n"/>
      <c r="K307" s="29" t="n"/>
      <c r="L307" s="49" t="n"/>
      <c r="M307" s="49" t="n"/>
      <c r="N307" s="29" t="n"/>
      <c r="O307" s="29" t="n"/>
      <c r="P307" s="29" t="n"/>
      <c r="Q307" s="51" t="n"/>
      <c r="R307" s="29" t="n"/>
      <c r="S307" s="52">
        <f>IF(OR(A307="",F307="",C307&lt;&gt;"Mekân"),0,IF(COUNTIFS($F$8:F307,F307,$C$8:C307,"Mekân")=1,1,0))</f>
        <v/>
      </c>
      <c r="T307" s="52">
        <f>IF(OR(A307="",F307="",C307&lt;&gt;"Kapak"),0,IF(COUNTIFS($F$8:F307,F307,$C$8:C307,"Kapak")=1,1,0))</f>
        <v/>
      </c>
    </row>
    <row r="308" ht="54" customHeight="1">
      <c r="A308" s="29" t="n"/>
      <c r="B308" s="29" t="n"/>
      <c r="C308" s="29" t="n"/>
      <c r="D308" s="29" t="n"/>
      <c r="E308" s="29" t="n"/>
      <c r="F308" s="29" t="n"/>
      <c r="G308" s="29" t="n"/>
      <c r="H308" s="29" t="n"/>
      <c r="I308" s="29" t="n"/>
      <c r="J308" s="29" t="n"/>
      <c r="K308" s="29" t="n"/>
      <c r="L308" s="49" t="n"/>
      <c r="M308" s="49" t="n"/>
      <c r="N308" s="29" t="n"/>
      <c r="O308" s="29" t="n"/>
      <c r="P308" s="29" t="n"/>
      <c r="Q308" s="51" t="n"/>
      <c r="R308" s="29" t="n"/>
      <c r="S308" s="52">
        <f>IF(OR(A308="",F308="",C308&lt;&gt;"Mekân"),0,IF(COUNTIFS($F$8:F308,F308,$C$8:C308,"Mekân")=1,1,0))</f>
        <v/>
      </c>
      <c r="T308" s="52">
        <f>IF(OR(A308="",F308="",C308&lt;&gt;"Kapak"),0,IF(COUNTIFS($F$8:F308,F308,$C$8:C308,"Kapak")=1,1,0))</f>
        <v/>
      </c>
    </row>
    <row r="309" ht="54" customHeight="1">
      <c r="A309" s="29" t="n"/>
      <c r="B309" s="29" t="n"/>
      <c r="C309" s="29" t="n"/>
      <c r="D309" s="29" t="n"/>
      <c r="E309" s="29" t="n"/>
      <c r="F309" s="29" t="n"/>
      <c r="G309" s="29" t="n"/>
      <c r="H309" s="29" t="n"/>
      <c r="I309" s="29" t="n"/>
      <c r="J309" s="29" t="n"/>
      <c r="K309" s="29" t="n"/>
      <c r="L309" s="49" t="n"/>
      <c r="M309" s="49" t="n"/>
      <c r="N309" s="29" t="n"/>
      <c r="O309" s="29" t="n"/>
      <c r="P309" s="29" t="n"/>
      <c r="Q309" s="51" t="n"/>
      <c r="R309" s="29" t="n"/>
      <c r="S309" s="52">
        <f>IF(OR(A309="",F309="",C309&lt;&gt;"Mekân"),0,IF(COUNTIFS($F$8:F309,F309,$C$8:C309,"Mekân")=1,1,0))</f>
        <v/>
      </c>
      <c r="T309" s="52">
        <f>IF(OR(A309="",F309="",C309&lt;&gt;"Kapak"),0,IF(COUNTIFS($F$8:F309,F309,$C$8:C309,"Kapak")=1,1,0))</f>
        <v/>
      </c>
    </row>
    <row r="310" ht="54" customHeight="1">
      <c r="A310" s="29" t="n"/>
      <c r="B310" s="29" t="n"/>
      <c r="C310" s="29" t="n"/>
      <c r="D310" s="29" t="n"/>
      <c r="E310" s="29" t="n"/>
      <c r="F310" s="29" t="n"/>
      <c r="G310" s="29" t="n"/>
      <c r="H310" s="29" t="n"/>
      <c r="I310" s="29" t="n"/>
      <c r="J310" s="29" t="n"/>
      <c r="K310" s="29" t="n"/>
      <c r="L310" s="49" t="n"/>
      <c r="M310" s="49" t="n"/>
      <c r="N310" s="29" t="n"/>
      <c r="O310" s="29" t="n"/>
      <c r="P310" s="29" t="n"/>
      <c r="Q310" s="51" t="n"/>
      <c r="R310" s="29" t="n"/>
      <c r="S310" s="52">
        <f>IF(OR(A310="",F310="",C310&lt;&gt;"Mekân"),0,IF(COUNTIFS($F$8:F310,F310,$C$8:C310,"Mekân")=1,1,0))</f>
        <v/>
      </c>
      <c r="T310" s="52">
        <f>IF(OR(A310="",F310="",C310&lt;&gt;"Kapak"),0,IF(COUNTIFS($F$8:F310,F310,$C$8:C310,"Kapak")=1,1,0))</f>
        <v/>
      </c>
    </row>
    <row r="311" ht="54" customHeight="1">
      <c r="A311" s="29" t="n"/>
      <c r="B311" s="29" t="n"/>
      <c r="C311" s="29" t="n"/>
      <c r="D311" s="29" t="n"/>
      <c r="E311" s="29" t="n"/>
      <c r="F311" s="29" t="n"/>
      <c r="G311" s="29" t="n"/>
      <c r="H311" s="29" t="n"/>
      <c r="I311" s="29" t="n"/>
      <c r="J311" s="29" t="n"/>
      <c r="K311" s="29" t="n"/>
      <c r="L311" s="49" t="n"/>
      <c r="M311" s="49" t="n"/>
      <c r="N311" s="29" t="n"/>
      <c r="O311" s="29" t="n"/>
      <c r="P311" s="29" t="n"/>
      <c r="Q311" s="51" t="n"/>
      <c r="R311" s="29" t="n"/>
      <c r="S311" s="52">
        <f>IF(OR(A311="",F311="",C311&lt;&gt;"Mekân"),0,IF(COUNTIFS($F$8:F311,F311,$C$8:C311,"Mekân")=1,1,0))</f>
        <v/>
      </c>
      <c r="T311" s="52">
        <f>IF(OR(A311="",F311="",C311&lt;&gt;"Kapak"),0,IF(COUNTIFS($F$8:F311,F311,$C$8:C311,"Kapak")=1,1,0))</f>
        <v/>
      </c>
    </row>
    <row r="312" ht="54" customHeight="1">
      <c r="A312" s="29" t="n"/>
      <c r="B312" s="29" t="n"/>
      <c r="C312" s="29" t="n"/>
      <c r="D312" s="29" t="n"/>
      <c r="E312" s="29" t="n"/>
      <c r="F312" s="29" t="n"/>
      <c r="G312" s="29" t="n"/>
      <c r="H312" s="29" t="n"/>
      <c r="I312" s="29" t="n"/>
      <c r="J312" s="29" t="n"/>
      <c r="K312" s="29" t="n"/>
      <c r="L312" s="49" t="n"/>
      <c r="M312" s="49" t="n"/>
      <c r="N312" s="29" t="n"/>
      <c r="O312" s="29" t="n"/>
      <c r="P312" s="29" t="n"/>
      <c r="Q312" s="51" t="n"/>
      <c r="R312" s="29" t="n"/>
      <c r="S312" s="52">
        <f>IF(OR(A312="",F312="",C312&lt;&gt;"Mekân"),0,IF(COUNTIFS($F$8:F312,F312,$C$8:C312,"Mekân")=1,1,0))</f>
        <v/>
      </c>
      <c r="T312" s="52">
        <f>IF(OR(A312="",F312="",C312&lt;&gt;"Kapak"),0,IF(COUNTIFS($F$8:F312,F312,$C$8:C312,"Kapak")=1,1,0))</f>
        <v/>
      </c>
    </row>
    <row r="313" ht="54" customHeight="1">
      <c r="A313" s="29" t="n"/>
      <c r="B313" s="29" t="n"/>
      <c r="C313" s="29" t="n"/>
      <c r="D313" s="29" t="n"/>
      <c r="E313" s="29" t="n"/>
      <c r="F313" s="29" t="n"/>
      <c r="G313" s="29" t="n"/>
      <c r="H313" s="29" t="n"/>
      <c r="I313" s="29" t="n"/>
      <c r="J313" s="29" t="n"/>
      <c r="K313" s="29" t="n"/>
      <c r="L313" s="49" t="n"/>
      <c r="M313" s="49" t="n"/>
      <c r="N313" s="29" t="n"/>
      <c r="O313" s="29" t="n"/>
      <c r="P313" s="29" t="n"/>
      <c r="Q313" s="51" t="n"/>
      <c r="R313" s="29" t="n"/>
      <c r="S313" s="52">
        <f>IF(OR(A313="",F313="",C313&lt;&gt;"Mekân"),0,IF(COUNTIFS($F$8:F313,F313,$C$8:C313,"Mekân")=1,1,0))</f>
        <v/>
      </c>
      <c r="T313" s="52">
        <f>IF(OR(A313="",F313="",C313&lt;&gt;"Kapak"),0,IF(COUNTIFS($F$8:F313,F313,$C$8:C313,"Kapak")=1,1,0))</f>
        <v/>
      </c>
    </row>
    <row r="314" ht="54" customHeight="1">
      <c r="A314" s="29" t="n"/>
      <c r="B314" s="29" t="n"/>
      <c r="C314" s="29" t="n"/>
      <c r="D314" s="29" t="n"/>
      <c r="E314" s="29" t="n"/>
      <c r="F314" s="29" t="n"/>
      <c r="G314" s="29" t="n"/>
      <c r="H314" s="29" t="n"/>
      <c r="I314" s="29" t="n"/>
      <c r="J314" s="29" t="n"/>
      <c r="K314" s="29" t="n"/>
      <c r="L314" s="49" t="n"/>
      <c r="M314" s="49" t="n"/>
      <c r="N314" s="29" t="n"/>
      <c r="O314" s="29" t="n"/>
      <c r="P314" s="29" t="n"/>
      <c r="Q314" s="51" t="n"/>
      <c r="R314" s="29" t="n"/>
      <c r="S314" s="52">
        <f>IF(OR(A314="",F314="",C314&lt;&gt;"Mekân"),0,IF(COUNTIFS($F$8:F314,F314,$C$8:C314,"Mekân")=1,1,0))</f>
        <v/>
      </c>
      <c r="T314" s="52">
        <f>IF(OR(A314="",F314="",C314&lt;&gt;"Kapak"),0,IF(COUNTIFS($F$8:F314,F314,$C$8:C314,"Kapak")=1,1,0))</f>
        <v/>
      </c>
    </row>
    <row r="315" ht="54" customHeight="1">
      <c r="A315" s="29" t="n"/>
      <c r="B315" s="29" t="n"/>
      <c r="C315" s="29" t="n"/>
      <c r="D315" s="29" t="n"/>
      <c r="E315" s="29" t="n"/>
      <c r="F315" s="29" t="n"/>
      <c r="G315" s="29" t="n"/>
      <c r="H315" s="29" t="n"/>
      <c r="I315" s="29" t="n"/>
      <c r="J315" s="29" t="n"/>
      <c r="K315" s="29" t="n"/>
      <c r="L315" s="49" t="n"/>
      <c r="M315" s="49" t="n"/>
      <c r="N315" s="29" t="n"/>
      <c r="O315" s="29" t="n"/>
      <c r="P315" s="29" t="n"/>
      <c r="Q315" s="51" t="n"/>
      <c r="R315" s="29" t="n"/>
      <c r="S315" s="52">
        <f>IF(OR(A315="",F315="",C315&lt;&gt;"Mekân"),0,IF(COUNTIFS($F$8:F315,F315,$C$8:C315,"Mekân")=1,1,0))</f>
        <v/>
      </c>
      <c r="T315" s="52">
        <f>IF(OR(A315="",F315="",C315&lt;&gt;"Kapak"),0,IF(COUNTIFS($F$8:F315,F315,$C$8:C315,"Kapak")=1,1,0))</f>
        <v/>
      </c>
    </row>
    <row r="316" ht="54" customHeight="1">
      <c r="A316" s="29" t="n"/>
      <c r="B316" s="29" t="n"/>
      <c r="C316" s="29" t="n"/>
      <c r="D316" s="29" t="n"/>
      <c r="E316" s="29" t="n"/>
      <c r="F316" s="29" t="n"/>
      <c r="G316" s="29" t="n"/>
      <c r="H316" s="29" t="n"/>
      <c r="I316" s="29" t="n"/>
      <c r="J316" s="29" t="n"/>
      <c r="K316" s="29" t="n"/>
      <c r="L316" s="49" t="n"/>
      <c r="M316" s="49" t="n"/>
      <c r="N316" s="29" t="n"/>
      <c r="O316" s="29" t="n"/>
      <c r="P316" s="29" t="n"/>
      <c r="Q316" s="51" t="n"/>
      <c r="R316" s="29" t="n"/>
      <c r="S316" s="52">
        <f>IF(OR(A316="",F316="",C316&lt;&gt;"Mekân"),0,IF(COUNTIFS($F$8:F316,F316,$C$8:C316,"Mekân")=1,1,0))</f>
        <v/>
      </c>
      <c r="T316" s="52">
        <f>IF(OR(A316="",F316="",C316&lt;&gt;"Kapak"),0,IF(COUNTIFS($F$8:F316,F316,$C$8:C316,"Kapak")=1,1,0))</f>
        <v/>
      </c>
    </row>
    <row r="317" ht="54" customHeight="1">
      <c r="A317" s="29" t="n"/>
      <c r="B317" s="29" t="n"/>
      <c r="C317" s="29" t="n"/>
      <c r="D317" s="29" t="n"/>
      <c r="E317" s="29" t="n"/>
      <c r="F317" s="29" t="n"/>
      <c r="G317" s="29" t="n"/>
      <c r="H317" s="29" t="n"/>
      <c r="I317" s="29" t="n"/>
      <c r="J317" s="29" t="n"/>
      <c r="K317" s="29" t="n"/>
      <c r="L317" s="49" t="n"/>
      <c r="M317" s="49" t="n"/>
      <c r="N317" s="29" t="n"/>
      <c r="O317" s="29" t="n"/>
      <c r="P317" s="29" t="n"/>
      <c r="Q317" s="51" t="n"/>
      <c r="R317" s="29" t="n"/>
      <c r="S317" s="52">
        <f>IF(OR(A317="",F317="",C317&lt;&gt;"Mekân"),0,IF(COUNTIFS($F$8:F317,F317,$C$8:C317,"Mekân")=1,1,0))</f>
        <v/>
      </c>
      <c r="T317" s="52">
        <f>IF(OR(A317="",F317="",C317&lt;&gt;"Kapak"),0,IF(COUNTIFS($F$8:F317,F317,$C$8:C317,"Kapak")=1,1,0))</f>
        <v/>
      </c>
    </row>
    <row r="318" ht="54" customHeight="1">
      <c r="A318" s="29" t="n"/>
      <c r="B318" s="29" t="n"/>
      <c r="C318" s="29" t="n"/>
      <c r="D318" s="29" t="n"/>
      <c r="E318" s="29" t="n"/>
      <c r="F318" s="29" t="n"/>
      <c r="G318" s="29" t="n"/>
      <c r="H318" s="29" t="n"/>
      <c r="I318" s="29" t="n"/>
      <c r="J318" s="29" t="n"/>
      <c r="K318" s="29" t="n"/>
      <c r="L318" s="49" t="n"/>
      <c r="M318" s="49" t="n"/>
      <c r="N318" s="29" t="n"/>
      <c r="O318" s="29" t="n"/>
      <c r="P318" s="29" t="n"/>
      <c r="Q318" s="51" t="n"/>
      <c r="R318" s="29" t="n"/>
      <c r="S318" s="52">
        <f>IF(OR(A318="",F318="",C318&lt;&gt;"Mekân"),0,IF(COUNTIFS($F$8:F318,F318,$C$8:C318,"Mekân")=1,1,0))</f>
        <v/>
      </c>
      <c r="T318" s="52">
        <f>IF(OR(A318="",F318="",C318&lt;&gt;"Kapak"),0,IF(COUNTIFS($F$8:F318,F318,$C$8:C318,"Kapak")=1,1,0))</f>
        <v/>
      </c>
    </row>
    <row r="319" ht="54" customHeight="1">
      <c r="A319" s="29" t="n"/>
      <c r="B319" s="29" t="n"/>
      <c r="C319" s="29" t="n"/>
      <c r="D319" s="29" t="n"/>
      <c r="E319" s="29" t="n"/>
      <c r="F319" s="29" t="n"/>
      <c r="G319" s="29" t="n"/>
      <c r="H319" s="29" t="n"/>
      <c r="I319" s="29" t="n"/>
      <c r="J319" s="29" t="n"/>
      <c r="K319" s="29" t="n"/>
      <c r="L319" s="49" t="n"/>
      <c r="M319" s="49" t="n"/>
      <c r="N319" s="29" t="n"/>
      <c r="O319" s="29" t="n"/>
      <c r="P319" s="29" t="n"/>
      <c r="Q319" s="51" t="n"/>
      <c r="R319" s="29" t="n"/>
      <c r="S319" s="52">
        <f>IF(OR(A319="",F319="",C319&lt;&gt;"Mekân"),0,IF(COUNTIFS($F$8:F319,F319,$C$8:C319,"Mekân")=1,1,0))</f>
        <v/>
      </c>
      <c r="T319" s="52">
        <f>IF(OR(A319="",F319="",C319&lt;&gt;"Kapak"),0,IF(COUNTIFS($F$8:F319,F319,$C$8:C319,"Kapak")=1,1,0))</f>
        <v/>
      </c>
    </row>
    <row r="320" ht="54" customHeight="1">
      <c r="A320" s="29" t="n"/>
      <c r="B320" s="29" t="n"/>
      <c r="C320" s="29" t="n"/>
      <c r="D320" s="29" t="n"/>
      <c r="E320" s="29" t="n"/>
      <c r="F320" s="29" t="n"/>
      <c r="G320" s="29" t="n"/>
      <c r="H320" s="29" t="n"/>
      <c r="I320" s="29" t="n"/>
      <c r="J320" s="29" t="n"/>
      <c r="K320" s="29" t="n"/>
      <c r="L320" s="49" t="n"/>
      <c r="M320" s="49" t="n"/>
      <c r="N320" s="29" t="n"/>
      <c r="O320" s="29" t="n"/>
      <c r="P320" s="29" t="n"/>
      <c r="Q320" s="51" t="n"/>
      <c r="R320" s="29" t="n"/>
      <c r="S320" s="52">
        <f>IF(OR(A320="",F320="",C320&lt;&gt;"Mekân"),0,IF(COUNTIFS($F$8:F320,F320,$C$8:C320,"Mekân")=1,1,0))</f>
        <v/>
      </c>
      <c r="T320" s="52">
        <f>IF(OR(A320="",F320="",C320&lt;&gt;"Kapak"),0,IF(COUNTIFS($F$8:F320,F320,$C$8:C320,"Kapak")=1,1,0))</f>
        <v/>
      </c>
    </row>
    <row r="321" ht="54" customHeight="1">
      <c r="A321" s="29" t="n"/>
      <c r="B321" s="29" t="n"/>
      <c r="C321" s="29" t="n"/>
      <c r="D321" s="29" t="n"/>
      <c r="E321" s="29" t="n"/>
      <c r="F321" s="29" t="n"/>
      <c r="G321" s="29" t="n"/>
      <c r="H321" s="29" t="n"/>
      <c r="I321" s="29" t="n"/>
      <c r="J321" s="29" t="n"/>
      <c r="K321" s="29" t="n"/>
      <c r="L321" s="49" t="n"/>
      <c r="M321" s="49" t="n"/>
      <c r="N321" s="29" t="n"/>
      <c r="O321" s="29" t="n"/>
      <c r="P321" s="29" t="n"/>
      <c r="Q321" s="51" t="n"/>
      <c r="R321" s="29" t="n"/>
      <c r="S321" s="52">
        <f>IF(OR(A321="",F321="",C321&lt;&gt;"Mekân"),0,IF(COUNTIFS($F$8:F321,F321,$C$8:C321,"Mekân")=1,1,0))</f>
        <v/>
      </c>
      <c r="T321" s="52">
        <f>IF(OR(A321="",F321="",C321&lt;&gt;"Kapak"),0,IF(COUNTIFS($F$8:F321,F321,$C$8:C321,"Kapak")=1,1,0))</f>
        <v/>
      </c>
    </row>
    <row r="322" ht="54" customHeight="1">
      <c r="A322" s="29" t="n"/>
      <c r="B322" s="29" t="n"/>
      <c r="C322" s="29" t="n"/>
      <c r="D322" s="29" t="n"/>
      <c r="E322" s="29" t="n"/>
      <c r="F322" s="29" t="n"/>
      <c r="G322" s="29" t="n"/>
      <c r="H322" s="29" t="n"/>
      <c r="I322" s="29" t="n"/>
      <c r="J322" s="29" t="n"/>
      <c r="K322" s="29" t="n"/>
      <c r="L322" s="49" t="n"/>
      <c r="M322" s="49" t="n"/>
      <c r="N322" s="29" t="n"/>
      <c r="O322" s="29" t="n"/>
      <c r="P322" s="29" t="n"/>
      <c r="Q322" s="51" t="n"/>
      <c r="R322" s="29" t="n"/>
      <c r="S322" s="52">
        <f>IF(OR(A322="",F322="",C322&lt;&gt;"Mekân"),0,IF(COUNTIFS($F$8:F322,F322,$C$8:C322,"Mekân")=1,1,0))</f>
        <v/>
      </c>
      <c r="T322" s="52">
        <f>IF(OR(A322="",F322="",C322&lt;&gt;"Kapak"),0,IF(COUNTIFS($F$8:F322,F322,$C$8:C322,"Kapak")=1,1,0))</f>
        <v/>
      </c>
    </row>
    <row r="323" ht="54" customHeight="1">
      <c r="A323" s="29" t="n"/>
      <c r="B323" s="29" t="n"/>
      <c r="C323" s="29" t="n"/>
      <c r="D323" s="29" t="n"/>
      <c r="E323" s="29" t="n"/>
      <c r="F323" s="29" t="n"/>
      <c r="G323" s="29" t="n"/>
      <c r="H323" s="29" t="n"/>
      <c r="I323" s="29" t="n"/>
      <c r="J323" s="29" t="n"/>
      <c r="K323" s="29" t="n"/>
      <c r="L323" s="49" t="n"/>
      <c r="M323" s="49" t="n"/>
      <c r="N323" s="29" t="n"/>
      <c r="O323" s="29" t="n"/>
      <c r="P323" s="29" t="n"/>
      <c r="Q323" s="51" t="n"/>
      <c r="R323" s="29" t="n"/>
      <c r="S323" s="52">
        <f>IF(OR(A323="",F323="",C323&lt;&gt;"Mekân"),0,IF(COUNTIFS($F$8:F323,F323,$C$8:C323,"Mekân")=1,1,0))</f>
        <v/>
      </c>
      <c r="T323" s="52">
        <f>IF(OR(A323="",F323="",C323&lt;&gt;"Kapak"),0,IF(COUNTIFS($F$8:F323,F323,$C$8:C323,"Kapak")=1,1,0))</f>
        <v/>
      </c>
    </row>
    <row r="324" ht="54" customHeight="1">
      <c r="A324" s="29" t="n"/>
      <c r="B324" s="29" t="n"/>
      <c r="C324" s="29" t="n"/>
      <c r="D324" s="29" t="n"/>
      <c r="E324" s="29" t="n"/>
      <c r="F324" s="29" t="n"/>
      <c r="G324" s="29" t="n"/>
      <c r="H324" s="29" t="n"/>
      <c r="I324" s="29" t="n"/>
      <c r="J324" s="29" t="n"/>
      <c r="K324" s="29" t="n"/>
      <c r="L324" s="49" t="n"/>
      <c r="M324" s="49" t="n"/>
      <c r="N324" s="29" t="n"/>
      <c r="O324" s="29" t="n"/>
      <c r="P324" s="29" t="n"/>
      <c r="Q324" s="51" t="n"/>
      <c r="R324" s="29" t="n"/>
      <c r="S324" s="52">
        <f>IF(OR(A324="",F324="",C324&lt;&gt;"Mekân"),0,IF(COUNTIFS($F$8:F324,F324,$C$8:C324,"Mekân")=1,1,0))</f>
        <v/>
      </c>
      <c r="T324" s="52">
        <f>IF(OR(A324="",F324="",C324&lt;&gt;"Kapak"),0,IF(COUNTIFS($F$8:F324,F324,$C$8:C324,"Kapak")=1,1,0))</f>
        <v/>
      </c>
    </row>
    <row r="325" ht="54" customHeight="1">
      <c r="A325" s="29" t="n"/>
      <c r="B325" s="29" t="n"/>
      <c r="C325" s="29" t="n"/>
      <c r="D325" s="29" t="n"/>
      <c r="E325" s="29" t="n"/>
      <c r="F325" s="29" t="n"/>
      <c r="G325" s="29" t="n"/>
      <c r="H325" s="29" t="n"/>
      <c r="I325" s="29" t="n"/>
      <c r="J325" s="29" t="n"/>
      <c r="K325" s="29" t="n"/>
      <c r="L325" s="49" t="n"/>
      <c r="M325" s="49" t="n"/>
      <c r="N325" s="29" t="n"/>
      <c r="O325" s="29" t="n"/>
      <c r="P325" s="29" t="n"/>
      <c r="Q325" s="51" t="n"/>
      <c r="R325" s="29" t="n"/>
      <c r="S325" s="52">
        <f>IF(OR(A325="",F325="",C325&lt;&gt;"Mekân"),0,IF(COUNTIFS($F$8:F325,F325,$C$8:C325,"Mekân")=1,1,0))</f>
        <v/>
      </c>
      <c r="T325" s="52">
        <f>IF(OR(A325="",F325="",C325&lt;&gt;"Kapak"),0,IF(COUNTIFS($F$8:F325,F325,$C$8:C325,"Kapak")=1,1,0))</f>
        <v/>
      </c>
    </row>
    <row r="326" ht="54" customHeight="1">
      <c r="A326" s="29" t="n"/>
      <c r="B326" s="29" t="n"/>
      <c r="C326" s="29" t="n"/>
      <c r="D326" s="29" t="n"/>
      <c r="E326" s="29" t="n"/>
      <c r="F326" s="29" t="n"/>
      <c r="G326" s="29" t="n"/>
      <c r="H326" s="29" t="n"/>
      <c r="I326" s="29" t="n"/>
      <c r="J326" s="29" t="n"/>
      <c r="K326" s="29" t="n"/>
      <c r="L326" s="49" t="n"/>
      <c r="M326" s="49" t="n"/>
      <c r="N326" s="29" t="n"/>
      <c r="O326" s="29" t="n"/>
      <c r="P326" s="29" t="n"/>
      <c r="Q326" s="51" t="n"/>
      <c r="R326" s="29" t="n"/>
      <c r="S326" s="52">
        <f>IF(OR(A326="",F326="",C326&lt;&gt;"Mekân"),0,IF(COUNTIFS($F$8:F326,F326,$C$8:C326,"Mekân")=1,1,0))</f>
        <v/>
      </c>
      <c r="T326" s="52">
        <f>IF(OR(A326="",F326="",C326&lt;&gt;"Kapak"),0,IF(COUNTIFS($F$8:F326,F326,$C$8:C326,"Kapak")=1,1,0))</f>
        <v/>
      </c>
    </row>
    <row r="327" ht="54" customHeight="1">
      <c r="A327" s="29" t="n"/>
      <c r="B327" s="29" t="n"/>
      <c r="C327" s="29" t="n"/>
      <c r="D327" s="29" t="n"/>
      <c r="E327" s="29" t="n"/>
      <c r="F327" s="29" t="n"/>
      <c r="G327" s="29" t="n"/>
      <c r="H327" s="29" t="n"/>
      <c r="I327" s="29" t="n"/>
      <c r="J327" s="29" t="n"/>
      <c r="K327" s="29" t="n"/>
      <c r="L327" s="49" t="n"/>
      <c r="M327" s="49" t="n"/>
      <c r="N327" s="29" t="n"/>
      <c r="O327" s="29" t="n"/>
      <c r="P327" s="29" t="n"/>
      <c r="Q327" s="51" t="n"/>
      <c r="R327" s="29" t="n"/>
      <c r="S327" s="52">
        <f>IF(OR(A327="",F327="",C327&lt;&gt;"Mekân"),0,IF(COUNTIFS($F$8:F327,F327,$C$8:C327,"Mekân")=1,1,0))</f>
        <v/>
      </c>
      <c r="T327" s="52">
        <f>IF(OR(A327="",F327="",C327&lt;&gt;"Kapak"),0,IF(COUNTIFS($F$8:F327,F327,$C$8:C327,"Kapak")=1,1,0))</f>
        <v/>
      </c>
    </row>
    <row r="328" ht="54" customHeight="1">
      <c r="A328" s="29" t="n"/>
      <c r="B328" s="29" t="n"/>
      <c r="C328" s="29" t="n"/>
      <c r="D328" s="29" t="n"/>
      <c r="E328" s="29" t="n"/>
      <c r="F328" s="29" t="n"/>
      <c r="G328" s="29" t="n"/>
      <c r="H328" s="29" t="n"/>
      <c r="I328" s="29" t="n"/>
      <c r="J328" s="29" t="n"/>
      <c r="K328" s="29" t="n"/>
      <c r="L328" s="49" t="n"/>
      <c r="M328" s="49" t="n"/>
      <c r="N328" s="29" t="n"/>
      <c r="O328" s="29" t="n"/>
      <c r="P328" s="29" t="n"/>
      <c r="Q328" s="51" t="n"/>
      <c r="R328" s="29" t="n"/>
      <c r="S328" s="52">
        <f>IF(OR(A328="",F328="",C328&lt;&gt;"Mekân"),0,IF(COUNTIFS($F$8:F328,F328,$C$8:C328,"Mekân")=1,1,0))</f>
        <v/>
      </c>
      <c r="T328" s="52">
        <f>IF(OR(A328="",F328="",C328&lt;&gt;"Kapak"),0,IF(COUNTIFS($F$8:F328,F328,$C$8:C328,"Kapak")=1,1,0))</f>
        <v/>
      </c>
    </row>
    <row r="329" ht="54" customHeight="1">
      <c r="A329" s="29" t="n"/>
      <c r="B329" s="29" t="n"/>
      <c r="C329" s="29" t="n"/>
      <c r="D329" s="29" t="n"/>
      <c r="E329" s="29" t="n"/>
      <c r="F329" s="29" t="n"/>
      <c r="G329" s="29" t="n"/>
      <c r="H329" s="29" t="n"/>
      <c r="I329" s="29" t="n"/>
      <c r="J329" s="29" t="n"/>
      <c r="K329" s="29" t="n"/>
      <c r="L329" s="49" t="n"/>
      <c r="M329" s="49" t="n"/>
      <c r="N329" s="29" t="n"/>
      <c r="O329" s="29" t="n"/>
      <c r="P329" s="29" t="n"/>
      <c r="Q329" s="51" t="n"/>
      <c r="R329" s="29" t="n"/>
      <c r="S329" s="52">
        <f>IF(OR(A329="",F329="",C329&lt;&gt;"Mekân"),0,IF(COUNTIFS($F$8:F329,F329,$C$8:C329,"Mekân")=1,1,0))</f>
        <v/>
      </c>
      <c r="T329" s="52">
        <f>IF(OR(A329="",F329="",C329&lt;&gt;"Kapak"),0,IF(COUNTIFS($F$8:F329,F329,$C$8:C329,"Kapak")=1,1,0))</f>
        <v/>
      </c>
    </row>
    <row r="330" ht="54" customHeight="1">
      <c r="A330" s="29" t="n"/>
      <c r="B330" s="29" t="n"/>
      <c r="C330" s="29" t="n"/>
      <c r="D330" s="29" t="n"/>
      <c r="E330" s="29" t="n"/>
      <c r="F330" s="29" t="n"/>
      <c r="G330" s="29" t="n"/>
      <c r="H330" s="29" t="n"/>
      <c r="I330" s="29" t="n"/>
      <c r="J330" s="29" t="n"/>
      <c r="K330" s="29" t="n"/>
      <c r="L330" s="49" t="n"/>
      <c r="M330" s="49" t="n"/>
      <c r="N330" s="29" t="n"/>
      <c r="O330" s="29" t="n"/>
      <c r="P330" s="29" t="n"/>
      <c r="Q330" s="51" t="n"/>
      <c r="R330" s="29" t="n"/>
      <c r="S330" s="52">
        <f>IF(OR(A330="",F330="",C330&lt;&gt;"Mekân"),0,IF(COUNTIFS($F$8:F330,F330,$C$8:C330,"Mekân")=1,1,0))</f>
        <v/>
      </c>
      <c r="T330" s="52">
        <f>IF(OR(A330="",F330="",C330&lt;&gt;"Kapak"),0,IF(COUNTIFS($F$8:F330,F330,$C$8:C330,"Kapak")=1,1,0))</f>
        <v/>
      </c>
    </row>
    <row r="331" ht="54" customHeight="1">
      <c r="A331" s="29" t="n"/>
      <c r="B331" s="29" t="n"/>
      <c r="C331" s="29" t="n"/>
      <c r="D331" s="29" t="n"/>
      <c r="E331" s="29" t="n"/>
      <c r="F331" s="29" t="n"/>
      <c r="G331" s="29" t="n"/>
      <c r="H331" s="29" t="n"/>
      <c r="I331" s="29" t="n"/>
      <c r="J331" s="29" t="n"/>
      <c r="K331" s="29" t="n"/>
      <c r="L331" s="49" t="n"/>
      <c r="M331" s="49" t="n"/>
      <c r="N331" s="29" t="n"/>
      <c r="O331" s="29" t="n"/>
      <c r="P331" s="29" t="n"/>
      <c r="Q331" s="51" t="n"/>
      <c r="R331" s="29" t="n"/>
      <c r="S331" s="52">
        <f>IF(OR(A331="",F331="",C331&lt;&gt;"Mekân"),0,IF(COUNTIFS($F$8:F331,F331,$C$8:C331,"Mekân")=1,1,0))</f>
        <v/>
      </c>
      <c r="T331" s="52">
        <f>IF(OR(A331="",F331="",C331&lt;&gt;"Kapak"),0,IF(COUNTIFS($F$8:F331,F331,$C$8:C331,"Kapak")=1,1,0))</f>
        <v/>
      </c>
    </row>
    <row r="332" ht="54" customHeight="1">
      <c r="A332" s="29" t="n"/>
      <c r="B332" s="29" t="n"/>
      <c r="C332" s="29" t="n"/>
      <c r="D332" s="29" t="n"/>
      <c r="E332" s="29" t="n"/>
      <c r="F332" s="29" t="n"/>
      <c r="G332" s="29" t="n"/>
      <c r="H332" s="29" t="n"/>
      <c r="I332" s="29" t="n"/>
      <c r="J332" s="29" t="n"/>
      <c r="K332" s="29" t="n"/>
      <c r="L332" s="49" t="n"/>
      <c r="M332" s="49" t="n"/>
      <c r="N332" s="29" t="n"/>
      <c r="O332" s="29" t="n"/>
      <c r="P332" s="29" t="n"/>
      <c r="Q332" s="51" t="n"/>
      <c r="R332" s="29" t="n"/>
      <c r="S332" s="52">
        <f>IF(OR(A332="",F332="",C332&lt;&gt;"Mekân"),0,IF(COUNTIFS($F$8:F332,F332,$C$8:C332,"Mekân")=1,1,0))</f>
        <v/>
      </c>
      <c r="T332" s="52">
        <f>IF(OR(A332="",F332="",C332&lt;&gt;"Kapak"),0,IF(COUNTIFS($F$8:F332,F332,$C$8:C332,"Kapak")=1,1,0))</f>
        <v/>
      </c>
    </row>
    <row r="333" ht="54" customHeight="1">
      <c r="A333" s="29" t="n"/>
      <c r="B333" s="29" t="n"/>
      <c r="C333" s="29" t="n"/>
      <c r="D333" s="29" t="n"/>
      <c r="E333" s="29" t="n"/>
      <c r="F333" s="29" t="n"/>
      <c r="G333" s="29" t="n"/>
      <c r="H333" s="29" t="n"/>
      <c r="I333" s="29" t="n"/>
      <c r="J333" s="29" t="n"/>
      <c r="K333" s="29" t="n"/>
      <c r="L333" s="49" t="n"/>
      <c r="M333" s="49" t="n"/>
      <c r="N333" s="29" t="n"/>
      <c r="O333" s="29" t="n"/>
      <c r="P333" s="29" t="n"/>
      <c r="Q333" s="51" t="n"/>
      <c r="R333" s="29" t="n"/>
      <c r="S333" s="52">
        <f>IF(OR(A333="",F333="",C333&lt;&gt;"Mekân"),0,IF(COUNTIFS($F$8:F333,F333,$C$8:C333,"Mekân")=1,1,0))</f>
        <v/>
      </c>
      <c r="T333" s="52">
        <f>IF(OR(A333="",F333="",C333&lt;&gt;"Kapak"),0,IF(COUNTIFS($F$8:F333,F333,$C$8:C333,"Kapak")=1,1,0))</f>
        <v/>
      </c>
    </row>
    <row r="334" ht="54" customHeight="1">
      <c r="A334" s="29" t="n"/>
      <c r="B334" s="29" t="n"/>
      <c r="C334" s="29" t="n"/>
      <c r="D334" s="29" t="n"/>
      <c r="E334" s="29" t="n"/>
      <c r="F334" s="29" t="n"/>
      <c r="G334" s="29" t="n"/>
      <c r="H334" s="29" t="n"/>
      <c r="I334" s="29" t="n"/>
      <c r="J334" s="29" t="n"/>
      <c r="K334" s="29" t="n"/>
      <c r="L334" s="49" t="n"/>
      <c r="M334" s="49" t="n"/>
      <c r="N334" s="29" t="n"/>
      <c r="O334" s="29" t="n"/>
      <c r="P334" s="29" t="n"/>
      <c r="Q334" s="51" t="n"/>
      <c r="R334" s="29" t="n"/>
      <c r="S334" s="52">
        <f>IF(OR(A334="",F334="",C334&lt;&gt;"Mekân"),0,IF(COUNTIFS($F$8:F334,F334,$C$8:C334,"Mekân")=1,1,0))</f>
        <v/>
      </c>
      <c r="T334" s="52">
        <f>IF(OR(A334="",F334="",C334&lt;&gt;"Kapak"),0,IF(COUNTIFS($F$8:F334,F334,$C$8:C334,"Kapak")=1,1,0))</f>
        <v/>
      </c>
    </row>
    <row r="335" ht="54" customHeight="1">
      <c r="A335" s="29" t="n"/>
      <c r="B335" s="29" t="n"/>
      <c r="C335" s="29" t="n"/>
      <c r="D335" s="29" t="n"/>
      <c r="E335" s="29" t="n"/>
      <c r="F335" s="29" t="n"/>
      <c r="G335" s="29" t="n"/>
      <c r="H335" s="29" t="n"/>
      <c r="I335" s="29" t="n"/>
      <c r="J335" s="29" t="n"/>
      <c r="K335" s="29" t="n"/>
      <c r="L335" s="49" t="n"/>
      <c r="M335" s="49" t="n"/>
      <c r="N335" s="29" t="n"/>
      <c r="O335" s="29" t="n"/>
      <c r="P335" s="29" t="n"/>
      <c r="Q335" s="51" t="n"/>
      <c r="R335" s="29" t="n"/>
      <c r="S335" s="52">
        <f>IF(OR(A335="",F335="",C335&lt;&gt;"Mekân"),0,IF(COUNTIFS($F$8:F335,F335,$C$8:C335,"Mekân")=1,1,0))</f>
        <v/>
      </c>
      <c r="T335" s="52">
        <f>IF(OR(A335="",F335="",C335&lt;&gt;"Kapak"),0,IF(COUNTIFS($F$8:F335,F335,$C$8:C335,"Kapak")=1,1,0))</f>
        <v/>
      </c>
    </row>
    <row r="336" ht="54" customHeight="1">
      <c r="A336" s="29" t="n"/>
      <c r="B336" s="29" t="n"/>
      <c r="C336" s="29" t="n"/>
      <c r="D336" s="29" t="n"/>
      <c r="E336" s="29" t="n"/>
      <c r="F336" s="29" t="n"/>
      <c r="G336" s="29" t="n"/>
      <c r="H336" s="29" t="n"/>
      <c r="I336" s="29" t="n"/>
      <c r="J336" s="29" t="n"/>
      <c r="K336" s="29" t="n"/>
      <c r="L336" s="49" t="n"/>
      <c r="M336" s="49" t="n"/>
      <c r="N336" s="29" t="n"/>
      <c r="O336" s="29" t="n"/>
      <c r="P336" s="29" t="n"/>
      <c r="Q336" s="51" t="n"/>
      <c r="R336" s="29" t="n"/>
      <c r="S336" s="52">
        <f>IF(OR(A336="",F336="",C336&lt;&gt;"Mekân"),0,IF(COUNTIFS($F$8:F336,F336,$C$8:C336,"Mekân")=1,1,0))</f>
        <v/>
      </c>
      <c r="T336" s="52">
        <f>IF(OR(A336="",F336="",C336&lt;&gt;"Kapak"),0,IF(COUNTIFS($F$8:F336,F336,$C$8:C336,"Kapak")=1,1,0))</f>
        <v/>
      </c>
    </row>
    <row r="337" ht="54" customHeight="1">
      <c r="A337" s="29" t="n"/>
      <c r="B337" s="29" t="n"/>
      <c r="C337" s="29" t="n"/>
      <c r="D337" s="29" t="n"/>
      <c r="E337" s="29" t="n"/>
      <c r="F337" s="29" t="n"/>
      <c r="G337" s="29" t="n"/>
      <c r="H337" s="29" t="n"/>
      <c r="I337" s="29" t="n"/>
      <c r="J337" s="29" t="n"/>
      <c r="K337" s="29" t="n"/>
      <c r="L337" s="49" t="n"/>
      <c r="M337" s="49" t="n"/>
      <c r="N337" s="29" t="n"/>
      <c r="O337" s="29" t="n"/>
      <c r="P337" s="29" t="n"/>
      <c r="Q337" s="51" t="n"/>
      <c r="R337" s="29" t="n"/>
      <c r="S337" s="52">
        <f>IF(OR(A337="",F337="",C337&lt;&gt;"Mekân"),0,IF(COUNTIFS($F$8:F337,F337,$C$8:C337,"Mekân")=1,1,0))</f>
        <v/>
      </c>
      <c r="T337" s="52">
        <f>IF(OR(A337="",F337="",C337&lt;&gt;"Kapak"),0,IF(COUNTIFS($F$8:F337,F337,$C$8:C337,"Kapak")=1,1,0))</f>
        <v/>
      </c>
    </row>
    <row r="338" ht="54" customHeight="1">
      <c r="A338" s="29" t="n"/>
      <c r="B338" s="29" t="n"/>
      <c r="C338" s="29" t="n"/>
      <c r="D338" s="29" t="n"/>
      <c r="E338" s="29" t="n"/>
      <c r="F338" s="29" t="n"/>
      <c r="G338" s="29" t="n"/>
      <c r="H338" s="29" t="n"/>
      <c r="I338" s="29" t="n"/>
      <c r="J338" s="29" t="n"/>
      <c r="K338" s="29" t="n"/>
      <c r="L338" s="49" t="n"/>
      <c r="M338" s="49" t="n"/>
      <c r="N338" s="29" t="n"/>
      <c r="O338" s="29" t="n"/>
      <c r="P338" s="29" t="n"/>
      <c r="Q338" s="51" t="n"/>
      <c r="R338" s="29" t="n"/>
      <c r="S338" s="52">
        <f>IF(OR(A338="",F338="",C338&lt;&gt;"Mekân"),0,IF(COUNTIFS($F$8:F338,F338,$C$8:C338,"Mekân")=1,1,0))</f>
        <v/>
      </c>
      <c r="T338" s="52">
        <f>IF(OR(A338="",F338="",C338&lt;&gt;"Kapak"),0,IF(COUNTIFS($F$8:F338,F338,$C$8:C338,"Kapak")=1,1,0))</f>
        <v/>
      </c>
    </row>
    <row r="339" ht="54" customHeight="1">
      <c r="A339" s="29" t="n"/>
      <c r="B339" s="29" t="n"/>
      <c r="C339" s="29" t="n"/>
      <c r="D339" s="29" t="n"/>
      <c r="E339" s="29" t="n"/>
      <c r="F339" s="29" t="n"/>
      <c r="G339" s="29" t="n"/>
      <c r="H339" s="29" t="n"/>
      <c r="I339" s="29" t="n"/>
      <c r="J339" s="29" t="n"/>
      <c r="K339" s="29" t="n"/>
      <c r="L339" s="49" t="n"/>
      <c r="M339" s="49" t="n"/>
      <c r="N339" s="29" t="n"/>
      <c r="O339" s="29" t="n"/>
      <c r="P339" s="29" t="n"/>
      <c r="Q339" s="51" t="n"/>
      <c r="R339" s="29" t="n"/>
      <c r="S339" s="52">
        <f>IF(OR(A339="",F339="",C339&lt;&gt;"Mekân"),0,IF(COUNTIFS($F$8:F339,F339,$C$8:C339,"Mekân")=1,1,0))</f>
        <v/>
      </c>
      <c r="T339" s="52">
        <f>IF(OR(A339="",F339="",C339&lt;&gt;"Kapak"),0,IF(COUNTIFS($F$8:F339,F339,$C$8:C339,"Kapak")=1,1,0))</f>
        <v/>
      </c>
    </row>
    <row r="340" ht="54" customHeight="1">
      <c r="A340" s="29" t="n"/>
      <c r="B340" s="29" t="n"/>
      <c r="C340" s="29" t="n"/>
      <c r="D340" s="29" t="n"/>
      <c r="E340" s="29" t="n"/>
      <c r="F340" s="29" t="n"/>
      <c r="G340" s="29" t="n"/>
      <c r="H340" s="29" t="n"/>
      <c r="I340" s="29" t="n"/>
      <c r="J340" s="29" t="n"/>
      <c r="K340" s="29" t="n"/>
      <c r="L340" s="49" t="n"/>
      <c r="M340" s="49" t="n"/>
      <c r="N340" s="29" t="n"/>
      <c r="O340" s="29" t="n"/>
      <c r="P340" s="29" t="n"/>
      <c r="Q340" s="51" t="n"/>
      <c r="R340" s="29" t="n"/>
      <c r="S340" s="52">
        <f>IF(OR(A340="",F340="",C340&lt;&gt;"Mekân"),0,IF(COUNTIFS($F$8:F340,F340,$C$8:C340,"Mekân")=1,1,0))</f>
        <v/>
      </c>
      <c r="T340" s="52">
        <f>IF(OR(A340="",F340="",C340&lt;&gt;"Kapak"),0,IF(COUNTIFS($F$8:F340,F340,$C$8:C340,"Kapak")=1,1,0))</f>
        <v/>
      </c>
    </row>
    <row r="341" ht="54" customHeight="1">
      <c r="A341" s="29" t="n"/>
      <c r="B341" s="29" t="n"/>
      <c r="C341" s="29" t="n"/>
      <c r="D341" s="29" t="n"/>
      <c r="E341" s="29" t="n"/>
      <c r="F341" s="29" t="n"/>
      <c r="G341" s="29" t="n"/>
      <c r="H341" s="29" t="n"/>
      <c r="I341" s="29" t="n"/>
      <c r="J341" s="29" t="n"/>
      <c r="K341" s="29" t="n"/>
      <c r="L341" s="49" t="n"/>
      <c r="M341" s="49" t="n"/>
      <c r="N341" s="29" t="n"/>
      <c r="O341" s="29" t="n"/>
      <c r="P341" s="29" t="n"/>
      <c r="Q341" s="51" t="n"/>
      <c r="R341" s="29" t="n"/>
      <c r="S341" s="52">
        <f>IF(OR(A341="",F341="",C341&lt;&gt;"Mekân"),0,IF(COUNTIFS($F$8:F341,F341,$C$8:C341,"Mekân")=1,1,0))</f>
        <v/>
      </c>
      <c r="T341" s="52">
        <f>IF(OR(A341="",F341="",C341&lt;&gt;"Kapak"),0,IF(COUNTIFS($F$8:F341,F341,$C$8:C341,"Kapak")=1,1,0))</f>
        <v/>
      </c>
    </row>
    <row r="342" ht="54" customHeight="1">
      <c r="A342" s="29" t="n"/>
      <c r="B342" s="29" t="n"/>
      <c r="C342" s="29" t="n"/>
      <c r="D342" s="29" t="n"/>
      <c r="E342" s="29" t="n"/>
      <c r="F342" s="29" t="n"/>
      <c r="G342" s="29" t="n"/>
      <c r="H342" s="29" t="n"/>
      <c r="I342" s="29" t="n"/>
      <c r="J342" s="29" t="n"/>
      <c r="K342" s="29" t="n"/>
      <c r="L342" s="49" t="n"/>
      <c r="M342" s="49" t="n"/>
      <c r="N342" s="29" t="n"/>
      <c r="O342" s="29" t="n"/>
      <c r="P342" s="29" t="n"/>
      <c r="Q342" s="51" t="n"/>
      <c r="R342" s="29" t="n"/>
      <c r="S342" s="52">
        <f>IF(OR(A342="",F342="",C342&lt;&gt;"Mekân"),0,IF(COUNTIFS($F$8:F342,F342,$C$8:C342,"Mekân")=1,1,0))</f>
        <v/>
      </c>
      <c r="T342" s="52">
        <f>IF(OR(A342="",F342="",C342&lt;&gt;"Kapak"),0,IF(COUNTIFS($F$8:F342,F342,$C$8:C342,"Kapak")=1,1,0))</f>
        <v/>
      </c>
    </row>
    <row r="343" ht="54" customHeight="1">
      <c r="A343" s="29" t="n"/>
      <c r="B343" s="29" t="n"/>
      <c r="C343" s="29" t="n"/>
      <c r="D343" s="29" t="n"/>
      <c r="E343" s="29" t="n"/>
      <c r="F343" s="29" t="n"/>
      <c r="G343" s="29" t="n"/>
      <c r="H343" s="29" t="n"/>
      <c r="I343" s="29" t="n"/>
      <c r="J343" s="29" t="n"/>
      <c r="K343" s="29" t="n"/>
      <c r="L343" s="49" t="n"/>
      <c r="M343" s="49" t="n"/>
      <c r="N343" s="29" t="n"/>
      <c r="O343" s="29" t="n"/>
      <c r="P343" s="29" t="n"/>
      <c r="Q343" s="51" t="n"/>
      <c r="R343" s="29" t="n"/>
      <c r="S343" s="52">
        <f>IF(OR(A343="",F343="",C343&lt;&gt;"Mekân"),0,IF(COUNTIFS($F$8:F343,F343,$C$8:C343,"Mekân")=1,1,0))</f>
        <v/>
      </c>
      <c r="T343" s="52">
        <f>IF(OR(A343="",F343="",C343&lt;&gt;"Kapak"),0,IF(COUNTIFS($F$8:F343,F343,$C$8:C343,"Kapak")=1,1,0))</f>
        <v/>
      </c>
    </row>
    <row r="344" ht="54" customHeight="1">
      <c r="A344" s="29" t="n"/>
      <c r="B344" s="29" t="n"/>
      <c r="C344" s="29" t="n"/>
      <c r="D344" s="29" t="n"/>
      <c r="E344" s="29" t="n"/>
      <c r="F344" s="29" t="n"/>
      <c r="G344" s="29" t="n"/>
      <c r="H344" s="29" t="n"/>
      <c r="I344" s="29" t="n"/>
      <c r="J344" s="29" t="n"/>
      <c r="K344" s="29" t="n"/>
      <c r="L344" s="49" t="n"/>
      <c r="M344" s="49" t="n"/>
      <c r="N344" s="29" t="n"/>
      <c r="O344" s="29" t="n"/>
      <c r="P344" s="29" t="n"/>
      <c r="Q344" s="51" t="n"/>
      <c r="R344" s="29" t="n"/>
      <c r="S344" s="52">
        <f>IF(OR(A344="",F344="",C344&lt;&gt;"Mekân"),0,IF(COUNTIFS($F$8:F344,F344,$C$8:C344,"Mekân")=1,1,0))</f>
        <v/>
      </c>
      <c r="T344" s="52">
        <f>IF(OR(A344="",F344="",C344&lt;&gt;"Kapak"),0,IF(COUNTIFS($F$8:F344,F344,$C$8:C344,"Kapak")=1,1,0))</f>
        <v/>
      </c>
    </row>
    <row r="345" ht="54" customHeight="1">
      <c r="A345" s="29" t="n"/>
      <c r="B345" s="29" t="n"/>
      <c r="C345" s="29" t="n"/>
      <c r="D345" s="29" t="n"/>
      <c r="E345" s="29" t="n"/>
      <c r="F345" s="29" t="n"/>
      <c r="G345" s="29" t="n"/>
      <c r="H345" s="29" t="n"/>
      <c r="I345" s="29" t="n"/>
      <c r="J345" s="29" t="n"/>
      <c r="K345" s="29" t="n"/>
      <c r="L345" s="49" t="n"/>
      <c r="M345" s="49" t="n"/>
      <c r="N345" s="29" t="n"/>
      <c r="O345" s="29" t="n"/>
      <c r="P345" s="29" t="n"/>
      <c r="Q345" s="51" t="n"/>
      <c r="R345" s="29" t="n"/>
      <c r="S345" s="52">
        <f>IF(OR(A345="",F345="",C345&lt;&gt;"Mekân"),0,IF(COUNTIFS($F$8:F345,F345,$C$8:C345,"Mekân")=1,1,0))</f>
        <v/>
      </c>
      <c r="T345" s="52">
        <f>IF(OR(A345="",F345="",C345&lt;&gt;"Kapak"),0,IF(COUNTIFS($F$8:F345,F345,$C$8:C345,"Kapak")=1,1,0))</f>
        <v/>
      </c>
    </row>
    <row r="346" ht="54" customHeight="1">
      <c r="A346" s="29" t="n"/>
      <c r="B346" s="29" t="n"/>
      <c r="C346" s="29" t="n"/>
      <c r="D346" s="29" t="n"/>
      <c r="E346" s="29" t="n"/>
      <c r="F346" s="29" t="n"/>
      <c r="G346" s="29" t="n"/>
      <c r="H346" s="29" t="n"/>
      <c r="I346" s="29" t="n"/>
      <c r="J346" s="29" t="n"/>
      <c r="K346" s="29" t="n"/>
      <c r="L346" s="49" t="n"/>
      <c r="M346" s="49" t="n"/>
      <c r="N346" s="29" t="n"/>
      <c r="O346" s="29" t="n"/>
      <c r="P346" s="29" t="n"/>
      <c r="Q346" s="51" t="n"/>
      <c r="R346" s="29" t="n"/>
      <c r="S346" s="52">
        <f>IF(OR(A346="",F346="",C346&lt;&gt;"Mekân"),0,IF(COUNTIFS($F$8:F346,F346,$C$8:C346,"Mekân")=1,1,0))</f>
        <v/>
      </c>
      <c r="T346" s="52">
        <f>IF(OR(A346="",F346="",C346&lt;&gt;"Kapak"),0,IF(COUNTIFS($F$8:F346,F346,$C$8:C346,"Kapak")=1,1,0))</f>
        <v/>
      </c>
    </row>
    <row r="347" ht="54" customHeight="1">
      <c r="A347" s="29" t="n"/>
      <c r="B347" s="29" t="n"/>
      <c r="C347" s="29" t="n"/>
      <c r="D347" s="29" t="n"/>
      <c r="E347" s="29" t="n"/>
      <c r="F347" s="29" t="n"/>
      <c r="G347" s="29" t="n"/>
      <c r="H347" s="29" t="n"/>
      <c r="I347" s="29" t="n"/>
      <c r="J347" s="29" t="n"/>
      <c r="K347" s="29" t="n"/>
      <c r="L347" s="49" t="n"/>
      <c r="M347" s="49" t="n"/>
      <c r="N347" s="29" t="n"/>
      <c r="O347" s="29" t="n"/>
      <c r="P347" s="29" t="n"/>
      <c r="Q347" s="51" t="n"/>
      <c r="R347" s="29" t="n"/>
      <c r="S347" s="52">
        <f>IF(OR(A347="",F347="",C347&lt;&gt;"Mekân"),0,IF(COUNTIFS($F$8:F347,F347,$C$8:C347,"Mekân")=1,1,0))</f>
        <v/>
      </c>
      <c r="T347" s="52">
        <f>IF(OR(A347="",F347="",C347&lt;&gt;"Kapak"),0,IF(COUNTIFS($F$8:F347,F347,$C$8:C347,"Kapak")=1,1,0))</f>
        <v/>
      </c>
    </row>
    <row r="348" ht="54" customHeight="1">
      <c r="A348" s="29" t="n"/>
      <c r="B348" s="29" t="n"/>
      <c r="C348" s="29" t="n"/>
      <c r="D348" s="29" t="n"/>
      <c r="E348" s="29" t="n"/>
      <c r="F348" s="29" t="n"/>
      <c r="G348" s="29" t="n"/>
      <c r="H348" s="29" t="n"/>
      <c r="I348" s="29" t="n"/>
      <c r="J348" s="29" t="n"/>
      <c r="K348" s="29" t="n"/>
      <c r="L348" s="49" t="n"/>
      <c r="M348" s="49" t="n"/>
      <c r="N348" s="29" t="n"/>
      <c r="O348" s="29" t="n"/>
      <c r="P348" s="29" t="n"/>
      <c r="Q348" s="51" t="n"/>
      <c r="R348" s="29" t="n"/>
      <c r="S348" s="52">
        <f>IF(OR(A348="",F348="",C348&lt;&gt;"Mekân"),0,IF(COUNTIFS($F$8:F348,F348,$C$8:C348,"Mekân")=1,1,0))</f>
        <v/>
      </c>
      <c r="T348" s="52">
        <f>IF(OR(A348="",F348="",C348&lt;&gt;"Kapak"),0,IF(COUNTIFS($F$8:F348,F348,$C$8:C348,"Kapak")=1,1,0))</f>
        <v/>
      </c>
    </row>
    <row r="349" ht="54" customHeight="1">
      <c r="A349" s="29" t="n"/>
      <c r="B349" s="29" t="n"/>
      <c r="C349" s="29" t="n"/>
      <c r="D349" s="29" t="n"/>
      <c r="E349" s="29" t="n"/>
      <c r="F349" s="29" t="n"/>
      <c r="G349" s="29" t="n"/>
      <c r="H349" s="29" t="n"/>
      <c r="I349" s="29" t="n"/>
      <c r="J349" s="29" t="n"/>
      <c r="K349" s="29" t="n"/>
      <c r="L349" s="49" t="n"/>
      <c r="M349" s="49" t="n"/>
      <c r="N349" s="29" t="n"/>
      <c r="O349" s="29" t="n"/>
      <c r="P349" s="29" t="n"/>
      <c r="Q349" s="51" t="n"/>
      <c r="R349" s="29" t="n"/>
      <c r="S349" s="52">
        <f>IF(OR(A349="",F349="",C349&lt;&gt;"Mekân"),0,IF(COUNTIFS($F$8:F349,F349,$C$8:C349,"Mekân")=1,1,0))</f>
        <v/>
      </c>
      <c r="T349" s="52">
        <f>IF(OR(A349="",F349="",C349&lt;&gt;"Kapak"),0,IF(COUNTIFS($F$8:F349,F349,$C$8:C349,"Kapak")=1,1,0))</f>
        <v/>
      </c>
    </row>
    <row r="350" ht="54" customHeight="1">
      <c r="A350" s="29" t="n"/>
      <c r="B350" s="29" t="n"/>
      <c r="C350" s="29" t="n"/>
      <c r="D350" s="29" t="n"/>
      <c r="E350" s="29" t="n"/>
      <c r="F350" s="29" t="n"/>
      <c r="G350" s="29" t="n"/>
      <c r="H350" s="29" t="n"/>
      <c r="I350" s="29" t="n"/>
      <c r="J350" s="29" t="n"/>
      <c r="K350" s="29" t="n"/>
      <c r="L350" s="49" t="n"/>
      <c r="M350" s="49" t="n"/>
      <c r="N350" s="29" t="n"/>
      <c r="O350" s="29" t="n"/>
      <c r="P350" s="29" t="n"/>
      <c r="Q350" s="51" t="n"/>
      <c r="R350" s="29" t="n"/>
      <c r="S350" s="52">
        <f>IF(OR(A350="",F350="",C350&lt;&gt;"Mekân"),0,IF(COUNTIFS($F$8:F350,F350,$C$8:C350,"Mekân")=1,1,0))</f>
        <v/>
      </c>
      <c r="T350" s="52">
        <f>IF(OR(A350="",F350="",C350&lt;&gt;"Kapak"),0,IF(COUNTIFS($F$8:F350,F350,$C$8:C350,"Kapak")=1,1,0))</f>
        <v/>
      </c>
    </row>
    <row r="351" ht="54" customHeight="1">
      <c r="A351" s="29" t="n"/>
      <c r="B351" s="29" t="n"/>
      <c r="C351" s="29" t="n"/>
      <c r="D351" s="29" t="n"/>
      <c r="E351" s="29" t="n"/>
      <c r="F351" s="29" t="n"/>
      <c r="G351" s="29" t="n"/>
      <c r="H351" s="29" t="n"/>
      <c r="I351" s="29" t="n"/>
      <c r="J351" s="29" t="n"/>
      <c r="K351" s="29" t="n"/>
      <c r="L351" s="49" t="n"/>
      <c r="M351" s="49" t="n"/>
      <c r="N351" s="29" t="n"/>
      <c r="O351" s="29" t="n"/>
      <c r="P351" s="29" t="n"/>
      <c r="Q351" s="51" t="n"/>
      <c r="R351" s="29" t="n"/>
      <c r="S351" s="52">
        <f>IF(OR(A351="",F351="",C351&lt;&gt;"Mekân"),0,IF(COUNTIFS($F$8:F351,F351,$C$8:C351,"Mekân")=1,1,0))</f>
        <v/>
      </c>
      <c r="T351" s="52">
        <f>IF(OR(A351="",F351="",C351&lt;&gt;"Kapak"),0,IF(COUNTIFS($F$8:F351,F351,$C$8:C351,"Kapak")=1,1,0))</f>
        <v/>
      </c>
    </row>
    <row r="352" ht="54" customHeight="1">
      <c r="A352" s="29" t="n"/>
      <c r="B352" s="29" t="n"/>
      <c r="C352" s="29" t="n"/>
      <c r="D352" s="29" t="n"/>
      <c r="E352" s="29" t="n"/>
      <c r="F352" s="29" t="n"/>
      <c r="G352" s="29" t="n"/>
      <c r="H352" s="29" t="n"/>
      <c r="I352" s="29" t="n"/>
      <c r="J352" s="29" t="n"/>
      <c r="K352" s="29" t="n"/>
      <c r="L352" s="49" t="n"/>
      <c r="M352" s="49" t="n"/>
      <c r="N352" s="29" t="n"/>
      <c r="O352" s="29" t="n"/>
      <c r="P352" s="29" t="n"/>
      <c r="Q352" s="51" t="n"/>
      <c r="R352" s="29" t="n"/>
      <c r="S352" s="52">
        <f>IF(OR(A352="",F352="",C352&lt;&gt;"Mekân"),0,IF(COUNTIFS($F$8:F352,F352,$C$8:C352,"Mekân")=1,1,0))</f>
        <v/>
      </c>
      <c r="T352" s="52">
        <f>IF(OR(A352="",F352="",C352&lt;&gt;"Kapak"),0,IF(COUNTIFS($F$8:F352,F352,$C$8:C352,"Kapak")=1,1,0))</f>
        <v/>
      </c>
    </row>
    <row r="353" ht="54" customHeight="1">
      <c r="A353" s="29" t="n"/>
      <c r="B353" s="29" t="n"/>
      <c r="C353" s="29" t="n"/>
      <c r="D353" s="29" t="n"/>
      <c r="E353" s="29" t="n"/>
      <c r="F353" s="29" t="n"/>
      <c r="G353" s="29" t="n"/>
      <c r="H353" s="29" t="n"/>
      <c r="I353" s="29" t="n"/>
      <c r="J353" s="29" t="n"/>
      <c r="K353" s="29" t="n"/>
      <c r="L353" s="49" t="n"/>
      <c r="M353" s="49" t="n"/>
      <c r="N353" s="29" t="n"/>
      <c r="O353" s="29" t="n"/>
      <c r="P353" s="29" t="n"/>
      <c r="Q353" s="51" t="n"/>
      <c r="R353" s="29" t="n"/>
      <c r="S353" s="52">
        <f>IF(OR(A353="",F353="",C353&lt;&gt;"Mekân"),0,IF(COUNTIFS($F$8:F353,F353,$C$8:C353,"Mekân")=1,1,0))</f>
        <v/>
      </c>
      <c r="T353" s="52">
        <f>IF(OR(A353="",F353="",C353&lt;&gt;"Kapak"),0,IF(COUNTIFS($F$8:F353,F353,$C$8:C353,"Kapak")=1,1,0))</f>
        <v/>
      </c>
    </row>
    <row r="354" ht="54" customHeight="1">
      <c r="A354" s="29" t="n"/>
      <c r="B354" s="29" t="n"/>
      <c r="C354" s="29" t="n"/>
      <c r="D354" s="29" t="n"/>
      <c r="E354" s="29" t="n"/>
      <c r="F354" s="29" t="n"/>
      <c r="G354" s="29" t="n"/>
      <c r="H354" s="29" t="n"/>
      <c r="I354" s="29" t="n"/>
      <c r="J354" s="29" t="n"/>
      <c r="K354" s="29" t="n"/>
      <c r="L354" s="49" t="n"/>
      <c r="M354" s="49" t="n"/>
      <c r="N354" s="29" t="n"/>
      <c r="O354" s="29" t="n"/>
      <c r="P354" s="29" t="n"/>
      <c r="Q354" s="51" t="n"/>
      <c r="R354" s="29" t="n"/>
      <c r="S354" s="52">
        <f>IF(OR(A354="",F354="",C354&lt;&gt;"Mekân"),0,IF(COUNTIFS($F$8:F354,F354,$C$8:C354,"Mekân")=1,1,0))</f>
        <v/>
      </c>
      <c r="T354" s="52">
        <f>IF(OR(A354="",F354="",C354&lt;&gt;"Kapak"),0,IF(COUNTIFS($F$8:F354,F354,$C$8:C354,"Kapak")=1,1,0))</f>
        <v/>
      </c>
    </row>
    <row r="355" ht="54" customHeight="1">
      <c r="A355" s="29" t="n"/>
      <c r="B355" s="29" t="n"/>
      <c r="C355" s="29" t="n"/>
      <c r="D355" s="29" t="n"/>
      <c r="E355" s="29" t="n"/>
      <c r="F355" s="29" t="n"/>
      <c r="G355" s="29" t="n"/>
      <c r="H355" s="29" t="n"/>
      <c r="I355" s="29" t="n"/>
      <c r="J355" s="29" t="n"/>
      <c r="K355" s="29" t="n"/>
      <c r="L355" s="49" t="n"/>
      <c r="M355" s="49" t="n"/>
      <c r="N355" s="29" t="n"/>
      <c r="O355" s="29" t="n"/>
      <c r="P355" s="29" t="n"/>
      <c r="Q355" s="51" t="n"/>
      <c r="R355" s="29" t="n"/>
      <c r="S355" s="52">
        <f>IF(OR(A355="",F355="",C355&lt;&gt;"Mekân"),0,IF(COUNTIFS($F$8:F355,F355,$C$8:C355,"Mekân")=1,1,0))</f>
        <v/>
      </c>
      <c r="T355" s="52">
        <f>IF(OR(A355="",F355="",C355&lt;&gt;"Kapak"),0,IF(COUNTIFS($F$8:F355,F355,$C$8:C355,"Kapak")=1,1,0))</f>
        <v/>
      </c>
    </row>
    <row r="356" ht="54" customHeight="1">
      <c r="A356" s="29" t="n"/>
      <c r="B356" s="29" t="n"/>
      <c r="C356" s="29" t="n"/>
      <c r="D356" s="29" t="n"/>
      <c r="E356" s="29" t="n"/>
      <c r="F356" s="29" t="n"/>
      <c r="G356" s="29" t="n"/>
      <c r="H356" s="29" t="n"/>
      <c r="I356" s="29" t="n"/>
      <c r="J356" s="29" t="n"/>
      <c r="K356" s="29" t="n"/>
      <c r="L356" s="49" t="n"/>
      <c r="M356" s="49" t="n"/>
      <c r="N356" s="29" t="n"/>
      <c r="O356" s="29" t="n"/>
      <c r="P356" s="29" t="n"/>
      <c r="Q356" s="51" t="n"/>
      <c r="R356" s="29" t="n"/>
      <c r="S356" s="52">
        <f>IF(OR(A356="",F356="",C356&lt;&gt;"Mekân"),0,IF(COUNTIFS($F$8:F356,F356,$C$8:C356,"Mekân")=1,1,0))</f>
        <v/>
      </c>
      <c r="T356" s="52">
        <f>IF(OR(A356="",F356="",C356&lt;&gt;"Kapak"),0,IF(COUNTIFS($F$8:F356,F356,$C$8:C356,"Kapak")=1,1,0))</f>
        <v/>
      </c>
    </row>
    <row r="357" ht="54" customHeight="1">
      <c r="A357" s="29" t="n"/>
      <c r="B357" s="29" t="n"/>
      <c r="C357" s="29" t="n"/>
      <c r="D357" s="29" t="n"/>
      <c r="E357" s="29" t="n"/>
      <c r="F357" s="29" t="n"/>
      <c r="G357" s="29" t="n"/>
      <c r="H357" s="29" t="n"/>
      <c r="I357" s="29" t="n"/>
      <c r="J357" s="29" t="n"/>
      <c r="K357" s="29" t="n"/>
      <c r="L357" s="49" t="n"/>
      <c r="M357" s="49" t="n"/>
      <c r="N357" s="29" t="n"/>
      <c r="O357" s="29" t="n"/>
      <c r="P357" s="29" t="n"/>
      <c r="Q357" s="51" t="n"/>
      <c r="R357" s="29" t="n"/>
      <c r="S357" s="52">
        <f>IF(OR(A357="",F357="",C357&lt;&gt;"Mekân"),0,IF(COUNTIFS($F$8:F357,F357,$C$8:C357,"Mekân")=1,1,0))</f>
        <v/>
      </c>
      <c r="T357" s="52">
        <f>IF(OR(A357="",F357="",C357&lt;&gt;"Kapak"),0,IF(COUNTIFS($F$8:F357,F357,$C$8:C357,"Kapak")=1,1,0))</f>
        <v/>
      </c>
    </row>
    <row r="358">
      <c r="S358" s="52">
        <f>IF(OR(A358="",F358="",C358&lt;&gt;"Mekân"),0,IF(COUNTIFS($F$8:F358,F358,$C$8:C358,"Mekân")=1,1,0))</f>
        <v/>
      </c>
      <c r="T358" s="52">
        <f>IF(OR(A358="",F358="",C358&lt;&gt;"Kapak"),0,IF(COUNTIFS($F$8:F358,F358,$C$8:C358,"Kapak")=1,1,0))</f>
        <v/>
      </c>
    </row>
    <row r="359">
      <c r="S359" s="52">
        <f>IF(OR(A359="",F359="",C359&lt;&gt;"Mekân"),0,IF(COUNTIFS($F$8:F359,F359,$C$8:C359,"Mekân")=1,1,0))</f>
        <v/>
      </c>
      <c r="T359" s="52">
        <f>IF(OR(A359="",F359="",C359&lt;&gt;"Kapak"),0,IF(COUNTIFS($F$8:F359,F359,$C$8:C359,"Kapak")=1,1,0))</f>
        <v/>
      </c>
    </row>
    <row r="360">
      <c r="S360" s="52">
        <f>IF(OR(A360="",F360="",C360&lt;&gt;"Mekân"),0,IF(COUNTIFS($F$8:F360,F360,$C$8:C360,"Mekân")=1,1,0))</f>
        <v/>
      </c>
      <c r="T360" s="52">
        <f>IF(OR(A360="",F360="",C360&lt;&gt;"Kapak"),0,IF(COUNTIFS($F$8:F360,F360,$C$8:C360,"Kapak")=1,1,0))</f>
        <v/>
      </c>
    </row>
    <row r="361">
      <c r="S361" s="52">
        <f>IF(OR(A361="",F361="",C361&lt;&gt;"Mekân"),0,IF(COUNTIFS($F$8:F361,F361,$C$8:C361,"Mekân")=1,1,0))</f>
        <v/>
      </c>
      <c r="T361" s="52">
        <f>IF(OR(A361="",F361="",C361&lt;&gt;"Kapak"),0,IF(COUNTIFS($F$8:F361,F361,$C$8:C361,"Kapak")=1,1,0))</f>
        <v/>
      </c>
    </row>
    <row r="362">
      <c r="S362" s="52">
        <f>IF(OR(A362="",F362="",C362&lt;&gt;"Mekân"),0,IF(COUNTIFS($F$8:F362,F362,$C$8:C362,"Mekân")=1,1,0))</f>
        <v/>
      </c>
      <c r="T362" s="52">
        <f>IF(OR(A362="",F362="",C362&lt;&gt;"Kapak"),0,IF(COUNTIFS($F$8:F362,F362,$C$8:C362,"Kapak")=1,1,0))</f>
        <v/>
      </c>
    </row>
    <row r="363">
      <c r="S363" s="52">
        <f>IF(OR(A363="",F363="",C363&lt;&gt;"Mekân"),0,IF(COUNTIFS($F$8:F363,F363,$C$8:C363,"Mekân")=1,1,0))</f>
        <v/>
      </c>
      <c r="T363" s="52">
        <f>IF(OR(A363="",F363="",C363&lt;&gt;"Kapak"),0,IF(COUNTIFS($F$8:F363,F363,$C$8:C363,"Kapak")=1,1,0))</f>
        <v/>
      </c>
    </row>
    <row r="364">
      <c r="S364" s="52">
        <f>IF(OR(A364="",F364="",C364&lt;&gt;"Mekân"),0,IF(COUNTIFS($F$8:F364,F364,$C$8:C364,"Mekân")=1,1,0))</f>
        <v/>
      </c>
      <c r="T364" s="52">
        <f>IF(OR(A364="",F364="",C364&lt;&gt;"Kapak"),0,IF(COUNTIFS($F$8:F364,F364,$C$8:C364,"Kapak")=1,1,0))</f>
        <v/>
      </c>
    </row>
    <row r="365">
      <c r="S365" s="52">
        <f>IF(OR(A365="",F365="",C365&lt;&gt;"Mekân"),0,IF(COUNTIFS($F$8:F365,F365,$C$8:C365,"Mekân")=1,1,0))</f>
        <v/>
      </c>
      <c r="T365" s="52">
        <f>IF(OR(A365="",F365="",C365&lt;&gt;"Kapak"),0,IF(COUNTIFS($F$8:F365,F365,$C$8:C365,"Kapak")=1,1,0))</f>
        <v/>
      </c>
    </row>
    <row r="366">
      <c r="S366" s="52">
        <f>IF(OR(A366="",F366="",C366&lt;&gt;"Mekân"),0,IF(COUNTIFS($F$8:F366,F366,$C$8:C366,"Mekân")=1,1,0))</f>
        <v/>
      </c>
      <c r="T366" s="52">
        <f>IF(OR(A366="",F366="",C366&lt;&gt;"Kapak"),0,IF(COUNTIFS($F$8:F366,F366,$C$8:C366,"Kapak")=1,1,0))</f>
        <v/>
      </c>
    </row>
    <row r="367">
      <c r="S367" s="52">
        <f>IF(OR(A367="",F367="",C367&lt;&gt;"Mekân"),0,IF(COUNTIFS($F$8:F367,F367,$C$8:C367,"Mekân")=1,1,0))</f>
        <v/>
      </c>
      <c r="T367" s="52">
        <f>IF(OR(A367="",F367="",C367&lt;&gt;"Kapak"),0,IF(COUNTIFS($F$8:F367,F367,$C$8:C367,"Kapak")=1,1,0))</f>
        <v/>
      </c>
    </row>
    <row r="368">
      <c r="S368" s="52">
        <f>IF(OR(A368="",F368="",C368&lt;&gt;"Mekân"),0,IF(COUNTIFS($F$8:F368,F368,$C$8:C368,"Mekân")=1,1,0))</f>
        <v/>
      </c>
      <c r="T368" s="52">
        <f>IF(OR(A368="",F368="",C368&lt;&gt;"Kapak"),0,IF(COUNTIFS($F$8:F368,F368,$C$8:C368,"Kapak")=1,1,0))</f>
        <v/>
      </c>
    </row>
    <row r="369">
      <c r="S369" s="52">
        <f>IF(OR(A369="",F369="",C369&lt;&gt;"Mekân"),0,IF(COUNTIFS($F$8:F369,F369,$C$8:C369,"Mekân")=1,1,0))</f>
        <v/>
      </c>
      <c r="T369" s="52">
        <f>IF(OR(A369="",F369="",C369&lt;&gt;"Kapak"),0,IF(COUNTIFS($F$8:F369,F369,$C$8:C369,"Kapak")=1,1,0))</f>
        <v/>
      </c>
    </row>
    <row r="370">
      <c r="S370" s="52">
        <f>IF(OR(A370="",F370="",C370&lt;&gt;"Mekân"),0,IF(COUNTIFS($F$8:F370,F370,$C$8:C370,"Mekân")=1,1,0))</f>
        <v/>
      </c>
      <c r="T370" s="52">
        <f>IF(OR(A370="",F370="",C370&lt;&gt;"Kapak"),0,IF(COUNTIFS($F$8:F370,F370,$C$8:C370,"Kapak")=1,1,0))</f>
        <v/>
      </c>
    </row>
    <row r="371">
      <c r="S371" s="52">
        <f>IF(OR(A371="",F371="",C371&lt;&gt;"Mekân"),0,IF(COUNTIFS($F$8:F371,F371,$C$8:C371,"Mekân")=1,1,0))</f>
        <v/>
      </c>
      <c r="T371" s="52">
        <f>IF(OR(A371="",F371="",C371&lt;&gt;"Kapak"),0,IF(COUNTIFS($F$8:F371,F371,$C$8:C371,"Kapak")=1,1,0))</f>
        <v/>
      </c>
    </row>
    <row r="372">
      <c r="S372" s="52">
        <f>IF(OR(A372="",F372="",C372&lt;&gt;"Mekân"),0,IF(COUNTIFS($F$8:F372,F372,$C$8:C372,"Mekân")=1,1,0))</f>
        <v/>
      </c>
      <c r="T372" s="52">
        <f>IF(OR(A372="",F372="",C372&lt;&gt;"Kapak"),0,IF(COUNTIFS($F$8:F372,F372,$C$8:C372,"Kapak")=1,1,0))</f>
        <v/>
      </c>
    </row>
    <row r="373">
      <c r="S373" s="52">
        <f>IF(OR(A373="",F373="",C373&lt;&gt;"Mekân"),0,IF(COUNTIFS($F$8:F373,F373,$C$8:C373,"Mekân")=1,1,0))</f>
        <v/>
      </c>
      <c r="T373" s="52">
        <f>IF(OR(A373="",F373="",C373&lt;&gt;"Kapak"),0,IF(COUNTIFS($F$8:F373,F373,$C$8:C373,"Kapak")=1,1,0))</f>
        <v/>
      </c>
    </row>
    <row r="374">
      <c r="S374" s="52">
        <f>IF(OR(A374="",F374="",C374&lt;&gt;"Mekân"),0,IF(COUNTIFS($F$8:F374,F374,$C$8:C374,"Mekân")=1,1,0))</f>
        <v/>
      </c>
      <c r="T374" s="52">
        <f>IF(OR(A374="",F374="",C374&lt;&gt;"Kapak"),0,IF(COUNTIFS($F$8:F374,F374,$C$8:C374,"Kapak")=1,1,0))</f>
        <v/>
      </c>
    </row>
    <row r="375">
      <c r="S375" s="52">
        <f>IF(OR(A375="",F375="",C375&lt;&gt;"Mekân"),0,IF(COUNTIFS($F$8:F375,F375,$C$8:C375,"Mekân")=1,1,0))</f>
        <v/>
      </c>
      <c r="T375" s="52">
        <f>IF(OR(A375="",F375="",C375&lt;&gt;"Kapak"),0,IF(COUNTIFS($F$8:F375,F375,$C$8:C375,"Kapak")=1,1,0))</f>
        <v/>
      </c>
    </row>
    <row r="376">
      <c r="S376" s="52">
        <f>IF(OR(A376="",F376="",C376&lt;&gt;"Mekân"),0,IF(COUNTIFS($F$8:F376,F376,$C$8:C376,"Mekân")=1,1,0))</f>
        <v/>
      </c>
      <c r="T376" s="52">
        <f>IF(OR(A376="",F376="",C376&lt;&gt;"Kapak"),0,IF(COUNTIFS($F$8:F376,F376,$C$8:C376,"Kapak")=1,1,0))</f>
        <v/>
      </c>
    </row>
    <row r="377">
      <c r="S377" s="52">
        <f>IF(OR(A377="",F377="",C377&lt;&gt;"Mekân"),0,IF(COUNTIFS($F$8:F377,F377,$C$8:C377,"Mekân")=1,1,0))</f>
        <v/>
      </c>
      <c r="T377" s="52">
        <f>IF(OR(A377="",F377="",C377&lt;&gt;"Kapak"),0,IF(COUNTIFS($F$8:F377,F377,$C$8:C377,"Kapak")=1,1,0))</f>
        <v/>
      </c>
    </row>
    <row r="378">
      <c r="S378" s="52">
        <f>IF(OR(A378="",F378="",C378&lt;&gt;"Mekân"),0,IF(COUNTIFS($F$8:F378,F378,$C$8:C378,"Mekân")=1,1,0))</f>
        <v/>
      </c>
      <c r="T378" s="52">
        <f>IF(OR(A378="",F378="",C378&lt;&gt;"Kapak"),0,IF(COUNTIFS($F$8:F378,F378,$C$8:C378,"Kapak")=1,1,0))</f>
        <v/>
      </c>
    </row>
    <row r="379">
      <c r="S379" s="52">
        <f>IF(OR(A379="",F379="",C379&lt;&gt;"Mekân"),0,IF(COUNTIFS($F$8:F379,F379,$C$8:C379,"Mekân")=1,1,0))</f>
        <v/>
      </c>
      <c r="T379" s="52">
        <f>IF(OR(A379="",F379="",C379&lt;&gt;"Kapak"),0,IF(COUNTIFS($F$8:F379,F379,$C$8:C379,"Kapak")=1,1,0))</f>
        <v/>
      </c>
    </row>
    <row r="380">
      <c r="S380" s="52">
        <f>IF(OR(A380="",F380="",C380&lt;&gt;"Mekân"),0,IF(COUNTIFS($F$8:F380,F380,$C$8:C380,"Mekân")=1,1,0))</f>
        <v/>
      </c>
      <c r="T380" s="52">
        <f>IF(OR(A380="",F380="",C380&lt;&gt;"Kapak"),0,IF(COUNTIFS($F$8:F380,F380,$C$8:C380,"Kapak")=1,1,0))</f>
        <v/>
      </c>
    </row>
    <row r="381">
      <c r="S381" s="52">
        <f>IF(OR(A381="",F381="",C381&lt;&gt;"Mekân"),0,IF(COUNTIFS($F$8:F381,F381,$C$8:C381,"Mekân")=1,1,0))</f>
        <v/>
      </c>
      <c r="T381" s="52">
        <f>IF(OR(A381="",F381="",C381&lt;&gt;"Kapak"),0,IF(COUNTIFS($F$8:F381,F381,$C$8:C381,"Kapak")=1,1,0))</f>
        <v/>
      </c>
    </row>
    <row r="382">
      <c r="S382" s="52">
        <f>IF(OR(A382="",F382="",C382&lt;&gt;"Mekân"),0,IF(COUNTIFS($F$8:F382,F382,$C$8:C382,"Mekân")=1,1,0))</f>
        <v/>
      </c>
      <c r="T382" s="52">
        <f>IF(OR(A382="",F382="",C382&lt;&gt;"Kapak"),0,IF(COUNTIFS($F$8:F382,F382,$C$8:C382,"Kapak")=1,1,0))</f>
        <v/>
      </c>
    </row>
    <row r="383">
      <c r="S383" s="52">
        <f>IF(OR(A383="",F383="",C383&lt;&gt;"Mekân"),0,IF(COUNTIFS($F$8:F383,F383,$C$8:C383,"Mekân")=1,1,0))</f>
        <v/>
      </c>
      <c r="T383" s="52">
        <f>IF(OR(A383="",F383="",C383&lt;&gt;"Kapak"),0,IF(COUNTIFS($F$8:F383,F383,$C$8:C383,"Kapak")=1,1,0))</f>
        <v/>
      </c>
    </row>
    <row r="384">
      <c r="S384" s="52">
        <f>IF(OR(A384="",F384="",C384&lt;&gt;"Mekân"),0,IF(COUNTIFS($F$8:F384,F384,$C$8:C384,"Mekân")=1,1,0))</f>
        <v/>
      </c>
      <c r="T384" s="52">
        <f>IF(OR(A384="",F384="",C384&lt;&gt;"Kapak"),0,IF(COUNTIFS($F$8:F384,F384,$C$8:C384,"Kapak")=1,1,0))</f>
        <v/>
      </c>
    </row>
    <row r="385">
      <c r="S385" s="52">
        <f>IF(OR(A385="",F385="",C385&lt;&gt;"Mekân"),0,IF(COUNTIFS($F$8:F385,F385,$C$8:C385,"Mekân")=1,1,0))</f>
        <v/>
      </c>
      <c r="T385" s="52">
        <f>IF(OR(A385="",F385="",C385&lt;&gt;"Kapak"),0,IF(COUNTIFS($F$8:F385,F385,$C$8:C385,"Kapak")=1,1,0))</f>
        <v/>
      </c>
    </row>
    <row r="386">
      <c r="S386" s="52">
        <f>IF(OR(A386="",F386="",C386&lt;&gt;"Mekân"),0,IF(COUNTIFS($F$8:F386,F386,$C$8:C386,"Mekân")=1,1,0))</f>
        <v/>
      </c>
      <c r="T386" s="52">
        <f>IF(OR(A386="",F386="",C386&lt;&gt;"Kapak"),0,IF(COUNTIFS($F$8:F386,F386,$C$8:C386,"Kapak")=1,1,0))</f>
        <v/>
      </c>
    </row>
    <row r="387">
      <c r="S387" s="52">
        <f>IF(OR(A387="",F387="",C387&lt;&gt;"Mekân"),0,IF(COUNTIFS($F$8:F387,F387,$C$8:C387,"Mekân")=1,1,0))</f>
        <v/>
      </c>
      <c r="T387" s="52">
        <f>IF(OR(A387="",F387="",C387&lt;&gt;"Kapak"),0,IF(COUNTIFS($F$8:F387,F387,$C$8:C387,"Kapak")=1,1,0))</f>
        <v/>
      </c>
    </row>
    <row r="388">
      <c r="S388" s="52">
        <f>IF(OR(A388="",F388="",C388&lt;&gt;"Mekân"),0,IF(COUNTIFS($F$8:F388,F388,$C$8:C388,"Mekân")=1,1,0))</f>
        <v/>
      </c>
      <c r="T388" s="52">
        <f>IF(OR(A388="",F388="",C388&lt;&gt;"Kapak"),0,IF(COUNTIFS($F$8:F388,F388,$C$8:C388,"Kapak")=1,1,0))</f>
        <v/>
      </c>
    </row>
    <row r="389">
      <c r="S389" s="52">
        <f>IF(OR(A389="",F389="",C389&lt;&gt;"Mekân"),0,IF(COUNTIFS($F$8:F389,F389,$C$8:C389,"Mekân")=1,1,0))</f>
        <v/>
      </c>
      <c r="T389" s="52">
        <f>IF(OR(A389="",F389="",C389&lt;&gt;"Kapak"),0,IF(COUNTIFS($F$8:F389,F389,$C$8:C389,"Kapak")=1,1,0))</f>
        <v/>
      </c>
    </row>
    <row r="390">
      <c r="S390" s="52">
        <f>IF(OR(A390="",F390="",C390&lt;&gt;"Mekân"),0,IF(COUNTIFS($F$8:F390,F390,$C$8:C390,"Mekân")=1,1,0))</f>
        <v/>
      </c>
      <c r="T390" s="52">
        <f>IF(OR(A390="",F390="",C390&lt;&gt;"Kapak"),0,IF(COUNTIFS($F$8:F390,F390,$C$8:C390,"Kapak")=1,1,0))</f>
        <v/>
      </c>
    </row>
    <row r="391">
      <c r="S391" s="52">
        <f>IF(OR(A391="",F391="",C391&lt;&gt;"Mekân"),0,IF(COUNTIFS($F$8:F391,F391,$C$8:C391,"Mekân")=1,1,0))</f>
        <v/>
      </c>
      <c r="T391" s="52">
        <f>IF(OR(A391="",F391="",C391&lt;&gt;"Kapak"),0,IF(COUNTIFS($F$8:F391,F391,$C$8:C391,"Kapak")=1,1,0))</f>
        <v/>
      </c>
    </row>
    <row r="392">
      <c r="S392" s="52">
        <f>IF(OR(A392="",F392="",C392&lt;&gt;"Mekân"),0,IF(COUNTIFS($F$8:F392,F392,$C$8:C392,"Mekân")=1,1,0))</f>
        <v/>
      </c>
      <c r="T392" s="52">
        <f>IF(OR(A392="",F392="",C392&lt;&gt;"Kapak"),0,IF(COUNTIFS($F$8:F392,F392,$C$8:C392,"Kapak")=1,1,0))</f>
        <v/>
      </c>
    </row>
    <row r="393">
      <c r="S393" s="52">
        <f>IF(OR(A393="",F393="",C393&lt;&gt;"Mekân"),0,IF(COUNTIFS($F$8:F393,F393,$C$8:C393,"Mekân")=1,1,0))</f>
        <v/>
      </c>
      <c r="T393" s="52">
        <f>IF(OR(A393="",F393="",C393&lt;&gt;"Kapak"),0,IF(COUNTIFS($F$8:F393,F393,$C$8:C393,"Kapak")=1,1,0))</f>
        <v/>
      </c>
    </row>
    <row r="394">
      <c r="S394" s="52">
        <f>IF(OR(A394="",F394="",C394&lt;&gt;"Mekân"),0,IF(COUNTIFS($F$8:F394,F394,$C$8:C394,"Mekân")=1,1,0))</f>
        <v/>
      </c>
      <c r="T394" s="52">
        <f>IF(OR(A394="",F394="",C394&lt;&gt;"Kapak"),0,IF(COUNTIFS($F$8:F394,F394,$C$8:C394,"Kapak")=1,1,0))</f>
        <v/>
      </c>
    </row>
    <row r="395">
      <c r="S395" s="52">
        <f>IF(OR(A395="",F395="",C395&lt;&gt;"Mekân"),0,IF(COUNTIFS($F$8:F395,F395,$C$8:C395,"Mekân")=1,1,0))</f>
        <v/>
      </c>
      <c r="T395" s="52">
        <f>IF(OR(A395="",F395="",C395&lt;&gt;"Kapak"),0,IF(COUNTIFS($F$8:F395,F395,$C$8:C395,"Kapak")=1,1,0))</f>
        <v/>
      </c>
    </row>
    <row r="396">
      <c r="S396" s="52">
        <f>IF(OR(A396="",F396="",C396&lt;&gt;"Mekân"),0,IF(COUNTIFS($F$8:F396,F396,$C$8:C396,"Mekân")=1,1,0))</f>
        <v/>
      </c>
      <c r="T396" s="52">
        <f>IF(OR(A396="",F396="",C396&lt;&gt;"Kapak"),0,IF(COUNTIFS($F$8:F396,F396,$C$8:C396,"Kapak")=1,1,0))</f>
        <v/>
      </c>
    </row>
    <row r="397">
      <c r="S397" s="52">
        <f>IF(OR(A397="",F397="",C397&lt;&gt;"Mekân"),0,IF(COUNTIFS($F$8:F397,F397,$C$8:C397,"Mekân")=1,1,0))</f>
        <v/>
      </c>
      <c r="T397" s="52">
        <f>IF(OR(A397="",F397="",C397&lt;&gt;"Kapak"),0,IF(COUNTIFS($F$8:F397,F397,$C$8:C397,"Kapak")=1,1,0))</f>
        <v/>
      </c>
    </row>
    <row r="398">
      <c r="S398" s="52">
        <f>IF(OR(A398="",F398="",C398&lt;&gt;"Mekân"),0,IF(COUNTIFS($F$8:F398,F398,$C$8:C398,"Mekân")=1,1,0))</f>
        <v/>
      </c>
      <c r="T398" s="52">
        <f>IF(OR(A398="",F398="",C398&lt;&gt;"Kapak"),0,IF(COUNTIFS($F$8:F398,F398,$C$8:C398,"Kapak")=1,1,0))</f>
        <v/>
      </c>
    </row>
    <row r="399">
      <c r="S399" s="52">
        <f>IF(OR(A399="",F399="",C399&lt;&gt;"Mekân"),0,IF(COUNTIFS($F$8:F399,F399,$C$8:C399,"Mekân")=1,1,0))</f>
        <v/>
      </c>
      <c r="T399" s="52">
        <f>IF(OR(A399="",F399="",C399&lt;&gt;"Kapak"),0,IF(COUNTIFS($F$8:F399,F399,$C$8:C399,"Kapak")=1,1,0))</f>
        <v/>
      </c>
    </row>
    <row r="400">
      <c r="S400" s="52">
        <f>IF(OR(A400="",F400="",C400&lt;&gt;"Mekân"),0,IF(COUNTIFS($F$8:F400,F400,$C$8:C400,"Mekân")=1,1,0))</f>
        <v/>
      </c>
      <c r="T400" s="52">
        <f>IF(OR(A400="",F400="",C400&lt;&gt;"Kapak"),0,IF(COUNTIFS($F$8:F400,F400,$C$8:C400,"Kapak")=1,1,0))</f>
        <v/>
      </c>
    </row>
    <row r="401">
      <c r="S401" s="52">
        <f>IF(OR(A401="",F401="",C401&lt;&gt;"Mekân"),0,IF(COUNTIFS($F$8:F401,F401,$C$8:C401,"Mekân")=1,1,0))</f>
        <v/>
      </c>
      <c r="T401" s="52">
        <f>IF(OR(A401="",F401="",C401&lt;&gt;"Kapak"),0,IF(COUNTIFS($F$8:F401,F401,$C$8:C401,"Kapak")=1,1,0))</f>
        <v/>
      </c>
    </row>
    <row r="402">
      <c r="S402" s="52">
        <f>IF(OR(A402="",F402="",C402&lt;&gt;"Mekân"),0,IF(COUNTIFS($F$8:F402,F402,$C$8:C402,"Mekân")=1,1,0))</f>
        <v/>
      </c>
      <c r="T402" s="52">
        <f>IF(OR(A402="",F402="",C402&lt;&gt;"Kapak"),0,IF(COUNTIFS($F$8:F402,F402,$C$8:C402,"Kapak")=1,1,0))</f>
        <v/>
      </c>
    </row>
    <row r="403">
      <c r="S403" s="52">
        <f>IF(OR(A403="",F403="",C403&lt;&gt;"Mekân"),0,IF(COUNTIFS($F$8:F403,F403,$C$8:C403,"Mekân")=1,1,0))</f>
        <v/>
      </c>
      <c r="T403" s="52">
        <f>IF(OR(A403="",F403="",C403&lt;&gt;"Kapak"),0,IF(COUNTIFS($F$8:F403,F403,$C$8:C403,"Kapak")=1,1,0))</f>
        <v/>
      </c>
    </row>
    <row r="404">
      <c r="S404" s="52">
        <f>IF(OR(A404="",F404="",C404&lt;&gt;"Mekân"),0,IF(COUNTIFS($F$8:F404,F404,$C$8:C404,"Mekân")=1,1,0))</f>
        <v/>
      </c>
      <c r="T404" s="52">
        <f>IF(OR(A404="",F404="",C404&lt;&gt;"Kapak"),0,IF(COUNTIFS($F$8:F404,F404,$C$8:C404,"Kapak")=1,1,0))</f>
        <v/>
      </c>
    </row>
    <row r="405">
      <c r="S405" s="52">
        <f>IF(OR(A405="",F405="",C405&lt;&gt;"Mekân"),0,IF(COUNTIFS($F$8:F405,F405,$C$8:C405,"Mekân")=1,1,0))</f>
        <v/>
      </c>
      <c r="T405" s="52">
        <f>IF(OR(A405="",F405="",C405&lt;&gt;"Kapak"),0,IF(COUNTIFS($F$8:F405,F405,$C$8:C405,"Kapak")=1,1,0))</f>
        <v/>
      </c>
    </row>
    <row r="406">
      <c r="S406" s="52">
        <f>IF(OR(A406="",F406="",C406&lt;&gt;"Mekân"),0,IF(COUNTIFS($F$8:F406,F406,$C$8:C406,"Mekân")=1,1,0))</f>
        <v/>
      </c>
      <c r="T406" s="52">
        <f>IF(OR(A406="",F406="",C406&lt;&gt;"Kapak"),0,IF(COUNTIFS($F$8:F406,F406,$C$8:C406,"Kapak")=1,1,0))</f>
        <v/>
      </c>
    </row>
    <row r="407">
      <c r="S407" s="52">
        <f>IF(OR(A407="",F407="",C407&lt;&gt;"Mekân"),0,IF(COUNTIFS($F$8:F407,F407,$C$8:C407,"Mekân")=1,1,0))</f>
        <v/>
      </c>
      <c r="T407" s="52">
        <f>IF(OR(A407="",F407="",C407&lt;&gt;"Kapak"),0,IF(COUNTIFS($F$8:F407,F407,$C$8:C407,"Kapak")=1,1,0))</f>
        <v/>
      </c>
    </row>
    <row r="408">
      <c r="S408" s="52">
        <f>IF(OR(A408="",F408="",C408&lt;&gt;"Mekân"),0,IF(COUNTIFS($F$8:F408,F408,$C$8:C408,"Mekân")=1,1,0))</f>
        <v/>
      </c>
      <c r="T408" s="52">
        <f>IF(OR(A408="",F408="",C408&lt;&gt;"Kapak"),0,IF(COUNTIFS($F$8:F408,F408,$C$8:C408,"Kapak")=1,1,0))</f>
        <v/>
      </c>
    </row>
    <row r="409">
      <c r="S409" s="52">
        <f>IF(OR(A409="",F409="",C409&lt;&gt;"Mekân"),0,IF(COUNTIFS($F$8:F409,F409,$C$8:C409,"Mekân")=1,1,0))</f>
        <v/>
      </c>
      <c r="T409" s="52">
        <f>IF(OR(A409="",F409="",C409&lt;&gt;"Kapak"),0,IF(COUNTIFS($F$8:F409,F409,$C$8:C409,"Kapak")=1,1,0))</f>
        <v/>
      </c>
    </row>
    <row r="410">
      <c r="S410" s="52">
        <f>IF(OR(A410="",F410="",C410&lt;&gt;"Mekân"),0,IF(COUNTIFS($F$8:F410,F410,$C$8:C410,"Mekân")=1,1,0))</f>
        <v/>
      </c>
      <c r="T410" s="52">
        <f>IF(OR(A410="",F410="",C410&lt;&gt;"Kapak"),0,IF(COUNTIFS($F$8:F410,F410,$C$8:C410,"Kapak")=1,1,0))</f>
        <v/>
      </c>
    </row>
    <row r="411">
      <c r="S411" s="52">
        <f>IF(OR(A411="",F411="",C411&lt;&gt;"Mekân"),0,IF(COUNTIFS($F$8:F411,F411,$C$8:C411,"Mekân")=1,1,0))</f>
        <v/>
      </c>
      <c r="T411" s="52">
        <f>IF(OR(A411="",F411="",C411&lt;&gt;"Kapak"),0,IF(COUNTIFS($F$8:F411,F411,$C$8:C411,"Kapak")=1,1,0))</f>
        <v/>
      </c>
    </row>
    <row r="412">
      <c r="S412" s="52">
        <f>IF(OR(A412="",F412="",C412&lt;&gt;"Mekân"),0,IF(COUNTIFS($F$8:F412,F412,$C$8:C412,"Mekân")=1,1,0))</f>
        <v/>
      </c>
      <c r="T412" s="52">
        <f>IF(OR(A412="",F412="",C412&lt;&gt;"Kapak"),0,IF(COUNTIFS($F$8:F412,F412,$C$8:C412,"Kapak")=1,1,0))</f>
        <v/>
      </c>
    </row>
    <row r="413">
      <c r="S413" s="52">
        <f>IF(OR(A413="",F413="",C413&lt;&gt;"Mekân"),0,IF(COUNTIFS($F$8:F413,F413,$C$8:C413,"Mekân")=1,1,0))</f>
        <v/>
      </c>
      <c r="T413" s="52">
        <f>IF(OR(A413="",F413="",C413&lt;&gt;"Kapak"),0,IF(COUNTIFS($F$8:F413,F413,$C$8:C413,"Kapak")=1,1,0))</f>
        <v/>
      </c>
    </row>
    <row r="414">
      <c r="S414" s="52">
        <f>IF(OR(A414="",F414="",C414&lt;&gt;"Mekân"),0,IF(COUNTIFS($F$8:F414,F414,$C$8:C414,"Mekân")=1,1,0))</f>
        <v/>
      </c>
      <c r="T414" s="52">
        <f>IF(OR(A414="",F414="",C414&lt;&gt;"Kapak"),0,IF(COUNTIFS($F$8:F414,F414,$C$8:C414,"Kapak")=1,1,0))</f>
        <v/>
      </c>
    </row>
    <row r="415">
      <c r="S415" s="52">
        <f>IF(OR(A415="",F415="",C415&lt;&gt;"Mekân"),0,IF(COUNTIFS($F$8:F415,F415,$C$8:C415,"Mekân")=1,1,0))</f>
        <v/>
      </c>
      <c r="T415" s="52">
        <f>IF(OR(A415="",F415="",C415&lt;&gt;"Kapak"),0,IF(COUNTIFS($F$8:F415,F415,$C$8:C415,"Kapak")=1,1,0))</f>
        <v/>
      </c>
    </row>
    <row r="416">
      <c r="S416" s="52">
        <f>IF(OR(A416="",F416="",C416&lt;&gt;"Mekân"),0,IF(COUNTIFS($F$8:F416,F416,$C$8:C416,"Mekân")=1,1,0))</f>
        <v/>
      </c>
      <c r="T416" s="52">
        <f>IF(OR(A416="",F416="",C416&lt;&gt;"Kapak"),0,IF(COUNTIFS($F$8:F416,F416,$C$8:C416,"Kapak")=1,1,0))</f>
        <v/>
      </c>
    </row>
    <row r="417">
      <c r="S417" s="52">
        <f>IF(OR(A417="",F417="",C417&lt;&gt;"Mekân"),0,IF(COUNTIFS($F$8:F417,F417,$C$8:C417,"Mekân")=1,1,0))</f>
        <v/>
      </c>
      <c r="T417" s="52">
        <f>IF(OR(A417="",F417="",C417&lt;&gt;"Kapak"),0,IF(COUNTIFS($F$8:F417,F417,$C$8:C417,"Kapak")=1,1,0))</f>
        <v/>
      </c>
    </row>
    <row r="418">
      <c r="S418" s="52">
        <f>IF(OR(A418="",F418="",C418&lt;&gt;"Mekân"),0,IF(COUNTIFS($F$8:F418,F418,$C$8:C418,"Mekân")=1,1,0))</f>
        <v/>
      </c>
      <c r="T418" s="52">
        <f>IF(OR(A418="",F418="",C418&lt;&gt;"Kapak"),0,IF(COUNTIFS($F$8:F418,F418,$C$8:C418,"Kapak")=1,1,0))</f>
        <v/>
      </c>
    </row>
    <row r="419">
      <c r="S419" s="52">
        <f>IF(OR(A419="",F419="",C419&lt;&gt;"Mekân"),0,IF(COUNTIFS($F$8:F419,F419,$C$8:C419,"Mekân")=1,1,0))</f>
        <v/>
      </c>
      <c r="T419" s="52">
        <f>IF(OR(A419="",F419="",C419&lt;&gt;"Kapak"),0,IF(COUNTIFS($F$8:F419,F419,$C$8:C419,"Kapak")=1,1,0))</f>
        <v/>
      </c>
    </row>
    <row r="420">
      <c r="S420" s="52">
        <f>IF(OR(A420="",F420="",C420&lt;&gt;"Mekân"),0,IF(COUNTIFS($F$8:F420,F420,$C$8:C420,"Mekân")=1,1,0))</f>
        <v/>
      </c>
      <c r="T420" s="52">
        <f>IF(OR(A420="",F420="",C420&lt;&gt;"Kapak"),0,IF(COUNTIFS($F$8:F420,F420,$C$8:C420,"Kapak")=1,1,0))</f>
        <v/>
      </c>
    </row>
    <row r="421">
      <c r="S421" s="52">
        <f>IF(OR(A421="",F421="",C421&lt;&gt;"Mekân"),0,IF(COUNTIFS($F$8:F421,F421,$C$8:C421,"Mekân")=1,1,0))</f>
        <v/>
      </c>
      <c r="T421" s="52">
        <f>IF(OR(A421="",F421="",C421&lt;&gt;"Kapak"),0,IF(COUNTIFS($F$8:F421,F421,$C$8:C421,"Kapak")=1,1,0))</f>
        <v/>
      </c>
    </row>
    <row r="422">
      <c r="S422" s="52">
        <f>IF(OR(A422="",F422="",C422&lt;&gt;"Mekân"),0,IF(COUNTIFS($F$8:F422,F422,$C$8:C422,"Mekân")=1,1,0))</f>
        <v/>
      </c>
      <c r="T422" s="52">
        <f>IF(OR(A422="",F422="",C422&lt;&gt;"Kapak"),0,IF(COUNTIFS($F$8:F422,F422,$C$8:C422,"Kapak")=1,1,0))</f>
        <v/>
      </c>
    </row>
    <row r="423">
      <c r="S423" s="52">
        <f>IF(OR(A423="",F423="",C423&lt;&gt;"Mekân"),0,IF(COUNTIFS($F$8:F423,F423,$C$8:C423,"Mekân")=1,1,0))</f>
        <v/>
      </c>
      <c r="T423" s="52">
        <f>IF(OR(A423="",F423="",C423&lt;&gt;"Kapak"),0,IF(COUNTIFS($F$8:F423,F423,$C$8:C423,"Kapak")=1,1,0))</f>
        <v/>
      </c>
    </row>
    <row r="424">
      <c r="S424" s="52">
        <f>IF(OR(A424="",F424="",C424&lt;&gt;"Mekân"),0,IF(COUNTIFS($F$8:F424,F424,$C$8:C424,"Mekân")=1,1,0))</f>
        <v/>
      </c>
      <c r="T424" s="52">
        <f>IF(OR(A424="",F424="",C424&lt;&gt;"Kapak"),0,IF(COUNTIFS($F$8:F424,F424,$C$8:C424,"Kapak")=1,1,0))</f>
        <v/>
      </c>
    </row>
    <row r="425">
      <c r="S425" s="52">
        <f>IF(OR(A425="",F425="",C425&lt;&gt;"Mekân"),0,IF(COUNTIFS($F$8:F425,F425,$C$8:C425,"Mekân")=1,1,0))</f>
        <v/>
      </c>
      <c r="T425" s="52">
        <f>IF(OR(A425="",F425="",C425&lt;&gt;"Kapak"),0,IF(COUNTIFS($F$8:F425,F425,$C$8:C425,"Kapak")=1,1,0))</f>
        <v/>
      </c>
    </row>
    <row r="426">
      <c r="S426" s="52">
        <f>IF(OR(A426="",F426="",C426&lt;&gt;"Mekân"),0,IF(COUNTIFS($F$8:F426,F426,$C$8:C426,"Mekân")=1,1,0))</f>
        <v/>
      </c>
      <c r="T426" s="52">
        <f>IF(OR(A426="",F426="",C426&lt;&gt;"Kapak"),0,IF(COUNTIFS($F$8:F426,F426,$C$8:C426,"Kapak")=1,1,0))</f>
        <v/>
      </c>
    </row>
    <row r="427">
      <c r="S427" s="52">
        <f>IF(OR(A427="",F427="",C427&lt;&gt;"Mekân"),0,IF(COUNTIFS($F$8:F427,F427,$C$8:C427,"Mekân")=1,1,0))</f>
        <v/>
      </c>
      <c r="T427" s="52">
        <f>IF(OR(A427="",F427="",C427&lt;&gt;"Kapak"),0,IF(COUNTIFS($F$8:F427,F427,$C$8:C427,"Kapak")=1,1,0))</f>
        <v/>
      </c>
    </row>
    <row r="428">
      <c r="S428" s="52">
        <f>IF(OR(A428="",F428="",C428&lt;&gt;"Mekân"),0,IF(COUNTIFS($F$8:F428,F428,$C$8:C428,"Mekân")=1,1,0))</f>
        <v/>
      </c>
      <c r="T428" s="52">
        <f>IF(OR(A428="",F428="",C428&lt;&gt;"Kapak"),0,IF(COUNTIFS($F$8:F428,F428,$C$8:C428,"Kapak")=1,1,0))</f>
        <v/>
      </c>
    </row>
    <row r="429">
      <c r="S429" s="52">
        <f>IF(OR(A429="",F429="",C429&lt;&gt;"Mekân"),0,IF(COUNTIFS($F$8:F429,F429,$C$8:C429,"Mekân")=1,1,0))</f>
        <v/>
      </c>
      <c r="T429" s="52">
        <f>IF(OR(A429="",F429="",C429&lt;&gt;"Kapak"),0,IF(COUNTIFS($F$8:F429,F429,$C$8:C429,"Kapak")=1,1,0))</f>
        <v/>
      </c>
    </row>
    <row r="430">
      <c r="S430" s="52">
        <f>IF(OR(A430="",F430="",C430&lt;&gt;"Mekân"),0,IF(COUNTIFS($F$8:F430,F430,$C$8:C430,"Mekân")=1,1,0))</f>
        <v/>
      </c>
      <c r="T430" s="52">
        <f>IF(OR(A430="",F430="",C430&lt;&gt;"Kapak"),0,IF(COUNTIFS($F$8:F430,F430,$C$8:C430,"Kapak")=1,1,0))</f>
        <v/>
      </c>
    </row>
    <row r="431">
      <c r="S431" s="52">
        <f>IF(OR(A431="",F431="",C431&lt;&gt;"Mekân"),0,IF(COUNTIFS($F$8:F431,F431,$C$8:C431,"Mekân")=1,1,0))</f>
        <v/>
      </c>
      <c r="T431" s="52">
        <f>IF(OR(A431="",F431="",C431&lt;&gt;"Kapak"),0,IF(COUNTIFS($F$8:F431,F431,$C$8:C431,"Kapak")=1,1,0))</f>
        <v/>
      </c>
    </row>
    <row r="432">
      <c r="S432" s="52">
        <f>IF(OR(A432="",F432="",C432&lt;&gt;"Mekân"),0,IF(COUNTIFS($F$8:F432,F432,$C$8:C432,"Mekân")=1,1,0))</f>
        <v/>
      </c>
      <c r="T432" s="52">
        <f>IF(OR(A432="",F432="",C432&lt;&gt;"Kapak"),0,IF(COUNTIFS($F$8:F432,F432,$C$8:C432,"Kapak")=1,1,0))</f>
        <v/>
      </c>
    </row>
    <row r="433">
      <c r="S433" s="52">
        <f>IF(OR(A433="",F433="",C433&lt;&gt;"Mekân"),0,IF(COUNTIFS($F$8:F433,F433,$C$8:C433,"Mekân")=1,1,0))</f>
        <v/>
      </c>
      <c r="T433" s="52">
        <f>IF(OR(A433="",F433="",C433&lt;&gt;"Kapak"),0,IF(COUNTIFS($F$8:F433,F433,$C$8:C433,"Kapak")=1,1,0))</f>
        <v/>
      </c>
    </row>
    <row r="434">
      <c r="S434" s="52">
        <f>IF(OR(A434="",F434="",C434&lt;&gt;"Mekân"),0,IF(COUNTIFS($F$8:F434,F434,$C$8:C434,"Mekân")=1,1,0))</f>
        <v/>
      </c>
      <c r="T434" s="52">
        <f>IF(OR(A434="",F434="",C434&lt;&gt;"Kapak"),0,IF(COUNTIFS($F$8:F434,F434,$C$8:C434,"Kapak")=1,1,0))</f>
        <v/>
      </c>
    </row>
    <row r="435">
      <c r="S435" s="52">
        <f>IF(OR(A435="",F435="",C435&lt;&gt;"Mekân"),0,IF(COUNTIFS($F$8:F435,F435,$C$8:C435,"Mekân")=1,1,0))</f>
        <v/>
      </c>
      <c r="T435" s="52">
        <f>IF(OR(A435="",F435="",C435&lt;&gt;"Kapak"),0,IF(COUNTIFS($F$8:F435,F435,$C$8:C435,"Kapak")=1,1,0))</f>
        <v/>
      </c>
    </row>
    <row r="436">
      <c r="S436" s="52">
        <f>IF(OR(A436="",F436="",C436&lt;&gt;"Mekân"),0,IF(COUNTIFS($F$8:F436,F436,$C$8:C436,"Mekân")=1,1,0))</f>
        <v/>
      </c>
      <c r="T436" s="52">
        <f>IF(OR(A436="",F436="",C436&lt;&gt;"Kapak"),0,IF(COUNTIFS($F$8:F436,F436,$C$8:C436,"Kapak")=1,1,0))</f>
        <v/>
      </c>
    </row>
    <row r="437">
      <c r="S437" s="52">
        <f>IF(OR(A437="",F437="",C437&lt;&gt;"Mekân"),0,IF(COUNTIFS($F$8:F437,F437,$C$8:C437,"Mekân")=1,1,0))</f>
        <v/>
      </c>
      <c r="T437" s="52">
        <f>IF(OR(A437="",F437="",C437&lt;&gt;"Kapak"),0,IF(COUNTIFS($F$8:F437,F437,$C$8:C437,"Kapak")=1,1,0))</f>
        <v/>
      </c>
    </row>
    <row r="438">
      <c r="S438" s="52">
        <f>IF(OR(A438="",F438="",C438&lt;&gt;"Mekân"),0,IF(COUNTIFS($F$8:F438,F438,$C$8:C438,"Mekân")=1,1,0))</f>
        <v/>
      </c>
      <c r="T438" s="52">
        <f>IF(OR(A438="",F438="",C438&lt;&gt;"Kapak"),0,IF(COUNTIFS($F$8:F438,F438,$C$8:C438,"Kapak")=1,1,0))</f>
        <v/>
      </c>
    </row>
    <row r="439">
      <c r="S439" s="52">
        <f>IF(OR(A439="",F439="",C439&lt;&gt;"Mekân"),0,IF(COUNTIFS($F$8:F439,F439,$C$8:C439,"Mekân")=1,1,0))</f>
        <v/>
      </c>
      <c r="T439" s="52">
        <f>IF(OR(A439="",F439="",C439&lt;&gt;"Kapak"),0,IF(COUNTIFS($F$8:F439,F439,$C$8:C439,"Kapak")=1,1,0))</f>
        <v/>
      </c>
    </row>
    <row r="440">
      <c r="S440" s="52">
        <f>IF(OR(A440="",F440="",C440&lt;&gt;"Mekân"),0,IF(COUNTIFS($F$8:F440,F440,$C$8:C440,"Mekân")=1,1,0))</f>
        <v/>
      </c>
      <c r="T440" s="52">
        <f>IF(OR(A440="",F440="",C440&lt;&gt;"Kapak"),0,IF(COUNTIFS($F$8:F440,F440,$C$8:C440,"Kapak")=1,1,0))</f>
        <v/>
      </c>
    </row>
    <row r="441">
      <c r="S441" s="52">
        <f>IF(OR(A441="",F441="",C441&lt;&gt;"Mekân"),0,IF(COUNTIFS($F$8:F441,F441,$C$8:C441,"Mekân")=1,1,0))</f>
        <v/>
      </c>
      <c r="T441" s="52">
        <f>IF(OR(A441="",F441="",C441&lt;&gt;"Kapak"),0,IF(COUNTIFS($F$8:F441,F441,$C$8:C441,"Kapak")=1,1,0))</f>
        <v/>
      </c>
    </row>
    <row r="442">
      <c r="S442" s="52">
        <f>IF(OR(A442="",F442="",C442&lt;&gt;"Mekân"),0,IF(COUNTIFS($F$8:F442,F442,$C$8:C442,"Mekân")=1,1,0))</f>
        <v/>
      </c>
      <c r="T442" s="52">
        <f>IF(OR(A442="",F442="",C442&lt;&gt;"Kapak"),0,IF(COUNTIFS($F$8:F442,F442,$C$8:C442,"Kapak")=1,1,0))</f>
        <v/>
      </c>
    </row>
    <row r="443">
      <c r="S443" s="52">
        <f>IF(OR(A443="",F443="",C443&lt;&gt;"Mekân"),0,IF(COUNTIFS($F$8:F443,F443,$C$8:C443,"Mekân")=1,1,0))</f>
        <v/>
      </c>
      <c r="T443" s="52">
        <f>IF(OR(A443="",F443="",C443&lt;&gt;"Kapak"),0,IF(COUNTIFS($F$8:F443,F443,$C$8:C443,"Kapak")=1,1,0))</f>
        <v/>
      </c>
    </row>
    <row r="444">
      <c r="S444" s="52">
        <f>IF(OR(A444="",F444="",C444&lt;&gt;"Mekân"),0,IF(COUNTIFS($F$8:F444,F444,$C$8:C444,"Mekân")=1,1,0))</f>
        <v/>
      </c>
      <c r="T444" s="52">
        <f>IF(OR(A444="",F444="",C444&lt;&gt;"Kapak"),0,IF(COUNTIFS($F$8:F444,F444,$C$8:C444,"Kapak")=1,1,0))</f>
        <v/>
      </c>
    </row>
    <row r="445">
      <c r="S445" s="52">
        <f>IF(OR(A445="",F445="",C445&lt;&gt;"Mekân"),0,IF(COUNTIFS($F$8:F445,F445,$C$8:C445,"Mekân")=1,1,0))</f>
        <v/>
      </c>
      <c r="T445" s="52">
        <f>IF(OR(A445="",F445="",C445&lt;&gt;"Kapak"),0,IF(COUNTIFS($F$8:F445,F445,$C$8:C445,"Kapak")=1,1,0))</f>
        <v/>
      </c>
    </row>
    <row r="446">
      <c r="S446" s="52">
        <f>IF(OR(A446="",F446="",C446&lt;&gt;"Mekân"),0,IF(COUNTIFS($F$8:F446,F446,$C$8:C446,"Mekân")=1,1,0))</f>
        <v/>
      </c>
      <c r="T446" s="52">
        <f>IF(OR(A446="",F446="",C446&lt;&gt;"Kapak"),0,IF(COUNTIFS($F$8:F446,F446,$C$8:C446,"Kapak")=1,1,0))</f>
        <v/>
      </c>
    </row>
    <row r="447">
      <c r="S447" s="52">
        <f>IF(OR(A447="",F447="",C447&lt;&gt;"Mekân"),0,IF(COUNTIFS($F$8:F447,F447,$C$8:C447,"Mekân")=1,1,0))</f>
        <v/>
      </c>
      <c r="T447" s="52">
        <f>IF(OR(A447="",F447="",C447&lt;&gt;"Kapak"),0,IF(COUNTIFS($F$8:F447,F447,$C$8:C447,"Kapak")=1,1,0))</f>
        <v/>
      </c>
    </row>
    <row r="448">
      <c r="S448" s="52">
        <f>IF(OR(A448="",F448="",C448&lt;&gt;"Mekân"),0,IF(COUNTIFS($F$8:F448,F448,$C$8:C448,"Mekân")=1,1,0))</f>
        <v/>
      </c>
      <c r="T448" s="52">
        <f>IF(OR(A448="",F448="",C448&lt;&gt;"Kapak"),0,IF(COUNTIFS($F$8:F448,F448,$C$8:C448,"Kapak")=1,1,0))</f>
        <v/>
      </c>
    </row>
    <row r="449">
      <c r="S449" s="52">
        <f>IF(OR(A449="",F449="",C449&lt;&gt;"Mekân"),0,IF(COUNTIFS($F$8:F449,F449,$C$8:C449,"Mekân")=1,1,0))</f>
        <v/>
      </c>
      <c r="T449" s="52">
        <f>IF(OR(A449="",F449="",C449&lt;&gt;"Kapak"),0,IF(COUNTIFS($F$8:F449,F449,$C$8:C449,"Kapak")=1,1,0))</f>
        <v/>
      </c>
    </row>
    <row r="450">
      <c r="S450" s="52">
        <f>IF(OR(A450="",F450="",C450&lt;&gt;"Mekân"),0,IF(COUNTIFS($F$8:F450,F450,$C$8:C450,"Mekân")=1,1,0))</f>
        <v/>
      </c>
      <c r="T450" s="52">
        <f>IF(OR(A450="",F450="",C450&lt;&gt;"Kapak"),0,IF(COUNTIFS($F$8:F450,F450,$C$8:C450,"Kapak")=1,1,0))</f>
        <v/>
      </c>
    </row>
    <row r="451">
      <c r="S451" s="52">
        <f>IF(OR(A451="",F451="",C451&lt;&gt;"Mekân"),0,IF(COUNTIFS($F$8:F451,F451,$C$8:C451,"Mekân")=1,1,0))</f>
        <v/>
      </c>
      <c r="T451" s="52">
        <f>IF(OR(A451="",F451="",C451&lt;&gt;"Kapak"),0,IF(COUNTIFS($F$8:F451,F451,$C$8:C451,"Kapak")=1,1,0))</f>
        <v/>
      </c>
    </row>
    <row r="452">
      <c r="S452" s="52">
        <f>IF(OR(A452="",F452="",C452&lt;&gt;"Mekân"),0,IF(COUNTIFS($F$8:F452,F452,$C$8:C452,"Mekân")=1,1,0))</f>
        <v/>
      </c>
      <c r="T452" s="52">
        <f>IF(OR(A452="",F452="",C452&lt;&gt;"Kapak"),0,IF(COUNTIFS($F$8:F452,F452,$C$8:C452,"Kapak")=1,1,0))</f>
        <v/>
      </c>
    </row>
    <row r="453">
      <c r="S453" s="52">
        <f>IF(OR(A453="",F453="",C453&lt;&gt;"Mekân"),0,IF(COUNTIFS($F$8:F453,F453,$C$8:C453,"Mekân")=1,1,0))</f>
        <v/>
      </c>
      <c r="T453" s="52">
        <f>IF(OR(A453="",F453="",C453&lt;&gt;"Kapak"),0,IF(COUNTIFS($F$8:F453,F453,$C$8:C453,"Kapak")=1,1,0))</f>
        <v/>
      </c>
    </row>
    <row r="454">
      <c r="S454" s="52">
        <f>IF(OR(A454="",F454="",C454&lt;&gt;"Mekân"),0,IF(COUNTIFS($F$8:F454,F454,$C$8:C454,"Mekân")=1,1,0))</f>
        <v/>
      </c>
      <c r="T454" s="52">
        <f>IF(OR(A454="",F454="",C454&lt;&gt;"Kapak"),0,IF(COUNTIFS($F$8:F454,F454,$C$8:C454,"Kapak")=1,1,0))</f>
        <v/>
      </c>
    </row>
    <row r="455">
      <c r="S455" s="52">
        <f>IF(OR(A455="",F455="",C455&lt;&gt;"Mekân"),0,IF(COUNTIFS($F$8:F455,F455,$C$8:C455,"Mekân")=1,1,0))</f>
        <v/>
      </c>
      <c r="T455" s="52">
        <f>IF(OR(A455="",F455="",C455&lt;&gt;"Kapak"),0,IF(COUNTIFS($F$8:F455,F455,$C$8:C455,"Kapak")=1,1,0))</f>
        <v/>
      </c>
    </row>
    <row r="456">
      <c r="S456" s="52">
        <f>IF(OR(A456="",F456="",C456&lt;&gt;"Mekân"),0,IF(COUNTIFS($F$8:F456,F456,$C$8:C456,"Mekân")=1,1,0))</f>
        <v/>
      </c>
      <c r="T456" s="52">
        <f>IF(OR(A456="",F456="",C456&lt;&gt;"Kapak"),0,IF(COUNTIFS($F$8:F456,F456,$C$8:C456,"Kapak")=1,1,0))</f>
        <v/>
      </c>
    </row>
    <row r="457">
      <c r="S457" s="52">
        <f>IF(OR(A457="",F457="",C457&lt;&gt;"Mekân"),0,IF(COUNTIFS($F$8:F457,F457,$C$8:C457,"Mekân")=1,1,0))</f>
        <v/>
      </c>
      <c r="T457" s="52">
        <f>IF(OR(A457="",F457="",C457&lt;&gt;"Kapak"),0,IF(COUNTIFS($F$8:F457,F457,$C$8:C457,"Kapak")=1,1,0))</f>
        <v/>
      </c>
    </row>
    <row r="458">
      <c r="S458" s="52">
        <f>IF(OR(A458="",F458="",C458&lt;&gt;"Mekân"),0,IF(COUNTIFS($F$8:F458,F458,$C$8:C458,"Mekân")=1,1,0))</f>
        <v/>
      </c>
      <c r="T458" s="52">
        <f>IF(OR(A458="",F458="",C458&lt;&gt;"Kapak"),0,IF(COUNTIFS($F$8:F458,F458,$C$8:C458,"Kapak")=1,1,0))</f>
        <v/>
      </c>
    </row>
    <row r="459">
      <c r="S459" s="52">
        <f>IF(OR(A459="",F459="",C459&lt;&gt;"Mekân"),0,IF(COUNTIFS($F$8:F459,F459,$C$8:C459,"Mekân")=1,1,0))</f>
        <v/>
      </c>
      <c r="T459" s="52">
        <f>IF(OR(A459="",F459="",C459&lt;&gt;"Kapak"),0,IF(COUNTIFS($F$8:F459,F459,$C$8:C459,"Kapak")=1,1,0))</f>
        <v/>
      </c>
    </row>
    <row r="460">
      <c r="S460" s="52">
        <f>IF(OR(A460="",F460="",C460&lt;&gt;"Mekân"),0,IF(COUNTIFS($F$8:F460,F460,$C$8:C460,"Mekân")=1,1,0))</f>
        <v/>
      </c>
      <c r="T460" s="52">
        <f>IF(OR(A460="",F460="",C460&lt;&gt;"Kapak"),0,IF(COUNTIFS($F$8:F460,F460,$C$8:C460,"Kapak")=1,1,0))</f>
        <v/>
      </c>
    </row>
    <row r="461">
      <c r="S461" s="52">
        <f>IF(OR(A461="",F461="",C461&lt;&gt;"Mekân"),0,IF(COUNTIFS($F$8:F461,F461,$C$8:C461,"Mekân")=1,1,0))</f>
        <v/>
      </c>
      <c r="T461" s="52">
        <f>IF(OR(A461="",F461="",C461&lt;&gt;"Kapak"),0,IF(COUNTIFS($F$8:F461,F461,$C$8:C461,"Kapak")=1,1,0))</f>
        <v/>
      </c>
    </row>
    <row r="462">
      <c r="S462" s="52">
        <f>IF(OR(A462="",F462="",C462&lt;&gt;"Mekân"),0,IF(COUNTIFS($F$8:F462,F462,$C$8:C462,"Mekân")=1,1,0))</f>
        <v/>
      </c>
      <c r="T462" s="52">
        <f>IF(OR(A462="",F462="",C462&lt;&gt;"Kapak"),0,IF(COUNTIFS($F$8:F462,F462,$C$8:C462,"Kapak")=1,1,0))</f>
        <v/>
      </c>
    </row>
    <row r="463">
      <c r="S463" s="52">
        <f>IF(OR(A463="",F463="",C463&lt;&gt;"Mekân"),0,IF(COUNTIFS($F$8:F463,F463,$C$8:C463,"Mekân")=1,1,0))</f>
        <v/>
      </c>
      <c r="T463" s="52">
        <f>IF(OR(A463="",F463="",C463&lt;&gt;"Kapak"),0,IF(COUNTIFS($F$8:F463,F463,$C$8:C463,"Kapak")=1,1,0))</f>
        <v/>
      </c>
    </row>
    <row r="464">
      <c r="S464" s="52">
        <f>IF(OR(A464="",F464="",C464&lt;&gt;"Mekân"),0,IF(COUNTIFS($F$8:F464,F464,$C$8:C464,"Mekân")=1,1,0))</f>
        <v/>
      </c>
      <c r="T464" s="52">
        <f>IF(OR(A464="",F464="",C464&lt;&gt;"Kapak"),0,IF(COUNTIFS($F$8:F464,F464,$C$8:C464,"Kapak")=1,1,0))</f>
        <v/>
      </c>
    </row>
    <row r="465">
      <c r="S465" s="52">
        <f>IF(OR(A465="",F465="",C465&lt;&gt;"Mekân"),0,IF(COUNTIFS($F$8:F465,F465,$C$8:C465,"Mekân")=1,1,0))</f>
        <v/>
      </c>
      <c r="T465" s="52">
        <f>IF(OR(A465="",F465="",C465&lt;&gt;"Kapak"),0,IF(COUNTIFS($F$8:F465,F465,$C$8:C465,"Kapak")=1,1,0))</f>
        <v/>
      </c>
    </row>
    <row r="466">
      <c r="S466" s="52">
        <f>IF(OR(A466="",F466="",C466&lt;&gt;"Mekân"),0,IF(COUNTIFS($F$8:F466,F466,$C$8:C466,"Mekân")=1,1,0))</f>
        <v/>
      </c>
      <c r="T466" s="52">
        <f>IF(OR(A466="",F466="",C466&lt;&gt;"Kapak"),0,IF(COUNTIFS($F$8:F466,F466,$C$8:C466,"Kapak")=1,1,0))</f>
        <v/>
      </c>
    </row>
    <row r="467">
      <c r="S467" s="52">
        <f>IF(OR(A467="",F467="",C467&lt;&gt;"Mekân"),0,IF(COUNTIFS($F$8:F467,F467,$C$8:C467,"Mekân")=1,1,0))</f>
        <v/>
      </c>
      <c r="T467" s="52">
        <f>IF(OR(A467="",F467="",C467&lt;&gt;"Kapak"),0,IF(COUNTIFS($F$8:F467,F467,$C$8:C467,"Kapak")=1,1,0))</f>
        <v/>
      </c>
    </row>
    <row r="468">
      <c r="S468" s="52">
        <f>IF(OR(A468="",F468="",C468&lt;&gt;"Mekân"),0,IF(COUNTIFS($F$8:F468,F468,$C$8:C468,"Mekân")=1,1,0))</f>
        <v/>
      </c>
      <c r="T468" s="52">
        <f>IF(OR(A468="",F468="",C468&lt;&gt;"Kapak"),0,IF(COUNTIFS($F$8:F468,F468,$C$8:C468,"Kapak")=1,1,0))</f>
        <v/>
      </c>
    </row>
    <row r="469">
      <c r="S469" s="52">
        <f>IF(OR(A469="",F469="",C469&lt;&gt;"Mekân"),0,IF(COUNTIFS($F$8:F469,F469,$C$8:C469,"Mekân")=1,1,0))</f>
        <v/>
      </c>
      <c r="T469" s="52">
        <f>IF(OR(A469="",F469="",C469&lt;&gt;"Kapak"),0,IF(COUNTIFS($F$8:F469,F469,$C$8:C469,"Kapak")=1,1,0))</f>
        <v/>
      </c>
    </row>
    <row r="470">
      <c r="S470" s="52">
        <f>IF(OR(A470="",F470="",C470&lt;&gt;"Mekân"),0,IF(COUNTIFS($F$8:F470,F470,$C$8:C470,"Mekân")=1,1,0))</f>
        <v/>
      </c>
      <c r="T470" s="52">
        <f>IF(OR(A470="",F470="",C470&lt;&gt;"Kapak"),0,IF(COUNTIFS($F$8:F470,F470,$C$8:C470,"Kapak")=1,1,0))</f>
        <v/>
      </c>
    </row>
    <row r="471">
      <c r="S471" s="52">
        <f>IF(OR(A471="",F471="",C471&lt;&gt;"Mekân"),0,IF(COUNTIFS($F$8:F471,F471,$C$8:C471,"Mekân")=1,1,0))</f>
        <v/>
      </c>
      <c r="T471" s="52">
        <f>IF(OR(A471="",F471="",C471&lt;&gt;"Kapak"),0,IF(COUNTIFS($F$8:F471,F471,$C$8:C471,"Kapak")=1,1,0))</f>
        <v/>
      </c>
    </row>
    <row r="472">
      <c r="S472" s="52">
        <f>IF(OR(A472="",F472="",C472&lt;&gt;"Mekân"),0,IF(COUNTIFS($F$8:F472,F472,$C$8:C472,"Mekân")=1,1,0))</f>
        <v/>
      </c>
      <c r="T472" s="52">
        <f>IF(OR(A472="",F472="",C472&lt;&gt;"Kapak"),0,IF(COUNTIFS($F$8:F472,F472,$C$8:C472,"Kapak")=1,1,0))</f>
        <v/>
      </c>
    </row>
    <row r="473">
      <c r="S473" s="52">
        <f>IF(OR(A473="",F473="",C473&lt;&gt;"Mekân"),0,IF(COUNTIFS($F$8:F473,F473,$C$8:C473,"Mekân")=1,1,0))</f>
        <v/>
      </c>
      <c r="T473" s="52">
        <f>IF(OR(A473="",F473="",C473&lt;&gt;"Kapak"),0,IF(COUNTIFS($F$8:F473,F473,$C$8:C473,"Kapak")=1,1,0))</f>
        <v/>
      </c>
    </row>
    <row r="474">
      <c r="S474" s="52">
        <f>IF(OR(A474="",F474="",C474&lt;&gt;"Mekân"),0,IF(COUNTIFS($F$8:F474,F474,$C$8:C474,"Mekân")=1,1,0))</f>
        <v/>
      </c>
      <c r="T474" s="52">
        <f>IF(OR(A474="",F474="",C474&lt;&gt;"Kapak"),0,IF(COUNTIFS($F$8:F474,F474,$C$8:C474,"Kapak")=1,1,0))</f>
        <v/>
      </c>
    </row>
    <row r="475">
      <c r="S475" s="52">
        <f>IF(OR(A475="",F475="",C475&lt;&gt;"Mekân"),0,IF(COUNTIFS($F$8:F475,F475,$C$8:C475,"Mekân")=1,1,0))</f>
        <v/>
      </c>
      <c r="T475" s="52">
        <f>IF(OR(A475="",F475="",C475&lt;&gt;"Kapak"),0,IF(COUNTIFS($F$8:F475,F475,$C$8:C475,"Kapak")=1,1,0))</f>
        <v/>
      </c>
    </row>
    <row r="476">
      <c r="S476" s="52">
        <f>IF(OR(A476="",F476="",C476&lt;&gt;"Mekân"),0,IF(COUNTIFS($F$8:F476,F476,$C$8:C476,"Mekân")=1,1,0))</f>
        <v/>
      </c>
      <c r="T476" s="52">
        <f>IF(OR(A476="",F476="",C476&lt;&gt;"Kapak"),0,IF(COUNTIFS($F$8:F476,F476,$C$8:C476,"Kapak")=1,1,0))</f>
        <v/>
      </c>
    </row>
    <row r="477">
      <c r="S477" s="52">
        <f>IF(OR(A477="",F477="",C477&lt;&gt;"Mekân"),0,IF(COUNTIFS($F$8:F477,F477,$C$8:C477,"Mekân")=1,1,0))</f>
        <v/>
      </c>
      <c r="T477" s="52">
        <f>IF(OR(A477="",F477="",C477&lt;&gt;"Kapak"),0,IF(COUNTIFS($F$8:F477,F477,$C$8:C477,"Kapak")=1,1,0))</f>
        <v/>
      </c>
    </row>
    <row r="478">
      <c r="S478" s="52">
        <f>IF(OR(A478="",F478="",C478&lt;&gt;"Mekân"),0,IF(COUNTIFS($F$8:F478,F478,$C$8:C478,"Mekân")=1,1,0))</f>
        <v/>
      </c>
      <c r="T478" s="52">
        <f>IF(OR(A478="",F478="",C478&lt;&gt;"Kapak"),0,IF(COUNTIFS($F$8:F478,F478,$C$8:C478,"Kapak")=1,1,0))</f>
        <v/>
      </c>
    </row>
    <row r="479">
      <c r="S479" s="52">
        <f>IF(OR(A479="",F479="",C479&lt;&gt;"Mekân"),0,IF(COUNTIFS($F$8:F479,F479,$C$8:C479,"Mekân")=1,1,0))</f>
        <v/>
      </c>
      <c r="T479" s="52">
        <f>IF(OR(A479="",F479="",C479&lt;&gt;"Kapak"),0,IF(COUNTIFS($F$8:F479,F479,$C$8:C479,"Kapak")=1,1,0))</f>
        <v/>
      </c>
    </row>
    <row r="480">
      <c r="S480" s="52">
        <f>IF(OR(A480="",F480="",C480&lt;&gt;"Mekân"),0,IF(COUNTIFS($F$8:F480,F480,$C$8:C480,"Mekân")=1,1,0))</f>
        <v/>
      </c>
      <c r="T480" s="52">
        <f>IF(OR(A480="",F480="",C480&lt;&gt;"Kapak"),0,IF(COUNTIFS($F$8:F480,F480,$C$8:C480,"Kapak")=1,1,0))</f>
        <v/>
      </c>
    </row>
    <row r="481">
      <c r="S481" s="52">
        <f>IF(OR(A481="",F481="",C481&lt;&gt;"Mekân"),0,IF(COUNTIFS($F$8:F481,F481,$C$8:C481,"Mekân")=1,1,0))</f>
        <v/>
      </c>
      <c r="T481" s="52">
        <f>IF(OR(A481="",F481="",C481&lt;&gt;"Kapak"),0,IF(COUNTIFS($F$8:F481,F481,$C$8:C481,"Kapak")=1,1,0))</f>
        <v/>
      </c>
    </row>
    <row r="482">
      <c r="S482" s="52">
        <f>IF(OR(A482="",F482="",C482&lt;&gt;"Mekân"),0,IF(COUNTIFS($F$8:F482,F482,$C$8:C482,"Mekân")=1,1,0))</f>
        <v/>
      </c>
      <c r="T482" s="52">
        <f>IF(OR(A482="",F482="",C482&lt;&gt;"Kapak"),0,IF(COUNTIFS($F$8:F482,F482,$C$8:C482,"Kapak")=1,1,0))</f>
        <v/>
      </c>
    </row>
    <row r="483">
      <c r="S483" s="52">
        <f>IF(OR(A483="",F483="",C483&lt;&gt;"Mekân"),0,IF(COUNTIFS($F$8:F483,F483,$C$8:C483,"Mekân")=1,1,0))</f>
        <v/>
      </c>
      <c r="T483" s="52">
        <f>IF(OR(A483="",F483="",C483&lt;&gt;"Kapak"),0,IF(COUNTIFS($F$8:F483,F483,$C$8:C483,"Kapak")=1,1,0))</f>
        <v/>
      </c>
    </row>
    <row r="484">
      <c r="S484" s="52">
        <f>IF(OR(A484="",F484="",C484&lt;&gt;"Mekân"),0,IF(COUNTIFS($F$8:F484,F484,$C$8:C484,"Mekân")=1,1,0))</f>
        <v/>
      </c>
      <c r="T484" s="52">
        <f>IF(OR(A484="",F484="",C484&lt;&gt;"Kapak"),0,IF(COUNTIFS($F$8:F484,F484,$C$8:C484,"Kapak")=1,1,0))</f>
        <v/>
      </c>
    </row>
    <row r="485">
      <c r="S485" s="52">
        <f>IF(OR(A485="",F485="",C485&lt;&gt;"Mekân"),0,IF(COUNTIFS($F$8:F485,F485,$C$8:C485,"Mekân")=1,1,0))</f>
        <v/>
      </c>
      <c r="T485" s="52">
        <f>IF(OR(A485="",F485="",C485&lt;&gt;"Kapak"),0,IF(COUNTIFS($F$8:F485,F485,$C$8:C485,"Kapak")=1,1,0))</f>
        <v/>
      </c>
    </row>
    <row r="486">
      <c r="S486" s="52">
        <f>IF(OR(A486="",F486="",C486&lt;&gt;"Mekân"),0,IF(COUNTIFS($F$8:F486,F486,$C$8:C486,"Mekân")=1,1,0))</f>
        <v/>
      </c>
      <c r="T486" s="52">
        <f>IF(OR(A486="",F486="",C486&lt;&gt;"Kapak"),0,IF(COUNTIFS($F$8:F486,F486,$C$8:C486,"Kapak")=1,1,0))</f>
        <v/>
      </c>
    </row>
    <row r="487">
      <c r="S487" s="52">
        <f>IF(OR(A487="",F487="",C487&lt;&gt;"Mekân"),0,IF(COUNTIFS($F$8:F487,F487,$C$8:C487,"Mekân")=1,1,0))</f>
        <v/>
      </c>
      <c r="T487" s="52">
        <f>IF(OR(A487="",F487="",C487&lt;&gt;"Kapak"),0,IF(COUNTIFS($F$8:F487,F487,$C$8:C487,"Kapak")=1,1,0))</f>
        <v/>
      </c>
    </row>
    <row r="488">
      <c r="S488" s="52">
        <f>IF(OR(A488="",F488="",C488&lt;&gt;"Mekân"),0,IF(COUNTIFS($F$8:F488,F488,$C$8:C488,"Mekân")=1,1,0))</f>
        <v/>
      </c>
      <c r="T488" s="52">
        <f>IF(OR(A488="",F488="",C488&lt;&gt;"Kapak"),0,IF(COUNTIFS($F$8:F488,F488,$C$8:C488,"Kapak")=1,1,0))</f>
        <v/>
      </c>
    </row>
    <row r="489">
      <c r="S489" s="52">
        <f>IF(OR(A489="",F489="",C489&lt;&gt;"Mekân"),0,IF(COUNTIFS($F$8:F489,F489,$C$8:C489,"Mekân")=1,1,0))</f>
        <v/>
      </c>
      <c r="T489" s="52">
        <f>IF(OR(A489="",F489="",C489&lt;&gt;"Kapak"),0,IF(COUNTIFS($F$8:F489,F489,$C$8:C489,"Kapak")=1,1,0))</f>
        <v/>
      </c>
    </row>
    <row r="490">
      <c r="S490" s="52">
        <f>IF(OR(A490="",F490="",C490&lt;&gt;"Mekân"),0,IF(COUNTIFS($F$8:F490,F490,$C$8:C490,"Mekân")=1,1,0))</f>
        <v/>
      </c>
      <c r="T490" s="52">
        <f>IF(OR(A490="",F490="",C490&lt;&gt;"Kapak"),0,IF(COUNTIFS($F$8:F490,F490,$C$8:C490,"Kapak")=1,1,0))</f>
        <v/>
      </c>
    </row>
    <row r="491">
      <c r="S491" s="52">
        <f>IF(OR(A491="",F491="",C491&lt;&gt;"Mekân"),0,IF(COUNTIFS($F$8:F491,F491,$C$8:C491,"Mekân")=1,1,0))</f>
        <v/>
      </c>
      <c r="T491" s="52">
        <f>IF(OR(A491="",F491="",C491&lt;&gt;"Kapak"),0,IF(COUNTIFS($F$8:F491,F491,$C$8:C491,"Kapak")=1,1,0))</f>
        <v/>
      </c>
    </row>
    <row r="492">
      <c r="S492" s="52">
        <f>IF(OR(A492="",F492="",C492&lt;&gt;"Mekân"),0,IF(COUNTIFS($F$8:F492,F492,$C$8:C492,"Mekân")=1,1,0))</f>
        <v/>
      </c>
      <c r="T492" s="52">
        <f>IF(OR(A492="",F492="",C492&lt;&gt;"Kapak"),0,IF(COUNTIFS($F$8:F492,F492,$C$8:C492,"Kapak")=1,1,0))</f>
        <v/>
      </c>
    </row>
    <row r="493">
      <c r="S493" s="52">
        <f>IF(OR(A493="",F493="",C493&lt;&gt;"Mekân"),0,IF(COUNTIFS($F$8:F493,F493,$C$8:C493,"Mekân")=1,1,0))</f>
        <v/>
      </c>
      <c r="T493" s="52">
        <f>IF(OR(A493="",F493="",C493&lt;&gt;"Kapak"),0,IF(COUNTIFS($F$8:F493,F493,$C$8:C493,"Kapak")=1,1,0))</f>
        <v/>
      </c>
    </row>
    <row r="494">
      <c r="S494" s="52">
        <f>IF(OR(A494="",F494="",C494&lt;&gt;"Mekân"),0,IF(COUNTIFS($F$8:F494,F494,$C$8:C494,"Mekân")=1,1,0))</f>
        <v/>
      </c>
      <c r="T494" s="52">
        <f>IF(OR(A494="",F494="",C494&lt;&gt;"Kapak"),0,IF(COUNTIFS($F$8:F494,F494,$C$8:C494,"Kapak")=1,1,0))</f>
        <v/>
      </c>
    </row>
    <row r="495">
      <c r="S495" s="52">
        <f>IF(OR(A495="",F495="",C495&lt;&gt;"Mekân"),0,IF(COUNTIFS($F$8:F495,F495,$C$8:C495,"Mekân")=1,1,0))</f>
        <v/>
      </c>
      <c r="T495" s="52">
        <f>IF(OR(A495="",F495="",C495&lt;&gt;"Kapak"),0,IF(COUNTIFS($F$8:F495,F495,$C$8:C495,"Kapak")=1,1,0))</f>
        <v/>
      </c>
    </row>
    <row r="496">
      <c r="S496" s="52">
        <f>IF(OR(A496="",F496="",C496&lt;&gt;"Mekân"),0,IF(COUNTIFS($F$8:F496,F496,$C$8:C496,"Mekân")=1,1,0))</f>
        <v/>
      </c>
      <c r="T496" s="52">
        <f>IF(OR(A496="",F496="",C496&lt;&gt;"Kapak"),0,IF(COUNTIFS($F$8:F496,F496,$C$8:C496,"Kapak")=1,1,0))</f>
        <v/>
      </c>
    </row>
    <row r="497">
      <c r="S497" s="52">
        <f>IF(OR(A497="",F497="",C497&lt;&gt;"Mekân"),0,IF(COUNTIFS($F$8:F497,F497,$C$8:C497,"Mekân")=1,1,0))</f>
        <v/>
      </c>
      <c r="T497" s="52">
        <f>IF(OR(A497="",F497="",C497&lt;&gt;"Kapak"),0,IF(COUNTIFS($F$8:F497,F497,$C$8:C497,"Kapak")=1,1,0))</f>
        <v/>
      </c>
    </row>
    <row r="498">
      <c r="S498" s="52">
        <f>IF(OR(A498="",F498="",C498&lt;&gt;"Mekân"),0,IF(COUNTIFS($F$8:F498,F498,$C$8:C498,"Mekân")=1,1,0))</f>
        <v/>
      </c>
      <c r="T498" s="52">
        <f>IF(OR(A498="",F498="",C498&lt;&gt;"Kapak"),0,IF(COUNTIFS($F$8:F498,F498,$C$8:C498,"Kapak")=1,1,0))</f>
        <v/>
      </c>
    </row>
    <row r="499">
      <c r="S499" s="52">
        <f>IF(OR(A499="",F499="",C499&lt;&gt;"Mekân"),0,IF(COUNTIFS($F$8:F499,F499,$C$8:C499,"Mekân")=1,1,0))</f>
        <v/>
      </c>
      <c r="T499" s="52">
        <f>IF(OR(A499="",F499="",C499&lt;&gt;"Kapak"),0,IF(COUNTIFS($F$8:F499,F499,$C$8:C499,"Kapak")=1,1,0))</f>
        <v/>
      </c>
    </row>
    <row r="500">
      <c r="S500" s="52">
        <f>IF(OR(A500="",F500="",C500&lt;&gt;"Mekân"),0,IF(COUNTIFS($F$8:F500,F500,$C$8:C500,"Mekân")=1,1,0))</f>
        <v/>
      </c>
      <c r="T500" s="52">
        <f>IF(OR(A500="",F500="",C500&lt;&gt;"Kapak"),0,IF(COUNTIFS($F$8:F500,F500,$C$8:C500,"Kapak")=1,1,0))</f>
        <v/>
      </c>
    </row>
    <row r="501">
      <c r="S501" s="52">
        <f>IF(OR(A501="",F501="",C501&lt;&gt;"Mekân"),0,IF(COUNTIFS($F$8:F501,F501,$C$8:C501,"Mekân")=1,1,0))</f>
        <v/>
      </c>
      <c r="T501" s="52">
        <f>IF(OR(A501="",F501="",C501&lt;&gt;"Kapak"),0,IF(COUNTIFS($F$8:F501,F501,$C$8:C501,"Kapak")=1,1,0))</f>
        <v/>
      </c>
    </row>
    <row r="502">
      <c r="S502" s="52">
        <f>IF(OR(A502="",F502="",C502&lt;&gt;"Mekân"),0,IF(COUNTIFS($F$8:F502,F502,$C$8:C502,"Mekân")=1,1,0))</f>
        <v/>
      </c>
      <c r="T502" s="52">
        <f>IF(OR(A502="",F502="",C502&lt;&gt;"Kapak"),0,IF(COUNTIFS($F$8:F502,F502,$C$8:C502,"Kapak")=1,1,0))</f>
        <v/>
      </c>
    </row>
    <row r="503">
      <c r="S503" s="52">
        <f>IF(OR(A503="",F503="",C503&lt;&gt;"Mekân"),0,IF(COUNTIFS($F$8:F503,F503,$C$8:C503,"Mekân")=1,1,0))</f>
        <v/>
      </c>
      <c r="T503" s="52">
        <f>IF(OR(A503="",F503="",C503&lt;&gt;"Kapak"),0,IF(COUNTIFS($F$8:F503,F503,$C$8:C503,"Kapak")=1,1,0))</f>
        <v/>
      </c>
    </row>
    <row r="504">
      <c r="S504" s="52">
        <f>IF(OR(A504="",F504="",C504&lt;&gt;"Mekân"),0,IF(COUNTIFS($F$8:F504,F504,$C$8:C504,"Mekân")=1,1,0))</f>
        <v/>
      </c>
      <c r="T504" s="52">
        <f>IF(OR(A504="",F504="",C504&lt;&gt;"Kapak"),0,IF(COUNTIFS($F$8:F504,F504,$C$8:C504,"Kapak")=1,1,0))</f>
        <v/>
      </c>
    </row>
    <row r="505">
      <c r="S505" s="52">
        <f>IF(OR(A505="",F505="",C505&lt;&gt;"Mekân"),0,IF(COUNTIFS($F$8:F505,F505,$C$8:C505,"Mekân")=1,1,0))</f>
        <v/>
      </c>
      <c r="T505" s="52">
        <f>IF(OR(A505="",F505="",C505&lt;&gt;"Kapak"),0,IF(COUNTIFS($F$8:F505,F505,$C$8:C505,"Kapak")=1,1,0))</f>
        <v/>
      </c>
    </row>
    <row r="506">
      <c r="S506" s="52">
        <f>IF(OR(A506="",F506="",C506&lt;&gt;"Mekân"),0,IF(COUNTIFS($F$8:F506,F506,$C$8:C506,"Mekân")=1,1,0))</f>
        <v/>
      </c>
      <c r="T506" s="52">
        <f>IF(OR(A506="",F506="",C506&lt;&gt;"Kapak"),0,IF(COUNTIFS($F$8:F506,F506,$C$8:C506,"Kapak")=1,1,0))</f>
        <v/>
      </c>
    </row>
    <row r="507">
      <c r="S507" s="52">
        <f>IF(OR(A507="",F507="",C507&lt;&gt;"Mekân"),0,IF(COUNTIFS($F$8:F507,F507,$C$8:C507,"Mekân")=1,1,0))</f>
        <v/>
      </c>
      <c r="T507" s="52">
        <f>IF(OR(A507="",F507="",C507&lt;&gt;"Kapak"),0,IF(COUNTIFS($F$8:F507,F507,$C$8:C507,"Kapak")=1,1,0))</f>
        <v/>
      </c>
    </row>
    <row r="508">
      <c r="S508" s="52">
        <f>IF(OR(A508="",F508="",C508&lt;&gt;"Mekân"),0,IF(COUNTIFS($F$8:F508,F508,$C$8:C508,"Mekân")=1,1,0))</f>
        <v/>
      </c>
      <c r="T508" s="52">
        <f>IF(OR(A508="",F508="",C508&lt;&gt;"Kapak"),0,IF(COUNTIFS($F$8:F508,F508,$C$8:C508,"Kapak")=1,1,0))</f>
        <v/>
      </c>
    </row>
    <row r="509">
      <c r="S509" s="52">
        <f>IF(OR(A509="",F509="",C509&lt;&gt;"Mekân"),0,IF(COUNTIFS($F$8:F509,F509,$C$8:C509,"Mekân")=1,1,0))</f>
        <v/>
      </c>
      <c r="T509" s="52">
        <f>IF(OR(A509="",F509="",C509&lt;&gt;"Kapak"),0,IF(COUNTIFS($F$8:F509,F509,$C$8:C509,"Kapak")=1,1,0))</f>
        <v/>
      </c>
    </row>
    <row r="510">
      <c r="S510" s="52">
        <f>IF(OR(A510="",F510="",C510&lt;&gt;"Mekân"),0,IF(COUNTIFS($F$8:F510,F510,$C$8:C510,"Mekân")=1,1,0))</f>
        <v/>
      </c>
      <c r="T510" s="52">
        <f>IF(OR(A510="",F510="",C510&lt;&gt;"Kapak"),0,IF(COUNTIFS($F$8:F510,F510,$C$8:C510,"Kapak")=1,1,0))</f>
        <v/>
      </c>
    </row>
    <row r="511">
      <c r="S511" s="52">
        <f>IF(OR(A511="",F511="",C511&lt;&gt;"Mekân"),0,IF(COUNTIFS($F$8:F511,F511,$C$8:C511,"Mekân")=1,1,0))</f>
        <v/>
      </c>
      <c r="T511" s="52">
        <f>IF(OR(A511="",F511="",C511&lt;&gt;"Kapak"),0,IF(COUNTIFS($F$8:F511,F511,$C$8:C511,"Kapak")=1,1,0))</f>
        <v/>
      </c>
    </row>
    <row r="512">
      <c r="S512" s="52">
        <f>IF(OR(A512="",F512="",C512&lt;&gt;"Mekân"),0,IF(COUNTIFS($F$8:F512,F512,$C$8:C512,"Mekân")=1,1,0))</f>
        <v/>
      </c>
      <c r="T512" s="52">
        <f>IF(OR(A512="",F512="",C512&lt;&gt;"Kapak"),0,IF(COUNTIFS($F$8:F512,F512,$C$8:C512,"Kapak")=1,1,0))</f>
        <v/>
      </c>
    </row>
    <row r="513">
      <c r="S513" s="52">
        <f>IF(OR(A513="",F513="",C513&lt;&gt;"Mekân"),0,IF(COUNTIFS($F$8:F513,F513,$C$8:C513,"Mekân")=1,1,0))</f>
        <v/>
      </c>
      <c r="T513" s="52">
        <f>IF(OR(A513="",F513="",C513&lt;&gt;"Kapak"),0,IF(COUNTIFS($F$8:F513,F513,$C$8:C513,"Kapak")=1,1,0))</f>
        <v/>
      </c>
    </row>
    <row r="514">
      <c r="S514" s="52">
        <f>IF(OR(A514="",F514="",C514&lt;&gt;"Mekân"),0,IF(COUNTIFS($F$8:F514,F514,$C$8:C514,"Mekân")=1,1,0))</f>
        <v/>
      </c>
      <c r="T514" s="52">
        <f>IF(OR(A514="",F514="",C514&lt;&gt;"Kapak"),0,IF(COUNTIFS($F$8:F514,F514,$C$8:C514,"Kapak")=1,1,0))</f>
        <v/>
      </c>
    </row>
    <row r="515">
      <c r="S515" s="52">
        <f>IF(OR(A515="",F515="",C515&lt;&gt;"Mekân"),0,IF(COUNTIFS($F$8:F515,F515,$C$8:C515,"Mekân")=1,1,0))</f>
        <v/>
      </c>
      <c r="T515" s="52">
        <f>IF(OR(A515="",F515="",C515&lt;&gt;"Kapak"),0,IF(COUNTIFS($F$8:F515,F515,$C$8:C515,"Kapak")=1,1,0))</f>
        <v/>
      </c>
    </row>
    <row r="516">
      <c r="S516" s="52">
        <f>IF(OR(A516="",F516="",C516&lt;&gt;"Mekân"),0,IF(COUNTIFS($F$8:F516,F516,$C$8:C516,"Mekân")=1,1,0))</f>
        <v/>
      </c>
      <c r="T516" s="52">
        <f>IF(OR(A516="",F516="",C516&lt;&gt;"Kapak"),0,IF(COUNTIFS($F$8:F516,F516,$C$8:C516,"Kapak")=1,1,0))</f>
        <v/>
      </c>
    </row>
    <row r="517">
      <c r="S517" s="52">
        <f>IF(OR(A517="",F517="",C517&lt;&gt;"Mekân"),0,IF(COUNTIFS($F$8:F517,F517,$C$8:C517,"Mekân")=1,1,0))</f>
        <v/>
      </c>
      <c r="T517" s="52">
        <f>IF(OR(A517="",F517="",C517&lt;&gt;"Kapak"),0,IF(COUNTIFS($F$8:F517,F517,$C$8:C517,"Kapak")=1,1,0))</f>
        <v/>
      </c>
    </row>
    <row r="518">
      <c r="S518" s="52">
        <f>IF(OR(A518="",F518="",C518&lt;&gt;"Mekân"),0,IF(COUNTIFS($F$8:F518,F518,$C$8:C518,"Mekân")=1,1,0))</f>
        <v/>
      </c>
      <c r="T518" s="52">
        <f>IF(OR(A518="",F518="",C518&lt;&gt;"Kapak"),0,IF(COUNTIFS($F$8:F518,F518,$C$8:C518,"Kapak")=1,1,0))</f>
        <v/>
      </c>
    </row>
    <row r="519">
      <c r="S519" s="52">
        <f>IF(OR(A519="",F519="",C519&lt;&gt;"Mekân"),0,IF(COUNTIFS($F$8:F519,F519,$C$8:C519,"Mekân")=1,1,0))</f>
        <v/>
      </c>
      <c r="T519" s="52">
        <f>IF(OR(A519="",F519="",C519&lt;&gt;"Kapak"),0,IF(COUNTIFS($F$8:F519,F519,$C$8:C519,"Kapak")=1,1,0))</f>
        <v/>
      </c>
    </row>
    <row r="520">
      <c r="S520" s="52">
        <f>IF(OR(A520="",F520="",C520&lt;&gt;"Mekân"),0,IF(COUNTIFS($F$8:F520,F520,$C$8:C520,"Mekân")=1,1,0))</f>
        <v/>
      </c>
      <c r="T520" s="52">
        <f>IF(OR(A520="",F520="",C520&lt;&gt;"Kapak"),0,IF(COUNTIFS($F$8:F520,F520,$C$8:C520,"Kapak")=1,1,0))</f>
        <v/>
      </c>
    </row>
    <row r="521">
      <c r="S521" s="52">
        <f>IF(OR(A521="",F521="",C521&lt;&gt;"Mekân"),0,IF(COUNTIFS($F$8:F521,F521,$C$8:C521,"Mekân")=1,1,0))</f>
        <v/>
      </c>
      <c r="T521" s="52">
        <f>IF(OR(A521="",F521="",C521&lt;&gt;"Kapak"),0,IF(COUNTIFS($F$8:F521,F521,$C$8:C521,"Kapak")=1,1,0))</f>
        <v/>
      </c>
    </row>
    <row r="522">
      <c r="S522" s="52">
        <f>IF(OR(A522="",F522="",C522&lt;&gt;"Mekân"),0,IF(COUNTIFS($F$8:F522,F522,$C$8:C522,"Mekân")=1,1,0))</f>
        <v/>
      </c>
      <c r="T522" s="52">
        <f>IF(OR(A522="",F522="",C522&lt;&gt;"Kapak"),0,IF(COUNTIFS($F$8:F522,F522,$C$8:C522,"Kapak")=1,1,0))</f>
        <v/>
      </c>
    </row>
    <row r="523">
      <c r="S523" s="52">
        <f>IF(OR(A523="",F523="",C523&lt;&gt;"Mekân"),0,IF(COUNTIFS($F$8:F523,F523,$C$8:C523,"Mekân")=1,1,0))</f>
        <v/>
      </c>
      <c r="T523" s="52">
        <f>IF(OR(A523="",F523="",C523&lt;&gt;"Kapak"),0,IF(COUNTIFS($F$8:F523,F523,$C$8:C523,"Kapak")=1,1,0))</f>
        <v/>
      </c>
    </row>
    <row r="524">
      <c r="S524" s="52">
        <f>IF(OR(A524="",F524="",C524&lt;&gt;"Mekân"),0,IF(COUNTIFS($F$8:F524,F524,$C$8:C524,"Mekân")=1,1,0))</f>
        <v/>
      </c>
      <c r="T524" s="52">
        <f>IF(OR(A524="",F524="",C524&lt;&gt;"Kapak"),0,IF(COUNTIFS($F$8:F524,F524,$C$8:C524,"Kapak")=1,1,0))</f>
        <v/>
      </c>
    </row>
    <row r="525">
      <c r="S525" s="52">
        <f>IF(OR(A525="",F525="",C525&lt;&gt;"Mekân"),0,IF(COUNTIFS($F$8:F525,F525,$C$8:C525,"Mekân")=1,1,0))</f>
        <v/>
      </c>
      <c r="T525" s="52">
        <f>IF(OR(A525="",F525="",C525&lt;&gt;"Kapak"),0,IF(COUNTIFS($F$8:F525,F525,$C$8:C525,"Kapak")=1,1,0))</f>
        <v/>
      </c>
    </row>
    <row r="526">
      <c r="S526" s="52">
        <f>IF(OR(A526="",F526="",C526&lt;&gt;"Mekân"),0,IF(COUNTIFS($F$8:F526,F526,$C$8:C526,"Mekân")=1,1,0))</f>
        <v/>
      </c>
      <c r="T526" s="52">
        <f>IF(OR(A526="",F526="",C526&lt;&gt;"Kapak"),0,IF(COUNTIFS($F$8:F526,F526,$C$8:C526,"Kapak")=1,1,0))</f>
        <v/>
      </c>
    </row>
    <row r="527">
      <c r="S527" s="52">
        <f>IF(OR(A527="",F527="",C527&lt;&gt;"Mekân"),0,IF(COUNTIFS($F$8:F527,F527,$C$8:C527,"Mekân")=1,1,0))</f>
        <v/>
      </c>
      <c r="T527" s="52">
        <f>IF(OR(A527="",F527="",C527&lt;&gt;"Kapak"),0,IF(COUNTIFS($F$8:F527,F527,$C$8:C527,"Kapak")=1,1,0))</f>
        <v/>
      </c>
    </row>
    <row r="528">
      <c r="S528" s="52">
        <f>IF(OR(A528="",F528="",C528&lt;&gt;"Mekân"),0,IF(COUNTIFS($F$8:F528,F528,$C$8:C528,"Mekân")=1,1,0))</f>
        <v/>
      </c>
      <c r="T528" s="52">
        <f>IF(OR(A528="",F528="",C528&lt;&gt;"Kapak"),0,IF(COUNTIFS($F$8:F528,F528,$C$8:C528,"Kapak")=1,1,0))</f>
        <v/>
      </c>
    </row>
    <row r="529">
      <c r="S529" s="52">
        <f>IF(OR(A529="",F529="",C529&lt;&gt;"Mekân"),0,IF(COUNTIFS($F$8:F529,F529,$C$8:C529,"Mekân")=1,1,0))</f>
        <v/>
      </c>
      <c r="T529" s="52">
        <f>IF(OR(A529="",F529="",C529&lt;&gt;"Kapak"),0,IF(COUNTIFS($F$8:F529,F529,$C$8:C529,"Kapak")=1,1,0))</f>
        <v/>
      </c>
    </row>
    <row r="530">
      <c r="S530" s="52">
        <f>IF(OR(A530="",F530="",C530&lt;&gt;"Mekân"),0,IF(COUNTIFS($F$8:F530,F530,$C$8:C530,"Mekân")=1,1,0))</f>
        <v/>
      </c>
      <c r="T530" s="52">
        <f>IF(OR(A530="",F530="",C530&lt;&gt;"Kapak"),0,IF(COUNTIFS($F$8:F530,F530,$C$8:C530,"Kapak")=1,1,0))</f>
        <v/>
      </c>
    </row>
    <row r="531">
      <c r="S531" s="52">
        <f>IF(OR(A531="",F531="",C531&lt;&gt;"Mekân"),0,IF(COUNTIFS($F$8:F531,F531,$C$8:C531,"Mekân")=1,1,0))</f>
        <v/>
      </c>
      <c r="T531" s="52">
        <f>IF(OR(A531="",F531="",C531&lt;&gt;"Kapak"),0,IF(COUNTIFS($F$8:F531,F531,$C$8:C531,"Kapak")=1,1,0))</f>
        <v/>
      </c>
    </row>
    <row r="532">
      <c r="S532" s="52">
        <f>IF(OR(A532="",F532="",C532&lt;&gt;"Mekân"),0,IF(COUNTIFS($F$8:F532,F532,$C$8:C532,"Mekân")=1,1,0))</f>
        <v/>
      </c>
      <c r="T532" s="52">
        <f>IF(OR(A532="",F532="",C532&lt;&gt;"Kapak"),0,IF(COUNTIFS($F$8:F532,F532,$C$8:C532,"Kapak")=1,1,0))</f>
        <v/>
      </c>
    </row>
    <row r="533">
      <c r="S533" s="52">
        <f>IF(OR(A533="",F533="",C533&lt;&gt;"Mekân"),0,IF(COUNTIFS($F$8:F533,F533,$C$8:C533,"Mekân")=1,1,0))</f>
        <v/>
      </c>
      <c r="T533" s="52">
        <f>IF(OR(A533="",F533="",C533&lt;&gt;"Kapak"),0,IF(COUNTIFS($F$8:F533,F533,$C$8:C533,"Kapak")=1,1,0))</f>
        <v/>
      </c>
    </row>
    <row r="534">
      <c r="S534" s="52">
        <f>IF(OR(A534="",F534="",C534&lt;&gt;"Mekân"),0,IF(COUNTIFS($F$8:F534,F534,$C$8:C534,"Mekân")=1,1,0))</f>
        <v/>
      </c>
      <c r="T534" s="52">
        <f>IF(OR(A534="",F534="",C534&lt;&gt;"Kapak"),0,IF(COUNTIFS($F$8:F534,F534,$C$8:C534,"Kapak")=1,1,0))</f>
        <v/>
      </c>
    </row>
    <row r="535">
      <c r="S535" s="52">
        <f>IF(OR(A535="",F535="",C535&lt;&gt;"Mekân"),0,IF(COUNTIFS($F$8:F535,F535,$C$8:C535,"Mekân")=1,1,0))</f>
        <v/>
      </c>
      <c r="T535" s="52">
        <f>IF(OR(A535="",F535="",C535&lt;&gt;"Kapak"),0,IF(COUNTIFS($F$8:F535,F535,$C$8:C535,"Kapak")=1,1,0))</f>
        <v/>
      </c>
    </row>
    <row r="536">
      <c r="S536" s="52">
        <f>IF(OR(A536="",F536="",C536&lt;&gt;"Mekân"),0,IF(COUNTIFS($F$8:F536,F536,$C$8:C536,"Mekân")=1,1,0))</f>
        <v/>
      </c>
      <c r="T536" s="52">
        <f>IF(OR(A536="",F536="",C536&lt;&gt;"Kapak"),0,IF(COUNTIFS($F$8:F536,F536,$C$8:C536,"Kapak")=1,1,0))</f>
        <v/>
      </c>
    </row>
    <row r="537">
      <c r="S537" s="52">
        <f>IF(OR(A537="",F537="",C537&lt;&gt;"Mekân"),0,IF(COUNTIFS($F$8:F537,F537,$C$8:C537,"Mekân")=1,1,0))</f>
        <v/>
      </c>
      <c r="T537" s="52">
        <f>IF(OR(A537="",F537="",C537&lt;&gt;"Kapak"),0,IF(COUNTIFS($F$8:F537,F537,$C$8:C537,"Kapak")=1,1,0))</f>
        <v/>
      </c>
    </row>
    <row r="538">
      <c r="S538" s="52">
        <f>IF(OR(A538="",F538="",C538&lt;&gt;"Mekân"),0,IF(COUNTIFS($F$8:F538,F538,$C$8:C538,"Mekân")=1,1,0))</f>
        <v/>
      </c>
      <c r="T538" s="52">
        <f>IF(OR(A538="",F538="",C538&lt;&gt;"Kapak"),0,IF(COUNTIFS($F$8:F538,F538,$C$8:C538,"Kapak")=1,1,0))</f>
        <v/>
      </c>
    </row>
    <row r="539">
      <c r="S539" s="52">
        <f>IF(OR(A539="",F539="",C539&lt;&gt;"Mekân"),0,IF(COUNTIFS($F$8:F539,F539,$C$8:C539,"Mekân")=1,1,0))</f>
        <v/>
      </c>
      <c r="T539" s="52">
        <f>IF(OR(A539="",F539="",C539&lt;&gt;"Kapak"),0,IF(COUNTIFS($F$8:F539,F539,$C$8:C539,"Kapak")=1,1,0))</f>
        <v/>
      </c>
    </row>
    <row r="540">
      <c r="S540" s="52">
        <f>IF(OR(A540="",F540="",C540&lt;&gt;"Mekân"),0,IF(COUNTIFS($F$8:F540,F540,$C$8:C540,"Mekân")=1,1,0))</f>
        <v/>
      </c>
      <c r="T540" s="52">
        <f>IF(OR(A540="",F540="",C540&lt;&gt;"Kapak"),0,IF(COUNTIFS($F$8:F540,F540,$C$8:C540,"Kapak")=1,1,0))</f>
        <v/>
      </c>
    </row>
    <row r="541">
      <c r="S541" s="52">
        <f>IF(OR(A541="",F541="",C541&lt;&gt;"Mekân"),0,IF(COUNTIFS($F$8:F541,F541,$C$8:C541,"Mekân")=1,1,0))</f>
        <v/>
      </c>
      <c r="T541" s="52">
        <f>IF(OR(A541="",F541="",C541&lt;&gt;"Kapak"),0,IF(COUNTIFS($F$8:F541,F541,$C$8:C541,"Kapak")=1,1,0))</f>
        <v/>
      </c>
    </row>
    <row r="542">
      <c r="S542" s="52">
        <f>IF(OR(A542="",F542="",C542&lt;&gt;"Mekân"),0,IF(COUNTIFS($F$8:F542,F542,$C$8:C542,"Mekân")=1,1,0))</f>
        <v/>
      </c>
      <c r="T542" s="52">
        <f>IF(OR(A542="",F542="",C542&lt;&gt;"Kapak"),0,IF(COUNTIFS($F$8:F542,F542,$C$8:C542,"Kapak")=1,1,0))</f>
        <v/>
      </c>
    </row>
    <row r="543">
      <c r="S543" s="52">
        <f>IF(OR(A543="",F543="",C543&lt;&gt;"Mekân"),0,IF(COUNTIFS($F$8:F543,F543,$C$8:C543,"Mekân")=1,1,0))</f>
        <v/>
      </c>
      <c r="T543" s="52">
        <f>IF(OR(A543="",F543="",C543&lt;&gt;"Kapak"),0,IF(COUNTIFS($F$8:F543,F543,$C$8:C543,"Kapak")=1,1,0))</f>
        <v/>
      </c>
    </row>
    <row r="544">
      <c r="S544" s="52">
        <f>IF(OR(A544="",F544="",C544&lt;&gt;"Mekân"),0,IF(COUNTIFS($F$8:F544,F544,$C$8:C544,"Mekân")=1,1,0))</f>
        <v/>
      </c>
      <c r="T544" s="52">
        <f>IF(OR(A544="",F544="",C544&lt;&gt;"Kapak"),0,IF(COUNTIFS($F$8:F544,F544,$C$8:C544,"Kapak")=1,1,0))</f>
        <v/>
      </c>
    </row>
    <row r="545">
      <c r="S545" s="52">
        <f>IF(OR(A545="",F545="",C545&lt;&gt;"Mekân"),0,IF(COUNTIFS($F$8:F545,F545,$C$8:C545,"Mekân")=1,1,0))</f>
        <v/>
      </c>
      <c r="T545" s="52">
        <f>IF(OR(A545="",F545="",C545&lt;&gt;"Kapak"),0,IF(COUNTIFS($F$8:F545,F545,$C$8:C545,"Kapak")=1,1,0))</f>
        <v/>
      </c>
    </row>
    <row r="546">
      <c r="S546" s="52">
        <f>IF(OR(A546="",F546="",C546&lt;&gt;"Mekân"),0,IF(COUNTIFS($F$8:F546,F546,$C$8:C546,"Mekân")=1,1,0))</f>
        <v/>
      </c>
      <c r="T546" s="52">
        <f>IF(OR(A546="",F546="",C546&lt;&gt;"Kapak"),0,IF(COUNTIFS($F$8:F546,F546,$C$8:C546,"Kapak")=1,1,0))</f>
        <v/>
      </c>
    </row>
    <row r="547">
      <c r="S547" s="52">
        <f>IF(OR(A547="",F547="",C547&lt;&gt;"Mekân"),0,IF(COUNTIFS($F$8:F547,F547,$C$8:C547,"Mekân")=1,1,0))</f>
        <v/>
      </c>
      <c r="T547" s="52">
        <f>IF(OR(A547="",F547="",C547&lt;&gt;"Kapak"),0,IF(COUNTIFS($F$8:F547,F547,$C$8:C547,"Kapak")=1,1,0))</f>
        <v/>
      </c>
    </row>
    <row r="548">
      <c r="S548" s="52">
        <f>IF(OR(A548="",F548="",C548&lt;&gt;"Mekân"),0,IF(COUNTIFS($F$8:F548,F548,$C$8:C548,"Mekân")=1,1,0))</f>
        <v/>
      </c>
      <c r="T548" s="52">
        <f>IF(OR(A548="",F548="",C548&lt;&gt;"Kapak"),0,IF(COUNTIFS($F$8:F548,F548,$C$8:C548,"Kapak")=1,1,0))</f>
        <v/>
      </c>
    </row>
    <row r="549">
      <c r="S549" s="52">
        <f>IF(OR(A549="",F549="",C549&lt;&gt;"Mekân"),0,IF(COUNTIFS($F$8:F549,F549,$C$8:C549,"Mekân")=1,1,0))</f>
        <v/>
      </c>
      <c r="T549" s="52">
        <f>IF(OR(A549="",F549="",C549&lt;&gt;"Kapak"),0,IF(COUNTIFS($F$8:F549,F549,$C$8:C549,"Kapak")=1,1,0))</f>
        <v/>
      </c>
    </row>
    <row r="550">
      <c r="S550" s="52">
        <f>IF(OR(A550="",F550="",C550&lt;&gt;"Mekân"),0,IF(COUNTIFS($F$8:F550,F550,$C$8:C550,"Mekân")=1,1,0))</f>
        <v/>
      </c>
      <c r="T550" s="52">
        <f>IF(OR(A550="",F550="",C550&lt;&gt;"Kapak"),0,IF(COUNTIFS($F$8:F550,F550,$C$8:C550,"Kapak")=1,1,0))</f>
        <v/>
      </c>
    </row>
    <row r="551">
      <c r="S551" s="52">
        <f>IF(OR(A551="",F551="",C551&lt;&gt;"Mekân"),0,IF(COUNTIFS($F$8:F551,F551,$C$8:C551,"Mekân")=1,1,0))</f>
        <v/>
      </c>
      <c r="T551" s="52">
        <f>IF(OR(A551="",F551="",C551&lt;&gt;"Kapak"),0,IF(COUNTIFS($F$8:F551,F551,$C$8:C551,"Kapak")=1,1,0))</f>
        <v/>
      </c>
    </row>
    <row r="552">
      <c r="S552" s="52">
        <f>IF(OR(A552="",F552="",C552&lt;&gt;"Mekân"),0,IF(COUNTIFS($F$8:F552,F552,$C$8:C552,"Mekân")=1,1,0))</f>
        <v/>
      </c>
      <c r="T552" s="52">
        <f>IF(OR(A552="",F552="",C552&lt;&gt;"Kapak"),0,IF(COUNTIFS($F$8:F552,F552,$C$8:C552,"Kapak")=1,1,0))</f>
        <v/>
      </c>
    </row>
    <row r="553">
      <c r="S553" s="52">
        <f>IF(OR(A553="",F553="",C553&lt;&gt;"Mekân"),0,IF(COUNTIFS($F$8:F553,F553,$C$8:C553,"Mekân")=1,1,0))</f>
        <v/>
      </c>
      <c r="T553" s="52">
        <f>IF(OR(A553="",F553="",C553&lt;&gt;"Kapak"),0,IF(COUNTIFS($F$8:F553,F553,$C$8:C553,"Kapak")=1,1,0))</f>
        <v/>
      </c>
    </row>
    <row r="554">
      <c r="S554" s="52">
        <f>IF(OR(A554="",F554="",C554&lt;&gt;"Mekân"),0,IF(COUNTIFS($F$8:F554,F554,$C$8:C554,"Mekân")=1,1,0))</f>
        <v/>
      </c>
      <c r="T554" s="52">
        <f>IF(OR(A554="",F554="",C554&lt;&gt;"Kapak"),0,IF(COUNTIFS($F$8:F554,F554,$C$8:C554,"Kapak")=1,1,0))</f>
        <v/>
      </c>
    </row>
    <row r="555">
      <c r="S555" s="52">
        <f>IF(OR(A555="",F555="",C555&lt;&gt;"Mekân"),0,IF(COUNTIFS($F$8:F555,F555,$C$8:C555,"Mekân")=1,1,0))</f>
        <v/>
      </c>
      <c r="T555" s="52">
        <f>IF(OR(A555="",F555="",C555&lt;&gt;"Kapak"),0,IF(COUNTIFS($F$8:F555,F555,$C$8:C555,"Kapak")=1,1,0))</f>
        <v/>
      </c>
    </row>
    <row r="556">
      <c r="S556" s="52">
        <f>IF(OR(A556="",F556="",C556&lt;&gt;"Mekân"),0,IF(COUNTIFS($F$8:F556,F556,$C$8:C556,"Mekân")=1,1,0))</f>
        <v/>
      </c>
      <c r="T556" s="52">
        <f>IF(OR(A556="",F556="",C556&lt;&gt;"Kapak"),0,IF(COUNTIFS($F$8:F556,F556,$C$8:C556,"Kapak")=1,1,0))</f>
        <v/>
      </c>
    </row>
    <row r="557">
      <c r="S557" s="52">
        <f>IF(OR(A557="",F557="",C557&lt;&gt;"Mekân"),0,IF(COUNTIFS($F$8:F557,F557,$C$8:C557,"Mekân")=1,1,0))</f>
        <v/>
      </c>
      <c r="T557" s="52">
        <f>IF(OR(A557="",F557="",C557&lt;&gt;"Kapak"),0,IF(COUNTIFS($F$8:F557,F557,$C$8:C557,"Kapak")=1,1,0))</f>
        <v/>
      </c>
    </row>
    <row r="558">
      <c r="S558" s="52">
        <f>IF(OR(A558="",F558="",C558&lt;&gt;"Mekân"),0,IF(COUNTIFS($F$8:F558,F558,$C$8:C558,"Mekân")=1,1,0))</f>
        <v/>
      </c>
      <c r="T558" s="52">
        <f>IF(OR(A558="",F558="",C558&lt;&gt;"Kapak"),0,IF(COUNTIFS($F$8:F558,F558,$C$8:C558,"Kapak")=1,1,0))</f>
        <v/>
      </c>
    </row>
    <row r="559">
      <c r="S559" s="52">
        <f>IF(OR(A559="",F559="",C559&lt;&gt;"Mekân"),0,IF(COUNTIFS($F$8:F559,F559,$C$8:C559,"Mekân")=1,1,0))</f>
        <v/>
      </c>
      <c r="T559" s="52">
        <f>IF(OR(A559="",F559="",C559&lt;&gt;"Kapak"),0,IF(COUNTIFS($F$8:F559,F559,$C$8:C559,"Kapak")=1,1,0))</f>
        <v/>
      </c>
    </row>
    <row r="560">
      <c r="S560" s="52">
        <f>IF(OR(A560="",F560="",C560&lt;&gt;"Mekân"),0,IF(COUNTIFS($F$8:F560,F560,$C$8:C560,"Mekân")=1,1,0))</f>
        <v/>
      </c>
      <c r="T560" s="52">
        <f>IF(OR(A560="",F560="",C560&lt;&gt;"Kapak"),0,IF(COUNTIFS($F$8:F560,F560,$C$8:C560,"Kapak")=1,1,0))</f>
        <v/>
      </c>
    </row>
    <row r="561">
      <c r="S561" s="52">
        <f>IF(OR(A561="",F561="",C561&lt;&gt;"Mekân"),0,IF(COUNTIFS($F$8:F561,F561,$C$8:C561,"Mekân")=1,1,0))</f>
        <v/>
      </c>
      <c r="T561" s="52">
        <f>IF(OR(A561="",F561="",C561&lt;&gt;"Kapak"),0,IF(COUNTIFS($F$8:F561,F561,$C$8:C561,"Kapak")=1,1,0))</f>
        <v/>
      </c>
    </row>
    <row r="562">
      <c r="S562" s="52">
        <f>IF(OR(A562="",F562="",C562&lt;&gt;"Mekân"),0,IF(COUNTIFS($F$8:F562,F562,$C$8:C562,"Mekân")=1,1,0))</f>
        <v/>
      </c>
      <c r="T562" s="52">
        <f>IF(OR(A562="",F562="",C562&lt;&gt;"Kapak"),0,IF(COUNTIFS($F$8:F562,F562,$C$8:C562,"Kapak")=1,1,0))</f>
        <v/>
      </c>
    </row>
    <row r="563">
      <c r="S563" s="52">
        <f>IF(OR(A563="",F563="",C563&lt;&gt;"Mekân"),0,IF(COUNTIFS($F$8:F563,F563,$C$8:C563,"Mekân")=1,1,0))</f>
        <v/>
      </c>
      <c r="T563" s="52">
        <f>IF(OR(A563="",F563="",C563&lt;&gt;"Kapak"),0,IF(COUNTIFS($F$8:F563,F563,$C$8:C563,"Kapak")=1,1,0))</f>
        <v/>
      </c>
    </row>
    <row r="564">
      <c r="S564" s="52">
        <f>IF(OR(A564="",F564="",C564&lt;&gt;"Mekân"),0,IF(COUNTIFS($F$8:F564,F564,$C$8:C564,"Mekân")=1,1,0))</f>
        <v/>
      </c>
      <c r="T564" s="52">
        <f>IF(OR(A564="",F564="",C564&lt;&gt;"Kapak"),0,IF(COUNTIFS($F$8:F564,F564,$C$8:C564,"Kapak")=1,1,0))</f>
        <v/>
      </c>
    </row>
    <row r="565">
      <c r="S565" s="52">
        <f>IF(OR(A565="",F565="",C565&lt;&gt;"Mekân"),0,IF(COUNTIFS($F$8:F565,F565,$C$8:C565,"Mekân")=1,1,0))</f>
        <v/>
      </c>
      <c r="T565" s="52">
        <f>IF(OR(A565="",F565="",C565&lt;&gt;"Kapak"),0,IF(COUNTIFS($F$8:F565,F565,$C$8:C565,"Kapak")=1,1,0))</f>
        <v/>
      </c>
    </row>
    <row r="566">
      <c r="S566" s="52">
        <f>IF(OR(A566="",F566="",C566&lt;&gt;"Mekân"),0,IF(COUNTIFS($F$8:F566,F566,$C$8:C566,"Mekân")=1,1,0))</f>
        <v/>
      </c>
      <c r="T566" s="52">
        <f>IF(OR(A566="",F566="",C566&lt;&gt;"Kapak"),0,IF(COUNTIFS($F$8:F566,F566,$C$8:C566,"Kapak")=1,1,0))</f>
        <v/>
      </c>
    </row>
    <row r="567">
      <c r="S567" s="52">
        <f>IF(OR(A567="",F567="",C567&lt;&gt;"Mekân"),0,IF(COUNTIFS($F$8:F567,F567,$C$8:C567,"Mekân")=1,1,0))</f>
        <v/>
      </c>
      <c r="T567" s="52">
        <f>IF(OR(A567="",F567="",C567&lt;&gt;"Kapak"),0,IF(COUNTIFS($F$8:F567,F567,$C$8:C567,"Kapak")=1,1,0))</f>
        <v/>
      </c>
    </row>
    <row r="568">
      <c r="S568" s="52">
        <f>IF(OR(A568="",F568="",C568&lt;&gt;"Mekân"),0,IF(COUNTIFS($F$8:F568,F568,$C$8:C568,"Mekân")=1,1,0))</f>
        <v/>
      </c>
      <c r="T568" s="52">
        <f>IF(OR(A568="",F568="",C568&lt;&gt;"Kapak"),0,IF(COUNTIFS($F$8:F568,F568,$C$8:C568,"Kapak")=1,1,0))</f>
        <v/>
      </c>
    </row>
    <row r="569">
      <c r="S569" s="52">
        <f>IF(OR(A569="",F569="",C569&lt;&gt;"Mekân"),0,IF(COUNTIFS($F$8:F569,F569,$C$8:C569,"Mekân")=1,1,0))</f>
        <v/>
      </c>
      <c r="T569" s="52">
        <f>IF(OR(A569="",F569="",C569&lt;&gt;"Kapak"),0,IF(COUNTIFS($F$8:F569,F569,$C$8:C569,"Kapak")=1,1,0))</f>
        <v/>
      </c>
    </row>
    <row r="570">
      <c r="S570" s="52">
        <f>IF(OR(A570="",F570="",C570&lt;&gt;"Mekân"),0,IF(COUNTIFS($F$8:F570,F570,$C$8:C570,"Mekân")=1,1,0))</f>
        <v/>
      </c>
      <c r="T570" s="52">
        <f>IF(OR(A570="",F570="",C570&lt;&gt;"Kapak"),0,IF(COUNTIFS($F$8:F570,F570,$C$8:C570,"Kapak")=1,1,0))</f>
        <v/>
      </c>
    </row>
    <row r="571">
      <c r="S571" s="52">
        <f>IF(OR(A571="",F571="",C571&lt;&gt;"Mekân"),0,IF(COUNTIFS($F$8:F571,F571,$C$8:C571,"Mekân")=1,1,0))</f>
        <v/>
      </c>
      <c r="T571" s="52">
        <f>IF(OR(A571="",F571="",C571&lt;&gt;"Kapak"),0,IF(COUNTIFS($F$8:F571,F571,$C$8:C571,"Kapak")=1,1,0))</f>
        <v/>
      </c>
    </row>
    <row r="572">
      <c r="S572" s="52">
        <f>IF(OR(A572="",F572="",C572&lt;&gt;"Mekân"),0,IF(COUNTIFS($F$8:F572,F572,$C$8:C572,"Mekân")=1,1,0))</f>
        <v/>
      </c>
      <c r="T572" s="52">
        <f>IF(OR(A572="",F572="",C572&lt;&gt;"Kapak"),0,IF(COUNTIFS($F$8:F572,F572,$C$8:C572,"Kapak")=1,1,0))</f>
        <v/>
      </c>
    </row>
    <row r="573">
      <c r="S573" s="52">
        <f>IF(OR(A573="",F573="",C573&lt;&gt;"Mekân"),0,IF(COUNTIFS($F$8:F573,F573,$C$8:C573,"Mekân")=1,1,0))</f>
        <v/>
      </c>
      <c r="T573" s="52">
        <f>IF(OR(A573="",F573="",C573&lt;&gt;"Kapak"),0,IF(COUNTIFS($F$8:F573,F573,$C$8:C573,"Kapak")=1,1,0))</f>
        <v/>
      </c>
    </row>
    <row r="574">
      <c r="S574" s="52">
        <f>IF(OR(A574="",F574="",C574&lt;&gt;"Mekân"),0,IF(COUNTIFS($F$8:F574,F574,$C$8:C574,"Mekân")=1,1,0))</f>
        <v/>
      </c>
      <c r="T574" s="52">
        <f>IF(OR(A574="",F574="",C574&lt;&gt;"Kapak"),0,IF(COUNTIFS($F$8:F574,F574,$C$8:C574,"Kapak")=1,1,0))</f>
        <v/>
      </c>
    </row>
    <row r="575">
      <c r="S575" s="52">
        <f>IF(OR(A575="",F575="",C575&lt;&gt;"Mekân"),0,IF(COUNTIFS($F$8:F575,F575,$C$8:C575,"Mekân")=1,1,0))</f>
        <v/>
      </c>
      <c r="T575" s="52">
        <f>IF(OR(A575="",F575="",C575&lt;&gt;"Kapak"),0,IF(COUNTIFS($F$8:F575,F575,$C$8:C575,"Kapak")=1,1,0))</f>
        <v/>
      </c>
    </row>
    <row r="576">
      <c r="S576" s="52">
        <f>IF(OR(A576="",F576="",C576&lt;&gt;"Mekân"),0,IF(COUNTIFS($F$8:F576,F576,$C$8:C576,"Mekân")=1,1,0))</f>
        <v/>
      </c>
      <c r="T576" s="52">
        <f>IF(OR(A576="",F576="",C576&lt;&gt;"Kapak"),0,IF(COUNTIFS($F$8:F576,F576,$C$8:C576,"Kapak")=1,1,0))</f>
        <v/>
      </c>
    </row>
    <row r="577">
      <c r="S577" s="52">
        <f>IF(OR(A577="",F577="",C577&lt;&gt;"Mekân"),0,IF(COUNTIFS($F$8:F577,F577,$C$8:C577,"Mekân")=1,1,0))</f>
        <v/>
      </c>
      <c r="T577" s="52">
        <f>IF(OR(A577="",F577="",C577&lt;&gt;"Kapak"),0,IF(COUNTIFS($F$8:F577,F577,$C$8:C577,"Kapak")=1,1,0))</f>
        <v/>
      </c>
    </row>
    <row r="578">
      <c r="S578" s="52">
        <f>IF(OR(A578="",F578="",C578&lt;&gt;"Mekân"),0,IF(COUNTIFS($F$8:F578,F578,$C$8:C578,"Mekân")=1,1,0))</f>
        <v/>
      </c>
      <c r="T578" s="52">
        <f>IF(OR(A578="",F578="",C578&lt;&gt;"Kapak"),0,IF(COUNTIFS($F$8:F578,F578,$C$8:C578,"Kapak")=1,1,0))</f>
        <v/>
      </c>
    </row>
    <row r="579">
      <c r="S579" s="52">
        <f>IF(OR(A579="",F579="",C579&lt;&gt;"Mekân"),0,IF(COUNTIFS($F$8:F579,F579,$C$8:C579,"Mekân")=1,1,0))</f>
        <v/>
      </c>
      <c r="T579" s="52">
        <f>IF(OR(A579="",F579="",C579&lt;&gt;"Kapak"),0,IF(COUNTIFS($F$8:F579,F579,$C$8:C579,"Kapak")=1,1,0))</f>
        <v/>
      </c>
    </row>
    <row r="580">
      <c r="S580" s="52">
        <f>IF(OR(A580="",F580="",C580&lt;&gt;"Mekân"),0,IF(COUNTIFS($F$8:F580,F580,$C$8:C580,"Mekân")=1,1,0))</f>
        <v/>
      </c>
      <c r="T580" s="52">
        <f>IF(OR(A580="",F580="",C580&lt;&gt;"Kapak"),0,IF(COUNTIFS($F$8:F580,F580,$C$8:C580,"Kapak")=1,1,0))</f>
        <v/>
      </c>
    </row>
    <row r="581">
      <c r="S581" s="52">
        <f>IF(OR(A581="",F581="",C581&lt;&gt;"Mekân"),0,IF(COUNTIFS($F$8:F581,F581,$C$8:C581,"Mekân")=1,1,0))</f>
        <v/>
      </c>
      <c r="T581" s="52">
        <f>IF(OR(A581="",F581="",C581&lt;&gt;"Kapak"),0,IF(COUNTIFS($F$8:F581,F581,$C$8:C581,"Kapak")=1,1,0))</f>
        <v/>
      </c>
    </row>
    <row r="582">
      <c r="S582" s="52">
        <f>IF(OR(A582="",F582="",C582&lt;&gt;"Mekân"),0,IF(COUNTIFS($F$8:F582,F582,$C$8:C582,"Mekân")=1,1,0))</f>
        <v/>
      </c>
      <c r="T582" s="52">
        <f>IF(OR(A582="",F582="",C582&lt;&gt;"Kapak"),0,IF(COUNTIFS($F$8:F582,F582,$C$8:C582,"Kapak")=1,1,0))</f>
        <v/>
      </c>
    </row>
    <row r="583">
      <c r="S583" s="52">
        <f>IF(OR(A583="",F583="",C583&lt;&gt;"Mekân"),0,IF(COUNTIFS($F$8:F583,F583,$C$8:C583,"Mekân")=1,1,0))</f>
        <v/>
      </c>
      <c r="T583" s="52">
        <f>IF(OR(A583="",F583="",C583&lt;&gt;"Kapak"),0,IF(COUNTIFS($F$8:F583,F583,$C$8:C583,"Kapak")=1,1,0))</f>
        <v/>
      </c>
    </row>
    <row r="584">
      <c r="S584" s="52">
        <f>IF(OR(A584="",F584="",C584&lt;&gt;"Mekân"),0,IF(COUNTIFS($F$8:F584,F584,$C$8:C584,"Mekân")=1,1,0))</f>
        <v/>
      </c>
      <c r="T584" s="52">
        <f>IF(OR(A584="",F584="",C584&lt;&gt;"Kapak"),0,IF(COUNTIFS($F$8:F584,F584,$C$8:C584,"Kapak")=1,1,0))</f>
        <v/>
      </c>
    </row>
    <row r="585">
      <c r="S585" s="52">
        <f>IF(OR(A585="",F585="",C585&lt;&gt;"Mekân"),0,IF(COUNTIFS($F$8:F585,F585,$C$8:C585,"Mekân")=1,1,0))</f>
        <v/>
      </c>
      <c r="T585" s="52">
        <f>IF(OR(A585="",F585="",C585&lt;&gt;"Kapak"),0,IF(COUNTIFS($F$8:F585,F585,$C$8:C585,"Kapak")=1,1,0))</f>
        <v/>
      </c>
    </row>
    <row r="586">
      <c r="S586" s="52">
        <f>IF(OR(A586="",F586="",C586&lt;&gt;"Mekân"),0,IF(COUNTIFS($F$8:F586,F586,$C$8:C586,"Mekân")=1,1,0))</f>
        <v/>
      </c>
      <c r="T586" s="52">
        <f>IF(OR(A586="",F586="",C586&lt;&gt;"Kapak"),0,IF(COUNTIFS($F$8:F586,F586,$C$8:C586,"Kapak")=1,1,0))</f>
        <v/>
      </c>
    </row>
    <row r="587">
      <c r="S587" s="52">
        <f>IF(OR(A587="",F587="",C587&lt;&gt;"Mekân"),0,IF(COUNTIFS($F$8:F587,F587,$C$8:C587,"Mekân")=1,1,0))</f>
        <v/>
      </c>
      <c r="T587" s="52">
        <f>IF(OR(A587="",F587="",C587&lt;&gt;"Kapak"),0,IF(COUNTIFS($F$8:F587,F587,$C$8:C587,"Kapak")=1,1,0))</f>
        <v/>
      </c>
    </row>
    <row r="588">
      <c r="S588" s="52">
        <f>IF(OR(A588="",F588="",C588&lt;&gt;"Mekân"),0,IF(COUNTIFS($F$8:F588,F588,$C$8:C588,"Mekân")=1,1,0))</f>
        <v/>
      </c>
      <c r="T588" s="52">
        <f>IF(OR(A588="",F588="",C588&lt;&gt;"Kapak"),0,IF(COUNTIFS($F$8:F588,F588,$C$8:C588,"Kapak")=1,1,0))</f>
        <v/>
      </c>
    </row>
    <row r="589">
      <c r="S589" s="52">
        <f>IF(OR(A589="",F589="",C589&lt;&gt;"Mekân"),0,IF(COUNTIFS($F$8:F589,F589,$C$8:C589,"Mekân")=1,1,0))</f>
        <v/>
      </c>
      <c r="T589" s="52">
        <f>IF(OR(A589="",F589="",C589&lt;&gt;"Kapak"),0,IF(COUNTIFS($F$8:F589,F589,$C$8:C589,"Kapak")=1,1,0))</f>
        <v/>
      </c>
    </row>
    <row r="590">
      <c r="S590" s="52">
        <f>IF(OR(A590="",F590="",C590&lt;&gt;"Mekân"),0,IF(COUNTIFS($F$8:F590,F590,$C$8:C590,"Mekân")=1,1,0))</f>
        <v/>
      </c>
      <c r="T590" s="52">
        <f>IF(OR(A590="",F590="",C590&lt;&gt;"Kapak"),0,IF(COUNTIFS($F$8:F590,F590,$C$8:C590,"Kapak")=1,1,0))</f>
        <v/>
      </c>
    </row>
    <row r="591">
      <c r="S591" s="52">
        <f>IF(OR(A591="",F591="",C591&lt;&gt;"Mekân"),0,IF(COUNTIFS($F$8:F591,F591,$C$8:C591,"Mekân")=1,1,0))</f>
        <v/>
      </c>
      <c r="T591" s="52">
        <f>IF(OR(A591="",F591="",C591&lt;&gt;"Kapak"),0,IF(COUNTIFS($F$8:F591,F591,$C$8:C591,"Kapak")=1,1,0))</f>
        <v/>
      </c>
    </row>
    <row r="592">
      <c r="S592" s="52">
        <f>IF(OR(A592="",F592="",C592&lt;&gt;"Mekân"),0,IF(COUNTIFS($F$8:F592,F592,$C$8:C592,"Mekân")=1,1,0))</f>
        <v/>
      </c>
      <c r="T592" s="52">
        <f>IF(OR(A592="",F592="",C592&lt;&gt;"Kapak"),0,IF(COUNTIFS($F$8:F592,F592,$C$8:C592,"Kapak")=1,1,0))</f>
        <v/>
      </c>
    </row>
    <row r="593">
      <c r="S593" s="52">
        <f>IF(OR(A593="",F593="",C593&lt;&gt;"Mekân"),0,IF(COUNTIFS($F$8:F593,F593,$C$8:C593,"Mekân")=1,1,0))</f>
        <v/>
      </c>
      <c r="T593" s="52">
        <f>IF(OR(A593="",F593="",C593&lt;&gt;"Kapak"),0,IF(COUNTIFS($F$8:F593,F593,$C$8:C593,"Kapak")=1,1,0))</f>
        <v/>
      </c>
    </row>
    <row r="594">
      <c r="S594" s="52">
        <f>IF(OR(A594="",F594="",C594&lt;&gt;"Mekân"),0,IF(COUNTIFS($F$8:F594,F594,$C$8:C594,"Mekân")=1,1,0))</f>
        <v/>
      </c>
      <c r="T594" s="52">
        <f>IF(OR(A594="",F594="",C594&lt;&gt;"Kapak"),0,IF(COUNTIFS($F$8:F594,F594,$C$8:C594,"Kapak")=1,1,0))</f>
        <v/>
      </c>
    </row>
    <row r="595">
      <c r="S595" s="52">
        <f>IF(OR(A595="",F595="",C595&lt;&gt;"Mekân"),0,IF(COUNTIFS($F$8:F595,F595,$C$8:C595,"Mekân")=1,1,0))</f>
        <v/>
      </c>
      <c r="T595" s="52">
        <f>IF(OR(A595="",F595="",C595&lt;&gt;"Kapak"),0,IF(COUNTIFS($F$8:F595,F595,$C$8:C595,"Kapak")=1,1,0))</f>
        <v/>
      </c>
    </row>
    <row r="596">
      <c r="S596" s="52">
        <f>IF(OR(A596="",F596="",C596&lt;&gt;"Mekân"),0,IF(COUNTIFS($F$8:F596,F596,$C$8:C596,"Mekân")=1,1,0))</f>
        <v/>
      </c>
      <c r="T596" s="52">
        <f>IF(OR(A596="",F596="",C596&lt;&gt;"Kapak"),0,IF(COUNTIFS($F$8:F596,F596,$C$8:C596,"Kapak")=1,1,0))</f>
        <v/>
      </c>
    </row>
    <row r="597">
      <c r="S597" s="52">
        <f>IF(OR(A597="",F597="",C597&lt;&gt;"Mekân"),0,IF(COUNTIFS($F$8:F597,F597,$C$8:C597,"Mekân")=1,1,0))</f>
        <v/>
      </c>
      <c r="T597" s="52">
        <f>IF(OR(A597="",F597="",C597&lt;&gt;"Kapak"),0,IF(COUNTIFS($F$8:F597,F597,$C$8:C597,"Kapak")=1,1,0))</f>
        <v/>
      </c>
    </row>
    <row r="598">
      <c r="S598" s="52">
        <f>IF(OR(A598="",F598="",C598&lt;&gt;"Mekân"),0,IF(COUNTIFS($F$8:F598,F598,$C$8:C598,"Mekân")=1,1,0))</f>
        <v/>
      </c>
      <c r="T598" s="52">
        <f>IF(OR(A598="",F598="",C598&lt;&gt;"Kapak"),0,IF(COUNTIFS($F$8:F598,F598,$C$8:C598,"Kapak")=1,1,0))</f>
        <v/>
      </c>
    </row>
    <row r="599">
      <c r="S599" s="52">
        <f>IF(OR(A599="",F599="",C599&lt;&gt;"Mekân"),0,IF(COUNTIFS($F$8:F599,F599,$C$8:C599,"Mekân")=1,1,0))</f>
        <v/>
      </c>
      <c r="T599" s="52">
        <f>IF(OR(A599="",F599="",C599&lt;&gt;"Kapak"),0,IF(COUNTIFS($F$8:F599,F599,$C$8:C599,"Kapak")=1,1,0))</f>
        <v/>
      </c>
    </row>
    <row r="600">
      <c r="S600" s="52">
        <f>IF(OR(A600="",F600="",C600&lt;&gt;"Mekân"),0,IF(COUNTIFS($F$8:F600,F600,$C$8:C600,"Mekân")=1,1,0))</f>
        <v/>
      </c>
      <c r="T600" s="52">
        <f>IF(OR(A600="",F600="",C600&lt;&gt;"Kapak"),0,IF(COUNTIFS($F$8:F600,F600,$C$8:C600,"Kapak")=1,1,0))</f>
        <v/>
      </c>
    </row>
    <row r="601">
      <c r="S601" s="52">
        <f>IF(OR(A601="",F601="",C601&lt;&gt;"Mekân"),0,IF(COUNTIFS($F$8:F601,F601,$C$8:C601,"Mekân")=1,1,0))</f>
        <v/>
      </c>
      <c r="T601" s="52">
        <f>IF(OR(A601="",F601="",C601&lt;&gt;"Kapak"),0,IF(COUNTIFS($F$8:F601,F601,$C$8:C601,"Kapak")=1,1,0))</f>
        <v/>
      </c>
    </row>
    <row r="602">
      <c r="S602" s="52">
        <f>IF(OR(A602="",F602="",C602&lt;&gt;"Mekân"),0,IF(COUNTIFS($F$8:F602,F602,$C$8:C602,"Mekân")=1,1,0))</f>
        <v/>
      </c>
      <c r="T602" s="52">
        <f>IF(OR(A602="",F602="",C602&lt;&gt;"Kapak"),0,IF(COUNTIFS($F$8:F602,F602,$C$8:C602,"Kapak")=1,1,0))</f>
        <v/>
      </c>
    </row>
    <row r="603">
      <c r="S603" s="52">
        <f>IF(OR(A603="",F603="",C603&lt;&gt;"Mekân"),0,IF(COUNTIFS($F$8:F603,F603,$C$8:C603,"Mekân")=1,1,0))</f>
        <v/>
      </c>
      <c r="T603" s="52">
        <f>IF(OR(A603="",F603="",C603&lt;&gt;"Kapak"),0,IF(COUNTIFS($F$8:F603,F603,$C$8:C603,"Kapak")=1,1,0))</f>
        <v/>
      </c>
    </row>
    <row r="604">
      <c r="S604" s="52">
        <f>IF(OR(A604="",F604="",C604&lt;&gt;"Mekân"),0,IF(COUNTIFS($F$8:F604,F604,$C$8:C604,"Mekân")=1,1,0))</f>
        <v/>
      </c>
      <c r="T604" s="52">
        <f>IF(OR(A604="",F604="",C604&lt;&gt;"Kapak"),0,IF(COUNTIFS($F$8:F604,F604,$C$8:C604,"Kapak")=1,1,0))</f>
        <v/>
      </c>
    </row>
    <row r="605">
      <c r="S605" s="52">
        <f>IF(OR(A605="",F605="",C605&lt;&gt;"Mekân"),0,IF(COUNTIFS($F$8:F605,F605,$C$8:C605,"Mekân")=1,1,0))</f>
        <v/>
      </c>
      <c r="T605" s="52">
        <f>IF(OR(A605="",F605="",C605&lt;&gt;"Kapak"),0,IF(COUNTIFS($F$8:F605,F605,$C$8:C605,"Kapak")=1,1,0))</f>
        <v/>
      </c>
    </row>
    <row r="606">
      <c r="S606" s="52">
        <f>IF(OR(A606="",F606="",C606&lt;&gt;"Mekân"),0,IF(COUNTIFS($F$8:F606,F606,$C$8:C606,"Mekân")=1,1,0))</f>
        <v/>
      </c>
      <c r="T606" s="52">
        <f>IF(OR(A606="",F606="",C606&lt;&gt;"Kapak"),0,IF(COUNTIFS($F$8:F606,F606,$C$8:C606,"Kapak")=1,1,0))</f>
        <v/>
      </c>
    </row>
    <row r="607">
      <c r="S607" s="52">
        <f>IF(OR(A607="",F607="",C607&lt;&gt;"Mekân"),0,IF(COUNTIFS($F$8:F607,F607,$C$8:C607,"Mekân")=1,1,0))</f>
        <v/>
      </c>
      <c r="T607" s="52">
        <f>IF(OR(A607="",F607="",C607&lt;&gt;"Kapak"),0,IF(COUNTIFS($F$8:F607,F607,$C$8:C607,"Kapak")=1,1,0))</f>
        <v/>
      </c>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E8:E357">
    <cfRule type="expression" priority="4" dxfId="1">
      <formula>AND($A8&lt;&gt;"",ISBLANK(E8))</formula>
    </cfRule>
  </conditionalFormatting>
  <conditionalFormatting sqref="F8:F357">
    <cfRule type="expression" priority="5" dxfId="1">
      <formula>AND($A8&lt;&gt;"",ISBLANK(F8))</formula>
    </cfRule>
  </conditionalFormatting>
  <conditionalFormatting sqref="G8:G357">
    <cfRule type="expression" priority="6" dxfId="1">
      <formula>AND($A8&lt;&gt;"",ISBLANK(G8))</formula>
    </cfRule>
  </conditionalFormatting>
  <conditionalFormatting sqref="H8:H357">
    <cfRule type="expression" priority="7" dxfId="1">
      <formula>AND($A8&lt;&gt;"",ISBLANK(H8))</formula>
    </cfRule>
  </conditionalFormatting>
  <conditionalFormatting sqref="I8:I357">
    <cfRule type="expression" priority="8" dxfId="1">
      <formula>AND($A8&lt;&gt;"",ISBLANK(I8))</formula>
    </cfRule>
  </conditionalFormatting>
  <conditionalFormatting sqref="J8:J357">
    <cfRule type="expression" priority="9" dxfId="1">
      <formula>AND($A8&lt;&gt;"",ISBLANK(J8))</formula>
    </cfRule>
  </conditionalFormatting>
  <conditionalFormatting sqref="K8:K357">
    <cfRule type="expression" priority="10" dxfId="1">
      <formula>AND($A8&lt;&gt;"",ISBLANK(K8))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O8:O357">
    <cfRule type="expression" priority="13" dxfId="1">
      <formula>AND($A8&lt;&gt;"",ISBLANK(O8))</formula>
    </cfRule>
  </conditionalFormatting>
  <conditionalFormatting sqref="P8:P357">
    <cfRule type="expression" priority="14" dxfId="1">
      <formula>AND($A8&lt;&gt;"",ISBLANK(P8))</formula>
    </cfRule>
  </conditionalFormatting>
  <conditionalFormatting sqref="Q8:Q357">
    <cfRule type="expression" priority="15" dxfId="1">
      <formula>AND($A8&lt;&gt;"",ISBLANK(Q8))</formula>
    </cfRule>
  </conditionalFormatting>
  <conditionalFormatting sqref="R8:R357">
    <cfRule type="expression" priority="16" dxfId="1">
      <formula>AND($A8&lt;&gt;"",ISBLANK(R8))</formula>
    </cfRule>
  </conditionalFormatting>
  <dataValidations count="3">
    <dataValidation sqref="C8:C357" showDropDown="0" showInputMessage="0" showErrorMessage="0" allowBlank="0" type="list">
      <formula1>"Mekân,Kapak"</formula1>
    </dataValidation>
    <dataValidation sqref="P8:P357" showDropDown="0" showInputMessage="0" showErrorMessage="0" allowBlank="0" type="list">
      <formula1>"Evet,Hayır"</formula1>
    </dataValidation>
    <dataValidation sqref="R8:R35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W35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48" customWidth="1" min="4" max="4"/>
    <col width="28" customWidth="1" min="5" max="5"/>
    <col width="28" customWidth="1" min="6" max="6"/>
    <col width="28" customWidth="1" min="7" max="7"/>
    <col width="48" customWidth="1" min="8" max="8"/>
    <col width="58" customWidth="1" min="9" max="9"/>
    <col width="28" customWidth="1" min="10" max="10"/>
    <col width="28" customWidth="1" min="11" max="11"/>
    <col width="20" customWidth="1" min="12" max="12"/>
    <col width="28" customWidth="1" min="13" max="13"/>
    <col width="28" customWidth="1" min="14" max="14"/>
    <col width="28" customWidth="1" min="15" max="15"/>
    <col width="58" customWidth="1" min="16" max="16"/>
    <col width="28" customWidth="1" min="17" max="17"/>
    <col width="58" customWidth="1" min="18" max="18"/>
    <col width="28" customWidth="1" min="19" max="19"/>
    <col width="28" customWidth="1" min="20" max="20"/>
    <col width="28" customWidth="1" min="21" max="21"/>
    <col width="28" customWidth="1" min="22" max="22"/>
    <col width="4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Fotoğraf kaynak ve hak kanıtı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 · tarih</t>
        </is>
      </c>
      <c r="M5" s="22" t="inlineStr">
        <is>
          <t>Zorunlu</t>
        </is>
      </c>
      <c r="N5" s="22" t="inlineStr">
        <is>
          <t>Zorunlu</t>
        </is>
      </c>
      <c r="O5" s="22" t="inlineStr">
        <is>
          <t>İsteğe bağlı</t>
        </is>
      </c>
      <c r="P5" s="22" t="inlineStr">
        <is>
          <t>İsteğe bağlı</t>
        </is>
      </c>
      <c r="Q5" s="22" t="inlineStr">
        <is>
          <t>Zorunlu</t>
        </is>
      </c>
      <c r="R5" s="22" t="inlineStr">
        <is>
          <t>İsteğe bağlı</t>
        </is>
      </c>
      <c r="S5" s="22" t="inlineStr">
        <is>
          <t>İsteğe bağlı</t>
        </is>
      </c>
      <c r="T5" s="22" t="inlineStr">
        <is>
          <t>İsteğe bağlı</t>
        </is>
      </c>
      <c r="U5" s="22" t="inlineStr">
        <is>
          <t>İsteğe bağlı</t>
        </is>
      </c>
      <c r="V5" s="22" t="inlineStr">
        <is>
          <t>İsteğe bağlı</t>
        </is>
      </c>
      <c r="W5" s="22" t="inlineStr">
        <is>
          <t>İsteğe bağlı · JSON</t>
        </is>
      </c>
    </row>
    <row r="6" ht="44" customHeight="1">
      <c r="A6" s="25" t="inlineStr">
        <is>
          <t>Kanıt kimliği</t>
        </is>
      </c>
      <c r="B6" s="25" t="inlineStr">
        <is>
          <t>Şehir kimliği</t>
        </is>
      </c>
      <c r="C6" s="25" t="inlineStr">
        <is>
          <t>Fotoğraf kimliği</t>
        </is>
      </c>
      <c r="D6" s="25" t="inlineStr">
        <is>
          <t>Kaynak sayfası</t>
        </is>
      </c>
      <c r="E6" s="25" t="inlineStr">
        <is>
          <t>Kaynak görsel başlığı</t>
        </is>
      </c>
      <c r="F6" s="25" t="inlineStr">
        <is>
          <t>Kaynak fotoğrafçısı</t>
        </is>
      </c>
      <c r="G6" s="25" t="inlineStr">
        <is>
          <t>Kaynak lisansı</t>
        </is>
      </c>
      <c r="H6" s="25" t="inlineStr">
        <is>
          <t>Kaynak lisans bağlantısı</t>
        </is>
      </c>
      <c r="I6" s="25" t="inlineStr">
        <is>
          <t>Kullanım koşulları</t>
        </is>
      </c>
      <c r="J6" s="25" t="inlineStr">
        <is>
          <t>Gerekli atıf metni</t>
        </is>
      </c>
      <c r="K6" s="25" t="inlineStr">
        <is>
          <t>Kısıt / üçüncü kişi hakkı</t>
        </is>
      </c>
      <c r="L6" s="25" t="inlineStr">
        <is>
          <t>Kanıt kontrol tarihi</t>
        </is>
      </c>
      <c r="M6" s="25" t="inlineStr">
        <is>
          <t>Kaynak bilgisi incelemesi</t>
        </is>
      </c>
      <c r="N6" s="25" t="inlineStr">
        <is>
          <t>Kare / mekân incelemesi</t>
        </is>
      </c>
      <c r="O6" s="25" t="inlineStr">
        <is>
          <t>İncelenen görsel dosyası</t>
        </is>
      </c>
      <c r="P6" s="25" t="inlineStr">
        <is>
          <t>Mekân eşleşmesi ve kare notu</t>
        </is>
      </c>
      <c r="Q6" s="25" t="inlineStr">
        <is>
          <t>Üçüncü kişi hak incelemesi</t>
        </is>
      </c>
      <c r="R6" s="25" t="inlineStr">
        <is>
          <t>Hak değerlendirmesi gerekçesi</t>
        </is>
      </c>
      <c r="S6" s="25" t="inlineStr">
        <is>
          <t>Kaynak sayfası kanıt dosyası</t>
        </is>
      </c>
      <c r="T6" s="25" t="inlineStr">
        <is>
          <t>Kaynak kanıt SHA-256</t>
        </is>
      </c>
      <c r="U6" s="25" t="inlineStr">
        <is>
          <t>Lisans kanıt dosyası</t>
        </is>
      </c>
      <c r="V6" s="25" t="inlineStr">
        <is>
          <t>Lisans kanıt SHA-256</t>
        </is>
      </c>
      <c r="W6" s="25" t="inlineStr">
        <is>
          <t>Tam özgün kanıt yapısı (JSON)</t>
        </is>
      </c>
    </row>
    <row r="7" ht="32" customHeight="1">
      <c r="A7" s="28" t="inlineStr">
        <is>
          <t>evidence_id</t>
        </is>
      </c>
      <c r="B7" s="28" t="inlineStr">
        <is>
          <t>city_id</t>
        </is>
      </c>
      <c r="C7" s="28" t="inlineStr">
        <is>
          <t>photo_id</t>
        </is>
      </c>
      <c r="D7" s="28" t="inlineStr">
        <is>
          <t>source_url</t>
        </is>
      </c>
      <c r="E7" s="28" t="inlineStr">
        <is>
          <t>source_title</t>
        </is>
      </c>
      <c r="F7" s="28" t="inlineStr">
        <is>
          <t>author</t>
        </is>
      </c>
      <c r="G7" s="28" t="inlineStr">
        <is>
          <t>license</t>
        </is>
      </c>
      <c r="H7" s="28" t="inlineStr">
        <is>
          <t>license_url</t>
        </is>
      </c>
      <c r="I7" s="28" t="inlineStr">
        <is>
          <t>usage_terms</t>
        </is>
      </c>
      <c r="J7" s="28" t="inlineStr">
        <is>
          <t>attribution</t>
        </is>
      </c>
      <c r="K7" s="28" t="inlineStr">
        <is>
          <t>restrictions</t>
        </is>
      </c>
      <c r="L7" s="28" t="inlineStr">
        <is>
          <t>checked_on</t>
        </is>
      </c>
      <c r="M7" s="28" t="inlineStr">
        <is>
          <t>metadata_review_status</t>
        </is>
      </c>
      <c r="N7" s="28" t="inlineStr">
        <is>
          <t>pixel_review_status</t>
        </is>
      </c>
      <c r="O7" s="28" t="inlineStr">
        <is>
          <t>pixel_review_file</t>
        </is>
      </c>
      <c r="P7" s="28" t="inlineStr">
        <is>
          <t>pixel_review_note</t>
        </is>
      </c>
      <c r="Q7" s="28" t="inlineStr">
        <is>
          <t>rights_status</t>
        </is>
      </c>
      <c r="R7" s="28" t="inlineStr">
        <is>
          <t>rights_basis</t>
        </is>
      </c>
      <c r="S7" s="28" t="inlineStr">
        <is>
          <t>source_snapshot_file</t>
        </is>
      </c>
      <c r="T7" s="28" t="inlineStr">
        <is>
          <t>source_snapshot_sha256</t>
        </is>
      </c>
      <c r="U7" s="28" t="inlineStr">
        <is>
          <t>license_snapshot_file</t>
        </is>
      </c>
      <c r="V7" s="28" t="inlineStr">
        <is>
          <t>license_snapshot_sha256</t>
        </is>
      </c>
      <c r="W7" s="28" t="inlineStr">
        <is>
          <t>source_evidence_json</t>
        </is>
      </c>
    </row>
    <row r="8" ht="54" customHeight="1">
      <c r="A8" s="29" t="inlineStr">
        <is>
          <t>eindhoven:evidence:van-abbemuseum-01</t>
        </is>
      </c>
      <c r="B8" s="29" t="inlineStr">
        <is>
          <t>eindhoven</t>
        </is>
      </c>
      <c r="C8" s="29" t="inlineStr">
        <is>
          <t>eindhoven:photo:van-abbemuseum-01</t>
        </is>
      </c>
      <c r="D8" s="29" t="inlineStr">
        <is>
          <t>https://commons.wikimedia.org/wiki/File:Eindhoven,_het_Van_Abbemuseum_IMG_8587_2019-01-20_10.50.jpg</t>
        </is>
      </c>
      <c r="E8" s="29" t="inlineStr">
        <is>
          <t>File:Eindhoven, het Van Abbemuseum IMG 8587 2019-01-20 10.50.jpg</t>
        </is>
      </c>
      <c r="F8" s="29" t="inlineStr">
        <is>
          <t>Michielverbeek</t>
        </is>
      </c>
      <c r="G8" s="29" t="inlineStr">
        <is>
          <t>CC BY-SA 4.0</t>
        </is>
      </c>
      <c r="H8" s="29" t="inlineStr">
        <is>
          <t>https://creativecommons.org/licenses/by-sa/4.0/</t>
        </is>
      </c>
      <c r="I8" s="29" t="inlineStr">
        <is>
          <t>Creative Commons Attribution-Share Alike 4.0</t>
        </is>
      </c>
      <c r="J8" s="29" t="inlineStr">
        <is>
          <t>Michielverbeek · CC BY-SA 4.0 · Wikimedia Commons</t>
        </is>
      </c>
      <c r="K8" s="29" t="n"/>
      <c r="L8" s="49" t="n">
        <v>46317</v>
      </c>
      <c r="M8" s="29" t="inlineStr">
        <is>
          <t>Bekliyor</t>
        </is>
      </c>
      <c r="N8" s="29" t="inlineStr">
        <is>
          <t>Bekliyor</t>
        </is>
      </c>
      <c r="O8" s="29" t="inlineStr">
        <is>
          <t>Fotoğraflar/eindhoven_van-abbemuseum_01.jpg</t>
        </is>
      </c>
      <c r="P8" s="29" t="inlineStr">
        <is>
          <t>Gri taş plakalı köşeli müze binası, cephede büyük sergi afişi, önde sazlık</t>
        </is>
      </c>
      <c r="Q8" s="29" t="inlineStr">
        <is>
          <t>Bekliyor</t>
        </is>
      </c>
      <c r="R8" s="29" t="inlineStr">
        <is>
          <t>Wikimedia Commons dosya sayfasındaki lisans: CC BY-SA 4.0</t>
        </is>
      </c>
      <c r="S8" s="29" t="n"/>
      <c r="T8" s="29" t="n"/>
      <c r="U8" s="29" t="n"/>
      <c r="V8" s="29" t="n"/>
      <c r="W8" s="29" t="inlineStr">
        <is>
          <t>{"source_url": "https://commons.wikimedia.org/wiki/File:Eindhoven,_het_Van_Abbemuseum_IMG_8587_2019-01-20_10.50.jpg", "author": "Michielverbeek", "license": "CC BY-SA 4.0", "license_url": "https://creativecommons.org/licenses/by-sa/4.0/", "original_api_record": {"size": 10512276, "width": 4754, "height": 3387, "thumburl": "https://thumb.wikimedia.org/wikipedia/commons/thumb/f/f2/Eindhoven%2C_het_Van_Abbemuseum_IMG_8587_2019-01-20_10.50.jpg/1920px-Eindhoven%2C_het_Van_Abbemuseum_IMG_8587_2019-01-20_10.50.jpg?utm_source=commons.wikimedia.org&amp;utm_campaign=imageinfo&amp;utm_content=thumbnail", "thumbwidth": 1600, "thumbheight": 1140, "responsiveUrls": {"2": "https://thumb.wikimedia.org/wikipedia/commons/thumb/f/f2/Eindhoven%2C_het_Van_Abbemuseum_IMG_8587_2019-01-20_10.50.jpg/3840px-Eindhoven%2C_het_Van_Abbemuseum_IMG_8587_2019-01-20_10.50.jpg?utm_source=commons.wikimedia.org&amp;utm_campaign=imageinfo&amp;utm_content=thumbnail"}, "thumbattribs": {"src": "https://thumb.wikimedia.org/wikipedia/commons/thumb/f/f2/Eindhoven%2C_het_Van_Abbemuseum_IMG_8587_2019-01-20_10.50.jpg/1920px-Eindhoven%2C_het_Van_Abbemuseum_IMG_8587_2019-01-20_10.50.jpg?utm_source=commons.wikimedia.org&amp;utm_campaign=imageinfo&amp;utm_content=thumbnail", "decoding": "async", "loading": "lazy", "width": 1600, "height": 1140, "srcset": "https://thumb.wikimedia.org/wikipedia/commons/thumb/f/f2/Eindhoven%2C_het_Van_Abbemuseum_IMG_8587_2019-01-20_10.50.jpg/3840px-Eindhoven%2C_het_Van_Abbemuseum_IMG_8587_2019-01-20_10.50.jpg?utm_source=commons.wikimedia.org&amp;utm_campaign=imageinfo&amp;utm_content=thumbnail 2x"}, "url": "https://upload.wikimedia.org/wikipedia/commons/f/f2/Eindhoven%2C_het_Van_Abbemuseum_IMG_8587_2019-01-20_10.50.jpg?utm_source=commons.wikimedia.org&amp;utm_campaign=imageinfo&amp;utm_content=original", "descriptionurl": "https://commons.wikimedia.org/wiki/File:Eindhoven,_het_Van_Abbemuseum_IMG_8587_2019-01-20_10.50.jpg", "descriptionshorturl": "https://commons.wikimedia.org/w/index.php?curid=77244330", "sha1": "da2f7e8fac99a764e758b3bdbe3d2c6c1d1d34b5", "extmetadata": {"DateTime": {"value": "2019-03-10 21:39:10", "source": "mediawiki-metadata", "hidden": ""}, "ObjectName": {"value": "Eindhoven, het Van Abbemuseum IMG 8587 2019-01-20 10.50", "source": "mediawiki-metadata"}, "CommonsMetadataExtension": {"value": 1.2, "source": "extension", "hidden": ""}, "Categories": {"value": "Van Abbemuseum|Self-published work|2019 in Eindhoven|Netherlands photographs taken on 2019-01-20|Files with coordinates missing SDC location of creation (51° N, 5° E)", "source": "commons-categories", "hidden": ""}, "Assessments": {"value": "quality", "source": "commons-categories", "hidden": ""}, "GPSLatitude": {"value": "51.435000", "source": "commons-desc-page"}, "GPSLongitude": {"value": "5.483056", "source": "commons-desc-page"}, "GPSMapDatum": {"value": "WGS-84", "source": "commons-desc-page", "hidden": ""}, "ImageDescription": {"value": "Eindhoven, museum: Van Abbemuseum", "source": "commons-desc-page"}, "DateTimeOriginal": {"value": "2019-01-20 10:50:31", "source": "commons-desc-page"}, "Credit": {"value": "&lt;span class=\"int-own-work\" lang=\"en\"&gt;Own work&lt;/span&gt;", "source": "commons-desc-page"}, "Artist": {"value": "&lt;a href=\"//commons.wikimedia.org/wiki/User:Michielverbeek\" title=\"User:Michielverbeek\"&gt;Michielverbeek&lt;/a&gt;",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"https://thumb.wikimedia.org/wikipedia/commons/thumb/f/f2/Eindhoven%2C_het_Van_Abbemuseum_IMG_8587_2019-01-20_10.50.jpg/1280px-Eindhoven%2C_het_Van_Abbemuseum_IMG_8587_2019-01-20_10.50.jpg"}, "retrieved_on": "2026-10-23"}</t>
        </is>
      </c>
    </row>
    <row r="9" ht="54" customHeight="1">
      <c r="A9" s="29" t="inlineStr">
        <is>
          <t>eindhoven:evidence:van-abbemuseum-02</t>
        </is>
      </c>
      <c r="B9" s="29" t="inlineStr">
        <is>
          <t>eindhoven</t>
        </is>
      </c>
      <c r="C9" s="29" t="inlineStr">
        <is>
          <t>eindhoven:photo:van-abbemuseum-02</t>
        </is>
      </c>
      <c r="D9" s="29" t="inlineStr">
        <is>
          <t>https://commons.wikimedia.org/wiki/File:P1010998van_Abbemuseum.JPG</t>
        </is>
      </c>
      <c r="E9" s="29" t="inlineStr">
        <is>
          <t>File:P1010998van Abbemuseum.JPG</t>
        </is>
      </c>
      <c r="F9" s="29" t="inlineStr">
        <is>
          <t>G.Lanting</t>
        </is>
      </c>
      <c r="G9" s="29" t="inlineStr">
        <is>
          <t>CC BY-SA 3.0</t>
        </is>
      </c>
      <c r="H9" s="29" t="inlineStr">
        <is>
          <t>https://creativecommons.org/licenses/by-sa/3.0/</t>
        </is>
      </c>
      <c r="I9" s="29" t="inlineStr">
        <is>
          <t>Creative Commons Attribution-Share Alike 3.0</t>
        </is>
      </c>
      <c r="J9" s="29" t="inlineStr">
        <is>
          <t>G.Lanting · CC BY-SA 3.0 · Wikimedia Commons</t>
        </is>
      </c>
      <c r="K9" s="29" t="n"/>
      <c r="L9" s="49" t="n">
        <v>46317</v>
      </c>
      <c r="M9" s="29" t="inlineStr">
        <is>
          <t>Bekliyor</t>
        </is>
      </c>
      <c r="N9" s="29" t="inlineStr">
        <is>
          <t>Bekliyor</t>
        </is>
      </c>
      <c r="O9" s="29" t="inlineStr">
        <is>
          <t>Fotoğraflar/eindhoven_van-abbemuseum_02.jpg</t>
        </is>
      </c>
      <c r="P9" s="29" t="inlineStr">
        <is>
          <t>Gri taş kaplı köşeli binalar, önde çiçekli çimen tümsek ve bisikletler</t>
        </is>
      </c>
      <c r="Q9" s="29" t="inlineStr">
        <is>
          <t>Bekliyor</t>
        </is>
      </c>
      <c r="R9" s="29" t="inlineStr">
        <is>
          <t>Wikimedia Commons dosya sayfasındaki lisans: CC BY-SA 3.0</t>
        </is>
      </c>
      <c r="S9" s="29" t="n"/>
      <c r="T9" s="29" t="n"/>
      <c r="U9" s="29" t="n"/>
      <c r="V9" s="29" t="n"/>
      <c r="W9" s="29" t="inlineStr">
        <is>
          <t>{"source_url": "https://commons.wikimedia.org/wiki/File:P1010998van_Abbemuseum.JPG", "author": "G.Lanting", "license": "CC BY-SA 3.0", "license_url": "https://creativecommons.org/licenses/by-sa/3.0/", "original_api_record": {"size": 3997904, "width": 3264, "height": 2448, "thumburl": "https://thumb.wikimedia.org/wikipedia/commons/thumb/b/b1/P1010998van_Abbemuseum.JPG/1920px-P1010998van_Abbemuseum.JPG?utm_source=commons.wikimedia.org&amp;utm_campaign=imageinfo&amp;utm_content=thumbnail", "thumbwidth": 1600, "thumbheight": 1200, "responsiveUrls": {"2": "https://upload.wikimedia.org/wikipedia/commons/b/b1/P1010998van_Abbemuseum.JPG?utm_source=commons.wikimedia.org&amp;utm_campaign=imageinfo&amp;utm_content=thumbnail_unscaled"}, "thumbattribs": {"src": "https://thumb.wikimedia.org/wikipedia/commons/thumb/b/b1/P1010998van_Abbemuseum.JPG/1920px-P1010998van_Abbemuseum.JPG?utm_source=commons.wikimedia.org&amp;utm_campaign=imageinfo&amp;utm_content=thumbnail", "decoding": "async", "loading": "lazy", "width": 1600, "height": 1200, "srcset": "https://upload.wikimedia.org/wikipedia/commons/b/b1/P1010998van_Abbemuseum.JPG?utm_source=commons.wikimedia.org&amp;utm_campaign=imageinfo&amp;utm_content=thumbnail_unscaled 2x"}, "url": "https://upload.wikimedia.org/wikipedia/commons/b/b1/P1010998van_Abbemuseum.JPG?utm_source=commons.wikimedia.org&amp;utm_campaign=imageinfo&amp;utm_content=original", "descriptionurl": "https://commons.wikimedia.org/wiki/File:P1010998van_Abbemuseum.JPG", "descriptionshorturl": "https://commons.wikimedia.org/w/index.php?curid=7933135", "sha1": "8ab4b5ee2770dd1e9bd0bfe0a760c45d76dadb25", "extmetadata": {"DateTime": {"value": "2009-09-30 18:59:26", "source": "mediawiki-metadata", "hidden": ""}, "ObjectName": {"value": "P1010998van Abbemuseum", "source": "mediawiki-metadata"}, "CommonsMetadataExtension": {"value": 1.2, "source": "extension", "hidden": ""}, "Categories": {"value": "Van Abbemuseum|GFDL|Taken with Panasonic Lumix DMC-FZ18|CC-BY-SA-3.0,2.5,2.0,1.0|License migration redundant|Self-published work|Files with coordinates missing SDC location of creation (51° N, 5° E)", "source": "commons-categories", "hidden": ""}, "Assessments": {"value": "", "source": "commons-categories", "hidden": ""}, "GPSLatitude": {"value": "51.434207", "source": "commons-desc-page"}, "GPSLongitude": {"value": "5.482242", "source": "commons-desc-page"}, "GPSMapDatum": {"value": "WGS-84", "source": "commons-desc-page", "hidden": ""}, "ImageDescription": {"value": "Nieuwbouw", "source": "commons-desc-page"}, "DateTimeOriginal": {"value": "aprik 2009", "source": "commons-desc-page"}, "Credit": {"value": "&lt;span class=\"int-own-work\" lang=\"en\"&gt;Own work&lt;/span&gt;", "source": "commons-desc-page"}, "Artist": {"value": "&lt;a href=\"//commons.wikimedia.org/wiki/User:G.Lanting\" title=\"User:G.Lanting\"&gt;G.Lanting&lt;/a&gt;",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"https://thumb.wikimedia.org/wikipedia/commons/thumb/b/b1/P1010998van_Abbemuseum.JPG/1280px-P1010998van_Abbemuseum.JPG"}, "retrieved_on": "2026-10-23"}</t>
        </is>
      </c>
    </row>
    <row r="10" ht="54" customHeight="1">
      <c r="A10" s="29" t="inlineStr">
        <is>
          <t>eindhoven:evidence:van-abbemuseum-03</t>
        </is>
      </c>
      <c r="B10" s="29" t="inlineStr">
        <is>
          <t>eindhoven</t>
        </is>
      </c>
      <c r="C10" s="29" t="inlineStr">
        <is>
          <t>eindhoven:photo:van-abbemuseum-03</t>
        </is>
      </c>
      <c r="D10" s="29" t="inlineStr">
        <is>
          <t>https://commons.wikimedia.org/wiki/File:Uitbreiding_Van_Abbemuseum.jpg</t>
        </is>
      </c>
      <c r="E10" s="29" t="inlineStr">
        <is>
          <t>File:Uitbreiding Van Abbemuseum.jpg</t>
        </is>
      </c>
      <c r="F10" s="29" t="inlineStr">
        <is>
          <t>Choinowski</t>
        </is>
      </c>
      <c r="G10" s="29" t="inlineStr">
        <is>
          <t>CC BY-SA 4.0</t>
        </is>
      </c>
      <c r="H10" s="29" t="inlineStr">
        <is>
          <t>https://creativecommons.org/licenses/by-sa/4.0/</t>
        </is>
      </c>
      <c r="I10" s="29" t="inlineStr">
        <is>
          <t>Creative Commons Attribution-Share Alike 4.0</t>
        </is>
      </c>
      <c r="J10" s="29" t="inlineStr">
        <is>
          <t>Choinowski · CC BY-SA 4.0 · Wikimedia Commons</t>
        </is>
      </c>
      <c r="K10" s="29" t="n"/>
      <c r="L10" s="49" t="n">
        <v>46317</v>
      </c>
      <c r="M10" s="29" t="inlineStr">
        <is>
          <t>Bekliyor</t>
        </is>
      </c>
      <c r="N10" s="29" t="inlineStr">
        <is>
          <t>Bekliyor</t>
        </is>
      </c>
      <c r="O10" s="29" t="inlineStr">
        <is>
          <t>Fotoğraflar/eindhoven_van-abbemuseum_03.jpg</t>
        </is>
      </c>
      <c r="P10" s="29" t="inlineStr">
        <is>
          <t>Sazlıklı su kenarından gri taş plakalı köşeli genişleme binası</t>
        </is>
      </c>
      <c r="Q10" s="29" t="inlineStr">
        <is>
          <t>Bekliyor</t>
        </is>
      </c>
      <c r="R10" s="29" t="inlineStr">
        <is>
          <t>Wikimedia Commons dosya sayfasındaki lisans: CC BY-SA 4.0</t>
        </is>
      </c>
      <c r="S10" s="29" t="n"/>
      <c r="T10" s="29" t="n"/>
      <c r="U10" s="29" t="n"/>
      <c r="V10" s="29" t="n"/>
      <c r="W10" s="29" t="inlineStr">
        <is>
          <t>{"source_url": "https://commons.wikimedia.org/wiki/File:Uitbreiding_Van_Abbemuseum.jpg", "author": "Choinowski", "license": "CC BY-SA 4.0", "license_url": "https://creativecommons.org/licenses/by-sa/4.0/", "original_api_record": {"size": 5253986, "width": 5351, "height": 3567, "thumburl": "https://thumb.wikimedia.org/wikipedia/commons/thumb/b/bd/Uitbreiding_Van_Abbemuseum.jpg/1920px-Uitbreiding_Van_Abbemuseum.jpg?utm_source=commons.wikimedia.org&amp;utm_campaign=imageinfo&amp;utm_content=thumbnail", "thumbwidth": 1600, "thumbheight": 1067, "responsiveUrls": {"2": "https://thumb.wikimedia.org/wikipedia/commons/thumb/b/bd/Uitbreiding_Van_Abbemuseum.jpg/3840px-Uitbreiding_Van_Abbemuseum.jpg?utm_source=commons.wikimedia.org&amp;utm_campaign=imageinfo&amp;utm_content=thumbnail"}, "thumbattribs": {"src": "https://thumb.wikimedia.org/wikipedia/commons/thumb/b/bd/Uitbreiding_Van_Abbemuseum.jpg/1920px-Uitbreiding_Van_Abbemuseum.jpg?utm_source=commons.wikimedia.org&amp;utm_campaign=imageinfo&amp;utm_content=thumbnail", "decoding": "async", "loading": "lazy", "width": 1600, "height": 1067, "srcset": "https://thumb.wikimedia.org/wikipedia/commons/thumb/b/bd/Uitbreiding_Van_Abbemuseum.jpg/3840px-Uitbreiding_Van_Abbemuseum.jpg?utm_source=commons.wikimedia.org&amp;utm_campaign=imageinfo&amp;utm_content=thumbnail 2x"}, "url": "https://upload.wikimedia.org/wikipedia/commons/b/bd/Uitbreiding_Van_Abbemuseum.jpg?utm_source=commons.wikimedia.org&amp;utm_campaign=imageinfo&amp;utm_content=original", "descriptionurl": "https://commons.wikimedia.org/wiki/File:Uitbreiding_Van_Abbemuseum.jpg", "descriptionshorturl": "https://commons.wikimedia.org/w/index.php?curid=150048140", "sha1": "e5e48385d7d5e96419e79d1989d6b1c0c0a18254", "extmetadata": {"DateTime": {"value": "2024-07-05 19:57:50", "source": "mediawiki-metadata", "hidden": ""}, "ObjectName": {"value": "Uitbreiding Van Abbemuseum", "source": "mediawiki-metadata"}, "CommonsMetadataExtension": {"value": 1.2, "source": "extension", "hidden": ""}, "Categories": {"value": "Van Abbemuseum|Self-published work|Deconstructivist architecture|Netherlands photographs taken on 2015-01-17|2015 in Eindhoven", "source": "commons-categories", "hidden": ""}, "Assessments": {"value": "", "source": "commons-categories", "hidden": ""}, "ImageDescription": {"value": "Uitbreiding Van Abbemuseum uit 2003\narchitect: Abel Cahen", "source": "commons-desc-page"}, "DateTimeOriginal": {"value": "2015-01-17 13:24:25",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"https://thumb.wikimedia.org/wikipedia/commons/thumb/b/bd/Uitbreiding_Van_Abbemuseum.jpg/1280px-Uitbreiding_Van_Abbemuseum.jpg"}, "retrieved_on": "2026-10-23"}</t>
        </is>
      </c>
    </row>
    <row r="11" ht="54" customHeight="1">
      <c r="A11" s="29" t="inlineStr">
        <is>
          <t>eindhoven:evidence:philips-museum-01</t>
        </is>
      </c>
      <c r="B11" s="29" t="inlineStr">
        <is>
          <t>eindhoven</t>
        </is>
      </c>
      <c r="C11" s="29" t="inlineStr">
        <is>
          <t>eindhoven:photo:philips-museum-01</t>
        </is>
      </c>
      <c r="D11" s="29" t="inlineStr">
        <is>
          <t>https://commons.wikimedia.org/wiki/File:%27Huiskamer_jaren_50%27_(16183341671).jpg</t>
        </is>
      </c>
      <c r="E11" s="29" t="inlineStr">
        <is>
          <t>File:'Huiskamer jaren 50' (16183341671).jpg</t>
        </is>
      </c>
      <c r="F11" s="29" t="inlineStr">
        <is>
          <t>FaceMePLS from The Hague, The Netherlands</t>
        </is>
      </c>
      <c r="G11" s="29" t="inlineStr">
        <is>
          <t>CC BY 2.0</t>
        </is>
      </c>
      <c r="H11" s="29" t="inlineStr">
        <is>
          <t>https://creativecommons.org/licenses/by/2.0/</t>
        </is>
      </c>
      <c r="I11" s="29" t="inlineStr">
        <is>
          <t>Creative Commons Attribution 2.0</t>
        </is>
      </c>
      <c r="J11" s="29" t="inlineStr">
        <is>
          <t>FaceMePLS from The Hague, The Netherlands · CC BY 2.0 · Wikimedia Commons</t>
        </is>
      </c>
      <c r="K11" s="29" t="n"/>
      <c r="L11" s="49" t="n">
        <v>46317</v>
      </c>
      <c r="M11" s="29" t="inlineStr">
        <is>
          <t>Bekliyor</t>
        </is>
      </c>
      <c r="N11" s="29" t="inlineStr">
        <is>
          <t>Bekliyor</t>
        </is>
      </c>
      <c r="O11" s="29" t="inlineStr">
        <is>
          <t>Fotoğraflar/eindhoven_philips-museum_01.jpg</t>
        </is>
      </c>
      <c r="P11" s="29" t="inlineStr">
        <is>
          <t>Tüplü televizyon, eski radyo, ahşap büfe ve yuvarlak sehpalı sergi odası</t>
        </is>
      </c>
      <c r="Q11" s="29" t="inlineStr">
        <is>
          <t>Bekliyor</t>
        </is>
      </c>
      <c r="R11" s="29" t="inlineStr">
        <is>
          <t>Wikimedia Commons dosya sayfasındaki lisans: CC BY 2.0</t>
        </is>
      </c>
      <c r="S11" s="29" t="n"/>
      <c r="T11" s="29" t="n"/>
      <c r="U11" s="29" t="n"/>
      <c r="V11" s="29" t="n"/>
      <c r="W11" s="29" t="inlineStr">
        <is>
          <t>{"source_url": "https://commons.wikimedia.org/wiki/File:%27Huiskamer_jaren_50%27_(16183341671).jpg", "author": "FaceMePLS from The Hague, The Netherlands", "license": "CC BY 2.0", "license_url": "https://creativecommons.org/licenses/by/2.0/", "original_api_record": {"size": 3047249, "width": 3264, "height": 2448, "thumburl": "https://thumb.wikimedia.org/wikipedia/commons/thumb/2/25/%27Huiskamer_jaren_50%27_%2816183341671%29.jpg/1920px-%27Huiskamer_jaren_50%27_%2816183341671%29.jpg?utm_source=commons.wikimedia.org&amp;utm_campaign=imageinfo&amp;utm_content=thumbnail", "thumbwidth": 1600, "thumbheight": 1200, "responsiveUrls": {"2": "https://upload.wikimedia.org/wikipedia/commons/2/25/%27Huiskamer_jaren_50%27_%2816183341671%29.jpg?utm_source=commons.wikimedia.org&amp;utm_campaign=imageinfo&amp;utm_content=thumbnail_unscaled"}, "thumbattribs": {"src": "https://thumb.wikimedia.org/wikipedia/commons/thumb/2/25/%27Huiskamer_jaren_50%27_%2816183341671%29.jpg/1920px-%27Huiskamer_jaren_50%27_%2816183341671%29.jpg?utm_source=commons.wikimedia.org&amp;utm_campaign=imageinfo&amp;utm_content=thumbnail", "decoding": "async", "loading": "lazy", "width": 1600, "height": 1200, "srcset": "https://upload.wikimedia.org/wikipedia/commons/2/25/%27Huiskamer_jaren_50%27_%2816183341671%29.jpg?utm_source=commons.wikimedia.org&amp;utm_campaign=imageinfo&amp;utm_content=thumbnail_unscaled 2x"}, "url": "https://upload.wikimedia.org/wikipedia/commons/2/25/%27Huiskamer_jaren_50%27_%2816183341671%29.jpg?utm_source=commons.wikimedia.org&amp;utm_campaign=imageinfo&amp;utm_content=original", "descriptionurl": "https://commons.wikimedia.org/wiki/File:%27Huiskamer_jaren_50%27_(16183341671).jpg", "descriptionshorturl": "https://commons.wikimedia.org/w/index.php?curid=37661124", "sha1": "8be12ab98ed8e484c0e2df57336ec668d5f1585a", "extmetadata": {"DateTime": {"value": "2015-01-03 23:24:27", "source": "mediawiki-metadata", "hidden": ""}, "ObjectName": {"value": "'Huiskamer jaren 50' (16183341671)", "source": "mediawiki-metadata"}, "CommonsMetadataExtension": {"value": 1.2, "source": "extension", "hidden": ""}, "Categories": {"value": "Taken with iPhone 6 Plus|Netherlands in the 1950s|Philips Museum|Museums in Eindhoven|Flickr images reviewed by FlickreviewR|2014 in Eindhoven|Photographs by FaceMePLS|Netherlands photographs taken on 2014-12-09", "source": "commons-categories", "hidden": ""}, "Assessments": {"value": "", "source": "commons-categories", "hidden": ""}, "ImageDescription": {"value": "Philips Museum Eindhoven", "source": "commons-desc-page"}, "DateTimeOriginal": {"value": "2014-12-09 16:33", "source": "commons-desc-page"}, "Credit": {"value": "&lt;a rel=\"nofollow\" class=\"external text\" href=\"https://www.flickr.com/photos/faceme/16183341671/\"&gt;'Huiskamer jaren 50'&lt;/a&gt;", "source": "commons-desc-page"}, "Artist": {"value": "&lt;a rel=\"nofollow\" class=\"external text\" href=\"https://www.flickr.com/people/38891071@N00\"&gt;FaceMePLS&lt;/a&gt; from The Hague, The Netherlands",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"https://thumb.wikimedia.org/wikipedia/commons/thumb/2/25/%27Huiskamer_jaren_50%27_%2816183341671%29.jpg/1280px-%27Huiskamer_jaren_50%27_%2816183341671%29.jpg"}, "retrieved_on": "2026-10-23"}</t>
        </is>
      </c>
    </row>
    <row r="12" ht="54" customHeight="1">
      <c r="A12" s="29" t="inlineStr">
        <is>
          <t>eindhoven:evidence:philips-museum-02</t>
        </is>
      </c>
      <c r="B12" s="29" t="inlineStr">
        <is>
          <t>eindhoven</t>
        </is>
      </c>
      <c r="C12" s="29" t="inlineStr">
        <is>
          <t>eindhoven:photo:philips-museum-02</t>
        </is>
      </c>
      <c r="D12" s="29" t="inlineStr">
        <is>
          <t>https://commons.wikimedia.org/wiki/File:13-06-28-eindhoven-by-RalfR-30.jpg</t>
        </is>
      </c>
      <c r="E12" s="29" t="inlineStr">
        <is>
          <t>File:13-06-28-eindhoven-by-RalfR-30.jpg</t>
        </is>
      </c>
      <c r="F12" s="29" t="inlineStr">
        <is>
          <t>Ralf Roletschek</t>
        </is>
      </c>
      <c r="G12" s="29" t="inlineStr">
        <is>
          <t>CC BY 3.0</t>
        </is>
      </c>
      <c r="H12" s="29" t="inlineStr">
        <is>
          <t>https://creativecommons.org/licenses/by/3.0/</t>
        </is>
      </c>
      <c r="I12" s="29" t="inlineStr">
        <is>
          <t>Creative Commons Attribution 3.0</t>
        </is>
      </c>
      <c r="J12" s="29" t="inlineStr">
        <is>
          <t>Ralf Roletschek · CC BY 3.0 · Wikimedia Commons</t>
        </is>
      </c>
      <c r="K12" s="29" t="n"/>
      <c r="L12" s="49" t="n">
        <v>46317</v>
      </c>
      <c r="M12" s="29" t="inlineStr">
        <is>
          <t>Bekliyor</t>
        </is>
      </c>
      <c r="N12" s="29" t="inlineStr">
        <is>
          <t>Bekliyor</t>
        </is>
      </c>
      <c r="O12" s="29" t="inlineStr">
        <is>
          <t>Fotoğraflar/eindhoven_philips-museum_02.jpg</t>
        </is>
      </c>
      <c r="P12" s="29" t="inlineStr">
        <is>
          <t>Beyaz badanalı kıvrık alınlıklı alçak bina, arkasında yüksek beyaz kule</t>
        </is>
      </c>
      <c r="Q12" s="29" t="inlineStr">
        <is>
          <t>Bekliyor</t>
        </is>
      </c>
      <c r="R12" s="29" t="inlineStr">
        <is>
          <t>Wikimedia Commons dosya sayfasındaki lisans: CC BY 3.0</t>
        </is>
      </c>
      <c r="S12" s="29" t="n"/>
      <c r="T12" s="29" t="n"/>
      <c r="U12" s="29" t="n"/>
      <c r="V12" s="29" t="n"/>
      <c r="W12" s="29" t="inlineStr">
        <is>
          <t>{"source_url": "https://commons.wikimedia.org/wiki/File:13-06-28-eindhoven-by-RalfR-30.jpg", "author": "Ralf Roletschek", "license": "CC BY 3.0", "license_url": "https://creativecommons.org/licenses/by/3.0/", "original_api_record": {"size": 7383512, "width": 2848, "height": 4288, "thumburl": "https://thumb.wikimedia.org/wikipedia/commons/thumb/4/4f/13-06-28-eindhoven-by-RalfR-30.jpg/1920px-13-06-28-eindhoven-by-RalfR-30.jpg?utm_source=commons.wikimedia.org&amp;utm_campaign=imageinfo&amp;utm_content=thumbnail", "thumbwidth": 1600, "thumbheight": 2409, "responsiveUrls": {"2": "https://upload.wikimedia.org/wikipedia/commons/4/4f/13-06-28-eindhoven-by-RalfR-30.jpg?utm_source=commons.wikimedia.org&amp;utm_campaign=imageinfo&amp;utm_content=thumbnail_unscaled"}, "thumbattribs": {"src": "https://thumb.wikimedia.org/wikipedia/commons/thumb/4/4f/13-06-28-eindhoven-by-RalfR-30.jpg/1920px-13-06-28-eindhoven-by-RalfR-30.jpg?utm_source=commons.wikimedia.org&amp;utm_campaign=imageinfo&amp;utm_content=thumbnail", "decoding": "async", "loading": "lazy", "width": 1600, "height": 2409, "srcset": "https://upload.wikimedia.org/wikipedia/commons/4/4f/13-06-28-eindhoven-by-RalfR-30.jpg?utm_source=commons.wikimedia.org&amp;utm_campaign=imageinfo&amp;utm_content=thumbnail_unscaled 2x"}, "url": "https://upload.wikimedia.org/wikipedia/commons/4/4f/13-06-28-eindhoven-by-RalfR-30.jpg?utm_source=commons.wikimedia.org&amp;utm_campaign=imageinfo&amp;utm_content=original", "descriptionurl": "https://commons.wikimedia.org/wiki/File:13-06-28-eindhoven-by-RalfR-30.jpg", "descriptionshorturl": "https://commons.wikimedia.org/w/index.php?curid=26941544", "sha1": "0235ea34eeb05cecd82281e16e41796725bee655", "extmetadata": {"DateTime": {"value": "2013-06-28 20:41:19", "source": "mediawiki-metadata", "hidden": ""}, "ObjectName": {"value": "13-06-28-eindhoven-by-RalfR-30", "source": "mediawiki-metadata"}, "CommonsMetadataExtension": {"value": 1.2, "source": "extension", "hidden": ""}, "Categories": {"value": "GFDL|Taken with Nikon D300s|Philips Museum|License migration redundant|Self-published work|Supported by Wikimedia Deutschland|Supported by Wikimedia Österreich|Images by Ralf Roletschek/x|2013 in Eindhoven|Netherlands photographs taken on 2013-06-28|Files with coordinates missing SDC location of creation (51° N, 5° E)|Fotoaktion Robocup 2013|De Admirant", "source": "commons-categories", "hidden": ""}, "Assessments": {"value": "", "source": "commons-categories", "hidden": ""}, "GPSLatitude": {"value": "51.439688", "source": "commons-desc-page"}, "GPSLongitude": {"value": "5.475348", "source": "commons-desc-page"}, "GPSMapDatum": {"value": "WGS-84", "source": "commons-desc-page", "hidden": ""}, "ImageDescription": {"value": "Eindhoven, Niederlande, Stadtzentrum", "source": "commons-desc-page"}, "DateTimeOriginal": {"value": "2013-06-28 15:52:23",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"https://thumb.wikimedia.org/wikipedia/commons/thumb/4/4f/13-06-28-eindhoven-by-RalfR-30.jpg/1280px-13-06-28-eindhoven-by-RalfR-30.jpg"}, "retrieved_on": "2026-10-23"}</t>
        </is>
      </c>
    </row>
    <row r="13" ht="54" customHeight="1">
      <c r="A13" s="29" t="inlineStr">
        <is>
          <t>eindhoven:evidence:philips-museum-03</t>
        </is>
      </c>
      <c r="B13" s="29" t="inlineStr">
        <is>
          <t>eindhoven</t>
        </is>
      </c>
      <c r="C13" s="29" t="inlineStr">
        <is>
          <t>eindhoven:photo:philips-museum-03</t>
        </is>
      </c>
      <c r="D13" s="29" t="inlineStr">
        <is>
          <t>https://commons.wikimedia.org/wiki/File:Eindhoven,_het_Philps_Museum_IMG_8543_2019-01-20_09.44.jpg</t>
        </is>
      </c>
      <c r="E13" s="29" t="inlineStr">
        <is>
          <t>File:Eindhoven, het Philps Museum IMG 8543 2019-01-20 09.44.jpg</t>
        </is>
      </c>
      <c r="F13" s="29" t="inlineStr">
        <is>
          <t>Michielverbeek</t>
        </is>
      </c>
      <c r="G13" s="29" t="inlineStr">
        <is>
          <t>CC BY-SA 4.0</t>
        </is>
      </c>
      <c r="H13" s="29" t="inlineStr">
        <is>
          <t>https://creativecommons.org/licenses/by-sa/4.0/</t>
        </is>
      </c>
      <c r="I13" s="29" t="inlineStr">
        <is>
          <t>Creative Commons Attribution-Share Alike 4.0</t>
        </is>
      </c>
      <c r="J13" s="29" t="inlineStr">
        <is>
          <t>Michielverbeek · CC BY-SA 4.0 · Wikimedia Commons</t>
        </is>
      </c>
      <c r="K13" s="29" t="n"/>
      <c r="L13" s="49" t="n">
        <v>46317</v>
      </c>
      <c r="M13" s="29" t="inlineStr">
        <is>
          <t>Bekliyor</t>
        </is>
      </c>
      <c r="N13" s="29" t="inlineStr">
        <is>
          <t>Bekliyor</t>
        </is>
      </c>
      <c r="O13" s="29" t="inlineStr">
        <is>
          <t>Fotoğraflar/eindhoven_philips-museum_03.jpg</t>
        </is>
      </c>
      <c r="P13" s="29" t="inlineStr">
        <is>
          <t>Cam çatılı geçit, 'Philips museum' yazılı giriş ve 'open' afişi</t>
        </is>
      </c>
      <c r="Q13" s="29" t="inlineStr">
        <is>
          <t>Bekliyor</t>
        </is>
      </c>
      <c r="R13" s="29" t="inlineStr">
        <is>
          <t>Wikimedia Commons dosya sayfasındaki lisans: CC BY-SA 4.0</t>
        </is>
      </c>
      <c r="S13" s="29" t="n"/>
      <c r="T13" s="29" t="n"/>
      <c r="U13" s="29" t="n"/>
      <c r="V13" s="29" t="n"/>
      <c r="W13" s="29" t="inlineStr">
        <is>
          <t>{"source_url": "https://commons.wikimedia.org/wiki/File:Eindhoven,_het_Philps_Museum_IMG_8543_2019-01-20_09.44.jpg", "author": "Michielverbeek", "license": "CC BY-SA 4.0", "license_url": "https://creativecommons.org/licenses/by-sa/4.0/", "original_api_record": {"size": 8837967, "width": 3145, "height": 4556, "thumburl": "https://thumb.wikimedia.org/wikipedia/commons/thumb/4/41/Eindhoven%2C_het_Philps_Museum_IMG_8543_2019-01-20_09.44.jpg/1920px-Eindhoven%2C_het_Philps_Museum_IMG_8543_2019-01-20_09.44.jpg?utm_source=commons.wikimedia.org&amp;utm_campaign=imageinfo&amp;utm_content=thumbnail", "thumbwidth": 1600, "thumbheight": 2318, "responsiveUrls": {"2": "https://upload.wikimedia.org/wikipedia/commons/4/41/Eindhoven%2C_het_Philps_Museum_IMG_8543_2019-01-20_09.44.jpg?utm_source=commons.wikimedia.org&amp;utm_campaign=imageinfo&amp;utm_content=thumbnail_unscaled"}, "thumbattribs": {"src": "https://thumb.wikimedia.org/wikipedia/commons/thumb/4/41/Eindhoven%2C_het_Philps_Museum_IMG_8543_2019-01-20_09.44.jpg/1920px-Eindhoven%2C_het_Philps_Museum_IMG_8543_2019-01-20_09.44.jpg?utm_source=commons.wikimedia.org&amp;utm_campaign=imageinfo&amp;utm_content=thumbnail", "decoding": "async", "loading": "lazy", "width": 1600, "height": 2318, "srcset": "https://upload.wikimedia.org/wikipedia/commons/4/41/Eindhoven%2C_het_Philps_Museum_IMG_8543_2019-01-20_09.44.jpg?utm_source=commons.wikimedia.org&amp;utm_campaign=imageinfo&amp;utm_content=thumbnail_unscaled 2x"}, "url": "https://upload.wikimedia.org/wikipedia/commons/4/41/Eindhoven%2C_het_Philps_Museum_IMG_8543_2019-01-20_09.44.jpg?utm_source=commons.wikimedia.org&amp;utm_campaign=imageinfo&amp;utm_content=original", "descriptionurl": "https://commons.wikimedia.org/wiki/File:Eindhoven,_het_Philps_Museum_IMG_8543_2019-01-20_09.44.jpg", "descriptionshorturl": "https://commons.wikimedia.org/w/index.php?curid=77244323", "sha1": "e39298489e7e398f570607c6171c3407a6a31f79", "extmetadata": {"DateTime": {"value": "2019-03-10 21:39:04", "source": "mediawiki-metadata", "hidden": ""}, "ObjectName": {"value": "Eindhoven, het Philps Museum IMG 8543 2019-01-20 09.44", "source": "mediawiki-metadata"}, "CommonsMetadataExtension": {"value": 1.2, "source": "extension", "hidden": ""}, "Categories": {"value": "Philips Museum|Self-published work|2019 in Eindhoven|Netherlands photographs taken on 2019-01-20|Files with coordinates missing SDC location of creation (51° N, 5° E)", "source": "commons-categories", "hidden": ""}, "Assessments": {"value": "quality", "source": "commons-categories", "hidden": ""}, "GPSLatitude": {"value": "51.439722", "source": "commons-desc-page"}, "GPSLongitude": {"value": "5.475833", "source": "commons-desc-page"}, "GPSMapDatum": {"value": "WGS-84", "source": "commons-desc-page", "hidden": ""}, "ImageDescription": {"value": "Eindhoven, museum: het Philips Museum", "source": "commons-desc-page"}, "DateTimeOriginal": {"value": "2019-01-20 09:44:24", "source": "commons-desc-page"}, "Credit": {"value": "&lt;span class=\"int-own-work\" lang=\"en\"&gt;Own work&lt;/span&gt;", "source": "commons-desc-page"}, "Artist": {"value": "&lt;a href=\"//commons.wikimedia.org/wiki/User:Michielverbeek\" title=\"User:Michielverbeek\"&gt;Michielverbeek&lt;/a&gt;",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"https://thumb.wikimedia.org/wikipedia/commons/thumb/4/41/Eindhoven%2C_het_Philps_Museum_IMG_8543_2019-01-20_09.44.jpg/1280px-Eindhoven%2C_het_Philps_Museum_IMG_8543_2019-01-20_09.44.jpg"}, "retrieved_on": "2026-10-23"}</t>
        </is>
      </c>
    </row>
    <row r="14" ht="54" customHeight="1">
      <c r="A14" s="29" t="inlineStr">
        <is>
          <t>eindhoven:evidence:daf-museum-01</t>
        </is>
      </c>
      <c r="B14" s="29" t="inlineStr">
        <is>
          <t>eindhoven</t>
        </is>
      </c>
      <c r="C14" s="29" t="inlineStr">
        <is>
          <t>eindhoven:photo:daf-museum-01</t>
        </is>
      </c>
      <c r="D14" s="29" t="inlineStr">
        <is>
          <t>https://commons.wikimedia.org/wiki/File:518825_Stoombierbrouwerij_De_Valk_(later_DAF_Museum).jpg</t>
        </is>
      </c>
      <c r="E14" s="29" t="inlineStr">
        <is>
          <t>File:518825 Stoombierbrouwerij De Valk (later DAF Museum).jpg</t>
        </is>
      </c>
      <c r="F14" s="29" t="inlineStr">
        <is>
          <t>Johan Bakker</t>
        </is>
      </c>
      <c r="G14" s="29" t="inlineStr">
        <is>
          <t>CC BY-SA 4.0</t>
        </is>
      </c>
      <c r="H14" s="29" t="inlineStr">
        <is>
          <t>https://creativecommons.org/licenses/by-sa/4.0/</t>
        </is>
      </c>
      <c r="I14" s="29" t="inlineStr">
        <is>
          <t>Creative Commons Attribution-Share Alike 4.0</t>
        </is>
      </c>
      <c r="J14" s="29" t="inlineStr">
        <is>
          <t>Johan Bakker · CC BY-SA 4.0 · Wikimedia Commons</t>
        </is>
      </c>
      <c r="K14" s="29" t="n"/>
      <c r="L14" s="49" t="n">
        <v>46317</v>
      </c>
      <c r="M14" s="29" t="inlineStr">
        <is>
          <t>Bekliyor</t>
        </is>
      </c>
      <c r="N14" s="29" t="inlineStr">
        <is>
          <t>Bekliyor</t>
        </is>
      </c>
      <c r="O14" s="29" t="inlineStr">
        <is>
          <t>Fotoğraflar/eindhoven_daf-museum_01.jpg</t>
        </is>
      </c>
      <c r="P14" s="29" t="inlineStr">
        <is>
          <t>Kemerli yüksek pencereli tuğla bina, önünde yol ve bisiklet yolu</t>
        </is>
      </c>
      <c r="Q14" s="29" t="inlineStr">
        <is>
          <t>Bekliyor</t>
        </is>
      </c>
      <c r="R14" s="29" t="inlineStr">
        <is>
          <t>Wikimedia Commons dosya sayfasındaki lisans: CC BY-SA 4.0</t>
        </is>
      </c>
      <c r="S14" s="29" t="n"/>
      <c r="T14" s="29" t="n"/>
      <c r="U14" s="29" t="n"/>
      <c r="V14" s="29" t="n"/>
      <c r="W14" s="29" t="inlineStr">
        <is>
          <t>{"source_url": "https://commons.wikimedia.org/wiki/File:518825_Stoombierbrouwerij_De_Valk_(later_DAF_Museum).jpg", "author": "Johan Bakker", "license": "CC BY-SA 4.0", "license_url": "https://creativecommons.org/licenses/by-sa/4.0/", "original_api_record": {"size": 17249662, "width": 7042, "height": 4412, "thumburl": "https://thumb.wikimedia.org/wikipedia/commons/thumb/d/de/518825_Stoombierbrouwerij_De_Valk_%28later_DAF_Museum%29.jpg/1920px-518825_Stoombierbrouwerij_De_Valk_%28later_DAF_Museum%29.jpg?utm_source=commons.wikimedia.org&amp;utm_campaign=imageinfo&amp;utm_content=thumbnail", "thumbwidth": 1600, "thumbheight": 1002, "responsiveUrls": {"2": "https://thumb.wikimedia.org/wikipedia/commons/thumb/d/de/518825_Stoombierbrouwerij_De_Valk_%28later_DAF_Museum%29.jpg/3840px-518825_Stoombierbrouwerij_De_Valk_%28later_DAF_Museum%29.jpg?utm_source=commons.wikimedia.org&amp;utm_campaign=imageinfo&amp;utm_content=thumbnail"}, "thumbattribs": {"src": "https://thumb.wikimedia.org/wikipedia/commons/thumb/d/de/518825_Stoombierbrouwerij_De_Valk_%28later_DAF_Museum%29.jpg/1920px-518825_Stoombierbrouwerij_De_Valk_%28later_DAF_Museum%29.jpg?utm_source=commons.wikimedia.org&amp;utm_campaign=imageinfo&amp;utm_content=thumbnail", "decoding": "async", "loading": "lazy", "width": 1600, "height": 1002, "srcset": "https://thumb.wikimedia.org/wikipedia/commons/thumb/d/de/518825_Stoombierbrouwerij_De_Valk_%28later_DAF_Museum%29.jpg/3840px-518825_Stoombierbrouwerij_De_Valk_%28later_DAF_Museum%29.jpg?utm_source=commons.wikimedia.org&amp;utm_campaign=imageinfo&amp;utm_content=thumbnail 2x"}, "url": "https://upload.wikimedia.org/wikipedia/commons/d/de/518825_Stoombierbrouwerij_De_Valk_%28later_DAF_Museum%29.jpg?utm_source=commons.wikimedia.org&amp;utm_campaign=imageinfo&amp;utm_content=original", "descriptionurl": "https://commons.wikimedia.org/wiki/File:518825_Stoombierbrouwerij_De_Valk_(later_DAF_Museum).jpg", "descriptionshorturl": "https://commons.wikimedia.org/w/index.php?curid=62114164", "sha1": "cb7f8933e42cc43172026a0ee037fb27eefa7141", "extmetadata": {"DateTime": {"value": "2017-09-02 17:49:45", "source": "mediawiki-metadata", "hidden": ""}, "ObjectName": {"value": "518825 Stoombierbrouwerij De Valk (later DAF Museum)", "source": "mediawiki-metadata"}, "CommonsMetadataExtension": {"value": 1.2, "source": "extension", "hidden": ""}, "Categories": {"value": "DAF Museum|Self-published work|Rijksmonumenten with known IDs|Images from Wiki Loves Monuments 2017|Uploaded via Campaign:wlm-nl|Images from Wiki Loves Monuments 2017 in the Netherlands|Netherlands photographs taken on 2017-08-03", "source": "commons-categories", "hidden": ""}, "Assessments": {"value": "", "source": "commons-categories", "hidden": ""}, "ImageDescription": {"value": "Stoombierbrouwerij De Valk (later DAF Museum) te Eindhoven.", "source": "commons-desc-page"}, "DateTimeOriginal": {"value": "2017-08-03 12:35:54",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"https://thumb.wikimedia.org/wikipedia/commons/thumb/d/de/518825_Stoombierbrouwerij_De_Valk_%28later_DAF_Museum%29.jpg/1280px-518825_Stoombierbrouwerij_De_Valk_%28later_DAF_Museum%29.jpg"}, "retrieved_on": "2026-10-23"}</t>
        </is>
      </c>
    </row>
    <row r="15" ht="54" customHeight="1">
      <c r="A15" s="29" t="inlineStr">
        <is>
          <t>eindhoven:evidence:daf-museum-02</t>
        </is>
      </c>
      <c r="B15" s="29" t="inlineStr">
        <is>
          <t>eindhoven</t>
        </is>
      </c>
      <c r="C15" s="29" t="inlineStr">
        <is>
          <t>eindhoven:photo:daf-museum-02</t>
        </is>
      </c>
      <c r="D15" s="29" t="inlineStr">
        <is>
          <t>https://commons.wikimedia.org/wiki/File:DAF_Museum_(2024).jpg</t>
        </is>
      </c>
      <c r="E15" s="29" t="inlineStr">
        <is>
          <t>File:DAF Museum (2024).jpg</t>
        </is>
      </c>
      <c r="F15" s="29" t="inlineStr">
        <is>
          <t>S. Perquin</t>
        </is>
      </c>
      <c r="G15" s="29" t="inlineStr">
        <is>
          <t>CC BY-SA 4.0</t>
        </is>
      </c>
      <c r="H15" s="29" t="inlineStr">
        <is>
          <t>https://creativecommons.org/licenses/by-sa/4.0/</t>
        </is>
      </c>
      <c r="I15" s="29" t="inlineStr">
        <is>
          <t>Creative Commons Attribution-Share Alike 4.0</t>
        </is>
      </c>
      <c r="J15" s="29" t="inlineStr">
        <is>
          <t>S. Perquin · CC BY-SA 4.0 · Wikimedia Commons</t>
        </is>
      </c>
      <c r="K15" s="29" t="n"/>
      <c r="L15" s="49" t="n">
        <v>46317</v>
      </c>
      <c r="M15" s="29" t="inlineStr">
        <is>
          <t>Bekliyor</t>
        </is>
      </c>
      <c r="N15" s="29" t="inlineStr">
        <is>
          <t>Bekliyor</t>
        </is>
      </c>
      <c r="O15" s="29" t="inlineStr">
        <is>
          <t>Fotoğraflar/eindhoven_daf-museum_02.jpg</t>
        </is>
      </c>
      <c r="P15" s="29" t="inlineStr">
        <is>
          <t>Cephesinde 'DAF Museum' yazan beyaz bina ve tuğla yapılar</t>
        </is>
      </c>
      <c r="Q15" s="29" t="inlineStr">
        <is>
          <t>Bekliyor</t>
        </is>
      </c>
      <c r="R15" s="29" t="inlineStr">
        <is>
          <t>Wikimedia Commons dosya sayfasındaki lisans: CC BY-SA 4.0</t>
        </is>
      </c>
      <c r="S15" s="29" t="n"/>
      <c r="T15" s="29" t="n"/>
      <c r="U15" s="29" t="n"/>
      <c r="V15" s="29" t="n"/>
      <c r="W15" s="29" t="inlineStr">
        <is>
          <t>{"source_url": "https://commons.wikimedia.org/wiki/File:DAF_Museum_(2024).jpg", "author": "S. Perquin", "license": "CC BY-SA 4.0", "license_url": "https://creativecommons.org/licenses/by-sa/4.0/", "original_api_record": {"size": 6303276, "width": 6000, "height": 4000, "thumburl": "https://thumb.wikimedia.org/wikipedia/commons/thumb/0/0c/DAF_Museum_%282024%29.jpg/1920px-DAF_Museum_%282024%29.jpg?utm_source=commons.wikimedia.org&amp;utm_campaign=imageinfo&amp;utm_content=thumbnail", "thumbwidth": 1600, "thumbheight": 1067, "responsiveUrls": {"2": "https://thumb.wikimedia.org/wikipedia/commons/thumb/0/0c/DAF_Museum_%282024%29.jpg/3840px-DAF_Museum_%282024%29.jpg?utm_source=commons.wikimedia.org&amp;utm_campaign=imageinfo&amp;utm_content=thumbnail"}, "thumbattribs": {"src": "https://thumb.wikimedia.org/wikipedia/commons/thumb/0/0c/DAF_Museum_%282024%29.jpg/1920px-DAF_Museum_%282024%29.jpg?utm_source=commons.wikimedia.org&amp;utm_campaign=imageinfo&amp;utm_content=thumbnail", "decoding": "async", "loading": "lazy", "width": 1600, "height": 1067, "srcset": "https://thumb.wikimedia.org/wikipedia/commons/thumb/0/0c/DAF_Museum_%282024%29.jpg/3840px-DAF_Museum_%282024%29.jpg?utm_source=commons.wikimedia.org&amp;utm_campaign=imageinfo&amp;utm_content=thumbnail 2x"}, "url": "https://upload.wikimedia.org/wikipedia/commons/0/0c/DAF_Museum_%282024%29.jpg?utm_source=commons.wikimedia.org&amp;utm_campaign=imageinfo&amp;utm_content=original", "descriptionurl": "https://commons.wikimedia.org/wiki/File:DAF_Museum_(2024).jpg", "descriptionshorturl": "https://commons.wikimedia.org/w/index.php?curid=148038736", "sha1": "158bb0df7f518aac5e98fb0bcb3b285503971fa1", "extmetadata": {"DateTime": {"value": "2024-05-04 11:16:59", "source": "mediawiki-metadata", "hidden": ""}, "ObjectName": {"value": "DAF Museum (2024)", "source": "mediawiki-metadata"}, "CommonsMetadataExtension": {"value": 1.2, "source": "extension", "hidden": ""}, "Categories": {"value": "DAF Museum|Self-published work|2024 in Eindhoven|Photographs by S. Perquin|2024 photographs by S. Perquin|Photographs by S. Perquin in Eindhoven", "source": "commons-categories", "hidden": ""}, "Assessments": {"value": "", "source": "commons-categories", "hidden": ""}, "ImageDescription": {"value": "Het DAF Museum te Eindhoven", "source": "commons-desc-page"}, "DateTimeOriginal": {"value": "2024-05-04 11:12:50",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"https://thumb.wikimedia.org/wikipedia/commons/thumb/0/0c/DAF_Museum_%282024%29.jpg/1280px-DAF_Museum_%282024%29.jpg"}, "retrieved_on": "2026-10-23"}</t>
        </is>
      </c>
    </row>
    <row r="16" ht="54" customHeight="1">
      <c r="A16" s="29" t="inlineStr">
        <is>
          <t>eindhoven:evidence:next-nature-museum-01</t>
        </is>
      </c>
      <c r="B16" s="29" t="inlineStr">
        <is>
          <t>eindhoven</t>
        </is>
      </c>
      <c r="C16" s="29" t="inlineStr">
        <is>
          <t>eindhoven:photo:next-nature-museum-01</t>
        </is>
      </c>
      <c r="D16" s="29" t="inlineStr">
        <is>
          <t>https://commons.wikimedia.org/wiki/File:Eindhoven-Evoluon-2023.jpg</t>
        </is>
      </c>
      <c r="E16" s="29" t="inlineStr">
        <is>
          <t>File:Eindhoven-Evoluon-2023.jpg</t>
        </is>
      </c>
      <c r="F16" s="29" t="inlineStr">
        <is>
          <t>Solches</t>
        </is>
      </c>
      <c r="G16" s="29" t="inlineStr">
        <is>
          <t>CC BY-SA 4.0</t>
        </is>
      </c>
      <c r="H16" s="29" t="inlineStr">
        <is>
          <t>https://creativecommons.org/licenses/by-sa/4.0/</t>
        </is>
      </c>
      <c r="I16" s="29" t="inlineStr">
        <is>
          <t>Creative Commons Attribution-Share Alike 4.0</t>
        </is>
      </c>
      <c r="J16" s="29" t="inlineStr">
        <is>
          <t>Solches · CC BY-SA 4.0 · Wikimedia Commons</t>
        </is>
      </c>
      <c r="K16" s="29" t="n"/>
      <c r="L16" s="49" t="n">
        <v>46317</v>
      </c>
      <c r="M16" s="29" t="inlineStr">
        <is>
          <t>Bekliyor</t>
        </is>
      </c>
      <c r="N16" s="29" t="inlineStr">
        <is>
          <t>Bekliyor</t>
        </is>
      </c>
      <c r="O16" s="29" t="inlineStr">
        <is>
          <t>Fotoğraflar/eindhoven_next-nature-museum_01.jpg</t>
        </is>
      </c>
      <c r="P16" s="29" t="inlineStr">
        <is>
          <t>Kubbeli tavan altında katlı sergi alanı, 'The Future Repeats' panosu</t>
        </is>
      </c>
      <c r="Q16" s="29" t="inlineStr">
        <is>
          <t>Bekliyor</t>
        </is>
      </c>
      <c r="R16" s="29" t="inlineStr">
        <is>
          <t>Wikimedia Commons dosya sayfasındaki lisans: CC BY-SA 4.0</t>
        </is>
      </c>
      <c r="S16" s="29" t="n"/>
      <c r="T16" s="29" t="n"/>
      <c r="U16" s="29" t="n"/>
      <c r="V16" s="29" t="n"/>
      <c r="W16" s="29" t="inlineStr">
        <is>
          <t>{"source_url": "https://commons.wikimedia.org/wiki/File:Eindhoven-Evoluon-2023.jpg", "author": "Solches", "license": "CC BY-SA 4.0", "license_url": "https://creativecommons.org/licenses/by-sa/4.0/", "original_api_record": {"size": 1886068, "width": 3514, "height": 2196, "thumburl": "https://thumb.wikimedia.org/wikipedia/commons/thumb/d/db/Eindhoven-Evoluon-2023.jpg/1920px-Eindhoven-Evoluon-2023.jpg?utm_source=commons.wikimedia.org&amp;utm_campaign=imageinfo&amp;utm_content=thumbnail", "thumbwidth": 1600, "thumbheight": 1000, "responsiveUrls": {"2": "https://upload.wikimedia.org/wikipedia/commons/d/db/Eindhoven-Evoluon-2023.jpg?utm_source=commons.wikimedia.org&amp;utm_campaign=imageinfo&amp;utm_content=thumbnail_unscaled"}, "thumbattribs": {"src": "https://thumb.wikimedia.org/wikipedia/commons/thumb/d/db/Eindhoven-Evoluon-2023.jpg/1920px-Eindhoven-Evoluon-2023.jpg?utm_source=commons.wikimedia.org&amp;utm_campaign=imageinfo&amp;utm_content=thumbnail", "decoding": "async", "loading": "lazy", "width": 1600, "height": 1000, "srcset": "https://upload.wikimedia.org/wikipedia/commons/d/db/Eindhoven-Evoluon-2023.jpg?utm_source=commons.wikimedia.org&amp;utm_campaign=imageinfo&amp;utm_content=thumbnail_unscaled 2x"}, "url": "https://upload.wikimedia.org/wikipedia/commons/d/db/Eindhoven-Evoluon-2023.jpg?utm_source=commons.wikimedia.org&amp;utm_campaign=imageinfo&amp;utm_content=original", "descriptionurl": "https://commons.wikimedia.org/wiki/File:Eindhoven-Evoluon-2023.jpg", "descriptionshorturl": "https://commons.wikimedia.org/w/index.php?curid=139801289", "sha1": "60b5cd0d12661485f699dc1d57eebeaf820f99d1", "extmetadata": {"DateTime": {"value": "2023-10-30 01:15:00", "source": "mediawiki-metadata", "hidden": ""}, "ObjectName": {"value": "Eindhoven-Evoluon-2023", "source": "mediawiki-metadata"}, "CommonsMetadataExtension": {"value": 1.2, "source": "extension", "hidden": ""}, "Categories": {"value": "Self-published work|Netherlands photographs taken on 2023-10-25|2023 in Eindhoven|Files with coordinates missing SDC location of creation (51° N, 5° E)|Interior of the Evoluon", "source": "commons-categories", "hidden": ""}, "Assessments": {"value": "", "source": "commons-categories", "hidden": ""}, "GPSLatitude": {"value": "51.443500", "source": "commons-desc-page"}, "GPSLongitude": {"value": "5.446760", "source": "commons-desc-page"}, "GPSMapDatum": {"value": "WGS-84", "source": "commons-desc-page", "hidden": ""}, "ImageDescription": {"value": "Evoluon Technology Museum in Eindhoven, Netherlands. Photo of the exhibition \"Retrofuture\" at the time of Dutch Design Week 2023. At the same time, the exhibition \"Spacefarming\" took place, which dealt with the topic of nutrition in the future. The Philips company was founded in Eindhoven in 1891 and was the inspiration for the technology show at Evoluon.", "source": "commons-desc-page"}, "DateTimeOriginal": {"value": "2023-10-25", "source": "commons-desc-page"}, "Credit": {"value": "&lt;span class=\"int-own-work\" lang=\"en\"&gt;Own work&lt;/span&gt;", "source": "commons-desc-page"}, "Artist": {"value": "&lt;a href=\"//commons.wikimedia.org/w/index.php?title=User:Solches&amp;amp;action=edit&amp;amp;redlink=1\" class=\"new\" title=\"User:Solches (page does not exist)\"&gt;Solches&lt;/a&gt;",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"https://thumb.wikimedia.org/wikipedia/commons/thumb/d/db/Eindhoven-Evoluon-2023.jpg/1280px-Eindhoven-Evoluon-2023.jpg"}, "retrieved_on": "2026-10-23"}</t>
        </is>
      </c>
    </row>
    <row r="17" ht="54" customHeight="1">
      <c r="A17" s="29" t="inlineStr">
        <is>
          <t>eindhoven:evidence:next-nature-museum-02</t>
        </is>
      </c>
      <c r="B17" s="29" t="inlineStr">
        <is>
          <t>eindhoven</t>
        </is>
      </c>
      <c r="C17" s="29" t="inlineStr">
        <is>
          <t>eindhoven:photo:next-nature-museum-02</t>
        </is>
      </c>
      <c r="D17" s="29" t="inlineStr">
        <is>
          <t>https://commons.wikimedia.org/wiki/File:Evoluon_kunstwerk_Carasso02.jpg</t>
        </is>
      </c>
      <c r="E17" s="29" t="inlineStr">
        <is>
          <t>File:Evoluon kunstwerk Carasso02.jpg</t>
        </is>
      </c>
      <c r="F17" s="29" t="inlineStr">
        <is>
          <t>Lempkesfabriek</t>
        </is>
      </c>
      <c r="G17" s="29" t="inlineStr">
        <is>
          <t>CC BY-SA 3.0</t>
        </is>
      </c>
      <c r="H17" s="29" t="inlineStr">
        <is>
          <t>https://creativecommons.org/licenses/by-sa/3.0/</t>
        </is>
      </c>
      <c r="I17" s="29" t="inlineStr">
        <is>
          <t>Creative Commons Attribution-Share Alike 3.0</t>
        </is>
      </c>
      <c r="J17" s="29" t="inlineStr">
        <is>
          <t>Lempkesfabriek · CC BY-SA 3.0 · Wikimedia Commons</t>
        </is>
      </c>
      <c r="K17" s="29" t="n"/>
      <c r="L17" s="49" t="n">
        <v>46317</v>
      </c>
      <c r="M17" s="29" t="inlineStr">
        <is>
          <t>Bekliyor</t>
        </is>
      </c>
      <c r="N17" s="29" t="inlineStr">
        <is>
          <t>Bekliyor</t>
        </is>
      </c>
      <c r="O17" s="29" t="inlineStr">
        <is>
          <t>Fotoğraflar/eindhoven_next-nature-museum_02.jpg</t>
        </is>
      </c>
      <c r="P17" s="29" t="inlineStr">
        <is>
          <t>Kavisli beton saçak altında cam kapılı giriş, ortada bronz kabartmalı kapı</t>
        </is>
      </c>
      <c r="Q17" s="29" t="inlineStr">
        <is>
          <t>Bekliyor</t>
        </is>
      </c>
      <c r="R17" s="29" t="inlineStr">
        <is>
          <t>Wikimedia Commons dosya sayfasındaki lisans: CC BY-SA 3.0</t>
        </is>
      </c>
      <c r="S17" s="29" t="n"/>
      <c r="T17" s="29" t="n"/>
      <c r="U17" s="29" t="n"/>
      <c r="V17" s="29" t="n"/>
      <c r="W17" s="29" t="inlineStr">
        <is>
          <t>{"source_url": "https://commons.wikimedia.org/wiki/File:Evoluon_kunstwerk_Carasso02.jpg", "author": "Lempkesfabriek", "license": "CC BY-SA 3.0", "license_url": "https://creativecommons.org/licenses/by-sa/3.0/", "original_api_record": {"size": 948105, "width": 2832, "height": 2128, "thumburl": "https://thumb.wikimedia.org/wikipedia/commons/thumb/3/36/Evoluon_kunstwerk_Carasso02.jpg/1920px-Evoluon_kunstwerk_Carasso02.jpg?utm_source=commons.wikimedia.org&amp;utm_campaign=imageinfo&amp;utm_content=thumbnail", "thumbwidth": 1600, "thumbheight": 1202, "responsiveUrls": {"2": "https://upload.wikimedia.org/wikipedia/commons/3/36/Evoluon_kunstwerk_Carasso02.jpg?utm_source=commons.wikimedia.org&amp;utm_campaign=imageinfo&amp;utm_content=thumbnail_unscaled"}, "thumbattribs": {"src": "https://thumb.wikimedia.org/wikipedia/commons/thumb/3/36/Evoluon_kunstwerk_Carasso02.jpg/1920px-Evoluon_kunstwerk_Carasso02.jpg?utm_source=commons.wikimedia.org&amp;utm_campaign=imageinfo&amp;utm_content=thumbnail", "decoding": "async", "loading": "lazy", "width": 1600, "height": 1202, "srcset": "https://upload.wikimedia.org/wikipedia/commons/3/36/Evoluon_kunstwerk_Carasso02.jpg?utm_source=commons.wikimedia.org&amp;utm_campaign=imageinfo&amp;utm_content=thumbnail_unscaled 2x"}, "url": "https://upload.wikimedia.org/wikipedia/commons/3/36/Evoluon_kunstwerk_Carasso02.jpg?utm_source=commons.wikimedia.org&amp;utm_campaign=imageinfo&amp;utm_content=original", "descriptionurl": "https://commons.wikimedia.org/wiki/File:Evoluon_kunstwerk_Carasso02.jpg", "descriptionshorturl": "https://commons.wikimedia.org/w/index.php?curid=4474951", "sha1": "48de98fb157efeee3df0d42e3171cbc0a865c4dd", "extmetadata": {"DateTime": {"value": "2008-07-31 06:40:45", "source": "mediawiki-metadata", "hidden": ""}, "ObjectName": {"value": "Evoluon kunstwerk Carasso02", "source": "mediawiki-metadata"}, "CommonsMetadataExtension": {"value": 1.2, "source": "extension", "hidden": ""}, "Categories": {"value": "Evoluon|Self-published work|2008 in Eindhoven|Files with coordinates missing SDC location of creation (51° N, 5° E)|De evolutie van de mens", "source": "commons-categories", "hidden": ""}, "Assessments": {"value": "", "source": "commons-categories", "hidden": ""}, "GPSLatitude": {"value": "51.443747", "source": "commons-desc-page"}, "GPSLongitude": {"value": "5.446745", "source": "commons-desc-page"}, "GPSMapDatum": {"value": "WGS-84", "source": "commons-desc-page", "hidden": ""}, "ImageDescription": {"value": "De deuren van het Evoluon in Eindhoven. Een kunstwerk van Fred Carasso.",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"https://thumb.wikimedia.org/wikipedia/commons/thumb/3/36/Evoluon_kunstwerk_Carasso02.jpg/1280px-Evoluon_kunstwerk_Carasso02.jpg"}, "retrieved_on": "2026-10-23"}</t>
        </is>
      </c>
    </row>
    <row r="18" ht="54" customHeight="1">
      <c r="A18" s="29" t="inlineStr">
        <is>
          <t>eindhoven:evidence:psv-museum-01</t>
        </is>
      </c>
      <c r="B18" s="29" t="inlineStr">
        <is>
          <t>eindhoven</t>
        </is>
      </c>
      <c r="C18" s="29" t="inlineStr">
        <is>
          <t>eindhoven:photo:psv-museum-01</t>
        </is>
      </c>
      <c r="D18" s="29" t="inlineStr">
        <is>
          <t>https://commons.wikimedia.org/wiki/File:Eendracht_Maakt_Macht_(5020112117).jpg</t>
        </is>
      </c>
      <c r="E18" s="29" t="inlineStr">
        <is>
          <t>File:Eendracht Maakt Macht (5020112117).jpg</t>
        </is>
      </c>
      <c r="F18" s="29" t="inlineStr">
        <is>
          <t>Maurizio Pesce from Milan, Italia</t>
        </is>
      </c>
      <c r="G18" s="29" t="inlineStr">
        <is>
          <t>CC BY 2.0</t>
        </is>
      </c>
      <c r="H18" s="29" t="inlineStr">
        <is>
          <t>https://creativecommons.org/licenses/by/2.0/</t>
        </is>
      </c>
      <c r="I18" s="29" t="inlineStr">
        <is>
          <t>Creative Commons Attribution 2.0</t>
        </is>
      </c>
      <c r="J18" s="29" t="inlineStr">
        <is>
          <t>Maurizio Pesce from Milan, Italia · CC BY 2.0 · Wikimedia Commons</t>
        </is>
      </c>
      <c r="K18" s="29" t="n"/>
      <c r="L18" s="49" t="n">
        <v>46317</v>
      </c>
      <c r="M18" s="29" t="inlineStr">
        <is>
          <t>Bekliyor</t>
        </is>
      </c>
      <c r="N18" s="29" t="inlineStr">
        <is>
          <t>Bekliyor</t>
        </is>
      </c>
      <c r="O18" s="29" t="inlineStr">
        <is>
          <t>Fotoğraflar/eindhoven_psv-museum_01.jpg</t>
        </is>
      </c>
      <c r="P18" s="29" t="inlineStr">
        <is>
          <t>'Eendracht Maakt Macht' yazılı, PSV armalı ferforje stadyum kapısı</t>
        </is>
      </c>
      <c r="Q18" s="29" t="inlineStr">
        <is>
          <t>Bekliyor</t>
        </is>
      </c>
      <c r="R18" s="29" t="inlineStr">
        <is>
          <t>Wikimedia Commons dosya sayfasındaki lisans: CC BY 2.0</t>
        </is>
      </c>
      <c r="S18" s="29" t="n"/>
      <c r="T18" s="29" t="n"/>
      <c r="U18" s="29" t="n"/>
      <c r="V18" s="29" t="n"/>
      <c r="W18" s="29" t="inlineStr">
        <is>
          <t>{"source_url": "https://commons.wikimedia.org/wiki/File:Eendracht_Maakt_Macht_(5020112117).jpg", "author": "Maurizio Pesce from Milan, Italia", "license": "CC BY 2.0", "license_url": "https://creativecommons.org/licenses/by/2.0/", "original_api_record": {"size": 2698368, "width": 3008, "height": 2000, "thumburl": "https://thumb.wikimedia.org/wikipedia/commons/thumb/4/47/Eendracht_Maakt_Macht_%285020112117%29.jpg/1920px-Eendracht_Maakt_Macht_%285020112117%29.jpg?utm_source=commons.wikimedia.org&amp;utm_campaign=imageinfo&amp;utm_content=thumbnail", "thumbwidth": 1600, "thumbheight": 1064, "responsiveUrls": {"2": "https://upload.wikimedia.org/wikipedia/commons/4/47/Eendracht_Maakt_Macht_%285020112117%29.jpg?utm_source=commons.wikimedia.org&amp;utm_campaign=imageinfo&amp;utm_content=thumbnail_unscaled"}, "thumbattribs": {"src": "https://thumb.wikimedia.org/wikipedia/commons/thumb/4/47/Eendracht_Maakt_Macht_%285020112117%29.jpg/1920px-Eendracht_Maakt_Macht_%285020112117%29.jpg?utm_source=commons.wikimedia.org&amp;utm_campaign=imageinfo&amp;utm_content=thumbnail", "decoding": "async", "loading": "lazy", "width": 1600, "height": 1064, "srcset": "https://upload.wikimedia.org/wikipedia/commons/4/47/Eendracht_Maakt_Macht_%285020112117%29.jpg?utm_source=commons.wikimedia.org&amp;utm_campaign=imageinfo&amp;utm_content=thumbnail_unscaled 2x"}, "url": "https://upload.wikimedia.org/wikipedia/commons/4/47/Eendracht_Maakt_Macht_%285020112117%29.jpg?utm_source=commons.wikimedia.org&amp;utm_campaign=imageinfo&amp;utm_content=original", "descriptionurl": "https://commons.wikimedia.org/wiki/File:Eendracht_Maakt_Macht_(5020112117).jpg", "descriptionshorturl": "https://commons.wikimedia.org/w/index.php?curid=51058900", "sha1": "840710d361e95d35e65f7408e9d2dd66ea571a75", "extmetadata": {"DateTime": {"value": "2016-09-02 15:52:36", "source": "mediawiki-metadata", "hidden": ""}, "ObjectName": {"value": "Eendracht Maakt Macht (5020112117)", "source": "mediawiki-metadata"}, "CommonsMetadataExtension": {"value": 1.2, "source": "extension", "hidden": ""}, "Categories": {"value": "Eindhoven|Flickr images reviewed by FlickreviewR|Flickr images missing SDC creator|Files with coordinates missing SDC location of creation (51° N, 5° E)|Files by Maurizio Pesce|Flickr images missing SDC published in", "source": "commons-categories", "hidden": ""}, "Assessments": {"value": "", "source": "commons-categories", "hidden": ""}, "GPSLatitude": {"value": "51.441583", "source": "commons-desc-page"}, "GPSLongitude": {"value": "5.468680", "source": "commons-desc-page"}, "GPSMapDatum": {"value": "WGS-84", "source": "commons-desc-page", "hidden": ""}, "ImageDescription": {"value": "Eindhoven, settembre 2010", "source": "commons-desc-page"}, "DateTimeOriginal": {"value": "2010-09-17 12:53", "source": "commons-desc-page"}, "Credit": {"value": "&lt;a rel=\"mw:ExtLink nofollow\" href=\"https://www.flickr.com/photos/pestoverde/5020112117/\" class=\"external text\"&gt;Eendracht Maakt Macht&lt;/a&gt;", "source": "commons-desc-page"}, "Artist": {"value": "&lt;a rel=\"mw:ExtLink nofollow\" href=\"https://www.flickr.com/people/30364433@N05\" class=\"external text\"&gt;Maurizio Pesce&lt;/a&gt; from Milan, Italia",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"https://thumb.wikimedia.org/wikipedia/commons/thumb/4/47/Eendracht_Maakt_Macht_%285020112117%29.jpg/1280px-Eendracht_Maakt_Macht_%285020112117%29.jpg"}, "retrieved_on": "2026-10-23"}</t>
        </is>
      </c>
    </row>
    <row r="19" ht="54" customHeight="1">
      <c r="A19" s="29" t="inlineStr">
        <is>
          <t>eindhoven:evidence:psv-museum-02</t>
        </is>
      </c>
      <c r="B19" s="29" t="inlineStr">
        <is>
          <t>eindhoven</t>
        </is>
      </c>
      <c r="C19" s="29" t="inlineStr">
        <is>
          <t>eindhoven:photo:psv-museum-02</t>
        </is>
      </c>
      <c r="D19" s="29" t="inlineStr">
        <is>
          <t>https://commons.wikimedia.org/wiki/File:Philips_Stadion_(5020111085).jpg</t>
        </is>
      </c>
      <c r="E19" s="29" t="inlineStr">
        <is>
          <t>File:Philips Stadion (5020111085).jpg</t>
        </is>
      </c>
      <c r="F19" s="29" t="inlineStr">
        <is>
          <t>Maurizio Pesce from Milan, Italia</t>
        </is>
      </c>
      <c r="G19" s="29" t="inlineStr">
        <is>
          <t>CC BY 2.0</t>
        </is>
      </c>
      <c r="H19" s="29" t="inlineStr">
        <is>
          <t>https://creativecommons.org/licenses/by/2.0/</t>
        </is>
      </c>
      <c r="I19" s="29" t="inlineStr">
        <is>
          <t>Creative Commons Attribution 2.0</t>
        </is>
      </c>
      <c r="J19" s="29" t="inlineStr">
        <is>
          <t>Maurizio Pesce from Milan, Italia · CC BY 2.0 · Wikimedia Commons</t>
        </is>
      </c>
      <c r="K19" s="29" t="n"/>
      <c r="L19" s="49" t="n">
        <v>46317</v>
      </c>
      <c r="M19" s="29" t="inlineStr">
        <is>
          <t>Bekliyor</t>
        </is>
      </c>
      <c r="N19" s="29" t="inlineStr">
        <is>
          <t>Bekliyor</t>
        </is>
      </c>
      <c r="O19" s="29" t="inlineStr">
        <is>
          <t>Fotoğraflar/eindhoven_psv-museum_02.jpg</t>
        </is>
      </c>
      <c r="P19" s="29" t="inlineStr">
        <is>
          <t>Philips Stadion dış cephesi, önde kavşak ve arabalar</t>
        </is>
      </c>
      <c r="Q19" s="29" t="inlineStr">
        <is>
          <t>Bekliyor</t>
        </is>
      </c>
      <c r="R19" s="29" t="inlineStr">
        <is>
          <t>Wikimedia Commons dosya sayfasındaki lisans: CC BY 2.0</t>
        </is>
      </c>
      <c r="S19" s="29" t="n"/>
      <c r="T19" s="29" t="n"/>
      <c r="U19" s="29" t="n"/>
      <c r="V19" s="29" t="n"/>
      <c r="W19" s="29" t="inlineStr">
        <is>
          <t>{"source_url": "https://commons.wikimedia.org/wiki/File:Philips_Stadion_(5020111085).jpg", "author": "Maurizio Pesce from Milan, Italia", "license": "CC BY 2.0", "license_url": "https://creativecommons.org/licenses/by/2.0/", "original_api_record": {"size": 2701555, "width": 3008, "height": 2000, "thumburl": "https://thumb.wikimedia.org/wikipedia/commons/thumb/a/a7/Philips_Stadion_%285020111085%29.jpg/1920px-Philips_Stadion_%285020111085%29.jpg?utm_source=commons.wikimedia.org&amp;utm_campaign=imageinfo&amp;utm_content=thumbnail", "thumbwidth": 1600, "thumbheight": 1064, "responsiveUrls": {"2": "https://upload.wikimedia.org/wikipedia/commons/a/a7/Philips_Stadion_%285020111085%29.jpg?utm_source=commons.wikimedia.org&amp;utm_campaign=imageinfo&amp;utm_content=thumbnail_unscaled"}, "thumbattribs": {"src": "https://thumb.wikimedia.org/wikipedia/commons/thumb/a/a7/Philips_Stadion_%285020111085%29.jpg/1920px-Philips_Stadion_%285020111085%29.jpg?utm_source=commons.wikimedia.org&amp;utm_campaign=imageinfo&amp;utm_content=thumbnail", "decoding": "async", "loading": "lazy", "width": 1600, "height": 1064, "srcset": "https://upload.wikimedia.org/wikipedia/commons/a/a7/Philips_Stadion_%285020111085%29.jpg?utm_source=commons.wikimedia.org&amp;utm_campaign=imageinfo&amp;utm_content=thumbnail_unscaled 2x"}, "url": "https://upload.wikimedia.org/wikipedia/commons/a/a7/Philips_Stadion_%285020111085%29.jpg?utm_source=commons.wikimedia.org&amp;utm_campaign=imageinfo&amp;utm_content=original", "descriptionurl": "https://commons.wikimedia.org/wiki/File:Philips_Stadion_(5020111085).jpg", "descriptionshorturl": "https://commons.wikimedia.org/w/index.php?curid=51058934", "sha1": "211deb8e9ea2d7c35317366bd8fcd077d4555671", "extmetadata": {"DateTime": {"value": "2016-09-02 15:53:37", "source": "mediawiki-metadata", "hidden": ""}, "ObjectName": {"value": "Philips Stadion (5020111085)", "source": "mediawiki-metadata"}, "CommonsMetadataExtension": {"value": 1.2, "source": "extension", "hidden": ""}, "Categories": {"value": "Philips Stadion|Flickr images reviewed by FlickreviewR|Files with coordinates missing SDC location of creation (51° N, 5° E)|Files by Maurizio Pesce", "source": "commons-categories", "hidden": ""}, "Assessments": {"value": "", "source": "commons-categories", "hidden": ""}, "GPSLatitude": {"value": "51.441563", "source": "commons-desc-page"}, "GPSLongitude": {"value": "5.468916", "source": "commons-desc-page"}, "GPSMapDatum": {"value": "WGS-84", "source": "commons-desc-page", "hidden": ""}, "ImageDescription": {"value": "Eindhoven, settembre 2010", "source": "commons-desc-page"}, "DateTimeOriginal": {"value": "2010-09-17 12:48", "source": "commons-desc-page"}, "Credit": {"value": "&lt;a rel=\"nofollow\" class=\"external text\" href=\"https://www.flickr.com/photos/pestoverde/5020111085/\"&gt;Philips Stadion&lt;/a&gt;", "source": "commons-desc-page"}, "Artist": {"value": "&lt;a rel=\"nofollow\" class=\"external text\" href=\"https://www.flickr.com/people/30364433@N05\"&gt;Maurizio Pesce&lt;/a&gt; from Milan, Italia",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"https://thumb.wikimedia.org/wikipedia/commons/thumb/a/a7/Philips_Stadion_%285020111085%29.jpg/1280px-Philips_Stadion_%285020111085%29.jpg"}, "retrieved_on": "2026-10-23"}</t>
        </is>
      </c>
    </row>
    <row r="20" ht="54" customHeight="1">
      <c r="A20" s="29" t="inlineStr">
        <is>
          <t>eindhoven:evidence:erfgoedhuis-eindhoven-01</t>
        </is>
      </c>
      <c r="B20" s="29" t="inlineStr">
        <is>
          <t>eindhoven</t>
        </is>
      </c>
      <c r="C20" s="29" t="inlineStr">
        <is>
          <t>eindhoven:photo:erfgoedhuis-eindhoven-01</t>
        </is>
      </c>
      <c r="D20" s="29" t="inlineStr">
        <is>
          <t>https://commons.wikimedia.org/wiki/File:Erfgoedhuis_Eindhoven,_voorwerpen_1200-1600.jpg</t>
        </is>
      </c>
      <c r="E20" s="29" t="inlineStr">
        <is>
          <t>File:Erfgoedhuis Eindhoven, voorwerpen 1200-1600.jpg</t>
        </is>
      </c>
      <c r="F20" s="29" t="inlineStr">
        <is>
          <t>S. Perquin</t>
        </is>
      </c>
      <c r="G20" s="29" t="inlineStr">
        <is>
          <t>CC BY-SA 4.0</t>
        </is>
      </c>
      <c r="H20" s="29" t="inlineStr">
        <is>
          <t>https://creativecommons.org/licenses/by-sa/4.0/</t>
        </is>
      </c>
      <c r="I20" s="29" t="inlineStr">
        <is>
          <t>Creative Commons Attribution-Share Alike 4.0</t>
        </is>
      </c>
      <c r="J20" s="29" t="inlineStr">
        <is>
          <t>S. Perquin · CC BY-SA 4.0 · Wikimedia Commons</t>
        </is>
      </c>
      <c r="K20" s="29" t="n"/>
      <c r="L20" s="49" t="n">
        <v>46317</v>
      </c>
      <c r="M20" s="29" t="inlineStr">
        <is>
          <t>Bekliyor</t>
        </is>
      </c>
      <c r="N20" s="29" t="inlineStr">
        <is>
          <t>Bekliyor</t>
        </is>
      </c>
      <c r="O20" s="29" t="inlineStr">
        <is>
          <t>Fotoğraflar/eindhoven_erfgoedhuis-eindhoven_01.jpg</t>
        </is>
      </c>
      <c r="P20" s="29" t="inlineStr">
        <is>
          <t>Yıl aralıkları yazılı cam vitrinde çömlek, vazo ve kafatasları</t>
        </is>
      </c>
      <c r="Q20" s="29" t="inlineStr">
        <is>
          <t>Bekliyor</t>
        </is>
      </c>
      <c r="R20" s="29" t="inlineStr">
        <is>
          <t>Wikimedia Commons dosya sayfasındaki lisans: CC BY-SA 4.0</t>
        </is>
      </c>
      <c r="S20" s="29" t="n"/>
      <c r="T20" s="29" t="n"/>
      <c r="U20" s="29" t="n"/>
      <c r="V20" s="29" t="n"/>
      <c r="W20" s="29" t="inlineStr">
        <is>
          <t>{"source_url": "https://commons.wikimedia.org/wiki/File:Erfgoedhuis_Eindhoven,_voorwerpen_1200-1600.jpg", "author": "S. Perquin", "license": "CC BY-SA 4.0", "license_url": "https://creativecommons.org/licenses/by-sa/4.0/", "original_api_record": {"size": 3132475, "width": 5628, "height": 3752, "thumburl": "https://thumb.wikimedia.org/wikipedia/commons/thumb/5/52/Erfgoedhuis_Eindhoven%2C_voorwerpen_1200-1600.jpg/1920px-Erfgoedhuis_Eindhoven%2C_voorwerpen_1200-1600.jpg?utm_source=commons.wikimedia.org&amp;utm_campaign=imageinfo&amp;utm_content=thumbnail", "thumbwidth": 1600, "thumbheight": 1067, "responsiveUrls": {"2": "https://thumb.wikimedia.org/wikipedia/commons/thumb/5/52/Erfgoedhuis_Eindhoven%2C_voorwerpen_1200-1600.jpg/3840px-Erfgoedhuis_Eindhoven%2C_voorwerpen_1200-1600.jpg?utm_source=commons.wikimedia.org&amp;utm_campaign=imageinfo&amp;utm_content=thumbnail"}, "thumbattribs": {"src": "https://thumb.wikimedia.org/wikipedia/commons/thumb/5/52/Erfgoedhuis_Eindhoven%2C_voorwerpen_1200-1600.jpg/1920px-Erfgoedhuis_Eindhoven%2C_voorwerpen_1200-1600.jpg?utm_source=commons.wikimedia.org&amp;utm_campaign=imageinfo&amp;utm_content=thumbnail", "decoding": "async", "loading": "lazy", "width": 1600, "height": 1067, "srcset": "https://thumb.wikimedia.org/wikipedia/commons/thumb/5/52/Erfgoedhuis_Eindhoven%2C_voorwerpen_1200-1600.jpg/3840px-Erfgoedhuis_Eindhoven%2C_voorwerpen_1200-1600.jpg?utm_source=commons.wikimedia.org&amp;utm_campaign=imageinfo&amp;utm_content=thumbnail 2x"}, "url": "https://upload.wikimedia.org/wikipedia/commons/5/52/Erfgoedhuis_Eindhoven%2C_voorwerpen_1200-1600.jpg?utm_source=commons.wikimedia.org&amp;utm_campaign=imageinfo&amp;utm_content=original", "descriptionurl": "https://commons.wikimedia.org/wiki/File:Erfgoedhuis_Eindhoven,_voorwerpen_1200-1600.jpg", "descriptionshorturl": "https://commons.wikimedia.org/w/index.php?curid=145633561", "sha1": "88cac3372a39af0cde049da8681705f9c20c30ad", "extmetadata": {"DateTime": {"value": "2024-02-21 14:14:22", "source": "mediawiki-metadata", "hidden": ""}, "ObjectName": {"value": "Erfgoedhuis Eindhoven, voorwerpen 1200-1600", "source": "mediawiki-metadata"}, "CommonsMetadataExtension": {"value": 1.2, "source": "extension", "hidden": ""}, "Categories": {"value": "History of Eindhoven|Self-published work|Erfgoedhuis Eindhoven|Photographs by S. Perquin|2024 photographs by S. Perquin|Photographs by S. Perquin in Eindhoven", "source": "commons-categories", "hidden": ""}, "Assessments": {"value": "", "source": "commons-categories", "hidden": ""}, "ImageDescription": {"value": "Diverse voorwerpen, zoals potten, vazen en schedels, uit de jaren 1200 tot 1600 in het Erfgoedhuis te Eindhoven.", "source": "commons-desc-page"}, "DateTimeOriginal": {"value": "2024-02-21 14:40:10",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"https://thumb.wikimedia.org/wikipedia/commons/thumb/5/52/Erfgoedhuis_Eindhoven%2C_voorwerpen_1200-1600.jpg/1280px-Erfgoedhuis_Eindhoven%2C_voorwerpen_1200-1600.jpg"}, "retrieved_on": "2026-10-23"}</t>
        </is>
      </c>
    </row>
    <row r="21" ht="54" customHeight="1">
      <c r="A21" s="29" t="inlineStr">
        <is>
          <t>eindhoven:evidence:dr-a-f-philips-sterrenwacht-01</t>
        </is>
      </c>
      <c r="B21" s="29" t="inlineStr">
        <is>
          <t>eindhoven</t>
        </is>
      </c>
      <c r="C21" s="29" t="inlineStr">
        <is>
          <t>eindhoven:photo:dr-a-f-philips-sterrenwacht-01</t>
        </is>
      </c>
      <c r="D21" s="29" t="inlineStr">
        <is>
          <t>https://commons.wikimedia.org/wiki/File:518824_Dr._A.F._Philips_Observatorium.jpg</t>
        </is>
      </c>
      <c r="E21" s="29" t="inlineStr">
        <is>
          <t>File:518824 Dr. A.F. Philips Observatorium.jpg</t>
        </is>
      </c>
      <c r="F21" s="29" t="inlineStr">
        <is>
          <t>Johan Bakker</t>
        </is>
      </c>
      <c r="G21" s="29" t="inlineStr">
        <is>
          <t>CC BY-SA 4.0</t>
        </is>
      </c>
      <c r="H21" s="29" t="inlineStr">
        <is>
          <t>https://creativecommons.org/licenses/by-sa/4.0/</t>
        </is>
      </c>
      <c r="I21" s="29" t="inlineStr">
        <is>
          <t>Creative Commons Attribution-Share Alike 4.0</t>
        </is>
      </c>
      <c r="J21" s="29" t="inlineStr">
        <is>
          <t>Johan Bakker · CC BY-SA 4.0 · Wikimedia Commons</t>
        </is>
      </c>
      <c r="K21" s="29" t="n"/>
      <c r="L21" s="49" t="n">
        <v>46317</v>
      </c>
      <c r="M21" s="29" t="inlineStr">
        <is>
          <t>Bekliyor</t>
        </is>
      </c>
      <c r="N21" s="29" t="inlineStr">
        <is>
          <t>Bekliyor</t>
        </is>
      </c>
      <c r="O21" s="29" t="inlineStr">
        <is>
          <t>Fotoğraflar/eindhoven_dr-a-f-philips-sterrenwacht_01.jpg</t>
        </is>
      </c>
      <c r="P21" s="29" t="inlineStr">
        <is>
          <t>Park içinde yeşil kubbeli beyaz silindir gözlemevi kulesi</t>
        </is>
      </c>
      <c r="Q21" s="29" t="inlineStr">
        <is>
          <t>Bekliyor</t>
        </is>
      </c>
      <c r="R21" s="29" t="inlineStr">
        <is>
          <t>Wikimedia Commons dosya sayfasındaki lisans: CC BY-SA 4.0</t>
        </is>
      </c>
      <c r="S21" s="29" t="n"/>
      <c r="T21" s="29" t="n"/>
      <c r="U21" s="29" t="n"/>
      <c r="V21" s="29" t="n"/>
      <c r="W21" s="29" t="inlineStr">
        <is>
          <t>{"source_url": "https://commons.wikimedia.org/wiki/File:518824_Dr._A.F._Philips_Observatorium.jpg", "author": "Johan Bakker", "license": "CC BY-SA 4.0", "license_url": "https://creativecommons.org/licenses/by-sa/4.0/", "original_api_record": {"size": 15041605, "width": 5184, "height": 3456, "thumburl": "https://thumb.wikimedia.org/wikipedia/commons/thumb/6/63/518824_Dr._A.F._Philips_Observatorium.jpg/1920px-518824_Dr._A.F._Philips_Observatorium.jpg?utm_source=commons.wikimedia.org&amp;utm_campaign=imageinfo&amp;utm_content=thumbnail", "thumbwidth": 1600, "thumbheight": 1067, "responsiveUrls": {"2": "https://thumb.wikimedia.org/wikipedia/commons/thumb/6/63/518824_Dr._A.F._Philips_Observatorium.jpg/3840px-518824_Dr._A.F._Philips_Observatorium.jpg?utm_source=commons.wikimedia.org&amp;utm_campaign=imageinfo&amp;utm_content=thumbnail"}, "thumbattribs": {"src": "https://thumb.wikimedia.org/wikipedia/commons/thumb/6/63/518824_Dr._A.F._Philips_Observatorium.jpg/1920px-518824_Dr._A.F._Philips_Observatorium.jpg?utm_source=commons.wikimedia.org&amp;utm_campaign=imageinfo&amp;utm_content=thumbnail", "decoding": "async", "loading": "lazy", "width": 1600, "height": 1067, "srcset": "https://thumb.wikimedia.org/wikipedia/commons/thumb/6/63/518824_Dr._A.F._Philips_Observatorium.jpg/3840px-518824_Dr._A.F._Philips_Observatorium.jpg?utm_source=commons.wikimedia.org&amp;utm_campaign=imageinfo&amp;utm_content=thumbnail 2x"}, "url": "https://upload.wikimedia.org/wikipedia/commons/6/63/518824_Dr._A.F._Philips_Observatorium.jpg?utm_source=commons.wikimedia.org&amp;utm_campaign=imageinfo&amp;utm_content=original", "descriptionurl": "https://commons.wikimedia.org/wiki/File:518824_Dr._A.F._Philips_Observatorium.jpg", "descriptionshorturl": "https://commons.wikimedia.org/w/index.php?curid=62115449", "sha1": "c3f27a64461a20ca828a8f5d92ab22c650b5f6e0", "extmetadata": {"DateTime": {"value": "2017-09-02 18:56:54", "source": "mediawiki-metadata", "hidden": ""}, "ObjectName": {"value": "518824 Dr. A.F. Philips Observatorium", "source": "mediawiki-metadata"}, "CommonsMetadataExtension": {"value": 1.2, "source": "extension", "hidden": ""}, "Categories": {"value": "Dr. A.F. Philipsobservatorium, Eindhoven|Self-published work|Rijksmonumenten with known IDs|Images from Wiki Loves Monuments 2017|Uploaded via Campaign:wlm-nl|Images from Wiki Loves Monuments 2017 in the Netherlands|Netherlands photographs taken on 2017-07-06", "source": "commons-categories", "hidden": ""}, "Assessments": {"value": "", "source": "commons-categories", "hidden": ""}, "ImageDescription": {"value": "Dr. A.F. Philips Observatorium te Eindhoven.", "source": "commons-desc-page"}, "DateTimeOriginal": {"value": "2017-07-06 12:43:19",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"https://thumb.wikimedia.org/wikipedia/commons/thumb/6/63/518824_Dr._A.F._Philips_Observatorium.jpg/1280px-518824_Dr._A.F._Philips_Observatorium.jpg"}, "retrieved_on": "2026-10-23"}</t>
        </is>
      </c>
    </row>
    <row r="22" ht="54" customHeight="1">
      <c r="A22" s="29" t="inlineStr">
        <is>
          <t>eindhoven:evidence:dr-a-f-philips-sterrenwacht-02</t>
        </is>
      </c>
      <c r="B22" s="29" t="inlineStr">
        <is>
          <t>eindhoven</t>
        </is>
      </c>
      <c r="C22" s="29" t="inlineStr">
        <is>
          <t>eindhoven:photo:dr-a-f-philips-sterrenwacht-02</t>
        </is>
      </c>
      <c r="D22" s="29" t="inlineStr">
        <is>
          <t>https://commons.wikimedia.org/wiki/File:Dr._A.F._Philipsobservatorium_Eindhoven.JPG</t>
        </is>
      </c>
      <c r="E22" s="29" t="inlineStr">
        <is>
          <t>File:Dr. A.F. Philipsobservatorium Eindhoven.JPG</t>
        </is>
      </c>
      <c r="F22" s="29" t="inlineStr">
        <is>
          <t>Rosemoon</t>
        </is>
      </c>
      <c r="G22" s="29" t="inlineStr">
        <is>
          <t>CC BY-SA 3.0</t>
        </is>
      </c>
      <c r="H22" s="29" t="inlineStr">
        <is>
          <t>https://creativecommons.org/licenses/by-sa/3.0/</t>
        </is>
      </c>
      <c r="I22" s="29" t="inlineStr">
        <is>
          <t>Creative Commons Attribution-Share Alike 3.0</t>
        </is>
      </c>
      <c r="J22" s="29" t="inlineStr">
        <is>
          <t>Rosemoon · CC BY-SA 3.0 · Wikimedia Commons</t>
        </is>
      </c>
      <c r="K22" s="29" t="n"/>
      <c r="L22" s="49" t="n">
        <v>46317</v>
      </c>
      <c r="M22" s="29" t="inlineStr">
        <is>
          <t>Bekliyor</t>
        </is>
      </c>
      <c r="N22" s="29" t="inlineStr">
        <is>
          <t>Bekliyor</t>
        </is>
      </c>
      <c r="O22" s="29" t="inlineStr">
        <is>
          <t>Fotoğraflar/eindhoven_dr-a-f-philips-sterrenwacht_02.jpg</t>
        </is>
      </c>
      <c r="P22" s="29" t="inlineStr">
        <is>
          <t>Yeşil kubbeli beyaz kule yakın, 'Dr. A.F. Philips Observatorium' yazısı</t>
        </is>
      </c>
      <c r="Q22" s="29" t="inlineStr">
        <is>
          <t>Bekliyor</t>
        </is>
      </c>
      <c r="R22" s="29" t="inlineStr">
        <is>
          <t>Wikimedia Commons dosya sayfasındaki lisans: CC BY-SA 3.0</t>
        </is>
      </c>
      <c r="S22" s="29" t="n"/>
      <c r="T22" s="29" t="n"/>
      <c r="U22" s="29" t="n"/>
      <c r="V22" s="29" t="n"/>
      <c r="W22" s="29" t="inlineStr">
        <is>
          <t>{"source_url": "https://commons.wikimedia.org/wiki/File:Dr._A.F._Philipsobservatorium_Eindhoven.JPG", "author": "Rosemoon", "license": "CC BY-SA 3.0", "license_url": "https://creativecommons.org/licenses/by-sa/3.0/", "original_api_record": {"size": 4199887, "width": 3240, "height": 4320, "thumburl": "https://thumb.wikimedia.org/wikipedia/commons/thumb/1/16/Dr._A.F._Philipsobservatorium_Eindhoven.JPG/1920px-Dr._A.F._Philipsobservatorium_Eindhoven.JPG?utm_source=commons.wikimedia.org&amp;utm_campaign=imageinfo&amp;utm_content=thumbnail", "thumbwidth": 1600, "thumbheight": 2133, "responsiveUrls": {"2": "https://upload.wikimedia.org/wikipedia/commons/1/16/Dr._A.F._Philipsobservatorium_Eindhoven.JPG?utm_source=commons.wikimedia.org&amp;utm_campaign=imageinfo&amp;utm_content=thumbnail_unscaled"}, "thumbattribs": {"src": "https://thumb.wikimedia.org/wikipedia/commons/thumb/1/16/Dr._A.F._Philipsobservatorium_Eindhoven.JPG/1920px-Dr._A.F._Philipsobservatorium_Eindhoven.JPG?utm_source=commons.wikimedia.org&amp;utm_campaign=imageinfo&amp;utm_content=thumbnail", "decoding": "async", "loading": "lazy", "width": 1600, "height": 2133, "srcset": "https://upload.wikimedia.org/wikipedia/commons/1/16/Dr._A.F._Philipsobservatorium_Eindhoven.JPG?utm_source=commons.wikimedia.org&amp;utm_campaign=imageinfo&amp;utm_content=thumbnail_unscaled 2x"}, "url": "https://upload.wikimedia.org/wikipedia/commons/1/16/Dr._A.F._Philipsobservatorium_Eindhoven.JPG?utm_source=commons.wikimedia.org&amp;utm_campaign=imageinfo&amp;utm_content=original", "descriptionurl": "https://commons.wikimedia.org/wiki/File:Dr._A.F._Philipsobservatorium_Eindhoven.JPG", "descriptionshorturl": "https://commons.wikimedia.org/w/index.php?curid=21314801", "sha1": "f32d73b6703afe9f6e629b943ead5a27b26d0926", "extmetadata": {"DateTime": {"value": "2012-09-13 19:30:49", "source": "mediawiki-metadata", "hidden": ""}, "ObjectName": {"value": "Dr. A.F. Philipsobservatorium Eindhoven", "source": "mediawiki-metadata"}, "CommonsMetadataExtension": {"value": 1.2, "source": "extension", "hidden": ""}, "Categories": {"value": "Taken with Panasonic Lumix DMC-TZ20|Dr. A.F. Philipsobservatorium, Eindhoven|Self-published work|Rijksmonumenten with known IDs|2011 in Eindhoven|Netherlands photographs taken on 2011-12-11", "source": "commons-categories", "hidden": ""}, "Assessments": {"value": "", "source": "commons-categories", "hidden": ""}, "GPSLatitude": {"value": "51.426089", "source": "commons-desc-page"}, "GPSLongitude": {"value": "5.479906", "source": "commons-desc-page"}, "GPSMapDatum": {"value": "WGS-84", "source": "commons-desc-page", "hidden": ""}, "ImageDescription": {"value": "Het dr. A Philips Observatorium aan de rand van het stadswandelpark in Eindhoven", "source": "commons-desc-page"}, "DateTimeOriginal": {"value": "2011-12-11 12:57:27",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"https://thumb.wikimedia.org/wikipedia/commons/thumb/1/16/Dr._A.F._Philipsobservatorium_Eindhoven.JPG/1280px-Dr._A.F._Philipsobservatorium_Eindhoven.JPG"}, "retrieved_on": "2026-10-23"}</t>
        </is>
      </c>
    </row>
    <row r="23" ht="54" customHeight="1">
      <c r="A23" s="29" t="inlineStr">
        <is>
          <t>eindhoven:evidence:dr-a-f-philips-sterrenwacht-03</t>
        </is>
      </c>
      <c r="B23" s="29" t="inlineStr">
        <is>
          <t>eindhoven</t>
        </is>
      </c>
      <c r="C23" s="29" t="inlineStr">
        <is>
          <t>eindhoven:photo:dr-a-f-philips-sterrenwacht-03</t>
        </is>
      </c>
      <c r="D23" s="29" t="inlineStr">
        <is>
          <t>https://commons.wikimedia.org/wiki/File:Telescoop_Sterrenwacht_Eindhoven.jpg</t>
        </is>
      </c>
      <c r="E23" s="29" t="inlineStr">
        <is>
          <t>File:Telescoop Sterrenwacht Eindhoven.jpg</t>
        </is>
      </c>
      <c r="F23" s="29" t="inlineStr">
        <is>
          <t>T.W. Tukker</t>
        </is>
      </c>
      <c r="G23" s="29" t="inlineStr">
        <is>
          <t>Public domain</t>
        </is>
      </c>
      <c r="H23" s="29" t="inlineStr">
        <is>
          <t>https://commons.wikimedia.org/wiki/File:Telescoop_Sterrenwacht_Eindhoven.jpg</t>
        </is>
      </c>
      <c r="I23" s="29" t="inlineStr">
        <is>
          <t>Public domain</t>
        </is>
      </c>
      <c r="J23" s="29" t="inlineStr">
        <is>
          <t>T.W. Tukker · Public domain · Wikimedia Commons</t>
        </is>
      </c>
      <c r="K23" s="29" t="n"/>
      <c r="L23" s="49" t="n">
        <v>46317</v>
      </c>
      <c r="M23" s="29" t="inlineStr">
        <is>
          <t>Bekliyor</t>
        </is>
      </c>
      <c r="N23" s="29" t="inlineStr">
        <is>
          <t>Bekliyor</t>
        </is>
      </c>
      <c r="O23" s="29" t="inlineStr">
        <is>
          <t>Fotoğraflar/eindhoven_dr-a-f-philips-sterrenwacht_03.jpg</t>
        </is>
      </c>
      <c r="P23" s="29" t="inlineStr">
        <is>
          <t>Kubbe içinde turuncu teleskop</t>
        </is>
      </c>
      <c r="Q23" s="29" t="inlineStr">
        <is>
          <t>Bekliyor</t>
        </is>
      </c>
      <c r="R23" s="29" t="inlineStr">
        <is>
          <t>Wikimedia Commons dosya sayfasındaki lisans: Public domain</t>
        </is>
      </c>
      <c r="S23" s="29" t="n"/>
      <c r="T23" s="29" t="n"/>
      <c r="U23" s="29" t="n"/>
      <c r="V23" s="29" t="n"/>
      <c r="W23" s="29" t="inlineStr">
        <is>
          <t>{"source_url": "https://commons.wikimedia.org/wiki/File:Telescoop_Sterrenwacht_Eindhoven.jpg", "author": "T.W. Tukker", "license": "Public domain", "license_url": "https://commons.wikimedia.org/wiki/File:Telescoop_Sterrenwacht_Eindhoven.jpg", "original_api_record": {"size": 6815629, "width": 3840, "height": 5760, "thumburl": "https://thumb.wikimedia.org/wikipedia/commons/thumb/6/6b/Telescoop_Sterrenwacht_Eindhoven.jpg/1920px-Telescoop_Sterrenwacht_Eindhoven.jpg?utm_source=commons.wikimedia.org&amp;utm_campaign=imageinfo&amp;utm_content=thumbnail", "thumbwidth": 1600, "thumbheight": 2400, "responsiveUrls": {"2": "https://upload.wikimedia.org/wikipedia/commons/6/6b/Telescoop_Sterrenwacht_Eindhoven.jpg?utm_source=commons.wikimedia.org&amp;utm_campaign=imageinfo&amp;utm_content=thumbnail_unscaled"}, "thumbattribs": {"src": "https://thumb.wikimedia.org/wikipedia/commons/thumb/6/6b/Telescoop_Sterrenwacht_Eindhoven.jpg/1920px-Telescoop_Sterrenwacht_Eindhoven.jpg?utm_source=commons.wikimedia.org&amp;utm_campaign=imageinfo&amp;utm_content=thumbnail", "decoding": "async", "loading": "lazy", "width": 1600, "height": 2400, "srcset": "https://upload.wikimedia.org/wikipedia/commons/6/6b/Telescoop_Sterrenwacht_Eindhoven.jpg?utm_source=commons.wikimedia.org&amp;utm_campaign=imageinfo&amp;utm_content=thumbnail_unscaled 2x"}, "url": "https://upload.wikimedia.org/wikipedia/commons/6/6b/Telescoop_Sterrenwacht_Eindhoven.jpg?utm_source=commons.wikimedia.org&amp;utm_campaign=imageinfo&amp;utm_content=original", "descriptionurl": "https://commons.wikimedia.org/wiki/File:Telescoop_Sterrenwacht_Eindhoven.jpg", "descriptionshorturl": "https://commons.wikimedia.org/w/index.php?curid=37142341", "sha1": "fc430ea83fc8ab24b8e5f4e6191be291f88a126f", "extmetadata": {"DateTime": {"value": "2014-12-04 21:37:54", "source": "mediawiki-metadata", "hidden": ""}, "ObjectName": {"value": "Telescoop Sterrenwacht Eindhoven", "source": "mediawiki-metadata"}, "CommonsMetadataExtension": {"value": 1.2, "source": "extension", "hidden": ""}, "Categories": {"value": "PD-author|De Vries Robbé|Dr. A.F. Philipsobservatorium, Eindhoven|2014 in Eindhoven|Files with coordinates missing SDC location of creation (51° N, 5° E)", "source": "commons-categories", "hidden": ""}, "Assessments": {"value": "", "source": "commons-categories", "hidden": ""}, "GPSLatitude": {"value": "51.426111", "source": "commons-desc-page"}, "GPSLongitude": {"value": "5.480000", "source": "commons-desc-page"}, "GPSMapDatum": {"value": "WGS-84", "source": "commons-desc-page", "hidden": ""}, "ImageDescription": {"value": "The telescope at the Dr. A.F. Philips Observatorium in Eindhoven", "source": "commons-desc-page"}, "DateTimeOriginal": {"value": "2014-11", "source": "commons-desc-page"}, "Credit": {"value": "T.W. Tukker", "source": "commons-desc-page"}, "Artist": {"value": "T.W. Tukker",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"https://thumb.wikimedia.org/wikipedia/commons/thumb/6/6b/Telescoop_Sterrenwacht_Eindhoven.jpg/1280px-Telescoop_Sterrenwacht_Eindhoven.jpg"}, "retrieved_on": "2026-10-23"}</t>
        </is>
      </c>
    </row>
    <row r="24" ht="54" customHeight="1">
      <c r="A24" s="29" t="inlineStr">
        <is>
          <t>eindhoven:evidence:museumpark-vonk-prehistorisch-dorp-01</t>
        </is>
      </c>
      <c r="B24" s="29" t="inlineStr">
        <is>
          <t>eindhoven</t>
        </is>
      </c>
      <c r="C24" s="29" t="inlineStr">
        <is>
          <t>eindhoven:photo:museumpark-vonk-prehistorisch-dorp-01</t>
        </is>
      </c>
      <c r="D24" s="29" t="inlineStr">
        <is>
          <t>https://commons.wikimedia.org/wiki/File:Gebouw_Museumpark_VONK_(2026)_(1).jpg</t>
        </is>
      </c>
      <c r="E24" s="29" t="inlineStr">
        <is>
          <t>File:Gebouw Museumpark VONK (2026) (1).jpg</t>
        </is>
      </c>
      <c r="F24" s="29" t="inlineStr">
        <is>
          <t>Sander Perquin</t>
        </is>
      </c>
      <c r="G24" s="29" t="inlineStr">
        <is>
          <t>CC BY 4.0</t>
        </is>
      </c>
      <c r="H24" s="29" t="inlineStr">
        <is>
          <t>https://creativecommons.org/licenses/by/4.0/</t>
        </is>
      </c>
      <c r="I24" s="29" t="inlineStr">
        <is>
          <t>Creative Commons Attribution 4.0</t>
        </is>
      </c>
      <c r="J24" s="29" t="inlineStr">
        <is>
          <t>Sander Perquin · CC BY 4.0 · Wikimedia Commons</t>
        </is>
      </c>
      <c r="K24" s="29" t="n"/>
      <c r="L24" s="49" t="n">
        <v>46317</v>
      </c>
      <c r="M24" s="29" t="inlineStr">
        <is>
          <t>Bekliyor</t>
        </is>
      </c>
      <c r="N24" s="29" t="inlineStr">
        <is>
          <t>Bekliyor</t>
        </is>
      </c>
      <c r="O24" s="29" t="inlineStr">
        <is>
          <t>Fotoğraflar/eindhoven_museumpark-vonk-prehistorisch-dorp_01.jpg</t>
        </is>
      </c>
      <c r="P24" s="29" t="inlineStr">
        <is>
          <t>Eğimli yeşil çatılı uzun bina, önde inşaat alanı ve konteynerler</t>
        </is>
      </c>
      <c r="Q24" s="29" t="inlineStr">
        <is>
          <t>Bekliyor</t>
        </is>
      </c>
      <c r="R24" s="29" t="inlineStr">
        <is>
          <t>Wikimedia Commons dosya sayfasındaki lisans: CC BY 4.0</t>
        </is>
      </c>
      <c r="S24" s="29" t="n"/>
      <c r="T24" s="29" t="n"/>
      <c r="U24" s="29" t="n"/>
      <c r="V24" s="29" t="n"/>
      <c r="W24" s="29" t="inlineStr">
        <is>
          <t>{"source_url": "https://commons.wikimedia.org/wiki/File:Gebouw_Museumpark_VONK_(2026)_(1).jpg", "author": "Sander Perquin", "license": "CC BY 4.0", "license_url": "https://creativecommons.org/licenses/by/4.0/", "original_api_record": {"size": 6514831, "width": 6000, "height": 4000, "thumburl": "https://thumb.wikimedia.org/wikipedia/commons/thumb/c/ce/Gebouw_Museumpark_VONK_%282026%29_%281%29.jpg/1920px-Gebouw_Museumpark_VONK_%282026%29_%281%29.jpg?utm_source=commons.wikimedia.org&amp;utm_campaign=imageinfo&amp;utm_content=thumbnail", "thumbwidth": 1600, "thumbheight": 1067, "responsiveUrls": {"2": "https://thumb.wikimedia.org/wikipedia/commons/thumb/c/ce/Gebouw_Museumpark_VONK_%282026%29_%281%29.jpg/3840px-Gebouw_Museumpark_VONK_%282026%29_%281%29.jpg?utm_source=commons.wikimedia.org&amp;utm_campaign=imageinfo&amp;utm_content=thumbnail"}, "thumbattribs": {"src": "https://thumb.wikimedia.org/wikipedia/commons/thumb/c/ce/Gebouw_Museumpark_VONK_%282026%29_%281%29.jpg/1920px-Gebouw_Museumpark_VONK_%282026%29_%281%29.jpg?utm_source=commons.wikimedia.org&amp;utm_campaign=imageinfo&amp;utm_content=thumbnail", "decoding": "async", "loading": "lazy", "width": 1600, "height": 1067, "srcset": "https://thumb.wikimedia.org/wikipedia/commons/thumb/c/ce/Gebouw_Museumpark_VONK_%282026%29_%281%29.jpg/3840px-Gebouw_Museumpark_VONK_%282026%29_%281%29.jpg?utm_source=commons.wikimedia.org&amp;utm_campaign=imageinfo&amp;utm_content=thumbnail 2x"}, "url": "https://upload.wikimedia.org/wikipedia/commons/c/ce/Gebouw_Museumpark_VONK_%282026%29_%281%29.jpg?utm_source=commons.wikimedia.org&amp;utm_campaign=imageinfo&amp;utm_content=original", "descriptionurl": "https://commons.wikimedia.org/wiki/File:Gebouw_Museumpark_VONK_(2026)_(1).jpg", "descriptionshorturl": "https://commons.wikimedia.org/w/index.php?curid=195885234", "sha1": "366f5e0f9ebc075f6d1fc5d1a1f47fa4f5bdbf7a", "extmetadata": {"DateTime": {"value": "2026-07-18 21:00:28", "source": "mediawiki-metadata", "hidden": ""}, "ObjectName": {"value": "Gebouw Museumpark VONK (2026) (1)", "source": "mediawiki-metadata"}, "CommonsMetadataExtension": {"value": 1.2, "source": "extension", "hidden": ""}, "Categories": {"value": "Self-published work|Creative Commons Attribution 4.0 missing SDC copyright license|Creative Commons Attribution missing SDC copyright status|Self-published work missing SDC copyright license|Photographs by S. Perquin|2026 photographs by S. Perquin|Photographs by S. Perquin in Eindhoven|Museumpark VONK", "source": "commons-categories", "hidden": ""}, "Assessments": {"value": "", "source": "commons-categories", "hidden": ""}, "ImageDescription": {"value": "Het gloednieuwe museumgebouw van Museumpark VONK in Eindhoven.", "source": "commons-desc-page"}, "DateTimeOriginal": {"value": "2026-07-18 13:40:22", "source": "commons-desc-page"}, "Credit": {"value": "&lt;span class=\"int-own-work\" lang=\"en\"&gt;Own work&lt;/span&gt;", "source": "commons-desc-page"}, "Artist": {"value": "&lt;bdi&gt;&lt;a href=\"https://www.wikidata.org/wiki/Q124428562\" class=\"extiw\" title=\"d:Q124428562\"&gt;&lt;span title=\"Dutch philosopher, writer and photographer\"&gt;Sander Perquin&lt;/span&gt;&lt;/a&gt;&lt;/bdi&gt;",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"https://thumb.wikimedia.org/wikipedia/commons/thumb/c/ce/Gebouw_Museumpark_VONK_%282026%29_%281%29.jpg/1280px-Gebouw_Museumpark_VONK_%282026%29_%281%29.jpg"}, "retrieved_on": "2026-10-23"}</t>
        </is>
      </c>
    </row>
    <row r="25" ht="54" customHeight="1">
      <c r="A25" s="29" t="inlineStr">
        <is>
          <t>eindhoven:evidence:museumpark-vonk-prehistorisch-dorp-02</t>
        </is>
      </c>
      <c r="B25" s="29" t="inlineStr">
        <is>
          <t>eindhoven</t>
        </is>
      </c>
      <c r="C25" s="29" t="inlineStr">
        <is>
          <t>eindhoven:photo:museumpark-vonk-prehistorisch-dorp-02</t>
        </is>
      </c>
      <c r="D25" s="29" t="inlineStr">
        <is>
          <t>https://commons.wikimedia.org/wiki/File:Gebouw_Museumpark_VONK_(2026)_(2).jpg</t>
        </is>
      </c>
      <c r="E25" s="29" t="inlineStr">
        <is>
          <t>File:Gebouw Museumpark VONK (2026) (2).jpg</t>
        </is>
      </c>
      <c r="F25" s="29" t="inlineStr">
        <is>
          <t>Sander Perquin</t>
        </is>
      </c>
      <c r="G25" s="29" t="inlineStr">
        <is>
          <t>CC BY 4.0</t>
        </is>
      </c>
      <c r="H25" s="29" t="inlineStr">
        <is>
          <t>https://creativecommons.org/licenses/by/4.0/</t>
        </is>
      </c>
      <c r="I25" s="29" t="inlineStr">
        <is>
          <t>Creative Commons Attribution 4.0</t>
        </is>
      </c>
      <c r="J25" s="29" t="inlineStr">
        <is>
          <t>Sander Perquin · CC BY 4.0 · Wikimedia Commons</t>
        </is>
      </c>
      <c r="K25" s="29" t="n"/>
      <c r="L25" s="49" t="n">
        <v>46317</v>
      </c>
      <c r="M25" s="29" t="inlineStr">
        <is>
          <t>Bekliyor</t>
        </is>
      </c>
      <c r="N25" s="29" t="inlineStr">
        <is>
          <t>Bekliyor</t>
        </is>
      </c>
      <c r="O25" s="29" t="inlineStr">
        <is>
          <t>Fotoğraflar/eindhoven_museumpark-vonk-prehistorisch-dorp_02.jpg</t>
        </is>
      </c>
      <c r="P25" s="29" t="inlineStr">
        <is>
          <t>Eğik çatılı uzun bina, önde kum yığınları ve moloz</t>
        </is>
      </c>
      <c r="Q25" s="29" t="inlineStr">
        <is>
          <t>Bekliyor</t>
        </is>
      </c>
      <c r="R25" s="29" t="inlineStr">
        <is>
          <t>Wikimedia Commons dosya sayfasındaki lisans: CC BY 4.0</t>
        </is>
      </c>
      <c r="S25" s="29" t="n"/>
      <c r="T25" s="29" t="n"/>
      <c r="U25" s="29" t="n"/>
      <c r="V25" s="29" t="n"/>
      <c r="W25" s="29" t="inlineStr">
        <is>
          <t>{"source_url": "https://commons.wikimedia.org/wiki/File:Gebouw_Museumpark_VONK_(2026)_(2).jpg", "author": "Sander Perquin", "license": "CC BY 4.0", "license_url": "https://creativecommons.org/licenses/by/4.0/", "original_api_record": {"size": 6980367, "width": 6000, "height": 4000, "thumburl": "https://thumb.wikimedia.org/wikipedia/commons/thumb/e/e3/Gebouw_Museumpark_VONK_%282026%29_%282%29.jpg/1920px-Gebouw_Museumpark_VONK_%282026%29_%282%29.jpg?utm_source=commons.wikimedia.org&amp;utm_campaign=imageinfo&amp;utm_content=thumbnail", "thumbwidth": 1600, "thumbheight": 1067, "responsiveUrls": {"2": "https://thumb.wikimedia.org/wikipedia/commons/thumb/e/e3/Gebouw_Museumpark_VONK_%282026%29_%282%29.jpg/3840px-Gebouw_Museumpark_VONK_%282026%29_%282%29.jpg?utm_source=commons.wikimedia.org&amp;utm_campaign=imageinfo&amp;utm_content=thumbnail"}, "thumbattribs": {"src": "https://thumb.wikimedia.org/wikipedia/commons/thumb/e/e3/Gebouw_Museumpark_VONK_%282026%29_%282%29.jpg/1920px-Gebouw_Museumpark_VONK_%282026%29_%282%29.jpg?utm_source=commons.wikimedia.org&amp;utm_campaign=imageinfo&amp;utm_content=thumbnail", "decoding": "async", "loading": "lazy", "width": 1600, "height": 1067, "srcset": "https://thumb.wikimedia.org/wikipedia/commons/thumb/e/e3/Gebouw_Museumpark_VONK_%282026%29_%282%29.jpg/3840px-Gebouw_Museumpark_VONK_%282026%29_%282%29.jpg?utm_source=commons.wikimedia.org&amp;utm_campaign=imageinfo&amp;utm_content=thumbnail 2x"}, "url": "https://upload.wikimedia.org/wikipedia/commons/e/e3/Gebouw_Museumpark_VONK_%282026%29_%282%29.jpg?utm_source=commons.wikimedia.org&amp;utm_campaign=imageinfo&amp;utm_content=original", "descriptionurl": "https://commons.wikimedia.org/wiki/File:Gebouw_Museumpark_VONK_(2026)_(2).jpg", "descriptionshorturl": "https://commons.wikimedia.org/w/index.php?curid=195885233", "sha1": "92b67f2c907e82926e646a284533d674fadf3361", "extmetadata": {"DateTime": {"value": "2026-07-18 21:00:27", "source": "mediawiki-metadata", "hidden": ""}, "ObjectName": {"value": "Gebouw Museumpark VONK (2026) (2)", "source": "mediawiki-metadata"}, "CommonsMetadataExtension": {"value": 1.2, "source": "extension", "hidden": ""}, "Categories": {"value": "Self-published work|Creative Commons Attribution 4.0 missing SDC copyright license|Creative Commons Attribution missing SDC copyright status|Self-published work missing SDC copyright license|Photographs by S. Perquin|2026 photographs by S. Perquin|Photographs by S. Perquin in Eindhoven|Museumpark VONK", "source": "commons-categories", "hidden": ""}, "Assessments": {"value": "", "source": "commons-categories", "hidden": ""}, "ImageDescription": {"value": "Het gloednieuwe museumgebouw van Museumpark VONK in Eindhoven.", "source": "commons-desc-page"}, "DateTimeOriginal": {"value": "2026-07-18 13:42:28", "source": "commons-desc-page"}, "Credit": {"value": "&lt;span class=\"int-own-work\" lang=\"en\"&gt;Own work&lt;/span&gt;", "source": "commons-desc-page"}, "Artist": {"value": "&lt;bdi&gt;&lt;a href=\"https://www.wikidata.org/wiki/Q124428562\" class=\"extiw\" title=\"d:Q124428562\"&gt;&lt;span title=\"Dutch philosopher, writer and photographer\"&gt;Sander Perquin&lt;/span&gt;&lt;/a&gt;&lt;/bdi&gt;",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"https://thumb.wikimedia.org/wikipedia/commons/thumb/e/e3/Gebouw_Museumpark_VONK_%282026%29_%282%29.jpg/1280px-Gebouw_Museumpark_VONK_%282026%29_%282%29.jpg"}, "retrieved_on": "2026-10-23"}</t>
        </is>
      </c>
    </row>
    <row r="26" ht="54" customHeight="1">
      <c r="A26" s="29" t="inlineStr">
        <is>
          <t>eindhoven:evidence:museumpark-vonk-prehistorisch-dorp-03</t>
        </is>
      </c>
      <c r="B26" s="29" t="inlineStr">
        <is>
          <t>eindhoven</t>
        </is>
      </c>
      <c r="C26" s="29" t="inlineStr">
        <is>
          <t>eindhoven:photo:museumpark-vonk-prehistorisch-dorp-03</t>
        </is>
      </c>
      <c r="D26" s="29" t="inlineStr">
        <is>
          <t>https://commons.wikimedia.org/wiki/File:Gebouw_Museumpark_VONK_(2026)_(4).jpg</t>
        </is>
      </c>
      <c r="E26" s="29" t="inlineStr">
        <is>
          <t>File:Gebouw Museumpark VONK (2026) (4).jpg</t>
        </is>
      </c>
      <c r="F26" s="29" t="inlineStr">
        <is>
          <t>Sander Perquin</t>
        </is>
      </c>
      <c r="G26" s="29" t="inlineStr">
        <is>
          <t>CC BY 4.0</t>
        </is>
      </c>
      <c r="H26" s="29" t="inlineStr">
        <is>
          <t>https://creativecommons.org/licenses/by/4.0/</t>
        </is>
      </c>
      <c r="I26" s="29" t="inlineStr">
        <is>
          <t>Creative Commons Attribution 4.0</t>
        </is>
      </c>
      <c r="J26" s="29" t="inlineStr">
        <is>
          <t>Sander Perquin · CC BY 4.0 · Wikimedia Commons</t>
        </is>
      </c>
      <c r="K26" s="29" t="n"/>
      <c r="L26" s="49" t="n">
        <v>46317</v>
      </c>
      <c r="M26" s="29" t="inlineStr">
        <is>
          <t>Bekliyor</t>
        </is>
      </c>
      <c r="N26" s="29" t="inlineStr">
        <is>
          <t>Bekliyor</t>
        </is>
      </c>
      <c r="O26" s="29" t="inlineStr">
        <is>
          <t>Fotoğraflar/eindhoven_museumpark-vonk-prehistorisch-dorp_03.jpg</t>
        </is>
      </c>
      <c r="P26" s="29" t="inlineStr">
        <is>
          <t>Eğimli çatılı uzun binanın çapraz görünümü, cam cephe</t>
        </is>
      </c>
      <c r="Q26" s="29" t="inlineStr">
        <is>
          <t>Bekliyor</t>
        </is>
      </c>
      <c r="R26" s="29" t="inlineStr">
        <is>
          <t>Wikimedia Commons dosya sayfasındaki lisans: CC BY 4.0</t>
        </is>
      </c>
      <c r="S26" s="29" t="n"/>
      <c r="T26" s="29" t="n"/>
      <c r="U26" s="29" t="n"/>
      <c r="V26" s="29" t="n"/>
      <c r="W26" s="29" t="inlineStr">
        <is>
          <t>{"source_url": "https://commons.wikimedia.org/wiki/File:Gebouw_Museumpark_VONK_(2026)_(4).jpg", "author": "Sander Perquin", "license": "CC BY 4.0", "license_url": "https://creativecommons.org/licenses/by/4.0/", "original_api_record": {"size": 6546525, "width": 6000, "height": 4000, "thumburl": "https://thumb.wikimedia.org/wikipedia/commons/thumb/c/c8/Gebouw_Museumpark_VONK_%282026%29_%284%29.jpg/1920px-Gebouw_Museumpark_VONK_%282026%29_%284%29.jpg?utm_source=commons.wikimedia.org&amp;utm_campaign=imageinfo&amp;utm_content=thumbnail", "thumbwidth": 1600, "thumbheight": 1067, "responsiveUrls": {"2": "https://thumb.wikimedia.org/wikipedia/commons/thumb/c/c8/Gebouw_Museumpark_VONK_%282026%29_%284%29.jpg/3840px-Gebouw_Museumpark_VONK_%282026%29_%284%29.jpg?utm_source=commons.wikimedia.org&amp;utm_campaign=imageinfo&amp;utm_content=thumbnail"}, "thumbattribs": {"src": "https://thumb.wikimedia.org/wikipedia/commons/thumb/c/c8/Gebouw_Museumpark_VONK_%282026%29_%284%29.jpg/1920px-Gebouw_Museumpark_VONK_%282026%29_%284%29.jpg?utm_source=commons.wikimedia.org&amp;utm_campaign=imageinfo&amp;utm_content=thumbnail", "decoding": "async", "loading": "lazy", "width": 1600, "height": 1067, "srcset": "https://thumb.wikimedia.org/wikipedia/commons/thumb/c/c8/Gebouw_Museumpark_VONK_%282026%29_%284%29.jpg/3840px-Gebouw_Museumpark_VONK_%282026%29_%284%29.jpg?utm_source=commons.wikimedia.org&amp;utm_campaign=imageinfo&amp;utm_content=thumbnail 2x"}, "url": "https://upload.wikimedia.org/wikipedia/commons/c/c8/Gebouw_Museumpark_VONK_%282026%29_%284%29.jpg?utm_source=commons.wikimedia.org&amp;utm_campaign=imageinfo&amp;utm_content=original", "descriptionurl": "https://commons.wikimedia.org/wiki/File:Gebouw_Museumpark_VONK_(2026)_(4).jpg", "descriptionshorturl": "https://commons.wikimedia.org/w/index.php?curid=195885237", "sha1": "87173cf89545a706821eb4522ba06461b0103c49", "extmetadata": {"DateTime": {"value": "2026-07-18 21:00:30", "source": "mediawiki-metadata", "hidden": ""}, "ObjectName": {"value": "Gebouw Museumpark VONK (2026) (4)", "source": "mediawiki-metadata"}, "CommonsMetadataExtension": {"value": 1.2, "source": "extension", "hidden": ""}, "Categories": {"value": "Self-published work|Creative Commons Attribution 4.0 missing SDC copyright license|Creative Commons Attribution missing SDC copyright status|Self-published work missing SDC copyright license|Photographs by S. Perquin|2026 photographs by S. Perquin|Photographs by S. Perquin in Eindhoven|Museumpark VONK", "source": "commons-categories", "hidden": ""}, "Assessments": {"value": "", "source": "commons-categories", "hidden": ""}, "ImageDescription": {"value": "Het gloednieuwe museumgebouw van Museumpark VONK in Eindhoven.", "source": "commons-desc-page"}, "DateTimeOriginal": {"value": "2026-07-18 13:43:45", "source": "commons-desc-page"}, "Credit": {"value": "&lt;span class=\"int-own-work\" lang=\"en\"&gt;Own work&lt;/span&gt;", "source": "commons-desc-page"}, "Artist": {"value": "&lt;bdi&gt;&lt;a href=\"https://www.wikidata.org/wiki/Q124428562\" class=\"extiw\" title=\"d:Q124428562\"&gt;&lt;span title=\"Dutch philosopher, writer and photographer\"&gt;Sander Perquin&lt;/span&gt;&lt;/a&gt;&lt;/bdi&gt;",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"https://thumb.wikimedia.org/wikipedia/commons/thumb/c/c8/Gebouw_Museumpark_VONK_%282026%29_%284%29.jpg/1280px-Gebouw_Museumpark_VONK_%282026%29_%284%29.jpg"}, "retrieved_on": "2026-10-23"}</t>
        </is>
      </c>
    </row>
    <row r="27" ht="54" customHeight="1">
      <c r="A27" s="29" t="inlineStr">
        <is>
          <t>eindhoven:evidence:kevn-kelderman-en-van-noort-01</t>
        </is>
      </c>
      <c r="B27" s="29" t="inlineStr">
        <is>
          <t>eindhoven</t>
        </is>
      </c>
      <c r="C27" s="29" t="inlineStr">
        <is>
          <t>eindhoven:photo:kevn-kelderman-en-van-noort-01</t>
        </is>
      </c>
      <c r="D27" s="29" t="inlineStr">
        <is>
          <t>https://commons.wikimedia.org/wiki/File:RM518797_Galileistraat_2,_Eindhoven.jpg</t>
        </is>
      </c>
      <c r="E27" s="29" t="inlineStr">
        <is>
          <t>File:RM518797 Galileistraat 2, Eindhoven.jpg</t>
        </is>
      </c>
      <c r="F27" s="29" t="inlineStr">
        <is>
          <t>Rosemoon</t>
        </is>
      </c>
      <c r="G27" s="29" t="inlineStr">
        <is>
          <t>CC BY-SA 4.0</t>
        </is>
      </c>
      <c r="H27" s="29" t="inlineStr">
        <is>
          <t>https://creativecommons.org/licenses/by-sa/4.0/</t>
        </is>
      </c>
      <c r="I27" s="29" t="inlineStr">
        <is>
          <t>Creative Commons Attribution-Share Alike 4.0</t>
        </is>
      </c>
      <c r="J27" s="29" t="inlineStr">
        <is>
          <t>Rosemoon · CC BY-SA 4.0 · Wikimedia Commons</t>
        </is>
      </c>
      <c r="K27" s="29" t="n"/>
      <c r="L27" s="49" t="n">
        <v>46317</v>
      </c>
      <c r="M27" s="29" t="inlineStr">
        <is>
          <t>Bekliyor</t>
        </is>
      </c>
      <c r="N27" s="29" t="inlineStr">
        <is>
          <t>Bekliyor</t>
        </is>
      </c>
      <c r="O27" s="29" t="inlineStr">
        <is>
          <t>Fotoğraflar/eindhoven_kevn-kelderman-en-van-noort_01.jpg</t>
        </is>
      </c>
      <c r="P27" s="29" t="inlineStr">
        <is>
          <t>Kare kuleli, kemerli mavi kapılı iki katlı tuğla bina</t>
        </is>
      </c>
      <c r="Q27" s="29" t="inlineStr">
        <is>
          <t>Bekliyor</t>
        </is>
      </c>
      <c r="R27" s="29" t="inlineStr">
        <is>
          <t>Wikimedia Commons dosya sayfasındaki lisans: CC BY-SA 4.0</t>
        </is>
      </c>
      <c r="S27" s="29" t="n"/>
      <c r="T27" s="29" t="n"/>
      <c r="U27" s="29" t="n"/>
      <c r="V27" s="29" t="n"/>
      <c r="W27" s="29" t="inlineStr">
        <is>
          <t>{"source_url": "https://commons.wikimedia.org/wiki/File:RM518797_Galileistraat_2,_Eindhoven.jpg", "author": "Rosemoon", "license": "CC BY-SA 4.0", "license_url": "https://creativecommons.org/licenses/by-sa/4.0/", "original_api_record": {"size": 7445290, "width": 6000, "height": 4000, "thumburl": "https://thumb.wikimedia.org/wikipedia/commons/thumb/0/0d/RM518797_Galileistraat_2%2C_Eindhoven.jpg/1920px-RM518797_Galileistraat_2%2C_Eindhoven.jpg?utm_source=commons.wikimedia.org&amp;utm_campaign=imageinfo&amp;utm_content=thumbnail", "thumbwidth": 1600, "thumbheight": 1067, "responsiveUrls": {"2": "https://thumb.wikimedia.org/wikipedia/commons/thumb/0/0d/RM518797_Galileistraat_2%2C_Eindhoven.jpg/3840px-RM518797_Galileistraat_2%2C_Eindhoven.jpg?utm_source=commons.wikimedia.org&amp;utm_campaign=imageinfo&amp;utm_content=thumbnail"}, "thumbattribs": {"src": "https://thumb.wikimedia.org/wikipedia/commons/thumb/0/0d/RM518797_Galileistraat_2%2C_Eindhoven.jpg/1920px-RM518797_Galileistraat_2%2C_Eindhoven.jpg?utm_source=commons.wikimedia.org&amp;utm_campaign=imageinfo&amp;utm_content=thumbnail", "decoding": "async", "loading": "lazy", "width": 1600, "height": 1067, "srcset": "https://thumb.wikimedia.org/wikipedia/commons/thumb/0/0d/RM518797_Galileistraat_2%2C_Eindhoven.jpg/3840px-RM518797_Galileistraat_2%2C_Eindhoven.jpg?utm_source=commons.wikimedia.org&amp;utm_campaign=imageinfo&amp;utm_content=thumbnail 2x"}, "url": "https://upload.wikimedia.org/wikipedia/commons/0/0d/RM518797_Galileistraat_2%2C_Eindhoven.jpg?utm_source=commons.wikimedia.org&amp;utm_campaign=imageinfo&amp;utm_content=original", "descriptionurl": "https://commons.wikimedia.org/wiki/File:RM518797_Galileistraat_2,_Eindhoven.jpg", "descriptionshorturl": "https://commons.wikimedia.org/w/index.php?curid=105337863", "sha1": "55602567de6060c681bdb6adc38779318ca4a536", "extmetadata": {"DateTime": {"value": "2021-05-15 14:45:08", "source": "mediawiki-metadata", "hidden": ""}, "ObjectName": {"value": "RM518797 Galileistraat 2, Eindhoven", "source": "mediawiki-metadata"}, "CommonsMetadataExtension": {"value": 1.2, "source": "extension", "hidden": ""}, "Categories": {"value": "Uploaded with pattypan|Rijksmonumenten in Eindhoven|Rijksmonumenten with known IDs|Rijksmonumenten missing SDC inception", "source": "commons-categories", "hidden": ""}, "Assessments": {"value": "", "source": "commons-categories", "hidden": ""}, "GPSLatitude": {"value": "51.450368", "source": "commons-desc-page"}, "GPSLongitude": {"value": "5.458630", "source": "commons-desc-page"}, "GPSMapDatum": {"value": "WGS-84", "source": "commons-desc-page", "hidden": ""}, "Artist": {"value": "&lt;div class=\"fn value\"&gt;\nRosemoon&lt;/div&gt;", "source": "commons-desc-page"}, "ImageDescription": {"value": "&lt;div class=\"description\"&gt;\nRM518797 Galileistraat 2, Eindhoven&lt;/div&gt;", "source": "commons-desc-page"}, "Credit": {"value": "&lt;span class=\"int-own-work\" lang=\"en\"&gt;Own work&lt;/span&gt;",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href=\"//creativecommons.org/licenses/by-sa/4.0/deed.en\" class=\"extiw\" title=\"creativecommons:by-sa/4.0/deed.en\"&gt;Attribution-Share Alike 4.0 International&lt;/a&gt;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style=\"display:none;\"&gt;https://creativecommons.org/licenses/by-sa/4.0&lt;/span&gt;&lt;span class=\"licensetpl_short\" style=\"display:none;\"&gt;CC BY-SA 4.0 &lt;/span&gt;&lt;span class=\"licensetpl_long\" style=\"display:none;\"&gt;Creative Commons Attribution-Share Alike 4.0 &lt;/span&gt;&lt;span class=\"licensetpl_link_req\" style=\"display:none;\"&gt;true&lt;/span&gt;&lt;span class=\"licensetpl_attr_req\" style=\"display:none;\"&gt;true&lt;/span&gt;&lt;/div&gt;&lt;/div&gt;", "source": "commons-desc-page", "hidden": ""},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"https://thumb.wikimedia.org/wikipedia/commons/thumb/0/0d/RM518797_Galileistraat_2%2C_Eindhoven.jpg/1280px-RM518797_Galileistraat_2%2C_Eindhoven.jpg"}, "retrieved_on": "2026-10-23"}</t>
        </is>
      </c>
    </row>
    <row r="28" ht="54" customHeight="1">
      <c r="A28" s="29" t="inlineStr">
        <is>
          <t>eindhoven:evidence:baltan-laboratories-01</t>
        </is>
      </c>
      <c r="B28" s="29" t="inlineStr">
        <is>
          <t>eindhoven</t>
        </is>
      </c>
      <c r="C28" s="29" t="inlineStr">
        <is>
          <t>eindhoven:photo:baltan-laboratories-01</t>
        </is>
      </c>
      <c r="D28" s="29" t="inlineStr">
        <is>
          <t>https://commons.wikimedia.org/wiki/File:NatLab_Strijp_S_Eindhoven_ingang_2.JPG</t>
        </is>
      </c>
      <c r="E28" s="29" t="inlineStr">
        <is>
          <t>File:NatLab Strijp S Eindhoven ingang 2.JPG</t>
        </is>
      </c>
      <c r="F28" s="29" t="inlineStr">
        <is>
          <t>Rosemoon</t>
        </is>
      </c>
      <c r="G28" s="29" t="inlineStr">
        <is>
          <t>CC BY-SA 3.0</t>
        </is>
      </c>
      <c r="H28" s="29" t="inlineStr">
        <is>
          <t>https://creativecommons.org/licenses/by-sa/3.0/</t>
        </is>
      </c>
      <c r="I28" s="29" t="inlineStr">
        <is>
          <t>Creative Commons Attribution-Share Alike 3.0</t>
        </is>
      </c>
      <c r="J28" s="29" t="inlineStr">
        <is>
          <t>Rosemoon · CC BY-SA 3.0 · Wikimedia Commons</t>
        </is>
      </c>
      <c r="K28" s="29" t="n"/>
      <c r="L28" s="49" t="n">
        <v>46317</v>
      </c>
      <c r="M28" s="29" t="inlineStr">
        <is>
          <t>Bekliyor</t>
        </is>
      </c>
      <c r="N28" s="29" t="inlineStr">
        <is>
          <t>Bekliyor</t>
        </is>
      </c>
      <c r="O28" s="29" t="inlineStr">
        <is>
          <t>Fotoğraflar/eindhoven_baltan-laboratories_01.jpg</t>
        </is>
      </c>
      <c r="P28" s="29" t="inlineStr">
        <is>
          <t>Sütunlar üstünde çıkıntılı üst kat, tuğla baca, modernist bina</t>
        </is>
      </c>
      <c r="Q28" s="29" t="inlineStr">
        <is>
          <t>Bekliyor</t>
        </is>
      </c>
      <c r="R28" s="29" t="inlineStr">
        <is>
          <t>Wikimedia Commons dosya sayfasındaki lisans: CC BY-SA 3.0</t>
        </is>
      </c>
      <c r="S28" s="29" t="n"/>
      <c r="T28" s="29" t="n"/>
      <c r="U28" s="29" t="n"/>
      <c r="V28" s="29" t="n"/>
      <c r="W28" s="29" t="inlineStr">
        <is>
          <t>{"source_url": "https://commons.wikimedia.org/wiki/File:NatLab_Strijp_S_Eindhoven_ingang_2.JPG", "author": "Rosemoon", "license": "CC BY-SA 3.0", "license_url": "https://creativecommons.org/licenses/by-sa/3.0/", "original_api_record": {"size": 5600768, "width": 4320, "height": 3240, "thumburl": "https://thumb.wikimedia.org/wikipedia/commons/thumb/7/70/NatLab_Strijp_S_Eindhoven_ingang_2.JPG/1920px-NatLab_Strijp_S_Eindhoven_ingang_2.JPG?utm_source=commons.wikimedia.org&amp;utm_campaign=imageinfo&amp;utm_content=thumbnail", "thumbwidth": 1600, "thumbheight": 1200, "responsiveUrls": {"2": "https://thumb.wikimedia.org/wikipedia/commons/thumb/7/70/NatLab_Strijp_S_Eindhoven_ingang_2.JPG/3840px-NatLab_Strijp_S_Eindhoven_ingang_2.JPG?utm_source=commons.wikimedia.org&amp;utm_campaign=imageinfo&amp;utm_content=thumbnail"}, "thumbattribs": {"src": "https://thumb.wikimedia.org/wikipedia/commons/thumb/7/70/NatLab_Strijp_S_Eindhoven_ingang_2.JPG/1920px-NatLab_Strijp_S_Eindhoven_ingang_2.JPG?utm_source=commons.wikimedia.org&amp;utm_campaign=imageinfo&amp;utm_content=thumbnail", "decoding": "async", "loading": "lazy", "width": 1600, "height": 1200, "srcset": "https://thumb.wikimedia.org/wikipedia/commons/thumb/7/70/NatLab_Strijp_S_Eindhoven_ingang_2.JPG/3840px-NatLab_Strijp_S_Eindhoven_ingang_2.JPG?utm_source=commons.wikimedia.org&amp;utm_campaign=imageinfo&amp;utm_content=thumbnail 2x"}, "url": "https://upload.wikimedia.org/wikipedia/commons/7/70/NatLab_Strijp_S_Eindhoven_ingang_2.JPG?utm_source=commons.wikimedia.org&amp;utm_campaign=imageinfo&amp;utm_content=original", "descriptionurl": "https://commons.wikimedia.org/wiki/File:NatLab_Strijp_S_Eindhoven_ingang_2.JPG", "descriptionshorturl": "https://commons.wikimedia.org/w/index.php?curid=21726739", "sha1": "21f61da784a1a21607303dc0722eb03753afb5d2", "extmetadata": {"DateTime": {"value": "2012-09-28 20:42:59", "source": "mediawiki-metadata", "hidden": ""}, "ObjectName": {"value": "NatLab Strijp S Eindhoven ingang 2", "source": "mediawiki-metadata"}, "CommonsMetadataExtension": {"value": 1.2, "source": "extension", "hidden": ""}, "Categories": {"value": "Taken with Panasonic Lumix DMC-TZ20|Self-published work|2012 in Eindhoven|Netherlands photographs taken on 2012-08-18|Files with coordinates missing SDC location of creation (51° N, 5° E)|NatLab Strijp S", "source": "commons-categories", "hidden": ""}, "Assessments": {"value": "", "source": "commons-categories", "hidden": ""}, "GPSLatitude": {"value": "51.445850", "source": "commons-desc-page"}, "GPSLongitude": {"value": "5.454054", "source": "commons-desc-page"}, "GPSMapDatum": {"value": "WGS-84", "source": "commons-desc-page", "hidden": ""}, "ImageDescription": {"value": "NatLab Strijp S Eindhoven ingang 2", "source": "commons-desc-page"}, "DateTimeOriginal": {"value": "2012-08-18 11:52:38",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"https://thumb.wikimedia.org/wikipedia/commons/thumb/7/70/NatLab_Strijp_S_Eindhoven_ingang_2.JPG/1280px-NatLab_Strijp_S_Eindhoven_ingang_2.JPG"}, "retrieved_on": "2026-10-23"}</t>
        </is>
      </c>
    </row>
    <row r="29" ht="54" customHeight="1">
      <c r="A29" s="29" t="inlineStr">
        <is>
          <t>eindhoven:evidence:baltan-laboratories-02</t>
        </is>
      </c>
      <c r="B29" s="29" t="inlineStr">
        <is>
          <t>eindhoven</t>
        </is>
      </c>
      <c r="C29" s="29" t="inlineStr">
        <is>
          <t>eindhoven:photo:baltan-laboratories-02</t>
        </is>
      </c>
      <c r="D29" s="29" t="inlineStr">
        <is>
          <t>https://commons.wikimedia.org/wiki/File:NatLab_Strijp_S_Eindhoven_ingang.JPG</t>
        </is>
      </c>
      <c r="E29" s="29" t="inlineStr">
        <is>
          <t>File:NatLab Strijp S Eindhoven ingang.JPG</t>
        </is>
      </c>
      <c r="F29" s="29" t="inlineStr">
        <is>
          <t>Rosemoon</t>
        </is>
      </c>
      <c r="G29" s="29" t="inlineStr">
        <is>
          <t>CC BY-SA 3.0</t>
        </is>
      </c>
      <c r="H29" s="29" t="inlineStr">
        <is>
          <t>https://creativecommons.org/licenses/by-sa/3.0/</t>
        </is>
      </c>
      <c r="I29" s="29" t="inlineStr">
        <is>
          <t>Creative Commons Attribution-Share Alike 3.0</t>
        </is>
      </c>
      <c r="J29" s="29" t="inlineStr">
        <is>
          <t>Rosemoon · CC BY-SA 3.0 · Wikimedia Commons</t>
        </is>
      </c>
      <c r="K29" s="29" t="n"/>
      <c r="L29" s="49" t="n">
        <v>46317</v>
      </c>
      <c r="M29" s="29" t="inlineStr">
        <is>
          <t>Bekliyor</t>
        </is>
      </c>
      <c r="N29" s="29" t="inlineStr">
        <is>
          <t>Bekliyor</t>
        </is>
      </c>
      <c r="O29" s="29" t="inlineStr">
        <is>
          <t>Fotoğraflar/eindhoven_baltan-laboratories_02.jpg</t>
        </is>
      </c>
      <c r="P29" s="29" t="inlineStr">
        <is>
          <t>Beton saçak altında basamaklı camlı giriş, vitrinde afiş</t>
        </is>
      </c>
      <c r="Q29" s="29" t="inlineStr">
        <is>
          <t>Bekliyor</t>
        </is>
      </c>
      <c r="R29" s="29" t="inlineStr">
        <is>
          <t>Wikimedia Commons dosya sayfasındaki lisans: CC BY-SA 3.0</t>
        </is>
      </c>
      <c r="S29" s="29" t="n"/>
      <c r="T29" s="29" t="n"/>
      <c r="U29" s="29" t="n"/>
      <c r="V29" s="29" t="n"/>
      <c r="W29" s="29" t="inlineStr">
        <is>
          <t>{"source_url": "https://commons.wikimedia.org/wiki/File:NatLab_Strijp_S_Eindhoven_ingang.JPG", "author": "Rosemoon", "license": "CC BY-SA 3.0", "license_url": "https://creativecommons.org/licenses/by-sa/3.0/", "original_api_record": {"size": 5760000, "width": 4320, "height": 3240, "thumburl": "https://thumb.wikimedia.org/wikipedia/commons/thumb/d/d3/NatLab_Strijp_S_Eindhoven_ingang.JPG/1920px-NatLab_Strijp_S_Eindhoven_ingang.JPG?utm_source=commons.wikimedia.org&amp;utm_campaign=imageinfo&amp;utm_content=thumbnail", "thumbwidth": 1600, "thumbheight": 1200, "responsiveUrls": {"2": "https://thumb.wikimedia.org/wikipedia/commons/thumb/d/d3/NatLab_Strijp_S_Eindhoven_ingang.JPG/3840px-NatLab_Strijp_S_Eindhoven_ingang.JPG?utm_source=commons.wikimedia.org&amp;utm_campaign=imageinfo&amp;utm_content=thumbnail"}, "thumbattribs": {"src": "https://thumb.wikimedia.org/wikipedia/commons/thumb/d/d3/NatLab_Strijp_S_Eindhoven_ingang.JPG/1920px-NatLab_Strijp_S_Eindhoven_ingang.JPG?utm_source=commons.wikimedia.org&amp;utm_campaign=imageinfo&amp;utm_content=thumbnail", "decoding": "async", "loading": "lazy", "width": 1600, "height": 1200, "srcset": "https://thumb.wikimedia.org/wikipedia/commons/thumb/d/d3/NatLab_Strijp_S_Eindhoven_ingang.JPG/3840px-NatLab_Strijp_S_Eindhoven_ingang.JPG?utm_source=commons.wikimedia.org&amp;utm_campaign=imageinfo&amp;utm_content=thumbnail 2x"}, "url": "https://upload.wikimedia.org/wikipedia/commons/d/d3/NatLab_Strijp_S_Eindhoven_ingang.JPG?utm_source=commons.wikimedia.org&amp;utm_campaign=imageinfo&amp;utm_content=original", "descriptionurl": "https://commons.wikimedia.org/wiki/File:NatLab_Strijp_S_Eindhoven_ingang.JPG", "descriptionshorturl": "https://commons.wikimedia.org/w/index.php?curid=21726738", "sha1": "2fcab80516fc29400353f045eec214abecf59a65", "extmetadata": {"DateTime": {"value": "2012-09-28 20:42:57", "source": "mediawiki-metadata", "hidden": ""}, "ObjectName": {"value": "NatLab Strijp S Eindhoven ingang", "source": "mediawiki-metadata"}, "CommonsMetadataExtension": {"value": 1.2, "source": "extension", "hidden": ""}, "Categories": {"value": "Taken with Panasonic Lumix DMC-TZ20|Self-published work|2012 in Eindhoven|Netherlands photographs taken on 2012-08-18|Files with coordinates missing SDC location of creation (51° N, 5° E)|NatLab Strijp S", "source": "commons-categories", "hidden": ""}, "Assessments": {"value": "", "source": "commons-categories", "hidden": ""}, "GPSLatitude": {"value": "51.445850", "source": "commons-desc-page"}, "GPSLongitude": {"value": "5.454054", "source": "commons-desc-page"}, "GPSMapDatum": {"value": "WGS-84", "source": "commons-desc-page", "hidden": ""}, "ImageDescription": {"value": "NatLab Strijp S ingang", "source": "commons-desc-page"}, "DateTimeOriginal": {"value": "2012-08-18 11:52:01",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"https://thumb.wikimedia.org/wikipedia/commons/thumb/d/d3/NatLab_Strijp_S_Eindhoven_ingang.JPG/1280px-NatLab_Strijp_S_Eindhoven_ingang.JPG"}, "retrieved_on": "2026-10-23"}</t>
        </is>
      </c>
    </row>
    <row r="30" ht="54" customHeight="1">
      <c r="A30" s="29" t="inlineStr">
        <is>
          <t>eindhoven:evidence:muziekgebouw-eindhoven-01</t>
        </is>
      </c>
      <c r="B30" s="29" t="inlineStr">
        <is>
          <t>eindhoven</t>
        </is>
      </c>
      <c r="C30" s="29" t="inlineStr">
        <is>
          <t>eindhoven:photo:muziekgebouw-eindhoven-01</t>
        </is>
      </c>
      <c r="D30" s="29" t="inlineStr">
        <is>
          <t>https://commons.wikimedia.org/wiki/File:Grote_Zaal_Muziekgebouw_Eindhoven_door_Bram_Saeys.jpg</t>
        </is>
      </c>
      <c r="E30" s="29" t="inlineStr">
        <is>
          <t>File:Grote Zaal Muziekgebouw Eindhoven door Bram Saeys.jpg</t>
        </is>
      </c>
      <c r="F30" s="29" t="inlineStr">
        <is>
          <t>Marketingmuziekgebouweindhoven</t>
        </is>
      </c>
      <c r="G30" s="29" t="inlineStr">
        <is>
          <t>CC BY-SA 4.0</t>
        </is>
      </c>
      <c r="H30" s="29" t="inlineStr">
        <is>
          <t>https://creativecommons.org/licenses/by-sa/4.0/</t>
        </is>
      </c>
      <c r="I30" s="29" t="inlineStr">
        <is>
          <t>Creative Commons Attribution-Share Alike 4.0</t>
        </is>
      </c>
      <c r="J30" s="29" t="inlineStr">
        <is>
          <t>Marketingmuziekgebouweindhoven · CC BY-SA 4.0 · Wikimedia Commons</t>
        </is>
      </c>
      <c r="K30" s="29" t="n"/>
      <c r="L30" s="49" t="n">
        <v>46317</v>
      </c>
      <c r="M30" s="29" t="inlineStr">
        <is>
          <t>Bekliyor</t>
        </is>
      </c>
      <c r="N30" s="29" t="inlineStr">
        <is>
          <t>Bekliyor</t>
        </is>
      </c>
      <c r="O30" s="29" t="inlineStr">
        <is>
          <t>Fotoğraflar/eindhoven_muziekgebouw-eindhoven_01.jpg</t>
        </is>
      </c>
      <c r="P30" s="29" t="inlineStr">
        <is>
          <t>Yukarıdan konser salonu: sahnede orkestra, kademeli ahşap balkonlar, dolu seyirci sıraları</t>
        </is>
      </c>
      <c r="Q30" s="29" t="inlineStr">
        <is>
          <t>Bekliyor</t>
        </is>
      </c>
      <c r="R30" s="29" t="inlineStr">
        <is>
          <t>Wikimedia Commons dosya sayfasındaki lisans: CC BY-SA 4.0</t>
        </is>
      </c>
      <c r="S30" s="29" t="n"/>
      <c r="T30" s="29" t="n"/>
      <c r="U30" s="29" t="n"/>
      <c r="V30" s="29" t="n"/>
      <c r="W30" s="29" t="inlineStr">
        <is>
          <t>{"source_url": "https://commons.wikimedia.org/wiki/File:Grote_Zaal_Muziekgebouw_Eindhoven_door_Bram_Saeys.jpg", "author": "Marketingmuziekgebouweindhoven", "license": "CC BY-SA 4.0", "license_url": "https://creativecommons.org/licenses/by-sa/4.0/", "original_api_record": {"size": 8143146, "width": 4896, "height": 3264, "thumburl": "https://thumb.wikimedia.org/wikipedia/commons/thumb/5/59/Grote_Zaal_Muziekgebouw_Eindhoven_door_Bram_Saeys.jpg/1920px-Grote_Zaal_Muziekgebouw_Eindhoven_door_Bram_Saeys.jpg?utm_source=commons.wikimedia.org&amp;utm_campaign=imageinfo&amp;utm_content=thumbnail", "thumbwidth": 1600, "thumbheight": 1067, "responsiveUrls": {"2": "https://thumb.wikimedia.org/wikipedia/commons/thumb/5/59/Grote_Zaal_Muziekgebouw_Eindhoven_door_Bram_Saeys.jpg/3840px-Grote_Zaal_Muziekgebouw_Eindhoven_door_Bram_Saeys.jpg?utm_source=commons.wikimedia.org&amp;utm_campaign=imageinfo&amp;utm_content=thumbnail"}, "thumbattribs": {"src": "https://thumb.wikimedia.org/wikipedia/commons/thumb/5/59/Grote_Zaal_Muziekgebouw_Eindhoven_door_Bram_Saeys.jpg/1920px-Grote_Zaal_Muziekgebouw_Eindhoven_door_Bram_Saeys.jpg?utm_source=commons.wikimedia.org&amp;utm_campaign=imageinfo&amp;utm_content=thumbnail", "decoding": "async", "loading": "lazy", "width": 1600, "height": 1067, "srcset": "https://thumb.wikimedia.org/wikipedia/commons/thumb/5/59/Grote_Zaal_Muziekgebouw_Eindhoven_door_Bram_Saeys.jpg/3840px-Grote_Zaal_Muziekgebouw_Eindhoven_door_Bram_Saeys.jpg?utm_source=commons.wikimedia.org&amp;utm_campaign=imageinfo&amp;utm_content=thumbnail 2x"}, "url": "https://upload.wikimedia.org/wikipedia/commons/5/59/Grote_Zaal_Muziekgebouw_Eindhoven_door_Bram_Saeys.jpg?utm_source=commons.wikimedia.org&amp;utm_campaign=imageinfo&amp;utm_content=original", "descriptionurl": "https://commons.wikimedia.org/wiki/File:Grote_Zaal_Muziekgebouw_Eindhoven_door_Bram_Saeys.jpg", "descriptionshorturl": "https://commons.wikimedia.org/w/index.php?curid=138645316", "sha1": "d74dcc204e925c8fdf0520b7ff7b78cb90cb6788", "extmetadata": {"DateTime": {"value": "2023-10-09 13:03:17", "source": "mediawiki-metadata", "hidden": ""}, "ObjectName": {"value": "Grote Zaal Muziekgebouw Eindhoven door Bram Saeys", "source": "mediawiki-metadata"}, "CommonsMetadataExtension": {"value": 1.2, "source": "extension", "hidden": ""}, "Categories": {"value": "Orchestras|Self-published work|2010 in Eindhoven|Netherlands photographs taken on 2010-10-16|Muziekgebouw Eindhoven", "source": "commons-categories", "hidden": ""}, "Assessments": {"value": "", "source": "commons-categories", "hidden": ""}, "ImageDescription": {"value": "Dit is een foto van de grote zaal van Muziekgebouw Eindhoven, genomen van bovenaf.", "source": "commons-desc-page"}, "DateTimeOriginal": {"value": "2010-10-16 21:40:59", "source": "commons-desc-page"}, "Credit": {"value": "Bram Saeys", "source": "commons-desc-page"}, "Artist": {"value": "&lt;a href=\"//commons.wikimedia.org/w/index.php?title=User:Marketingmuziekgebouweindhoven&amp;amp;action=edit&amp;amp;redlink=1\" class=\"new\" title=\"User:Marketingmuziekgebouweindhoven (page does not exist)\"&gt;Marketingmuziekgebouweindhoven&lt;/a&gt;",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"https://thumb.wikimedia.org/wikipedia/commons/thumb/5/59/Grote_Zaal_Muziekgebouw_Eindhoven_door_Bram_Saeys.jpg/1280px-Grote_Zaal_Muziekgebouw_Eindhoven_door_Bram_Saeys.jpg"}, "retrieved_on": "2026-10-23"}</t>
        </is>
      </c>
    </row>
    <row r="31" ht="54" customHeight="1">
      <c r="A31" s="29" t="inlineStr">
        <is>
          <t>eindhoven:evidence:muziekgebouw-eindhoven-02</t>
        </is>
      </c>
      <c r="B31" s="29" t="inlineStr">
        <is>
          <t>eindhoven</t>
        </is>
      </c>
      <c r="C31" s="29" t="inlineStr">
        <is>
          <t>eindhoven:photo:muziekgebouw-eindhoven-02</t>
        </is>
      </c>
      <c r="D31" s="29" t="inlineStr">
        <is>
          <t>https://commons.wikimedia.org/wiki/File:MuziekcentrumFritsPhilipsEindhoven.JPG</t>
        </is>
      </c>
      <c r="E31" s="29" t="inlineStr">
        <is>
          <t>File:MuziekcentrumFritsPhilipsEindhoven.JPG</t>
        </is>
      </c>
      <c r="F31" s="29" t="inlineStr">
        <is>
          <t>Mark Bergsma</t>
        </is>
      </c>
      <c r="G31" s="29" t="inlineStr">
        <is>
          <t>CC BY-SA 3.0</t>
        </is>
      </c>
      <c r="H31" s="29" t="inlineStr">
        <is>
          <t>https://creativecommons.org/licenses/by-sa/3.0/</t>
        </is>
      </c>
      <c r="I31" s="29" t="inlineStr">
        <is>
          <t>Creative Commons Attribution-Share Alike 3.0</t>
        </is>
      </c>
      <c r="J31" s="29" t="inlineStr">
        <is>
          <t>Mark Bergsma · CC BY-SA 3.0 · Wikimedia Commons</t>
        </is>
      </c>
      <c r="K31" s="29" t="n"/>
      <c r="L31" s="49" t="n">
        <v>46317</v>
      </c>
      <c r="M31" s="29" t="inlineStr">
        <is>
          <t>Bekliyor</t>
        </is>
      </c>
      <c r="N31" s="29" t="inlineStr">
        <is>
          <t>Bekliyor</t>
        </is>
      </c>
      <c r="O31" s="29" t="inlineStr">
        <is>
          <t>Fotoğraflar/eindhoven_muziekgebouw-eindhoven_02.jpg</t>
        </is>
      </c>
      <c r="P31" s="29" t="inlineStr">
        <is>
          <t>Bej taş sütunlu yüksek cephe, solda camlı pasaj girişi, önde turuncu şemsiyeli teras</t>
        </is>
      </c>
      <c r="Q31" s="29" t="inlineStr">
        <is>
          <t>Bekliyor</t>
        </is>
      </c>
      <c r="R31" s="29" t="inlineStr">
        <is>
          <t>Wikimedia Commons dosya sayfasındaki lisans: CC BY-SA 3.0</t>
        </is>
      </c>
      <c r="S31" s="29" t="n"/>
      <c r="T31" s="29" t="n"/>
      <c r="U31" s="29" t="n"/>
      <c r="V31" s="29" t="n"/>
      <c r="W31" s="29" t="inlineStr">
        <is>
          <t>{"source_url": "https://commons.wikimedia.org/wiki/File:MuziekcentrumFritsPhilipsEindhoven.JPG", "author": "Mark Bergsma", "license": "CC BY-SA 3.0", "license_url": "https://creativecommons.org/licenses/by-sa/3.0/", "original_api_record": {"size": 4309280, "width": 3968, "height": 2232, "thumburl": "https://thumb.wikimedia.org/wikipedia/commons/thumb/7/74/MuziekcentrumFritsPhilipsEindhoven.JPG/1920px-MuziekcentrumFritsPhilipsEindhoven.JPG?utm_source=commons.wikimedia.org&amp;utm_campaign=imageinfo&amp;utm_content=thumbnail", "thumbwidth": 1600, "thumbheight": 900, "responsiveUrls": {"2": "https://thumb.wikimedia.org/wikipedia/commons/thumb/7/74/MuziekcentrumFritsPhilipsEindhoven.JPG/3840px-MuziekcentrumFritsPhilipsEindhoven.JPG?utm_source=commons.wikimedia.org&amp;utm_campaign=imageinfo&amp;utm_content=thumbnail"}, "thumbattribs": {"src": "https://thumb.wikimedia.org/wikipedia/commons/thumb/7/74/MuziekcentrumFritsPhilipsEindhoven.JPG/1920px-MuziekcentrumFritsPhilipsEindhoven.JPG?utm_source=commons.wikimedia.org&amp;utm_campaign=imageinfo&amp;utm_content=thumbnail", "decoding": "async", "loading": "lazy", "width": 1600, "height": 900, "srcset": "https://thumb.wikimedia.org/wikipedia/commons/thumb/7/74/MuziekcentrumFritsPhilipsEindhoven.JPG/3840px-MuziekcentrumFritsPhilipsEindhoven.JPG?utm_source=commons.wikimedia.org&amp;utm_campaign=imageinfo&amp;utm_content=thumbnail 2x"}, "url": "https://upload.wikimedia.org/wikipedia/commons/7/74/MuziekcentrumFritsPhilipsEindhoven.JPG?utm_source=commons.wikimedia.org&amp;utm_campaign=imageinfo&amp;utm_content=original", "descriptionurl": "https://commons.wikimedia.org/wiki/File:MuziekcentrumFritsPhilipsEindhoven.JPG", "descriptionshorturl": "https://commons.wikimedia.org/w/index.php?curid=7858424", "sha1": "f592cf89dbb6593f593c0cd2503e787c388f065a", "extmetadata": {"DateTime": {"value": "2009-09-20 21:17:40", "source": "mediawiki-metadata", "hidden": ""}, "ObjectName": {"value": "MuziekcentrumFritsPhilipsEindhoven", "source": "mediawiki-metadata"}, "CommonsMetadataExtension": {"value": 1.2, "source": "extension", "hidden": ""}, "Categories": {"value": "GFDL|Taken with Panasonic Lumix DMC-LX3|License migration redundant|Self-published work|Muziekgebouw Eindhoven", "source": "commons-categories", "hidden": ""}, "Assessments": {"value": "", "source": "commons-categories", "hidden": ""}, "ImageDescription": {"value": "Ingang muziekcentrum Frits Philips in Eindhoven", "source": "commons-desc-page"}, "DateTimeOriginal": {"value": "2009-09-20",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"https://thumb.wikimedia.org/wikipedia/commons/thumb/7/74/MuziekcentrumFritsPhilipsEindhoven.JPG/1280px-MuziekcentrumFritsPhilipsEindhoven.JPG"}, "retrieved_on": "2026-10-23"}</t>
        </is>
      </c>
    </row>
    <row r="32" ht="54" customHeight="1">
      <c r="A32" s="29" t="inlineStr">
        <is>
          <t>eindhoven:evidence:parktheater-eindhoven-01</t>
        </is>
      </c>
      <c r="B32" s="29" t="inlineStr">
        <is>
          <t>eindhoven</t>
        </is>
      </c>
      <c r="C32" s="29" t="inlineStr">
        <is>
          <t>eindhoven:photo:parktheater-eindhoven-01</t>
        </is>
      </c>
      <c r="D32" s="29" t="inlineStr">
        <is>
          <t>https://commons.wikimedia.org/wiki/File:13-06-29-eindhoven-50mm-52.jpg</t>
        </is>
      </c>
      <c r="E32" s="29" t="inlineStr">
        <is>
          <t>File:13-06-29-eindhoven-50mm-52.jpg</t>
        </is>
      </c>
      <c r="F32" s="29" t="inlineStr">
        <is>
          <t>Ralf Roletschek</t>
        </is>
      </c>
      <c r="G32" s="29" t="inlineStr">
        <is>
          <t>CC BY 3.0</t>
        </is>
      </c>
      <c r="H32" s="29" t="inlineStr">
        <is>
          <t>https://creativecommons.org/licenses/by/3.0/</t>
        </is>
      </c>
      <c r="I32" s="29" t="inlineStr">
        <is>
          <t>Creative Commons Attribution 3.0</t>
        </is>
      </c>
      <c r="J32" s="29" t="inlineStr">
        <is>
          <t>Ralf Roletschek · CC BY 3.0 · Wikimedia Commons</t>
        </is>
      </c>
      <c r="K32" s="29" t="n"/>
      <c r="L32" s="49" t="n">
        <v>46317</v>
      </c>
      <c r="M32" s="29" t="inlineStr">
        <is>
          <t>Bekliyor</t>
        </is>
      </c>
      <c r="N32" s="29" t="inlineStr">
        <is>
          <t>Bekliyor</t>
        </is>
      </c>
      <c r="O32" s="29" t="inlineStr">
        <is>
          <t>Fotoğraflar/eindhoven_parktheater-eindhoven_01.jpg</t>
        </is>
      </c>
      <c r="P32" s="29" t="inlineStr">
        <is>
          <t>Cam cepheli fuaye ve üstte 'PARKTHEATER' yazılı gri sahne kulesi</t>
        </is>
      </c>
      <c r="Q32" s="29" t="inlineStr">
        <is>
          <t>Bekliyor</t>
        </is>
      </c>
      <c r="R32" s="29" t="inlineStr">
        <is>
          <t>Wikimedia Commons dosya sayfasındaki lisans: CC BY 3.0</t>
        </is>
      </c>
      <c r="S32" s="29" t="n"/>
      <c r="T32" s="29" t="n"/>
      <c r="U32" s="29" t="n"/>
      <c r="V32" s="29" t="n"/>
      <c r="W32" s="29" t="inlineStr">
        <is>
          <t>{"source_url": "https://commons.wikimedia.org/wiki/File:13-06-29-eindhoven-50mm-52.jpg", "author": "Ralf Roletschek", "license": "CC BY 3.0", "license_url": "https://creativecommons.org/licenses/by/3.0/", "original_api_record": {"size": 8128509, "width": 4288, "height": 2848, "thumburl": "https://thumb.wikimedia.org/wikipedia/commons/thumb/b/b8/13-06-29-eindhoven-50mm-52.jpg/1920px-13-06-29-eindhoven-50mm-52.jpg?utm_source=commons.wikimedia.org&amp;utm_campaign=imageinfo&amp;utm_content=thumbnail", "thumbwidth": 1600, "thumbheight": 1063, "responsiveUrls": {"2": "https://thumb.wikimedia.org/wikipedia/commons/thumb/b/b8/13-06-29-eindhoven-50mm-52.jpg/3840px-13-06-29-eindhoven-50mm-52.jpg?utm_source=commons.wikimedia.org&amp;utm_campaign=imageinfo&amp;utm_content=thumbnail"}, "thumbattribs": {"src": "https://thumb.wikimedia.org/wikipedia/commons/thumb/b/b8/13-06-29-eindhoven-50mm-52.jpg/1920px-13-06-29-eindhoven-50mm-52.jpg?utm_source=commons.wikimedia.org&amp;utm_campaign=imageinfo&amp;utm_content=thumbnail", "decoding": "async", "loading": "lazy", "width": 1600, "height": 1063, "srcset": "https://thumb.wikimedia.org/wikipedia/commons/thumb/b/b8/13-06-29-eindhoven-50mm-52.jpg/3840px-13-06-29-eindhoven-50mm-52.jpg?utm_source=commons.wikimedia.org&amp;utm_campaign=imageinfo&amp;utm_content=thumbnail 2x"}, "url": "https://upload.wikimedia.org/wikipedia/commons/b/b8/13-06-29-eindhoven-50mm-52.jpg?utm_source=commons.wikimedia.org&amp;utm_campaign=imageinfo&amp;utm_content=original", "descriptionurl": "https://commons.wikimedia.org/wiki/File:13-06-29-eindhoven-50mm-52.jpg", "descriptionshorturl": "https://commons.wikimedia.org/w/index.php?curid=26959970", "sha1": "3ca66aad9eb6e3555f4f4a9d12eeb4456da35096", "extmetadata": {"DateTime": {"value": "2013-06-29 21:21:15", "source": "mediawiki-metadata", "hidden": ""}, "ObjectName": {"value": "13-06-29-eindhoven-50mm-52", "source": "mediawiki-metadata"}, "CommonsMetadataExtension": {"value": 1.2, "source": "extension", "hidden": ""}, "Categories": {"value": "GFDL|Taken with Nikon D300s|Culture of Eindhoven|License migration redundant|Parktheater Eindhoven|Self-published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"51.429753", "source": "commons-desc-page"}, "GPSLongitude": {"value": "5.484240", "source": "commons-desc-page"}, "GPSMapDatum": {"value": "WGS-84", "source": "commons-desc-page", "hidden": ""}, "ImageDescription": {"value": "Eindhoven, Niederlande, 2013", "source": "commons-desc-page"}, "DateTimeOriginal": {"value": "2013-06-29 17:02:57",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"https://thumb.wikimedia.org/wikipedia/commons/thumb/b/b8/13-06-29-eindhoven-50mm-52.jpg/1280px-13-06-29-eindhoven-50mm-52.jpg"}, "retrieved_on": "2026-10-23"}</t>
        </is>
      </c>
    </row>
    <row r="33" ht="54" customHeight="1">
      <c r="A33" s="29" t="inlineStr">
        <is>
          <t>eindhoven:evidence:parktheater-eindhoven-02</t>
        </is>
      </c>
      <c r="B33" s="29" t="inlineStr">
        <is>
          <t>eindhoven</t>
        </is>
      </c>
      <c r="C33" s="29" t="inlineStr">
        <is>
          <t>eindhoven:photo:parktheater-eindhoven-02</t>
        </is>
      </c>
      <c r="D33" s="29" t="inlineStr">
        <is>
          <t>https://commons.wikimedia.org/wiki/File:13-06-29-eindhoven-50mm-53.jpg</t>
        </is>
      </c>
      <c r="E33" s="29" t="inlineStr">
        <is>
          <t>File:13-06-29-eindhoven-50mm-53.jpg</t>
        </is>
      </c>
      <c r="F33" s="29" t="inlineStr">
        <is>
          <t>Ralf Roletschek</t>
        </is>
      </c>
      <c r="G33" s="29" t="inlineStr">
        <is>
          <t>CC BY 3.0</t>
        </is>
      </c>
      <c r="H33" s="29" t="inlineStr">
        <is>
          <t>https://creativecommons.org/licenses/by/3.0/</t>
        </is>
      </c>
      <c r="I33" s="29" t="inlineStr">
        <is>
          <t>Creative Commons Attribution 3.0</t>
        </is>
      </c>
      <c r="J33" s="29" t="inlineStr">
        <is>
          <t>Ralf Roletschek · CC BY 3.0 · Wikimedia Commons</t>
        </is>
      </c>
      <c r="K33" s="29" t="n"/>
      <c r="L33" s="49" t="n">
        <v>46317</v>
      </c>
      <c r="M33" s="29" t="inlineStr">
        <is>
          <t>Bekliyor</t>
        </is>
      </c>
      <c r="N33" s="29" t="inlineStr">
        <is>
          <t>Bekliyor</t>
        </is>
      </c>
      <c r="O33" s="29" t="inlineStr">
        <is>
          <t>Fotoğraflar/eindhoven_parktheater-eindhoven_02.jpg</t>
        </is>
      </c>
      <c r="P33" s="29" t="inlineStr">
        <is>
          <t>Kavşağın karşısından tiyatronun geniş görünümü: uzun cam fuaye, yazılı sahne kulesi</t>
        </is>
      </c>
      <c r="Q33" s="29" t="inlineStr">
        <is>
          <t>Bekliyor</t>
        </is>
      </c>
      <c r="R33" s="29" t="inlineStr">
        <is>
          <t>Wikimedia Commons dosya sayfasındaki lisans: CC BY 3.0</t>
        </is>
      </c>
      <c r="S33" s="29" t="n"/>
      <c r="T33" s="29" t="n"/>
      <c r="U33" s="29" t="n"/>
      <c r="V33" s="29" t="n"/>
      <c r="W33" s="29" t="inlineStr">
        <is>
          <t>{"source_url": "https://commons.wikimedia.org/wiki/File:13-06-29-eindhoven-50mm-53.jpg", "author": "Ralf Roletschek", "license": "CC BY 3.0", "license_url": "https://creativecommons.org/licenses/by/3.0/", "original_api_record": {"size": 8223774, "width": 4288, "height": 2848, "thumburl": "https://thumb.wikimedia.org/wikipedia/commons/thumb/0/02/13-06-29-eindhoven-50mm-53.jpg/1920px-13-06-29-eindhoven-50mm-53.jpg?utm_source=commons.wikimedia.org&amp;utm_campaign=imageinfo&amp;utm_content=thumbnail", "thumbwidth": 1600, "thumbheight": 1063, "responsiveUrls": {"2": "https://thumb.wikimedia.org/wikipedia/commons/thumb/0/02/13-06-29-eindhoven-50mm-53.jpg/3840px-13-06-29-eindhoven-50mm-53.jpg?utm_source=commons.wikimedia.org&amp;utm_campaign=imageinfo&amp;utm_content=thumbnail"}, "thumbattribs": {"src": "https://thumb.wikimedia.org/wikipedia/commons/thumb/0/02/13-06-29-eindhoven-50mm-53.jpg/1920px-13-06-29-eindhoven-50mm-53.jpg?utm_source=commons.wikimedia.org&amp;utm_campaign=imageinfo&amp;utm_content=thumbnail", "decoding": "async", "loading": "lazy", "width": 1600, "height": 1063, "srcset": "https://thumb.wikimedia.org/wikipedia/commons/thumb/0/02/13-06-29-eindhoven-50mm-53.jpg/3840px-13-06-29-eindhoven-50mm-53.jpg?utm_source=commons.wikimedia.org&amp;utm_campaign=imageinfo&amp;utm_content=thumbnail 2x"}, "url": "https://upload.wikimedia.org/wikipedia/commons/0/02/13-06-29-eindhoven-50mm-53.jpg?utm_source=commons.wikimedia.org&amp;utm_campaign=imageinfo&amp;utm_content=original", "descriptionurl": "https://commons.wikimedia.org/wiki/File:13-06-29-eindhoven-50mm-53.jpg", "descriptionshorturl": "https://commons.wikimedia.org/w/index.php?curid=26959977", "sha1": "f0e51c9f9983e4d8878b87b4ac5778be3ff06ec0", "extmetadata": {"DateTime": {"value": "2013-06-29 21:21:52", "source": "mediawiki-metadata", "hidden": ""}, "ObjectName": {"value": "13-06-29-eindhoven-50mm-53", "source": "mediawiki-metadata"}, "CommonsMetadataExtension": {"value": 1.2, "source": "extension", "hidden": ""}, "Categories": {"value": "GFDL|Taken with Nikon D300s|License migration redundant|Parktheater Eindhoven|Self-published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"51.429753", "source": "commons-desc-page"}, "GPSLongitude": {"value": "5.484240", "source": "commons-desc-page"}, "GPSMapDatum": {"value": "WGS-84", "source": "commons-desc-page", "hidden": ""}, "ImageDescription": {"value": "Eindhoven, Niederlande, 2013", "source": "commons-desc-page"}, "DateTimeOriginal": {"value": "2013-06-29 17:03:07",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"https://thumb.wikimedia.org/wikipedia/commons/thumb/0/02/13-06-29-eindhoven-50mm-53.jpg/1280px-13-06-29-eindhoven-50mm-53.jpg"}, "retrieved_on": "2026-10-23"}</t>
        </is>
      </c>
    </row>
    <row r="34" ht="54" customHeight="1">
      <c r="A34" s="29" t="inlineStr">
        <is>
          <t>eindhoven:evidence:natlab-01</t>
        </is>
      </c>
      <c r="B34" s="29" t="inlineStr">
        <is>
          <t>eindhoven</t>
        </is>
      </c>
      <c r="C34" s="29" t="inlineStr">
        <is>
          <t>eindhoven:photo:natlab-01</t>
        </is>
      </c>
      <c r="D34" s="29" t="inlineStr">
        <is>
          <t>https://commons.wikimedia.org/wiki/File:0772GM0277_Natlab_Eindhoven.jpg</t>
        </is>
      </c>
      <c r="E34" s="29" t="inlineStr">
        <is>
          <t>File:0772GM0277 Natlab Eindhoven.jpg</t>
        </is>
      </c>
      <c r="F34" s="29" t="inlineStr">
        <is>
          <t>Johan Bakker</t>
        </is>
      </c>
      <c r="G34" s="29" t="inlineStr">
        <is>
          <t>CC BY-SA 4.0</t>
        </is>
      </c>
      <c r="H34" s="29" t="inlineStr">
        <is>
          <t>https://creativecommons.org/licenses/by-sa/4.0/</t>
        </is>
      </c>
      <c r="I34" s="29" t="inlineStr">
        <is>
          <t>Creative Commons Attribution-Share Alike 4.0</t>
        </is>
      </c>
      <c r="J34" s="29" t="inlineStr">
        <is>
          <t>Johan Bakker · CC BY-SA 4.0 · Wikimedia Commons</t>
        </is>
      </c>
      <c r="K34" s="29" t="n"/>
      <c r="L34" s="49" t="n">
        <v>46317</v>
      </c>
      <c r="M34" s="29" t="inlineStr">
        <is>
          <t>Bekliyor</t>
        </is>
      </c>
      <c r="N34" s="29" t="inlineStr">
        <is>
          <t>Bekliyor</t>
        </is>
      </c>
      <c r="O34" s="29" t="inlineStr">
        <is>
          <t>Fotoğraflar/eindhoven_natlab_01.jpg</t>
        </is>
      </c>
      <c r="P34" s="29" t="inlineStr">
        <is>
          <t>Tuğla cepheli, köşesinde yüksek pencereli kübik bölümü olan uzun bina; önde çit ve yol</t>
        </is>
      </c>
      <c r="Q34" s="29" t="inlineStr">
        <is>
          <t>Bekliyor</t>
        </is>
      </c>
      <c r="R34" s="29" t="inlineStr">
        <is>
          <t>Wikimedia Commons dosya sayfasındaki lisans: CC BY-SA 4.0</t>
        </is>
      </c>
      <c r="S34" s="29" t="n"/>
      <c r="T34" s="29" t="n"/>
      <c r="U34" s="29" t="n"/>
      <c r="V34" s="29" t="n"/>
      <c r="W34" s="29" t="inlineStr">
        <is>
          <t>{"source_url": "https://commons.wikimedia.org/wiki/File:0772GM0277_Natlab_Eindhoven.jpg", "author": "Johan Bakker", "license": "CC BY-SA 4.0", "license_url": "https://creativecommons.org/licenses/by-sa/4.0/", "original_api_record": {"size": 4807199, "width": 3000, "height": 2000, "thumburl": "https://thumb.wikimedia.org/wikipedia/commons/thumb/4/49/0772GM0277_Natlab_Eindhoven.jpg/1920px-0772GM0277_Natlab_Eindhoven.jpg?utm_source=commons.wikimedia.org&amp;utm_campaign=imageinfo&amp;utm_content=thumbnail", "thumbwidth": 1600, "thumbheight": 1067, "responsiveUrls": {"2": "https://upload.wikimedia.org/wikipedia/commons/4/49/0772GM0277_Natlab_Eindhoven.jpg?utm_source=commons.wikimedia.org&amp;utm_campaign=imageinfo&amp;utm_content=thumbnail_unscaled"}, "thumbattribs": {"src": "https://thumb.wikimedia.org/wikipedia/commons/thumb/4/49/0772GM0277_Natlab_Eindhoven.jpg/1920px-0772GM0277_Natlab_Eindhoven.jpg?utm_source=commons.wikimedia.org&amp;utm_campaign=imageinfo&amp;utm_content=thumbnail", "decoding": "async", "loading": "lazy", "width": 1600, "height": 1067, "srcset": "https://upload.wikimedia.org/wikipedia/commons/4/49/0772GM0277_Natlab_Eindhoven.jpg?utm_source=commons.wikimedia.org&amp;utm_campaign=imageinfo&amp;utm_content=thumbnail_unscaled 2x"}, "url": "https://upload.wikimedia.org/wikipedia/commons/4/49/0772GM0277_Natlab_Eindhoven.jpg?utm_source=commons.wikimedia.org&amp;utm_campaign=imageinfo&amp;utm_content=original", "descriptionurl": "https://commons.wikimedia.org/wiki/File:0772GM0277_Natlab_Eindhoven.jpg", "descriptionshorturl": "https://commons.wikimedia.org/w/index.php?curid=62144011", "sha1": "e72c8ba4fb7608c77fa8d00a15a69e569aae871d", "extmetadata": {"DateTime": {"value": "2017-09-03 15:28:14", "source": "mediawiki-metadata", "hidden": ""}, "ObjectName": {"value": "0772GM0277 Natlab Eindhoven", "source": "mediawiki-metadata"}, "CommonsMetadataExtension": {"value": 1.2, "source": "extension", "hidden": ""}, "Categories": {"value": "Gemeentelijke monumenten in Eindhoven|Self-published work|Images from Wiki Loves Monuments 2017|Gemeentelijke monumenten with known IDs|Uploaded via Campaign:wlm-nl-gemeente|Images from Wiki Loves Monuments 2017 in the Netherlands|Netherlands photographs taken on 2017-07-06|New images from Wiki Loves Monuments 2017 in the Netherlands", "source": "commons-categories", "hidden": ""}, "Assessments": {"value": "", "source": "commons-categories", "hidden": ""}, "ImageDescription": {"value": "This is an image of a municipal monument in Eindhoven with number", "source": "commons-desc-page"}, "DateTimeOriginal": {"value": "2017-07-06 10:49:19",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"https://thumb.wikimedia.org/wikipedia/commons/thumb/4/49/0772GM0277_Natlab_Eindhoven.jpg/1280px-0772GM0277_Natlab_Eindhoven.jpg"}, "retrieved_on": "2026-10-23"}</t>
        </is>
      </c>
    </row>
    <row r="35" ht="54" customHeight="1">
      <c r="A35" s="29" t="inlineStr">
        <is>
          <t>eindhoven:evidence:natlab-02</t>
        </is>
      </c>
      <c r="B35" s="29" t="inlineStr">
        <is>
          <t>eindhoven</t>
        </is>
      </c>
      <c r="C35" s="29" t="inlineStr">
        <is>
          <t>eindhoven:photo:natlab-02</t>
        </is>
      </c>
      <c r="D35" s="29" t="inlineStr">
        <is>
          <t>https://commons.wikimedia.org/wiki/File:NatLab_Strijp_S_Eindhoven_gevelplaquette.JPG</t>
        </is>
      </c>
      <c r="E35" s="29" t="inlineStr">
        <is>
          <t>File:NatLab Strijp S Eindhoven gevelplaquette.JPG</t>
        </is>
      </c>
      <c r="F35" s="29" t="inlineStr">
        <is>
          <t>Rosemoon</t>
        </is>
      </c>
      <c r="G35" s="29" t="inlineStr">
        <is>
          <t>CC BY-SA 3.0</t>
        </is>
      </c>
      <c r="H35" s="29" t="inlineStr">
        <is>
          <t>https://creativecommons.org/licenses/by-sa/3.0/</t>
        </is>
      </c>
      <c r="I35" s="29" t="inlineStr">
        <is>
          <t>Creative Commons Attribution-Share Alike 3.0</t>
        </is>
      </c>
      <c r="J35" s="29" t="inlineStr">
        <is>
          <t>Rosemoon · CC BY-SA 3.0 · Wikimedia Commons</t>
        </is>
      </c>
      <c r="K35" s="29" t="n"/>
      <c r="L35" s="49" t="n">
        <v>46317</v>
      </c>
      <c r="M35" s="29" t="inlineStr">
        <is>
          <t>Bekliyor</t>
        </is>
      </c>
      <c r="N35" s="29" t="inlineStr">
        <is>
          <t>Bekliyor</t>
        </is>
      </c>
      <c r="O35" s="29" t="inlineStr">
        <is>
          <t>Fotoğraflar/eindhoven_natlab_02.jpg</t>
        </is>
      </c>
      <c r="P35" s="29" t="inlineStr">
        <is>
          <t>Tuğla duvarda 'Natuurkundig Laboratorium N.V. Philips' Gloeilampenfabrieken 1923' yazılı plaket</t>
        </is>
      </c>
      <c r="Q35" s="29" t="inlineStr">
        <is>
          <t>Bekliyor</t>
        </is>
      </c>
      <c r="R35" s="29" t="inlineStr">
        <is>
          <t>Wikimedia Commons dosya sayfasındaki lisans: CC BY-SA 3.0</t>
        </is>
      </c>
      <c r="S35" s="29" t="n"/>
      <c r="T35" s="29" t="n"/>
      <c r="U35" s="29" t="n"/>
      <c r="V35" s="29" t="n"/>
      <c r="W35" s="29" t="inlineStr">
        <is>
          <t>{"source_url": "https://commons.wikimedia.org/wiki/File:NatLab_Strijp_S_Eindhoven_gevelplaquette.JPG", "author": "Rosemoon", "license": "CC BY-SA 3.0", "license_url": "https://creativecommons.org/licenses/by-sa/3.0/", "original_api_record": {"size": 4808727, "width": 3240, "height": 4320, "thumburl": "https://thumb.wikimedia.org/wikipedia/commons/thumb/f/f4/NatLab_Strijp_S_Eindhoven_gevelplaquette.JPG/1920px-NatLab_Strijp_S_Eindhoven_gevelplaquette.JPG?utm_source=commons.wikimedia.org&amp;utm_campaign=imageinfo&amp;utm_content=thumbnail", "thumbwidth": 1600, "thumbheight": 2133, "responsiveUrls": {"2": "https://upload.wikimedia.org/wikipedia/commons/f/f4/NatLab_Strijp_S_Eindhoven_gevelplaquette.JPG?utm_source=commons.wikimedia.org&amp;utm_campaign=imageinfo&amp;utm_content=thumbnail_unscaled"}, "thumbattribs": {"src": "https://thumb.wikimedia.org/wikipedia/commons/thumb/f/f4/NatLab_Strijp_S_Eindhoven_gevelplaquette.JPG/1920px-NatLab_Strijp_S_Eindhoven_gevelplaquette.JPG?utm_source=commons.wikimedia.org&amp;utm_campaign=imageinfo&amp;utm_content=thumbnail", "decoding": "async", "loading": "lazy", "width": 1600, "height": 2133, "srcset": "https://upload.wikimedia.org/wikipedia/commons/f/f4/NatLab_Strijp_S_Eindhoven_gevelplaquette.JPG?utm_source=commons.wikimedia.org&amp;utm_campaign=imageinfo&amp;utm_content=thumbnail_unscaled 2x"}, "url": "https://upload.wikimedia.org/wikipedia/commons/f/f4/NatLab_Strijp_S_Eindhoven_gevelplaquette.JPG?utm_source=commons.wikimedia.org&amp;utm_campaign=imageinfo&amp;utm_content=original", "descriptionurl": "https://commons.wikimedia.org/wiki/File:NatLab_Strijp_S_Eindhoven_gevelplaquette.JPG", "descriptionshorturl": "https://commons.wikimedia.org/w/index.php?curid=21726737", "sha1": "4c028b6604256c9a7254766f9aece251cfe1eb0d", "extmetadata": {"DateTime": {"value": "2012-09-28 20:42:57", "source": "mediawiki-metadata", "hidden": ""}, "ObjectName": {"value": "NatLab Strijp S Eindhoven gevelplaquette", "source": "mediawiki-metadata"}, "CommonsMetadataExtension": {"value": 1.2, "source": "extension", "hidden": ""}, "Categories": {"value": "Taken with Panasonic Lumix DMC-TZ20|Self-published work|2012 in Eindhoven|Netherlands photographs taken on 2012-08-18|Files with coordinates missing SDC location of creation (51° N, 5° E)|NatLab Strijp S|Monuments and memorials to NatLab", "source": "commons-categories", "hidden": ""}, "Assessments": {"value": "", "source": "commons-categories", "hidden": ""}, "GPSLatitude": {"value": "51.445850", "source": "commons-desc-page"}, "GPSLongitude": {"value": "5.454054", "source": "commons-desc-page"}, "GPSMapDatum": {"value": "WGS-84", "source": "commons-desc-page", "hidden": ""}, "ImageDescription": {"value": "NatLab Strijp S Eindhoven gevelplaquette", "source": "commons-desc-page"}, "DateTimeOriginal": {"value": "2012-08-18 11:50:38",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"https://thumb.wikimedia.org/wikipedia/commons/thumb/f/f4/NatLab_Strijp_S_Eindhoven_gevelplaquette.JPG/1280px-NatLab_Strijp_S_Eindhoven_gevelplaquette.JPG"}, "retrieved_on": "2026-10-23"}</t>
        </is>
      </c>
    </row>
    <row r="36" ht="54" customHeight="1">
      <c r="A36" s="29" t="inlineStr">
        <is>
          <t>eindhoven:evidence:pathe-eindhoven-01</t>
        </is>
      </c>
      <c r="B36" s="29" t="inlineStr">
        <is>
          <t>eindhoven</t>
        </is>
      </c>
      <c r="C36" s="29" t="inlineStr">
        <is>
          <t>eindhoven:photo:pathe-eindhoven-01</t>
        </is>
      </c>
      <c r="D36" s="29" t="inlineStr">
        <is>
          <t>https://commons.wikimedia.org/wiki/File:13-06-29-eindhoven-50mm-26.jpg</t>
        </is>
      </c>
      <c r="E36" s="29" t="inlineStr">
        <is>
          <t>File:13-06-29-eindhoven-50mm-26.jpg</t>
        </is>
      </c>
      <c r="F36" s="29" t="inlineStr">
        <is>
          <t>Ralf Roletschek</t>
        </is>
      </c>
      <c r="G36" s="29" t="inlineStr">
        <is>
          <t>CC BY 3.0</t>
        </is>
      </c>
      <c r="H36" s="29" t="inlineStr">
        <is>
          <t>https://creativecommons.org/licenses/by/3.0/</t>
        </is>
      </c>
      <c r="I36" s="29" t="inlineStr">
        <is>
          <t>Creative Commons Attribution 3.0</t>
        </is>
      </c>
      <c r="J36" s="29" t="inlineStr">
        <is>
          <t>Ralf Roletschek · CC BY 3.0 · Wikimedia Commons</t>
        </is>
      </c>
      <c r="K36" s="29" t="n"/>
      <c r="L36" s="49" t="n">
        <v>46317</v>
      </c>
      <c r="M36" s="29" t="inlineStr">
        <is>
          <t>Bekliyor</t>
        </is>
      </c>
      <c r="N36" s="29" t="inlineStr">
        <is>
          <t>Bekliyor</t>
        </is>
      </c>
      <c r="O36" s="29" t="inlineStr">
        <is>
          <t>Fotoğraflar/eindhoven_pathe-eindhoven_01.jpg</t>
        </is>
      </c>
      <c r="P36" s="29" t="inlineStr">
        <is>
          <t>Cam cepheli binanın köşesinde büyük sarı Pathé logosu ve mavi IMAX yazısı</t>
        </is>
      </c>
      <c r="Q36" s="29" t="inlineStr">
        <is>
          <t>Bekliyor</t>
        </is>
      </c>
      <c r="R36" s="29" t="inlineStr">
        <is>
          <t>Wikimedia Commons dosya sayfasındaki lisans: CC BY 3.0</t>
        </is>
      </c>
      <c r="S36" s="29" t="n"/>
      <c r="T36" s="29" t="n"/>
      <c r="U36" s="29" t="n"/>
      <c r="V36" s="29" t="n"/>
      <c r="W36" s="29" t="inlineStr">
        <is>
          <t>{"source_url": "https://commons.wikimedia.org/wiki/File:13-06-29-eindhoven-50mm-26.jpg", "author": "Ralf Roletschek", "license": "CC BY 3.0", "license_url": "https://creativecommons.org/licenses/by/3.0/", "original_api_record": {"size": 5402160, "width": 2848, "height": 4288, "thumburl": "https://thumb.wikimedia.org/wikipedia/commons/thumb/9/99/13-06-29-eindhoven-50mm-26.jpg/1920px-13-06-29-eindhoven-50mm-26.jpg?utm_source=commons.wikimedia.org&amp;utm_campaign=imageinfo&amp;utm_content=thumbnail", "thumbwidth": 1600, "thumbheight": 2409, "responsiveUrls": {"2": "https://upload.wikimedia.org/wikipedia/commons/9/99/13-06-29-eindhoven-50mm-26.jpg?utm_source=commons.wikimedia.org&amp;utm_campaign=imageinfo&amp;utm_content=thumbnail_unscaled"}, "thumbattribs": {"src": "https://thumb.wikimedia.org/wikipedia/commons/thumb/9/99/13-06-29-eindhoven-50mm-26.jpg/1920px-13-06-29-eindhoven-50mm-26.jpg?utm_source=commons.wikimedia.org&amp;utm_campaign=imageinfo&amp;utm_content=thumbnail", "decoding": "async", "loading": "lazy", "width": 1600, "height": 2409, "srcset": "https://upload.wikimedia.org/wikipedia/commons/9/99/13-06-29-eindhoven-50mm-26.jpg?utm_source=commons.wikimedia.org&amp;utm_campaign=imageinfo&amp;utm_content=thumbnail_unscaled 2x"}, "url": "https://upload.wikimedia.org/wikipedia/commons/9/99/13-06-29-eindhoven-50mm-26.jpg?utm_source=commons.wikimedia.org&amp;utm_campaign=imageinfo&amp;utm_content=original", "descriptionurl": "https://commons.wikimedia.org/wiki/File:13-06-29-eindhoven-50mm-26.jpg", "descriptionshorturl": "https://commons.wikimedia.org/w/index.php?curid=26959658", "sha1": "5a1bc192442e4693b2eb7b1eb8d2f20813ef46f2", "extmetadata": {"DateTime": {"value": "2013-06-29 21:05:48", "source": "mediawiki-metadata", "hidden": ""}, "ObjectName": {"value": "13-06-29-eindhoven-50mm-26", "source": "mediawiki-metadata"}, "CommonsMetadataExtension": {"value": 1.2, "source": "extension", "hidden": ""}, "Categories": {"value": "GFDL|Taken with Nikon D300s|License migration redundant|Pathé Eindhoven|Self-published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"51.440905", "source": "commons-desc-page"}, "GPSLongitude": {"value": "5.480118", "source": "commons-desc-page"}, "GPSMapDatum": {"value": "WGS-84", "source": "commons-desc-page", "hidden": ""}, "ImageDescription": {"value": "Eindhoven, Niederlande, 2013", "source": "commons-desc-page"}, "DateTimeOriginal": {"value": "2013-06-29 16:39:21", "source": "commons-desc-page"}, "Credit": {"value": "&lt;span class=\"int-own-work\" lang=\"en\"&gt;Own work&lt;/span&gt;", "source": "commons-desc-page"}, "Artist": {"value": "&lt;bdi&gt;&lt;a rel=\"mw:WikiLink/Interwiki\" href=\"https://www.wikidata.org/wiki/Q15080600\" title=\"d:Q15080600\" class=\"extiw\"&gt;&lt;span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"https://thumb.wikimedia.org/wikipedia/commons/thumb/9/99/13-06-29-eindhoven-50mm-26.jpg/1280px-13-06-29-eindhoven-50mm-26.jpg"}, "retrieved_on": "2026-10-23"}</t>
        </is>
      </c>
    </row>
    <row r="37" ht="54" customHeight="1">
      <c r="A37" s="29" t="inlineStr">
        <is>
          <t>eindhoven:evidence:pathe-eindhoven-02</t>
        </is>
      </c>
      <c r="B37" s="29" t="inlineStr">
        <is>
          <t>eindhoven</t>
        </is>
      </c>
      <c r="C37" s="29" t="inlineStr">
        <is>
          <t>eindhoven:photo:pathe-eindhoven-02</t>
        </is>
      </c>
      <c r="D37" s="29" t="inlineStr">
        <is>
          <t>https://commons.wikimedia.org/wiki/File:Pathe_Eindhoven.JPG</t>
        </is>
      </c>
      <c r="E37" s="29" t="inlineStr">
        <is>
          <t>File:Pathe Eindhoven.JPG</t>
        </is>
      </c>
      <c r="F37" s="29" t="inlineStr">
        <is>
          <t>Rosemoon</t>
        </is>
      </c>
      <c r="G37" s="29" t="inlineStr">
        <is>
          <t>CC BY-SA 3.0</t>
        </is>
      </c>
      <c r="H37" s="29" t="inlineStr">
        <is>
          <t>https://creativecommons.org/licenses/by-sa/3.0/</t>
        </is>
      </c>
      <c r="I37" s="29" t="inlineStr">
        <is>
          <t>Creative Commons Attribution-Share Alike 3.0</t>
        </is>
      </c>
      <c r="J37" s="29" t="inlineStr">
        <is>
          <t>Rosemoon · CC BY-SA 3.0 · Wikimedia Commons</t>
        </is>
      </c>
      <c r="K37" s="29" t="n"/>
      <c r="L37" s="49" t="n">
        <v>46317</v>
      </c>
      <c r="M37" s="29" t="inlineStr">
        <is>
          <t>Bekliyor</t>
        </is>
      </c>
      <c r="N37" s="29" t="inlineStr">
        <is>
          <t>Bekliyor</t>
        </is>
      </c>
      <c r="O37" s="29" t="inlineStr">
        <is>
          <t>Fotoğraflar/eindhoven_pathe-eindhoven_02.jpg</t>
        </is>
      </c>
      <c r="P37" s="29" t="inlineStr">
        <is>
          <t>Meydandan cam kuleli sinema binası: sarı logo, IMAX yazısı, altta giriş ve teraslar</t>
        </is>
      </c>
      <c r="Q37" s="29" t="inlineStr">
        <is>
          <t>Bekliyor</t>
        </is>
      </c>
      <c r="R37" s="29" t="inlineStr">
        <is>
          <t>Wikimedia Commons dosya sayfasındaki lisans: CC BY-SA 3.0</t>
        </is>
      </c>
      <c r="S37" s="29" t="n"/>
      <c r="T37" s="29" t="n"/>
      <c r="U37" s="29" t="n"/>
      <c r="V37" s="29" t="n"/>
      <c r="W37" s="29" t="inlineStr">
        <is>
          <t>{"source_url": "https://commons.wikimedia.org/wiki/File:Pathe_Eindhoven.JPG", "author": "Rosemoon", "license": "CC BY-SA 3.0", "license_url": "https://creativecommons.org/licenses/by-sa/3.0/", "original_api_record": {"size": 5507072, "width": 4320, "height": 3240, "thumburl": "https://thumb.wikimedia.org/wikipedia/commons/thumb/d/d1/Pathe_Eindhoven.JPG/1920px-Pathe_Eindhoven.JPG?utm_source=commons.wikimedia.org&amp;utm_campaign=imageinfo&amp;utm_content=thumbnail", "thumbwidth": 1600, "thumbheight": 1200, "responsiveUrls": {"2": "https://thumb.wikimedia.org/wikipedia/commons/thumb/d/d1/Pathe_Eindhoven.JPG/3840px-Pathe_Eindhoven.JPG?utm_source=commons.wikimedia.org&amp;utm_campaign=imageinfo&amp;utm_content=thumbnail"}, "thumbattribs": {"src": "https://thumb.wikimedia.org/wikipedia/commons/thumb/d/d1/Pathe_Eindhoven.JPG/1920px-Pathe_Eindhoven.JPG?utm_source=commons.wikimedia.org&amp;utm_campaign=imageinfo&amp;utm_content=thumbnail", "decoding": "async", "loading": "lazy", "width": 1600, "height": 1200, "srcset": "https://thumb.wikimedia.org/wikipedia/commons/thumb/d/d1/Pathe_Eindhoven.JPG/3840px-Pathe_Eindhoven.JPG?utm_source=commons.wikimedia.org&amp;utm_campaign=imageinfo&amp;utm_content=thumbnail 2x"}, "url": "https://upload.wikimedia.org/wikipedia/commons/d/d1/Pathe_Eindhoven.JPG?utm_source=commons.wikimedia.org&amp;utm_campaign=imageinfo&amp;utm_content=original", "descriptionurl": "https://commons.wikimedia.org/wiki/File:Pathe_Eindhoven.JPG", "descriptionshorturl": "https://commons.wikimedia.org/w/index.php?curid=21314051", "sha1": "f3910f354bdd1aca2ad455b2cac364ae43b0db28", "extmetadata": {"DateTime": {"value": "2012-09-13 19:15:10", "source": "mediawiki-metadata", "hidden": ""}, "ObjectName": {"value": "Pathe Eindhoven", "source": "mediawiki-metadata"}, "CommonsMetadataExtension": {"value": 1.2, "source": "extension", "hidden": ""}, "Categories": {"value": "Taken with Panasonic Lumix DMC-TZ20|Pathé Eindhoven|Self-published work|2012 in Eindhoven|Netherlands photographs taken on 2012-09-09|Files with coordinates missing SDC location of creation (51° N, 5° E)", "source": "commons-categories", "hidden": ""}, "Assessments": {"value": "", "source": "commons-categories", "hidden": ""}, "GPSLatitude": {"value": "51.440881", "source": "commons-desc-page"}, "GPSLongitude": {"value": "5.480292", "source": "commons-desc-page"}, "GPSMapDatum": {"value": "WGS-84", "source": "commons-desc-page", "hidden": ""}, "ImageDescription": {"value": "Cinema Pathe in Eindhoven", "source": "commons-desc-page"}, "DateTimeOriginal": {"value": "2012-09-09 16:45:52", "source": "commons-desc-page"}, "Credit": {"value": "&lt;span class=\"int-own-work\" lang=\"en\"&gt;Own work&lt;/span&gt;", "source": "commons-desc-page"}, "Artist": {"value": "&lt;a rel=\"mw:WikiLink\" href=\"https://commons.wikimedia.org/wiki/User:Rosemoon\"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"https://thumb.wikimedia.org/wikipedia/commons/thumb/d/d1/Pathe_Eindhoven.JPG/1280px-Pathe_Eindhoven.JPG"}, "retrieved_on": "2026-10-23"}</t>
        </is>
      </c>
    </row>
    <row r="38" ht="54" customHeight="1">
      <c r="A38" s="29" t="inlineStr">
        <is>
          <t>eindhoven:evidence:dynamo-01</t>
        </is>
      </c>
      <c r="B38" s="29" t="inlineStr">
        <is>
          <t>eindhoven</t>
        </is>
      </c>
      <c r="C38" s="29" t="inlineStr">
        <is>
          <t>eindhoven:photo:dynamo-01</t>
        </is>
      </c>
      <c r="D38" s="29" t="inlineStr">
        <is>
          <t>https://commons.wikimedia.org/wiki/File:Dynamo_Eindhoven_2.JPG</t>
        </is>
      </c>
      <c r="E38" s="29" t="inlineStr">
        <is>
          <t>File:Dynamo Eindhoven 2.JPG</t>
        </is>
      </c>
      <c r="F38" s="29" t="inlineStr">
        <is>
          <t>Rosemoon</t>
        </is>
      </c>
      <c r="G38" s="29" t="inlineStr">
        <is>
          <t>CC BY-SA 3.0</t>
        </is>
      </c>
      <c r="H38" s="29" t="inlineStr">
        <is>
          <t>https://creativecommons.org/licenses/by-sa/3.0/</t>
        </is>
      </c>
      <c r="I38" s="29" t="inlineStr">
        <is>
          <t>Creative Commons Attribution-Share Alike 3.0</t>
        </is>
      </c>
      <c r="J38" s="29" t="inlineStr">
        <is>
          <t>Rosemoon · CC BY-SA 3.0 · Wikimedia Commons</t>
        </is>
      </c>
      <c r="K38" s="29" t="n"/>
      <c r="L38" s="49" t="n">
        <v>46317</v>
      </c>
      <c r="M38" s="29" t="inlineStr">
        <is>
          <t>Bekliyor</t>
        </is>
      </c>
      <c r="N38" s="29" t="inlineStr">
        <is>
          <t>Bekliyor</t>
        </is>
      </c>
      <c r="O38" s="29" t="inlineStr">
        <is>
          <t>Fotoğraflar/eindhoven_dynamo_01.jpg</t>
        </is>
      </c>
      <c r="P38" s="29" t="inlineStr">
        <is>
          <t>Ağaçlar ardında gri-kahverengi panel cepheli bina, üstte kabartma 'DYNAMO' harfleri</t>
        </is>
      </c>
      <c r="Q38" s="29" t="inlineStr">
        <is>
          <t>Bekliyor</t>
        </is>
      </c>
      <c r="R38" s="29" t="inlineStr">
        <is>
          <t>Wikimedia Commons dosya sayfasındaki lisans: CC BY-SA 3.0</t>
        </is>
      </c>
      <c r="S38" s="29" t="n"/>
      <c r="T38" s="29" t="n"/>
      <c r="U38" s="29" t="n"/>
      <c r="V38" s="29" t="n"/>
      <c r="W38" s="29" t="inlineStr">
        <is>
          <t>{"source_url": "https://commons.wikimedia.org/wiki/File:Dynamo_Eindhoven_2.JPG", "author": "Rosemoon", "license": "CC BY-SA 3.0", "license_url": "https://creativecommons.org/licenses/by-sa/3.0/", "original_api_record": {"size": 5681152, "width": 4320, "height": 3240, "thumburl": "https://thumb.wikimedia.org/wikipedia/commons/thumb/5/5b/Dynamo_Eindhoven_2.JPG/1920px-Dynamo_Eindhoven_2.JPG?utm_source=commons.wikimedia.org&amp;utm_campaign=imageinfo&amp;utm_content=thumbnail", "thumbwidth": 1600, "thumbheight": 1200, "responsiveUrls": {"2": "https://thumb.wikimedia.org/wikipedia/commons/thumb/5/5b/Dynamo_Eindhoven_2.JPG/3840px-Dynamo_Eindhoven_2.JPG?utm_source=commons.wikimedia.org&amp;utm_campaign=imageinfo&amp;utm_content=thumbnail"}, "thumbattribs": {"src": "https://thumb.wikimedia.org/wikipedia/commons/thumb/5/5b/Dynamo_Eindhoven_2.JPG/1920px-Dynamo_Eindhoven_2.JPG?utm_source=commons.wikimedia.org&amp;utm_campaign=imageinfo&amp;utm_content=thumbnail", "decoding": "async", "loading": "lazy", "width": 1600, "height": 1200, "srcset": "https://thumb.wikimedia.org/wikipedia/commons/thumb/5/5b/Dynamo_Eindhoven_2.JPG/3840px-Dynamo_Eindhoven_2.JPG?utm_source=commons.wikimedia.org&amp;utm_campaign=imageinfo&amp;utm_content=thumbnail 2x"}, "url": "https://upload.wikimedia.org/wikipedia/commons/5/5b/Dynamo_Eindhoven_2.JPG?utm_source=commons.wikimedia.org&amp;utm_campaign=imageinfo&amp;utm_content=original", "descriptionurl": "https://commons.wikimedia.org/wiki/File:Dynamo_Eindhoven_2.JPG", "descriptionshorturl": "https://commons.wikimedia.org/w/index.php?curid=21285756", "sha1": "7b1ccd0873e0f5df03ea19d7c8ac341e6ba9aab2", "extmetadata": {"DateTime": {"value": "2012-09-12 19:39:47", "source": "mediawiki-metadata", "hidden": ""}, "ObjectName": {"value": "Dynamo Eindhoven 2", "source": "mediawiki-metadata"}, "CommonsMetadataExtension": {"value": 1.2, "source": "extension", "hidden": ""}, "Categories": {"value": "Taken with Panasonic Lumix DMC-TZ20|Culture of Eindhoven|Self-published work|2012 in Eindhoven|Netherlands photographs taken on 2012-09-09|Files with coordinates missing SDC location of creation (51° N, 5° E)", "source": "commons-categories", "hidden": ""}, "Assessments": {"value": "", "source": "commons-categories", "hidden": ""}, "GPSLatitude": {"value": "51.437694", "source": "commons-desc-page"}, "GPSLongitude": {"value": "5.480390", "source": "commons-desc-page"}, "GPSMapDatum": {"value": "WGS-84", "source": "commons-desc-page", "hidden": ""}, "ImageDescription": {"value": "jongerencentrum Dynamo Eindhoven", "source": "commons-desc-page"}, "DateTimeOriginal": {"value": "2012-09-09 15:54:08",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"https://thumb.wikimedia.org/wikipedia/commons/thumb/5/5b/Dynamo_Eindhoven_2.JPG/1280px-Dynamo_Eindhoven_2.JPG"}, "retrieved_on": "2026-10-23"}</t>
        </is>
      </c>
    </row>
    <row r="39" ht="54" customHeight="1">
      <c r="A39" s="29" t="inlineStr">
        <is>
          <t>eindhoven:evidence:dynamo-02</t>
        </is>
      </c>
      <c r="B39" s="29" t="inlineStr">
        <is>
          <t>eindhoven</t>
        </is>
      </c>
      <c r="C39" s="29" t="inlineStr">
        <is>
          <t>eindhoven:photo:dynamo-02</t>
        </is>
      </c>
      <c r="D39" s="29" t="inlineStr">
        <is>
          <t>https://commons.wikimedia.org/wiki/File:Dynamo_Eindhoven.JPG</t>
        </is>
      </c>
      <c r="E39" s="29" t="inlineStr">
        <is>
          <t>File:Dynamo Eindhoven.JPG</t>
        </is>
      </c>
      <c r="F39" s="29" t="inlineStr">
        <is>
          <t>Rosemoon</t>
        </is>
      </c>
      <c r="G39" s="29" t="inlineStr">
        <is>
          <t>CC BY-SA 3.0</t>
        </is>
      </c>
      <c r="H39" s="29" t="inlineStr">
        <is>
          <t>https://creativecommons.org/licenses/by-sa/3.0/</t>
        </is>
      </c>
      <c r="I39" s="29" t="inlineStr">
        <is>
          <t>Creative Commons Attribution-Share Alike 3.0</t>
        </is>
      </c>
      <c r="J39" s="29" t="inlineStr">
        <is>
          <t>Rosemoon · CC BY-SA 3.0 · Wikimedia Commons</t>
        </is>
      </c>
      <c r="K39" s="29" t="n"/>
      <c r="L39" s="49" t="n">
        <v>46317</v>
      </c>
      <c r="M39" s="29" t="inlineStr">
        <is>
          <t>Bekliyor</t>
        </is>
      </c>
      <c r="N39" s="29" t="inlineStr">
        <is>
          <t>Bekliyor</t>
        </is>
      </c>
      <c r="O39" s="29" t="inlineStr">
        <is>
          <t>Fotoğraflar/eindhoven_dynamo_02.jpg</t>
        </is>
      </c>
      <c r="P39" s="29" t="inlineStr">
        <is>
          <t>Koyu kahverengi panelli köşeli modern bina, kırmızı çerçeveli giriş, taş meydan</t>
        </is>
      </c>
      <c r="Q39" s="29" t="inlineStr">
        <is>
          <t>Bekliyor</t>
        </is>
      </c>
      <c r="R39" s="29" t="inlineStr">
        <is>
          <t>Wikimedia Commons dosya sayfasındaki lisans: CC BY-SA 3.0</t>
        </is>
      </c>
      <c r="S39" s="29" t="n"/>
      <c r="T39" s="29" t="n"/>
      <c r="U39" s="29" t="n"/>
      <c r="V39" s="29" t="n"/>
      <c r="W39" s="29" t="inlineStr">
        <is>
          <t>{"source_url": "https://commons.wikimedia.org/wiki/File:Dynamo_Eindhoven.JPG", "author": "Rosemoon", "license": "CC BY-SA 3.0", "license_url": "https://creativecommons.org/licenses/by-sa/3.0/", "original_api_record": {"size": 4892599, "width": 3240, "height": 4320, "thumburl": "https://thumb.wikimedia.org/wikipedia/commons/thumb/5/5e/Dynamo_Eindhoven.JPG/1920px-Dynamo_Eindhoven.JPG?utm_source=commons.wikimedia.org&amp;utm_campaign=imageinfo&amp;utm_content=thumbnail", "thumbwidth": 1600, "thumbheight": 2133, "responsiveUrls": {"2": "https://upload.wikimedia.org/wikipedia/commons/5/5e/Dynamo_Eindhoven.JPG?utm_source=commons.wikimedia.org&amp;utm_campaign=imageinfo&amp;utm_content=thumbnail_unscaled"}, "thumbattribs": {"src": "https://thumb.wikimedia.org/wikipedia/commons/thumb/5/5e/Dynamo_Eindhoven.JPG/1920px-Dynamo_Eindhoven.JPG?utm_source=commons.wikimedia.org&amp;utm_campaign=imageinfo&amp;utm_content=thumbnail", "decoding": "async", "loading": "lazy", "width": 1600, "height": 2133, "srcset": "https://upload.wikimedia.org/wikipedia/commons/5/5e/Dynamo_Eindhoven.JPG?utm_source=commons.wikimedia.org&amp;utm_campaign=imageinfo&amp;utm_content=thumbnail_unscaled 2x"}, "url": "https://upload.wikimedia.org/wikipedia/commons/5/5e/Dynamo_Eindhoven.JPG?utm_source=commons.wikimedia.org&amp;utm_campaign=imageinfo&amp;utm_content=original", "descriptionurl": "https://commons.wikimedia.org/wiki/File:Dynamo_Eindhoven.JPG", "descriptionshorturl": "https://commons.wikimedia.org/w/index.php?curid=21285754", "sha1": "6ead599e1ee9456ead58284c4ebf1c04860a3ff1", "extmetadata": {"DateTime": {"value": "2012-09-12 19:39:47", "source": "mediawiki-metadata", "hidden": ""}, "ObjectName": {"value": "Dynamo Eindhoven", "source": "mediawiki-metadata"}, "CommonsMetadataExtension": {"value": 1.2, "source": "extension", "hidden": ""}, "Categories": {"value": "Taken with Panasonic Lumix DMC-TZ20|Metal Factory (Eindhoven)|Culture of Eindhoven|Self-published work|2012 in Eindhoven|Netherlands photographs taken on 2012-09-09|Files with coordinates missing SDC location of creation (51° N, 5° E)", "source": "commons-categories", "hidden": ""}, "Assessments": {"value": "", "source": "commons-categories", "hidden": ""}, "GPSLatitude": {"value": "51.437694", "source": "commons-desc-page"}, "GPSLongitude": {"value": "5.480390", "source": "commons-desc-page"}, "GPSMapDatum": {"value": "WGS-84", "source": "commons-desc-page", "hidden": ""}, "ImageDescription": {"value": "Jongerencentrum Dynamo Eindhoven", "source": "commons-desc-page"}, "DateTimeOriginal": {"value": "2012-09-09 15:53:17",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"https://thumb.wikimedia.org/wikipedia/commons/thumb/5/5e/Dynamo_Eindhoven.JPG/1280px-Dynamo_Eindhoven.JPG"}, "retrieved_on": "2026-10-23"}</t>
        </is>
      </c>
    </row>
    <row r="40" ht="54" customHeight="1">
      <c r="A40" s="29" t="inlineStr">
        <is>
          <t>eindhoven:evidence:philips-stadion-psv-01</t>
        </is>
      </c>
      <c r="B40" s="29" t="inlineStr">
        <is>
          <t>eindhoven</t>
        </is>
      </c>
      <c r="C40" s="29" t="inlineStr">
        <is>
          <t>eindhoven:photo:philips-stadion-psv-01</t>
        </is>
      </c>
      <c r="D40" s="29" t="inlineStr">
        <is>
          <t>https://commons.wikimedia.org/wiki/File:13-06-28-eindhoven-by-RalfR-75.jpg</t>
        </is>
      </c>
      <c r="E40" s="29" t="inlineStr">
        <is>
          <t>File:13-06-28-eindhoven-by-RalfR-75.jpg</t>
        </is>
      </c>
      <c r="F40" s="29" t="inlineStr">
        <is>
          <t>Ralf Roletschek</t>
        </is>
      </c>
      <c r="G40" s="29" t="inlineStr">
        <is>
          <t>CC BY 3.0</t>
        </is>
      </c>
      <c r="H40" s="29" t="inlineStr">
        <is>
          <t>https://creativecommons.org/licenses/by/3.0/</t>
        </is>
      </c>
      <c r="I40" s="29" t="inlineStr">
        <is>
          <t>Creative Commons Attribution 3.0</t>
        </is>
      </c>
      <c r="J40" s="29" t="inlineStr">
        <is>
          <t>Ralf Roletschek · CC BY 3.0 · Wikimedia Commons</t>
        </is>
      </c>
      <c r="K40" s="29" t="n"/>
      <c r="L40" s="49" t="n">
        <v>46317</v>
      </c>
      <c r="M40" s="29" t="inlineStr">
        <is>
          <t>Bekliyor</t>
        </is>
      </c>
      <c r="N40" s="29" t="inlineStr">
        <is>
          <t>Bekliyor</t>
        </is>
      </c>
      <c r="O40" s="29" t="inlineStr">
        <is>
          <t>Fotoğraflar/eindhoven_philips-stadion-psv_01.jpg</t>
        </is>
      </c>
      <c r="P40" s="29" t="inlineStr">
        <is>
          <t>Stadyumun dış cephesi, çatıyı taşıyan dev çelik kafes kirişler, arkada yüksek kule</t>
        </is>
      </c>
      <c r="Q40" s="29" t="inlineStr">
        <is>
          <t>Bekliyor</t>
        </is>
      </c>
      <c r="R40" s="29" t="inlineStr">
        <is>
          <t>Wikimedia Commons dosya sayfasındaki lisans: CC BY 3.0</t>
        </is>
      </c>
      <c r="S40" s="29" t="n"/>
      <c r="T40" s="29" t="n"/>
      <c r="U40" s="29" t="n"/>
      <c r="V40" s="29" t="n"/>
      <c r="W40" s="29" t="inlineStr">
        <is>
          <t>{"source_url": "https://commons.wikimedia.org/wiki/File:13-06-28-eindhoven-by-RalfR-75.jpg", "author": "Ralf Roletschek", "license": "CC BY 3.0", "license_url": "https://creativecommons.org/licenses/by/3.0/", "original_api_record": {"size": 8174585, "width": 4288, "height": 2848, "thumburl": "https://thumb.wikimedia.org/wikipedia/commons/thumb/8/8a/13-06-28-eindhoven-by-RalfR-75.jpg/1920px-13-06-28-eindhoven-by-RalfR-75.jpg?utm_source=commons.wikimedia.org&amp;utm_campaign=imageinfo&amp;utm_content=thumbnail", "thumbwidth": 1600, "thumbheight": 1063, "responsiveUrls": {"2": "https://thumb.wikimedia.org/wikipedia/commons/thumb/8/8a/13-06-28-eindhoven-by-RalfR-75.jpg/3840px-13-06-28-eindhoven-by-RalfR-75.jpg?utm_source=commons.wikimedia.org&amp;utm_campaign=imageinfo&amp;utm_content=thumbnail"}, "thumbattribs": {"src": "https://thumb.wikimedia.org/wikipedia/commons/thumb/8/8a/13-06-28-eindhoven-by-RalfR-75.jpg/1920px-13-06-28-eindhoven-by-RalfR-75.jpg?utm_source=commons.wikimedia.org&amp;utm_campaign=imageinfo&amp;utm_content=thumbnail", "decoding": "async", "loading": "lazy", "width": 1600, "height": 1063, "srcset": "https://thumb.wikimedia.org/wikipedia/commons/thumb/8/8a/13-06-28-eindhoven-by-RalfR-75.jpg/3840px-13-06-28-eindhoven-by-RalfR-75.jpg?utm_source=commons.wikimedia.org&amp;utm_campaign=imageinfo&amp;utm_content=thumbnail 2x"}, "url": "https://upload.wikimedia.org/wikipedia/commons/8/8a/13-06-28-eindhoven-by-RalfR-75.jpg?utm_source=commons.wikimedia.org&amp;utm_campaign=imageinfo&amp;utm_content=original", "descriptionurl": "https://commons.wikimedia.org/wiki/File:13-06-28-eindhoven-by-RalfR-75.jpg", "descriptionshorturl": "https://commons.wikimedia.org/w/index.php?curid=26941920", "sha1": "961a6d444f8c176dc916ad1f99675abbc231f256", "extmetadata": {"DateTime": {"value": "2013-06-28 21:08:27", "source": "mediawiki-metadata", "hidden": ""}, "ObjectName": {"value": "13-06-28-eindhoven-by-RalfR-75", "source": "mediawiki-metadata"}, "CommonsMetadataExtension": {"value": 1.2, "source": "extension", "hidden": ""}, "Categories": {"value": "GFDL|Taken with Nikon D300s|Philips Stadion|License migration redundant|Self-published work|Supported by Wikimedia Deutschland|Supported by Wikimedia Österreich|Images by Ralf Roletschek/x|2013 in Eindhoven|Netherlands photographs taken on 2013-06-28|Fotoaktion Robocup 2013", "source": "commons-categories", "hidden": ""}, "Assessments": {"value": "", "source": "commons-categories", "hidden": ""}, "ImageDescription": {"value": "Eindhoven, Niederlande, Stadtzentrum", "source": "commons-desc-page"}, "DateTimeOriginal": {"value": "2013-06-28 17:24:09",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"https://thumb.wikimedia.org/wikipedia/commons/thumb/8/8a/13-06-28-eindhoven-by-RalfR-75.jpg/1280px-13-06-28-eindhoven-by-RalfR-75.jpg"}, "retrieved_on": "2026-10-23"}</t>
        </is>
      </c>
    </row>
    <row r="41" ht="54" customHeight="1">
      <c r="A41" s="29" t="inlineStr">
        <is>
          <t>eindhoven:evidence:philips-stadion-psv-02</t>
        </is>
      </c>
      <c r="B41" s="29" t="inlineStr">
        <is>
          <t>eindhoven</t>
        </is>
      </c>
      <c r="C41" s="29" t="inlineStr">
        <is>
          <t>eindhoven:photo:philips-stadion-psv-02</t>
        </is>
      </c>
      <c r="D41" s="29" t="inlineStr">
        <is>
          <t>https://commons.wikimedia.org/wiki/File:13-06-29-eindhoven-50mm-04.jpg</t>
        </is>
      </c>
      <c r="E41" s="29" t="inlineStr">
        <is>
          <t>File:13-06-29-eindhoven-50mm-04.jpg</t>
        </is>
      </c>
      <c r="F41" s="29" t="inlineStr">
        <is>
          <t>Ralf Roletschek</t>
        </is>
      </c>
      <c r="G41" s="29" t="inlineStr">
        <is>
          <t>CC BY 3.0</t>
        </is>
      </c>
      <c r="H41" s="29" t="inlineStr">
        <is>
          <t>https://creativecommons.org/licenses/by/3.0/</t>
        </is>
      </c>
      <c r="I41" s="29" t="inlineStr">
        <is>
          <t>Creative Commons Attribution 3.0</t>
        </is>
      </c>
      <c r="J41" s="29" t="inlineStr">
        <is>
          <t>Ralf Roletschek · CC BY 3.0 · Wikimedia Commons</t>
        </is>
      </c>
      <c r="K41" s="29" t="n"/>
      <c r="L41" s="49" t="n">
        <v>46317</v>
      </c>
      <c r="M41" s="29" t="inlineStr">
        <is>
          <t>Bekliyor</t>
        </is>
      </c>
      <c r="N41" s="29" t="inlineStr">
        <is>
          <t>Bekliyor</t>
        </is>
      </c>
      <c r="O41" s="29" t="inlineStr">
        <is>
          <t>Fotoğraflar/eindhoven_philips-stadion-psv_02.jpg</t>
        </is>
      </c>
      <c r="P41" s="29" t="inlineStr">
        <is>
          <t>Yüksekten ağaçlı cadde ve sonunda çelik kafes çatılı stadyum, iki yanda binalar</t>
        </is>
      </c>
      <c r="Q41" s="29" t="inlineStr">
        <is>
          <t>Bekliyor</t>
        </is>
      </c>
      <c r="R41" s="29" t="inlineStr">
        <is>
          <t>Wikimedia Commons dosya sayfasındaki lisans: CC BY 3.0</t>
        </is>
      </c>
      <c r="S41" s="29" t="n"/>
      <c r="T41" s="29" t="n"/>
      <c r="U41" s="29" t="n"/>
      <c r="V41" s="29" t="n"/>
      <c r="W41" s="29" t="inlineStr">
        <is>
          <t>{"source_url": "https://commons.wikimedia.org/wiki/File:13-06-29-eindhoven-50mm-04.jpg", "author": "Ralf Roletschek", "license": "CC BY 3.0", "license_url": "https://creativecommons.org/licenses/by/3.0/", "original_api_record": {"size": 8763462, "width": 4288, "height": 2848, "thumburl": "https://thumb.wikimedia.org/wikipedia/commons/thumb/9/95/13-06-29-eindhoven-50mm-04.jpg/1920px-13-06-29-eindhoven-50mm-04.jpg?utm_source=commons.wikimedia.org&amp;utm_campaign=imageinfo&amp;utm_content=thumbnail", "thumbwidth": 1600, "thumbheight": 1063, "responsiveUrls": {"2": "https://thumb.wikimedia.org/wikipedia/commons/thumb/9/95/13-06-29-eindhoven-50mm-04.jpg/3840px-13-06-29-eindhoven-50mm-04.jpg?utm_source=commons.wikimedia.org&amp;utm_campaign=imageinfo&amp;utm_content=thumbnail"}, "thumbattribs": {"src": "https://thumb.wikimedia.org/wikipedia/commons/thumb/9/95/13-06-29-eindhoven-50mm-04.jpg/1920px-13-06-29-eindhoven-50mm-04.jpg?utm_source=commons.wikimedia.org&amp;utm_campaign=imageinfo&amp;utm_content=thumbnail", "decoding": "async", "loading": "lazy", "width": 1600, "height": 1063, "srcset": "https://thumb.wikimedia.org/wikipedia/commons/thumb/9/95/13-06-29-eindhoven-50mm-04.jpg/3840px-13-06-29-eindhoven-50mm-04.jpg?utm_source=commons.wikimedia.org&amp;utm_campaign=imageinfo&amp;utm_content=thumbnail 2x"}, "url": "https://upload.wikimedia.org/wikipedia/commons/9/95/13-06-29-eindhoven-50mm-04.jpg?utm_source=commons.wikimedia.org&amp;utm_campaign=imageinfo&amp;utm_content=original", "descriptionurl": "https://commons.wikimedia.org/wiki/File:13-06-29-eindhoven-50mm-04.jpg", "descriptionshorturl": "https://commons.wikimedia.org/w/index.php?curid=26959246", "sha1": "8007338b89955f191a356be352d7905308072996", "extmetadata": {"DateTime": {"value": "2013-06-29 20:52:00", "source": "mediawiki-metadata", "hidden": ""}, "ObjectName": {"value": "13-06-29-eindhoven-50mm-04", "source": "mediawiki-metadata"}, "CommonsMetadataExtension": {"value": 1.2, "source": "extension", "hidden": ""}, "Categories": {"value": "GFDL|Taken with Nikon D300s|Philips Stadion|Buildings in Eindhoven|License migration redundant|Self-published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"51.441150", "source": "commons-desc-page"}, "GPSLongitude": {"value": "5.475537", "source": "commons-desc-page"}, "GPSMapDatum": {"value": "WGS-84", "source": "commons-desc-page", "hidden": ""}, "ImageDescription": {"value": "Eindhoven, Niederlande, 2013", "source": "commons-desc-page"}, "DateTimeOriginal": {"value": "2013-06-29 16:23:18",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"https://thumb.wikimedia.org/wikipedia/commons/thumb/9/95/13-06-29-eindhoven-50mm-04.jpg/1280px-13-06-29-eindhoven-50mm-04.jpg"}, "retrieved_on": "2026-10-23"}</t>
        </is>
      </c>
    </row>
    <row r="42" ht="54" customHeight="1">
      <c r="A42" s="29" t="inlineStr">
        <is>
          <t>eindhoven:evidence:nationaal-zwemcentrum-de-tongelreep-01</t>
        </is>
      </c>
      <c r="B42" s="29" t="inlineStr">
        <is>
          <t>eindhoven</t>
        </is>
      </c>
      <c r="C42" s="29" t="inlineStr">
        <is>
          <t>eindhoven:photo:nationaal-zwemcentrum-de-tongelreep-01</t>
        </is>
      </c>
      <c r="D42" s="29" t="inlineStr">
        <is>
          <t>https://commons.wikimedia.org/wiki/File:Nationaal_Zwemcentrum_de_Tongelreep_(2025)_(2).jpg</t>
        </is>
      </c>
      <c r="E42" s="29" t="inlineStr">
        <is>
          <t>File:Nationaal Zwemcentrum de Tongelreep (2025) (2).jpg</t>
        </is>
      </c>
      <c r="F42" s="29" t="inlineStr">
        <is>
          <t>S. Perquin</t>
        </is>
      </c>
      <c r="G42" s="29" t="inlineStr">
        <is>
          <t>CC BY-SA 4.0</t>
        </is>
      </c>
      <c r="H42" s="29" t="inlineStr">
        <is>
          <t>https://creativecommons.org/licenses/by-sa/4.0/</t>
        </is>
      </c>
      <c r="I42" s="29" t="inlineStr">
        <is>
          <t>Creative Commons Attribution-Share Alike 4.0</t>
        </is>
      </c>
      <c r="J42" s="29" t="inlineStr">
        <is>
          <t>S. Perquin · CC BY-SA 4.0 · Wikimedia Commons</t>
        </is>
      </c>
      <c r="K42" s="29" t="n"/>
      <c r="L42" s="49" t="n">
        <v>46317</v>
      </c>
      <c r="M42" s="29" t="inlineStr">
        <is>
          <t>Bekliyor</t>
        </is>
      </c>
      <c r="N42" s="29" t="inlineStr">
        <is>
          <t>Bekliyor</t>
        </is>
      </c>
      <c r="O42" s="29" t="inlineStr">
        <is>
          <t>Fotoğraflar/eindhoven_nationaal-zwemcentrum-de-tongelreep_01.jpg</t>
        </is>
      </c>
      <c r="P42" s="29" t="inlineStr">
        <is>
          <t>Çimenlikte 'Nationaal Zwemcentrum De Tongelreep' tabelası, arkada direkler üstünde beyaz küreler</t>
        </is>
      </c>
      <c r="Q42" s="29" t="inlineStr">
        <is>
          <t>Bekliyor</t>
        </is>
      </c>
      <c r="R42" s="29" t="inlineStr">
        <is>
          <t>Wikimedia Commons dosya sayfasındaki lisans: CC BY-SA 4.0</t>
        </is>
      </c>
      <c r="S42" s="29" t="n"/>
      <c r="T42" s="29" t="n"/>
      <c r="U42" s="29" t="n"/>
      <c r="V42" s="29" t="n"/>
      <c r="W42" s="29" t="inlineStr">
        <is>
          <t>{"source_url": "https://commons.wikimedia.org/wiki/File:Nationaal_Zwemcentrum_de_Tongelreep_(2025)_(2).jpg", "author": "S. Perquin", "license": "CC BY-SA 4.0", "license_url": "https://creativecommons.org/licenses/by-sa/4.0/", "original_api_record": {"size": 5875707, "width": 6000, "height": 4000, "thumburl": "https://thumb.wikimedia.org/wikipedia/commons/thumb/a/a0/Nationaal_Zwemcentrum_de_Tongelreep_%282025%29_%282%29.jpg/1920px-Nationaal_Zwemcentrum_de_Tongelreep_%282025%29_%282%29.jpg?utm_source=commons.wikimedia.org&amp;utm_campaign=imageinfo&amp;utm_content=thumbnail", "thumbwidth": 1600, "thumbheight": 1067, "responsiveUrls": {"2": "https://thumb.wikimedia.org/wikipedia/commons/thumb/a/a0/Nationaal_Zwemcentrum_de_Tongelreep_%282025%29_%282%29.jpg/3840px-Nationaal_Zwemcentrum_de_Tongelreep_%282025%29_%282%29.jpg?utm_source=commons.wikimedia.org&amp;utm_campaign=imageinfo&amp;utm_content=thumbnail"}, "thumbattribs": {"src": "https://thumb.wikimedia.org/wikipedia/commons/thumb/a/a0/Nationaal_Zwemcentrum_de_Tongelreep_%282025%29_%282%29.jpg/1920px-Nationaal_Zwemcentrum_de_Tongelreep_%282025%29_%282%29.jpg?utm_source=commons.wikimedia.org&amp;utm_campaign=imageinfo&amp;utm_content=thumbnail", "decoding": "async", "loading": "lazy", "width": 1600, "height": 1067, "srcset": "https://thumb.wikimedia.org/wikipedia/commons/thumb/a/a0/Nationaal_Zwemcentrum_de_Tongelreep_%282025%29_%282%29.jpg/3840px-Nationaal_Zwemcentrum_de_Tongelreep_%282025%29_%282%29.jpg?utm_source=commons.wikimedia.org&amp;utm_campaign=imageinfo&amp;utm_content=thumbnail 2x"}, "url": "https://upload.wikimedia.org/wikipedia/commons/a/a0/Nationaal_Zwemcentrum_de_Tongelreep_%282025%29_%282%29.jpg?utm_source=commons.wikimedia.org&amp;utm_campaign=imageinfo&amp;utm_content=original", "descriptionurl": "https://commons.wikimedia.org/wiki/File:Nationaal_Zwemcentrum_de_Tongelreep_(2025)_(2).jpg", "descriptionshorturl": "https://commons.wikimedia.org/w/index.php?curid=163476049", "sha1": "e0093d007f1a41bc144d282a7e67f806423465dd", "extmetadata": {"DateTime": {"value": "2025-04-12 14:39:17", "source": "mediawiki-metadata", "hidden": ""}, "ObjectName": {"value": "Nationaal Zwemcentrum de Tongelreep (2025) (2)", "source": "mediawiki-metadata"}, "CommonsMetadataExtension": {"value": 1.2, "source": "extension", "hidden": ""}, "Categories": {"value": "National Swimming Centre Tongelreep|Self-published work|Photographs by S. Perquin|2025 photographs by S. Perquin|Photographs by S. Perquin in Eindhoven", "source": "commons-categories", "hidden": ""}, "Assessments": {"value": "", "source": "commons-categories", "hidden": ""}, "ImageDescription": {"value": "Nationaal Zwemcentrum de Tongelreep in Eindhoven", "source": "commons-desc-page"}, "DateTimeOriginal": {"value": "2025-04-12 15:51:22", "source": "commons-desc-page"}, "Credit": {"value": "&lt;span class=\"int-own-work\" lang=\"en\"&gt;Own work&lt;/span&gt;", "source": "commons-desc-page"}, "Artist": {"value": "&lt;a rel=\"mw:WikiLink\" href=\"https://commons.wikimedia.org/wiki/User:S._Perquin\" title=\"User:S. Perquin\" class=\"mw-redirect\"&gt;S.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"https://thumb.wikimedia.org/wikipedia/commons/thumb/a/a0/Nationaal_Zwemcentrum_de_Tongelreep_%282025%29_%282%29.jpg/1280px-Nationaal_Zwemcentrum_de_Tongelreep_%282025%29_%282%29.jpg"}, "retrieved_on": "2026-10-23"}</t>
        </is>
      </c>
    </row>
    <row r="43" ht="54" customHeight="1">
      <c r="A43" s="29" t="inlineStr">
        <is>
          <t>eindhoven:evidence:indoor-sportcentrum-eindhoven-01</t>
        </is>
      </c>
      <c r="B43" s="29" t="inlineStr">
        <is>
          <t>eindhoven</t>
        </is>
      </c>
      <c r="C43" s="29" t="inlineStr">
        <is>
          <t>eindhoven:photo:indoor-sportcentrum-eindhoven-01</t>
        </is>
      </c>
      <c r="D43" s="29" t="inlineStr">
        <is>
          <t>https://commons.wikimedia.org/wiki/File:Indoor_Sportcentrum_Eindhoven.jpg</t>
        </is>
      </c>
      <c r="E43" s="29" t="inlineStr">
        <is>
          <t>File:Indoor Sportcentrum Eindhoven.jpg</t>
        </is>
      </c>
      <c r="F43" s="29" t="inlineStr">
        <is>
          <t>Lempkesfabriek</t>
        </is>
      </c>
      <c r="G43" s="29" t="inlineStr">
        <is>
          <t>CC BY-SA 3.0</t>
        </is>
      </c>
      <c r="H43" s="29" t="inlineStr">
        <is>
          <t>https://creativecommons.org/licenses/by-sa/3.0/</t>
        </is>
      </c>
      <c r="I43" s="29" t="inlineStr">
        <is>
          <t>Creative Commons Attribution-Share Alike 3.0</t>
        </is>
      </c>
      <c r="J43" s="29" t="inlineStr">
        <is>
          <t>Lempkesfabriek · CC BY-SA 3.0 · Wikimedia Commons</t>
        </is>
      </c>
      <c r="K43" s="29" t="n"/>
      <c r="L43" s="49" t="n">
        <v>46317</v>
      </c>
      <c r="M43" s="29" t="inlineStr">
        <is>
          <t>Bekliyor</t>
        </is>
      </c>
      <c r="N43" s="29" t="inlineStr">
        <is>
          <t>Bekliyor</t>
        </is>
      </c>
      <c r="O43" s="29" t="inlineStr">
        <is>
          <t>Fotoğraflar/eindhoven_indoor-sportcentrum-eindhoven_01.jpg</t>
        </is>
      </c>
      <c r="P43" s="29" t="inlineStr">
        <is>
          <t>Çok yüzlü gri çatılı büyük spor salonu, bayraklar, ağaçlar, önde yol</t>
        </is>
      </c>
      <c r="Q43" s="29" t="inlineStr">
        <is>
          <t>Bekliyor</t>
        </is>
      </c>
      <c r="R43" s="29" t="inlineStr">
        <is>
          <t>Wikimedia Commons dosya sayfasındaki lisans: CC BY-SA 3.0</t>
        </is>
      </c>
      <c r="S43" s="29" t="n"/>
      <c r="T43" s="29" t="n"/>
      <c r="U43" s="29" t="n"/>
      <c r="V43" s="29" t="n"/>
      <c r="W43" s="29" t="inlineStr">
        <is>
          <t>{"source_url": "https://commons.wikimedia.org/wiki/File:Indoor_Sportcentrum_Eindhoven.jpg", "author": "Lempkesfabriek", "license": "CC BY-SA 3.0", "license_url": "https://creativecommons.org/licenses/by-sa/3.0/", "original_api_record": {"size": 185654, "width": 991, "height": 745, "thumburl": "https://upload.wikimedia.org/wikipedia/commons/0/0a/Indoor_Sportcentrum_Eindhoven.jpg?utm_source=commons.wikimedia.org&amp;utm_campaign=imageinfo&amp;utm_content=thumbnail_unscaled", "thumbwidth": 1600, "thumbheight": 1203, "thumbattribs": {"src": "https://upload.wikimedia.org/wikipedia/commons/0/0a/Indoor_Sportcentrum_Eindhoven.jpg?utm_source=commons.wikimedia.org&amp;utm_campaign=imageinfo&amp;utm_content=thumbnail_unscaled", "decoding": "async", "loading": "lazy", "width": 1600, "height": 1203}, "url": "https://upload.wikimedia.org/wikipedia/commons/0/0a/Indoor_Sportcentrum_Eindhoven.jpg?utm_source=commons.wikimedia.org&amp;utm_campaign=imageinfo&amp;utm_content=original", "descriptionurl": "https://commons.wikimedia.org/wiki/File:Indoor_Sportcentrum_Eindhoven.jpg", "descriptionshorturl": "https://commons.wikimedia.org/w/index.php?curid=4443499", "sha1": "4188e0f2cd9d1c5b031ff550bbc525e2eaab7a87", "extmetadata": {"DateTime": {"value": "2008-07-25 19:48:52", "source": "mediawiki-metadata", "hidden": ""}, "ObjectName": {"value": "Indoor Sportcentrum Eindhoven", "source": "mediawiki-metadata"}, "CommonsMetadataExtension": {"value": 1.2, "source": "extension", "hidden": ""}, "Categories": {"value": "Stratum|Self-published work", "source": "commons-categories", "hidden": ""}, "Assessments": {"value": "", "source": "commons-categories", "hidden": ""}, "ImageDescription": {"value": "Indoor Sportcentrum Eindhoven in Eindhoven (Genneper Parken)",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"https://upload.wikimedia.org/wikipedia/commons/0/0a/Indoor_Sportcentrum_Eindhoven.jpg"}, "retrieved_on": "2026-10-23"}</t>
        </is>
      </c>
    </row>
    <row r="44" ht="54" customHeight="1">
      <c r="A44" s="29" t="inlineStr">
        <is>
          <t>eindhoven:evidence:indoor-sportcentrum-eindhoven-02</t>
        </is>
      </c>
      <c r="B44" s="29" t="inlineStr">
        <is>
          <t>eindhoven</t>
        </is>
      </c>
      <c r="C44" s="29" t="inlineStr">
        <is>
          <t>eindhoven:photo:indoor-sportcentrum-eindhoven-02</t>
        </is>
      </c>
      <c r="D44" s="29" t="inlineStr">
        <is>
          <t>https://commons.wikimedia.org/wiki/File:Indoor_Sportcentrum_Eindhoven02.jpg</t>
        </is>
      </c>
      <c r="E44" s="29" t="inlineStr">
        <is>
          <t>File:Indoor Sportcentrum Eindhoven02.jpg</t>
        </is>
      </c>
      <c r="F44" s="29" t="inlineStr">
        <is>
          <t>Lempkesfabriek</t>
        </is>
      </c>
      <c r="G44" s="29" t="inlineStr">
        <is>
          <t>CC BY-SA 3.0</t>
        </is>
      </c>
      <c r="H44" s="29" t="inlineStr">
        <is>
          <t>https://creativecommons.org/licenses/by-sa/3.0/</t>
        </is>
      </c>
      <c r="I44" s="29" t="inlineStr">
        <is>
          <t>Creative Commons Attribution-Share Alike 3.0</t>
        </is>
      </c>
      <c r="J44" s="29" t="inlineStr">
        <is>
          <t>Lempkesfabriek · CC BY-SA 3.0 · Wikimedia Commons</t>
        </is>
      </c>
      <c r="K44" s="29" t="n"/>
      <c r="L44" s="49" t="n">
        <v>46317</v>
      </c>
      <c r="M44" s="29" t="inlineStr">
        <is>
          <t>Bekliyor</t>
        </is>
      </c>
      <c r="N44" s="29" t="inlineStr">
        <is>
          <t>Bekliyor</t>
        </is>
      </c>
      <c r="O44" s="29" t="inlineStr">
        <is>
          <t>Fotoğraflar/eindhoven_indoor-sportcentrum-eindhoven_02.jpg</t>
        </is>
      </c>
      <c r="P44" s="29" t="inlineStr">
        <is>
          <t>Girişin üstünde 'Indoor Sportcentrum Eindhoven' yazısı, sarı çerçeveli kapılar, çok yüzlü çatı</t>
        </is>
      </c>
      <c r="Q44" s="29" t="inlineStr">
        <is>
          <t>Bekliyor</t>
        </is>
      </c>
      <c r="R44" s="29" t="inlineStr">
        <is>
          <t>Wikimedia Commons dosya sayfasındaki lisans: CC BY-SA 3.0</t>
        </is>
      </c>
      <c r="S44" s="29" t="n"/>
      <c r="T44" s="29" t="n"/>
      <c r="U44" s="29" t="n"/>
      <c r="V44" s="29" t="n"/>
      <c r="W44" s="29" t="inlineStr">
        <is>
          <t>{"source_url": "https://commons.wikimedia.org/wiki/File:Indoor_Sportcentrum_Eindhoven02.jpg", "author": "Lempkesfabriek", "license": "CC BY-SA 3.0", "license_url": "https://creativecommons.org/licenses/by-sa/3.0/", "original_api_record": {"size": 154761, "width": 991, "height": 745, "thumburl": "https://upload.wikimedia.org/wikipedia/commons/8/8c/Indoor_Sportcentrum_Eindhoven02.jpg?utm_source=commons.wikimedia.org&amp;utm_campaign=imageinfo&amp;utm_content=thumbnail_unscaled", "thumbwidth": 1600, "thumbheight": 1203, "thumbattribs": {"src": "https://upload.wikimedia.org/wikipedia/commons/8/8c/Indoor_Sportcentrum_Eindhoven02.jpg?utm_source=commons.wikimedia.org&amp;utm_campaign=imageinfo&amp;utm_content=thumbnail_unscaled", "decoding": "async", "loading": "lazy", "width": 1600, "height": 1203}, "url": "https://upload.wikimedia.org/wikipedia/commons/8/8c/Indoor_Sportcentrum_Eindhoven02.jpg?utm_source=commons.wikimedia.org&amp;utm_campaign=imageinfo&amp;utm_content=original", "descriptionurl": "https://commons.wikimedia.org/wiki/File:Indoor_Sportcentrum_Eindhoven02.jpg", "descriptionshorturl": "https://commons.wikimedia.org/w/index.php?curid=4443502", "sha1": "ff64eb4d8a1213253ce60088b952dc71c9846e36", "extmetadata": {"DateTime": {"value": "2008-07-25 19:49:16", "source": "mediawiki-metadata", "hidden": ""}, "ObjectName": {"value": "Indoor Sportcentrum Eindhoven02", "source": "mediawiki-metadata"}, "CommonsMetadataExtension": {"value": 1.2, "source": "extension", "hidden": ""}, "Categories": {"value": "Stratum|Self-published work", "source": "commons-categories", "hidden": ""}, "Assessments": {"value": "", "source": "commons-categories", "hidden": ""}, "ImageDescription": {"value": "Indoor Sportcentrum Eindhoven in Eindhoven (Genneper Parken)", "source": "commons-desc-page"}, "DateTimeOriginal": {"value": "2008-07", "source": "commons-desc-page"}, "Credit": {"value": "&lt;span class=\"int-own-work\" lang=\"en\"&gt;Own work&lt;/span&gt;", "source": "commons-desc-page"}, "Artist": {"value": "&lt;a rel=\"mw:WikiLink\" href=\"https://commons.wikimedia.org/wiki/User:Lempkesfabriek\"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"https://upload.wikimedia.org/wikipedia/commons/8/8c/Indoor_Sportcentrum_Eindhoven02.jpg"}, "retrieved_on": "2026-10-23"}</t>
        </is>
      </c>
    </row>
    <row r="45" ht="54" customHeight="1">
      <c r="A45" s="29" t="inlineStr">
        <is>
          <t>eindhoven:evidence:ir-ottenbad-01</t>
        </is>
      </c>
      <c r="B45" s="29" t="inlineStr">
        <is>
          <t>eindhoven</t>
        </is>
      </c>
      <c r="C45" s="29" t="inlineStr">
        <is>
          <t>eindhoven:photo:ir-ottenbad-01</t>
        </is>
      </c>
      <c r="D45" s="29" t="inlineStr">
        <is>
          <t>https://commons.wikimedia.org/wiki/File:Ir._Ottenbad_001.jpg</t>
        </is>
      </c>
      <c r="E45" s="29" t="inlineStr">
        <is>
          <t>File:Ir. Ottenbad 001.jpg</t>
        </is>
      </c>
      <c r="F45" s="29" t="inlineStr">
        <is>
          <t>TheGreyWanderer2025</t>
        </is>
      </c>
      <c r="G45" s="29" t="inlineStr">
        <is>
          <t>CC BY-SA 4.0</t>
        </is>
      </c>
      <c r="H45" s="29" t="inlineStr">
        <is>
          <t>https://creativecommons.org/licenses/by-sa/4.0/</t>
        </is>
      </c>
      <c r="I45" s="29" t="inlineStr">
        <is>
          <t>Creative Commons Attribution-Share Alike 4.0</t>
        </is>
      </c>
      <c r="J45" s="29" t="inlineStr">
        <is>
          <t>TheGreyWanderer2025 · CC BY-SA 4.0 · Wikimedia Commons</t>
        </is>
      </c>
      <c r="K45" s="29" t="n"/>
      <c r="L45" s="49" t="n">
        <v>46317</v>
      </c>
      <c r="M45" s="29" t="inlineStr">
        <is>
          <t>Bekliyor</t>
        </is>
      </c>
      <c r="N45" s="29" t="inlineStr">
        <is>
          <t>Bekliyor</t>
        </is>
      </c>
      <c r="O45" s="29" t="inlineStr">
        <is>
          <t>Fotoğraflar/eindhoven_ir-ottenbad_01.jpg</t>
        </is>
      </c>
      <c r="P45" s="29" t="inlineStr">
        <is>
          <t>Taş duvar ve çit ardında düz çatılı havuz binası, sarı 'Ir. Ottenbad' tabelası</t>
        </is>
      </c>
      <c r="Q45" s="29" t="inlineStr">
        <is>
          <t>Bekliyor</t>
        </is>
      </c>
      <c r="R45" s="29" t="inlineStr">
        <is>
          <t>Wikimedia Commons dosya sayfasındaki lisans: CC BY-SA 4.0</t>
        </is>
      </c>
      <c r="S45" s="29" t="n"/>
      <c r="T45" s="29" t="n"/>
      <c r="U45" s="29" t="n"/>
      <c r="V45" s="29" t="n"/>
      <c r="W45" s="29" t="inlineStr">
        <is>
          <t>{"source_url": "https://commons.wikimedia.org/wiki/File:Ir._Ottenbad_001.jpg", "author": "TheGreyWanderer2025", "license": "CC BY-SA 4.0", "license_url": "https://creativecommons.org/licenses/by-sa/4.0/", "original_api_record": {"size": 8455094, "width": 6000, "height": 4000, "thumburl": "https://thumb.wikimedia.org/wikipedia/commons/thumb/3/3f/Ir._Ottenbad_001.jpg/1920px-Ir._Ottenbad_001.jpg?utm_source=commons.wikimedia.org&amp;utm_campaign=imageinfo&amp;utm_content=thumbnail", "thumbwidth": 1600, "thumbheight": 1067, "responsiveUrls": {"2": "https://thumb.wikimedia.org/wikipedia/commons/thumb/3/3f/Ir._Ottenbad_001.jpg/3840px-Ir._Ottenbad_001.jpg?utm_source=commons.wikimedia.org&amp;utm_campaign=imageinfo&amp;utm_content=thumbnail"}, "thumbattribs": {"src": "https://thumb.wikimedia.org/wikipedia/commons/thumb/3/3f/Ir._Ottenbad_001.jpg/1920px-Ir._Ottenbad_001.jpg?utm_source=commons.wikimedia.org&amp;utm_campaign=imageinfo&amp;utm_content=thumbnail", "decoding": "async", "loading": "lazy", "width": 1600, "height": 1067, "srcset": "https://thumb.wikimedia.org/wikipedia/commons/thumb/3/3f/Ir._Ottenbad_001.jpg/3840px-Ir._Ottenbad_001.jpg?utm_source=commons.wikimedia.org&amp;utm_campaign=imageinfo&amp;utm_content=thumbnail 2x"}, "url": "https://upload.wikimedia.org/wikipedia/commons/3/3f/Ir._Ottenbad_001.jpg?utm_source=commons.wikimedia.org&amp;utm_campaign=imageinfo&amp;utm_content=original", "descriptionurl": "https://commons.wikimedia.org/wiki/File:Ir._Ottenbad_001.jpg", "descriptionshorturl": "https://commons.wikimedia.org/w/index.php?curid=200074692", "sha1": "503f56172ae85aa8a7e45c3d6c6074feae28c2b2", "extmetadata": {"DateTime": {"value": "2026-09-23 15:47:17", "source": "mediawiki-metadata", "hidden": ""}, "ObjectName": {"value": "Ir. Ottenbad 001", "source": "mediawiki-metadata"}, "CommonsMetadataExtension": {"value": 1.2, "source": "extension", "hidden": ""}, "Categories": {"value": "Sports venues in Eindhoven|Self-published work|Files with coordinates missing SDC location of creation (51° N, 5° E)", "source": "commons-categories", "hidden": ""}, "Assessments": {"value": "", "source": "commons-categories", "hidden": ""}, "GPSLatitude": {"value": "51.476510", "source": "commons-desc-page"}, "GPSLongitude": {"value": "5.457230", "source": "commons-desc-page"}, "GPSMapDatum": {"value": "WGS-84", "source": "commons-desc-page", "hidden": ""}, "ImageDescription": {"value": "Het ir. Ottenbad in Eindhoven", "source": "commons-desc-page"}, "DateTimeOriginal": {"value": "2026-09-23 16:39:21", "source": "commons-desc-page"}, "Credit": {"value": "&lt;span class=\"int-own-work\" lang=\"en\"&gt;Own work&lt;/span&gt;", "source": "commons-desc-page"}, "Artist": {"value": "&lt;a href=\"//commons.wikimedia.org/wiki/User:TheGreyWanderer2025\" title=\"User:TheGreyWanderer2025\"&gt;TheGreyWanderer2025&lt;/a&gt;",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"https://thumb.wikimedia.org/wikipedia/commons/thumb/3/3f/Ir._Ottenbad_001.jpg/1280px-Ir._Ottenbad_001.jpg"}, "retrieved_on": "2026-10-23"}</t>
        </is>
      </c>
    </row>
    <row r="46" ht="54" customHeight="1">
      <c r="A46" s="29" t="inlineStr">
        <is>
          <t>eindhoven:evidence:ir-ottenbad-02</t>
        </is>
      </c>
      <c r="B46" s="29" t="inlineStr">
        <is>
          <t>eindhoven</t>
        </is>
      </c>
      <c r="C46" s="29" t="inlineStr">
        <is>
          <t>eindhoven:photo:ir-ottenbad-02</t>
        </is>
      </c>
      <c r="D46" s="29" t="inlineStr">
        <is>
          <t>https://commons.wikimedia.org/wiki/File:Ir._Ottenbad_002.jpg</t>
        </is>
      </c>
      <c r="E46" s="29" t="inlineStr">
        <is>
          <t>File:Ir. Ottenbad 002.jpg</t>
        </is>
      </c>
      <c r="F46" s="29" t="inlineStr">
        <is>
          <t>TheGreyWanderer2025</t>
        </is>
      </c>
      <c r="G46" s="29" t="inlineStr">
        <is>
          <t>CC BY-SA 4.0</t>
        </is>
      </c>
      <c r="H46" s="29" t="inlineStr">
        <is>
          <t>https://creativecommons.org/licenses/by-sa/4.0/</t>
        </is>
      </c>
      <c r="I46" s="29" t="inlineStr">
        <is>
          <t>Creative Commons Attribution-Share Alike 4.0</t>
        </is>
      </c>
      <c r="J46" s="29" t="inlineStr">
        <is>
          <t>TheGreyWanderer2025 · CC BY-SA 4.0 · Wikimedia Commons</t>
        </is>
      </c>
      <c r="K46" s="29" t="n"/>
      <c r="L46" s="49" t="n">
        <v>46317</v>
      </c>
      <c r="M46" s="29" t="inlineStr">
        <is>
          <t>Bekliyor</t>
        </is>
      </c>
      <c r="N46" s="29" t="inlineStr">
        <is>
          <t>Bekliyor</t>
        </is>
      </c>
      <c r="O46" s="29" t="inlineStr">
        <is>
          <t>Fotoğraflar/eindhoven_ir-ottenbad_02.jpg</t>
        </is>
      </c>
      <c r="P46" s="29" t="inlineStr">
        <is>
          <t>Çalılar ardında binanın cam cepheli köşesi, uzakta sarı 'Ottenbad' tabelası</t>
        </is>
      </c>
      <c r="Q46" s="29" t="inlineStr">
        <is>
          <t>Bekliyor</t>
        </is>
      </c>
      <c r="R46" s="29" t="inlineStr">
        <is>
          <t>Wikimedia Commons dosya sayfasındaki lisans: CC BY-SA 4.0</t>
        </is>
      </c>
      <c r="S46" s="29" t="n"/>
      <c r="T46" s="29" t="n"/>
      <c r="U46" s="29" t="n"/>
      <c r="V46" s="29" t="n"/>
      <c r="W46" s="29" t="inlineStr">
        <is>
          <t>{"source_url": "https://commons.wikimedia.org/wiki/File:Ir._Ottenbad_002.jpg", "author": "TheGreyWanderer2025", "license": "CC BY-SA 4.0", "license_url": "https://creativecommons.org/licenses/by-sa/4.0/", "original_api_record": {"size": 6649195, "width": 6000, "height": 4000, "thumburl": "https://thumb.wikimedia.org/wikipedia/commons/thumb/9/9d/Ir._Ottenbad_002.jpg/1920px-Ir._Ottenbad_002.jpg?utm_source=commons.wikimedia.org&amp;utm_campaign=imageinfo&amp;utm_content=thumbnail", "thumbwidth": 1600, "thumbheight": 1067, "responsiveUrls": {"2": "https://thumb.wikimedia.org/wikipedia/commons/thumb/9/9d/Ir._Ottenbad_002.jpg/3840px-Ir._Ottenbad_002.jpg?utm_source=commons.wikimedia.org&amp;utm_campaign=imageinfo&amp;utm_content=thumbnail"}, "thumbattribs": {"src": "https://thumb.wikimedia.org/wikipedia/commons/thumb/9/9d/Ir._Ottenbad_002.jpg/1920px-Ir._Ottenbad_002.jpg?utm_source=commons.wikimedia.org&amp;utm_campaign=imageinfo&amp;utm_content=thumbnail", "decoding": "async", "loading": "lazy", "width": 1600, "height": 1067, "srcset": "https://thumb.wikimedia.org/wikipedia/commons/thumb/9/9d/Ir._Ottenbad_002.jpg/3840px-Ir._Ottenbad_002.jpg?utm_source=commons.wikimedia.org&amp;utm_campaign=imageinfo&amp;utm_content=thumbnail 2x"}, "url": "https://upload.wikimedia.org/wikipedia/commons/9/9d/Ir._Ottenbad_002.jpg?utm_source=commons.wikimedia.org&amp;utm_campaign=imageinfo&amp;utm_content=original", "descriptionurl": "https://commons.wikimedia.org/wiki/File:Ir._Ottenbad_002.jpg", "descriptionshorturl": "https://commons.wikimedia.org/w/index.php?curid=200074693", "sha1": "d3f3d8b777a8dfefc6eecbf71ee6bb7e3f62fcc0", "extmetadata": {"DateTime": {"value": "2026-09-23 15:47:19", "source": "mediawiki-metadata", "hidden": ""}, "ObjectName": {"value": "Ir. Ottenbad 002", "source": "mediawiki-metadata"}, "CommonsMetadataExtension": {"value": 1.2, "source": "extension", "hidden": ""}, "Categories": {"value": "Sports venues in Eindhoven|Self-published work|Files with coordinates missing SDC location of creation (51° N, 5° E)", "source": "commons-categories", "hidden": ""}, "Assessments": {"value": "", "source": "commons-categories", "hidden": ""}, "GPSLatitude": {"value": "51.476510", "source": "commons-desc-page"}, "GPSLongitude": {"value": "5.457230", "source": "commons-desc-page"}, "GPSMapDatum": {"value": "WGS-84", "source": "commons-desc-page", "hidden": ""}, "ImageDescription": {"value": "Zijaanzicht van het ir. Ottenbad in Eindhoven", "source": "commons-desc-page"}, "DateTimeOriginal": {"value": "2026-09-23 16:44:23", "source": "commons-desc-page"}, "Credit": {"value": "&lt;span class=\"int-own-work\" lang=\"en\"&gt;Own work&lt;/span&gt;", "source": "commons-desc-page"}, "Artist": {"value": "&lt;a href=\"//commons.wikimedia.org/wiki/User:TheGreyWanderer2025\" title=\"User:TheGreyWanderer2025\"&gt;TheGreyWanderer2025&lt;/a&gt;",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"https://thumb.wikimedia.org/wikipedia/commons/thumb/9/9d/Ir._Ottenbad_002.jpg/1280px-Ir._Ottenbad_002.jpg"}, "retrieved_on": "2026-10-23"}</t>
        </is>
      </c>
    </row>
    <row r="47" ht="54" customHeight="1">
      <c r="A47" s="29" t="inlineStr">
        <is>
          <t>eindhoven:evidence:jan-louwers-stadion-01</t>
        </is>
      </c>
      <c r="B47" s="29" t="inlineStr">
        <is>
          <t>eindhoven</t>
        </is>
      </c>
      <c r="C47" s="29" t="inlineStr">
        <is>
          <t>eindhoven:photo:jan-louwers-stadion-01</t>
        </is>
      </c>
      <c r="D47" s="29" t="inlineStr">
        <is>
          <t>https://commons.wikimedia.org/wiki/File:Jan_Louwers_Stadion_1.jpg</t>
        </is>
      </c>
      <c r="E47" s="29" t="inlineStr">
        <is>
          <t>File:Jan Louwers Stadion 1.jpg</t>
        </is>
      </c>
      <c r="F47" s="29" t="inlineStr">
        <is>
          <t>Tb1994</t>
        </is>
      </c>
      <c r="G47" s="29" t="inlineStr">
        <is>
          <t>CC BY-SA 4.0</t>
        </is>
      </c>
      <c r="H47" s="29" t="inlineStr">
        <is>
          <t>https://creativecommons.org/licenses/by-sa/4.0/</t>
        </is>
      </c>
      <c r="I47" s="29" t="inlineStr">
        <is>
          <t>Creative Commons Attribution-Share Alike 4.0</t>
        </is>
      </c>
      <c r="J47" s="29" t="inlineStr">
        <is>
          <t>Tb1994 · CC BY-SA 4.0 · Wikimedia Commons</t>
        </is>
      </c>
      <c r="K47" s="29" t="n"/>
      <c r="L47" s="49" t="n">
        <v>46317</v>
      </c>
      <c r="M47" s="29" t="inlineStr">
        <is>
          <t>Bekliyor</t>
        </is>
      </c>
      <c r="N47" s="29" t="inlineStr">
        <is>
          <t>Bekliyor</t>
        </is>
      </c>
      <c r="O47" s="29" t="inlineStr">
        <is>
          <t>Fotoğraflar/eindhoven_jan-louwers-stadion_01.jpg</t>
        </is>
      </c>
      <c r="P47" s="29" t="inlineStr">
        <is>
          <t>Tribünden futbol sahası, karşıda mavi koltuklu çatılı tribün, ışık direği, reklam panoları</t>
        </is>
      </c>
      <c r="Q47" s="29" t="inlineStr">
        <is>
          <t>Bekliyor</t>
        </is>
      </c>
      <c r="R47" s="29" t="inlineStr">
        <is>
          <t>Wikimedia Commons dosya sayfasındaki lisans: CC BY-SA 4.0</t>
        </is>
      </c>
      <c r="S47" s="29" t="n"/>
      <c r="T47" s="29" t="n"/>
      <c r="U47" s="29" t="n"/>
      <c r="V47" s="29" t="n"/>
      <c r="W47" s="29" t="inlineStr">
        <is>
          <t>{"source_url": "https://commons.wikimedia.org/wiki/File:Jan_Louwers_Stadion_1.jpg", "author": "Tb1994", "license": "CC BY-SA 4.0", "license_url": "https://creativecommons.org/licenses/by-sa/4.0/", "original_api_record": {"size": 4915200, "width": 4912, "height": 3264, "thumburl": "https://thumb.wikimedia.org/wikipedia/commons/thumb/d/df/Jan_Louwers_Stadion_1.jpg/1920px-Jan_Louwers_Stadion_1.jpg?utm_source=commons.wikimedia.org&amp;utm_campaign=imageinfo&amp;utm_content=thumbnail", "thumbwidth": 1600, "thumbheight": 1063, "responsiveUrls": {"2": "https://thumb.wikimedia.org/wikipedia/commons/thumb/d/df/Jan_Louwers_Stadion_1.jpg/3840px-Jan_Louwers_Stadion_1.jpg?utm_source=commons.wikimedia.org&amp;utm_campaign=imageinfo&amp;utm_content=thumbnail"}, "thumbattribs": {"src": "https://thumb.wikimedia.org/wikipedia/commons/thumb/d/df/Jan_Louwers_Stadion_1.jpg/1920px-Jan_Louwers_Stadion_1.jpg?utm_source=commons.wikimedia.org&amp;utm_campaign=imageinfo&amp;utm_content=thumbnail", "decoding": "async", "loading": "lazy", "width": 1600, "height": 1063, "srcset": "https://thumb.wikimedia.org/wikipedia/commons/thumb/d/df/Jan_Louwers_Stadion_1.jpg/3840px-Jan_Louwers_Stadion_1.jpg?utm_source=commons.wikimedia.org&amp;utm_campaign=imageinfo&amp;utm_content=thumbnail 2x"}, "url": "https://upload.wikimedia.org/wikipedia/commons/d/df/Jan_Louwers_Stadion_1.jpg?utm_source=commons.wikimedia.org&amp;utm_campaign=imageinfo&amp;utm_content=original", "descriptionurl": "https://commons.wikimedia.org/wiki/File:Jan_Louwers_Stadion_1.jpg", "descriptionshorturl": "https://commons.wikimedia.org/w/index.php?curid=50094579", "sha1": "be74e5573c40d502388c91d2781d41ade629dcac", "extmetadata": {"DateTime": {"value": "2016-07-12 09:43:34", "source": "mediawiki-metadata", "hidden": ""}, "ObjectName": {"value": "Jan Louwers Stadion 1", "source": "mediawiki-metadata"}, "CommonsMetadataExtension": {"value": 1.2, "source": "extension", "hidden": ""}, "Categories": {"value": "Self-published work|2015 in Eindhoven|Netherlands photographs taken on 2015-09-25|Jan Louwersstadion", "source": "commons-categories", "hidden": ""}, "Assessments": {"value": "", "source": "commons-categories", "hidden": ""}, "ImageDescription": {"value": "Jan Louwers Stadion, veld", "source": "commons-desc-page"}, "DateTimeOriginal": {"value": "2015-09-25", "source": "commons-desc-page"}, "Credit": {"value": "&lt;span class=\"int-own-work\" lang=\"en\"&gt;Own work&lt;/span&gt;", "source": "commons-desc-page"}, "Artist": {"value": "&lt;a href=\"//commons.wikimedia.org/w/index.php?title=User:Tb1994&amp;amp;action=edit&amp;amp;redlink=1\" class=\"new\" title=\"User:Tb1994 (page does not exist)\"&gt;Tb1994&lt;/a&gt;",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"https://thumb.wikimedia.org/wikipedia/commons/thumb/d/df/Jan_Louwers_Stadion_1.jpg/1280px-Jan_Louwers_Stadion_1.jpg"}, "retrieved_on": "2026-10-23"}</t>
        </is>
      </c>
    </row>
    <row r="48" ht="54" customHeight="1">
      <c r="A48" s="29" t="inlineStr">
        <is>
          <t>eindhoven:evidence:jan-louwers-stadion-02</t>
        </is>
      </c>
      <c r="B48" s="29" t="inlineStr">
        <is>
          <t>eindhoven</t>
        </is>
      </c>
      <c r="C48" s="29" t="inlineStr">
        <is>
          <t>eindhoven:photo:jan-louwers-stadion-02</t>
        </is>
      </c>
      <c r="D48" s="29" t="inlineStr">
        <is>
          <t>https://commons.wikimedia.org/wiki/File:Jan_Louwers_Stadion.JPG</t>
        </is>
      </c>
      <c r="E48" s="29" t="inlineStr">
        <is>
          <t>File:Jan Louwers Stadion.JPG</t>
        </is>
      </c>
      <c r="F48" s="29" t="inlineStr">
        <is>
          <t>Mark92 at Dutch Wikipedia</t>
        </is>
      </c>
      <c r="G48" s="29" t="inlineStr">
        <is>
          <t>CC BY-SA 3.0</t>
        </is>
      </c>
      <c r="H48" s="29" t="inlineStr">
        <is>
          <t>https://creativecommons.org/licenses/by-sa/3.0/</t>
        </is>
      </c>
      <c r="I48" s="29" t="inlineStr">
        <is>
          <t>Creative Commons Attribution-Share Alike 3.0</t>
        </is>
      </c>
      <c r="J48" s="29" t="inlineStr">
        <is>
          <t>Mark92 at Dutch Wikipedia · CC BY-SA 3.0 · Wikimedia Commons</t>
        </is>
      </c>
      <c r="K48" s="29" t="n"/>
      <c r="L48" s="49" t="n">
        <v>46317</v>
      </c>
      <c r="M48" s="29" t="inlineStr">
        <is>
          <t>Bekliyor</t>
        </is>
      </c>
      <c r="N48" s="29" t="inlineStr">
        <is>
          <t>Bekliyor</t>
        </is>
      </c>
      <c r="O48" s="29" t="inlineStr">
        <is>
          <t>Fotoğraflar/eindhoven_jan-louwers-stadion_02.jpg</t>
        </is>
      </c>
      <c r="P48" s="29" t="inlineStr">
        <is>
          <t>Gece projektör ışığında yeşil saha ve mavi koltuklu ana tribün, önde tel çit</t>
        </is>
      </c>
      <c r="Q48" s="29" t="inlineStr">
        <is>
          <t>Bekliyor</t>
        </is>
      </c>
      <c r="R48" s="29" t="inlineStr">
        <is>
          <t>Wikimedia Commons dosya sayfasındaki lisans: CC BY-SA 3.0</t>
        </is>
      </c>
      <c r="S48" s="29" t="n"/>
      <c r="T48" s="29" t="n"/>
      <c r="U48" s="29" t="n"/>
      <c r="V48" s="29" t="n"/>
      <c r="W48" s="29" t="inlineStr">
        <is>
          <t>{"source_url": "https://commons.wikimedia.org/wiki/File:Jan_Louwers_Stadion.JPG", "author": "Mark92 at Dutch Wikipedia", "license": "CC BY-SA 3.0", "license_url": "https://creativecommons.org/licenses/by-sa/3.0/", "original_api_record": {"size": 157405, "width": 1229, "height": 922, "thumburl": "https://upload.wikimedia.org/wikipedia/commons/d/d0/Jan_Louwers_Stadion.JPG?utm_source=commons.wikimedia.org&amp;utm_campaign=imageinfo&amp;utm_content=thumbnail_unscaled", "thumbwidth": 1600, "thumbheight": 1200, "thumbattribs": {"src": "https://upload.wikimedia.org/wikipedia/commons/d/d0/Jan_Louwers_Stadion.JPG?utm_source=commons.wikimedia.org&amp;utm_campaign=imageinfo&amp;utm_content=thumbnail_unscaled", "decoding": "async", "loading": "lazy", "width": 1600, "height": 1200}, "url": "https://upload.wikimedia.org/wikipedia/commons/d/d0/Jan_Louwers_Stadion.JPG?utm_source=commons.wikimedia.org&amp;utm_campaign=imageinfo&amp;utm_content=original", "descriptionurl": "https://commons.wikimedia.org/wiki/File:Jan_Louwers_Stadion.JPG", "descriptionshorturl": "https://commons.wikimedia.org/w/index.php?curid=5384269", "sha1": "d5acee4099b9abe9763dd2600e6b661eb11ed9f1", "extmetadata": {"DateTime": {"value": "2008-12-05 18:02:12", "source": "mediawiki-metadata", "hidden": ""}, "ObjectName": {"value": "Jan Louwers Stadion", "source": "mediawiki-metadata"}, "CommonsMetadataExtension": {"value": 1.2, "source": "extension", "hidden": ""}, "Categories": {"value": "GFDL|Taken with Canon PowerShot A410|License migration completed|Self-published work|Jan Louwersstadion", "source": "commons-categories", "hidden": ""}, "Assessments": {"value": "", "source": "commons-categories", "hidden": ""}, "ImageDescription": {"value": "De hoofdtribune van het Jan Louwers Stadion te Eindhoven.", "source": "commons-desc-page"}, "DateTimeOriginal": {"value": "2008-11-12", "source": "commons-desc-page"}, "Credit": {"value": "&lt;span class=\"int-own-work\" lang=\"en\"&gt;Own work&lt;/span&gt;", "source": "commons-desc-page"}, "Artist": {"value": "&lt;a href=\"https://en.wikipedia.org/wiki/nl:User:Mark92\" class=\"extiw\" title=\"w:nl:User:Mark92\"&gt;Mark92&lt;/a&gt; at &lt;a href=\"https://en.wikipedia.org/wiki/nl:\" class=\"extiw\" title=\"w:nl:\"&gt;Dutch Wikipedia&lt;/a&gt;", "source": "commons-desc-page"}, "LicenseShortName": {"value": "CC BY-SA 3.0", "source": "commons-desc-page", "hidden": ""}, "UsageTerms": {"value": "Creative Commons Attribution-Share Alike 3.0", "source": "commons-desc-page"}, "AttributionRequired": {"value": "true", "source": "commons-desc-page", "hidden": ""}, "Attribution": {"value": "&lt;a href=\"https://en.wikipedia.org/wiki/nl:User:Mark92\" class=\"extiw\" title=\"w:nl:User:Mark92\"&gt;Mark92&lt;/a&gt; at &lt;a href=\"https://en.wikipedia.org/wiki/nl:\" class=\"extiw\" title=\"w:nl:\"&gt;Dutch Wikipedia&lt;/a&gt;", "source": "commons-desc-page", "hidden": ""}, "LicenseUrl": {"value": "http://creativecommons.org/licenses/by-sa/3.0/",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"https://upload.wikimedia.org/wikipedia/commons/d/d0/Jan_Louwers_Stadion.JPG"}, "retrieved_on": "2026-10-23"}</t>
        </is>
      </c>
    </row>
    <row r="49" ht="54" customHeight="1">
      <c r="A49" s="29" t="inlineStr">
        <is>
          <t>eindhoven:evidence:genneper-parken-01</t>
        </is>
      </c>
      <c r="B49" s="29" t="inlineStr">
        <is>
          <t>eindhoven</t>
        </is>
      </c>
      <c r="C49" s="29" t="inlineStr">
        <is>
          <t>eindhoven:photo:genneper-parken-01</t>
        </is>
      </c>
      <c r="D49" s="29" t="inlineStr">
        <is>
          <t>https://commons.wikimedia.org/wiki/File:Genneper_Parken02.jpg</t>
        </is>
      </c>
      <c r="E49" s="29" t="inlineStr">
        <is>
          <t>File:Genneper Parken02.jpg</t>
        </is>
      </c>
      <c r="F49" s="29" t="inlineStr">
        <is>
          <t>Lempkesfabriek</t>
        </is>
      </c>
      <c r="G49" s="29" t="inlineStr">
        <is>
          <t>CC BY-SA 3.0</t>
        </is>
      </c>
      <c r="H49" s="29" t="inlineStr">
        <is>
          <t>https://creativecommons.org/licenses/by-sa/3.0/</t>
        </is>
      </c>
      <c r="I49" s="29" t="inlineStr">
        <is>
          <t>Creative Commons Attribution-Share Alike 3.0</t>
        </is>
      </c>
      <c r="J49" s="29" t="inlineStr">
        <is>
          <t>Lempkesfabriek · CC BY-SA 3.0 · Wikimedia Commons</t>
        </is>
      </c>
      <c r="K49" s="29" t="n"/>
      <c r="L49" s="49" t="n">
        <v>46317</v>
      </c>
      <c r="M49" s="29" t="inlineStr">
        <is>
          <t>Bekliyor</t>
        </is>
      </c>
      <c r="N49" s="29" t="inlineStr">
        <is>
          <t>Bekliyor</t>
        </is>
      </c>
      <c r="O49" s="29" t="inlineStr">
        <is>
          <t>Fotoğraflar/eindhoven_genneper-parken_01.jpg</t>
        </is>
      </c>
      <c r="P49" s="29" t="inlineStr">
        <is>
          <t>Sazlı ön plan, sıra halinde budanmış söğütler, geniş çayır ve uzakta yüksek bir bina</t>
        </is>
      </c>
      <c r="Q49" s="29" t="inlineStr">
        <is>
          <t>Bekliyor</t>
        </is>
      </c>
      <c r="R49" s="29" t="inlineStr">
        <is>
          <t>Wikimedia Commons dosya sayfasındaki lisans: CC BY-SA 3.0</t>
        </is>
      </c>
      <c r="S49" s="29" t="n"/>
      <c r="T49" s="29" t="n"/>
      <c r="U49" s="29" t="n"/>
      <c r="V49" s="29" t="n"/>
      <c r="W49" s="29" t="inlineStr">
        <is>
          <t>{"source_url": "https://commons.wikimedia.org/wiki/File:Genneper_Parken02.jpg", "author": "Lempkesfabriek", "license": "CC BY-SA 3.0", "license_url": "https://creativecommons.org/licenses/by-sa/3.0/", "original_api_record": {"size": 115162, "width": 850, "height": 638, "thumburl": "https://upload.wikimedia.org/wikipedia/commons/7/76/Genneper_Parken02.jpg?utm_source=commons.wikimedia.org&amp;utm_campaign=imageinfo&amp;utm_content=thumbnail_unscaled", "thumbwidth": 1600, "thumbheight": 1201, "thumbattribs": {"src": "https://upload.wikimedia.org/wikipedia/commons/7/76/Genneper_Parken02.jpg?utm_source=commons.wikimedia.org&amp;utm_campaign=imageinfo&amp;utm_content=thumbnail_unscaled", "decoding": "async", "loading": "lazy", "width": 1600, "height": 1201}, "url": "https://upload.wikimedia.org/wikipedia/commons/7/76/Genneper_Parken02.jpg?utm_source=commons.wikimedia.org&amp;utm_campaign=imageinfo&amp;utm_content=original", "descriptionurl": "https://commons.wikimedia.org/wiki/File:Genneper_Parken02.jpg", "descriptionshorturl": "https://commons.wikimedia.org/w/index.php?curid=4385863", "sha1": "408ac855f615431f0058fc71b0e842ccb76f68a2", "extmetadata": {"DateTime": {"value": "2008-07-15 20:52:11", "source": "mediawiki-metadata", "hidden": ""}, "ObjectName": {"value": "Genneper Parken02", "source": "mediawiki-metadata"}, "CommonsMetadataExtension": {"value": 1.2, "source": "extension", "hidden": ""}, "Categories": {"value": "Gennep (Eindhoven)|Heempark Frater Simon Deltour|Parks in Eindhoven|Self-published work", "source": "commons-categories", "hidden": ""}, "Assessments": {"value": "", "source": "commons-categories", "hidden": ""}, "ImageDescription": {"value": "Genneperweg in de Genneper Parken (Eindhoven), met zicht op de High Tech Campus", "source": "commons-desc-page"}, "DateTimeOriginal": {"value": "2008", "source": "commons-desc-page"}, "Credit": {"value": "&lt;span class=\"int-own-work\" lang=\"en\"&gt;Own work&lt;/span&gt;", "source": "commons-desc-page"}, "Artist": {"value": "&lt;a rel=\"mw:WikiLink\" href=\"https://commons.wikimedia.org/wiki/User:Lempkesfabriek\"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"https://upload.wikimedia.org/wikipedia/commons/7/76/Genneper_Parken02.jpg"}, "retrieved_on": "2026-10-23"}</t>
        </is>
      </c>
    </row>
    <row r="50" ht="54" customHeight="1">
      <c r="A50" s="29" t="inlineStr">
        <is>
          <t>eindhoven:evidence:genneper-parken-02</t>
        </is>
      </c>
      <c r="B50" s="29" t="inlineStr">
        <is>
          <t>eindhoven</t>
        </is>
      </c>
      <c r="C50" s="29" t="inlineStr">
        <is>
          <t>eindhoven:photo:genneper-parken-02</t>
        </is>
      </c>
      <c r="D50" s="29" t="inlineStr">
        <is>
          <t>https://commons.wikimedia.org/wiki/File:Genneper_Watermolen.jpg</t>
        </is>
      </c>
      <c r="E50" s="29" t="inlineStr">
        <is>
          <t>File:Genneper Watermolen.jpg</t>
        </is>
      </c>
      <c r="F50" s="29" t="inlineStr">
        <is>
          <t>Lempkesfabriek</t>
        </is>
      </c>
      <c r="G50" s="29" t="inlineStr">
        <is>
          <t>CC BY-SA 3.0</t>
        </is>
      </c>
      <c r="H50" s="29" t="inlineStr">
        <is>
          <t>https://creativecommons.org/licenses/by-sa/3.0/</t>
        </is>
      </c>
      <c r="I50" s="29" t="inlineStr">
        <is>
          <t>Creative Commons Attribution-Share Alike 3.0</t>
        </is>
      </c>
      <c r="J50" s="29" t="inlineStr">
        <is>
          <t>Lempkesfabriek · CC BY-SA 3.0 · Wikimedia Commons</t>
        </is>
      </c>
      <c r="K50" s="29" t="n"/>
      <c r="L50" s="49" t="n">
        <v>46317</v>
      </c>
      <c r="M50" s="29" t="inlineStr">
        <is>
          <t>Bekliyor</t>
        </is>
      </c>
      <c r="N50" s="29" t="inlineStr">
        <is>
          <t>Bekliyor</t>
        </is>
      </c>
      <c r="O50" s="29" t="inlineStr">
        <is>
          <t>Fotoğraflar/eindhoven_genneper-parken_02.jpg</t>
        </is>
      </c>
      <c r="P50" s="29" t="inlineStr">
        <is>
          <t>Ağaç yaprakları arasından gölet, arkada çarklı siyah ahşap değirmen ve çimenlikte bank</t>
        </is>
      </c>
      <c r="Q50" s="29" t="inlineStr">
        <is>
          <t>Bekliyor</t>
        </is>
      </c>
      <c r="R50" s="29" t="inlineStr">
        <is>
          <t>Wikimedia Commons dosya sayfasındaki lisans: CC BY-SA 3.0</t>
        </is>
      </c>
      <c r="S50" s="29" t="n"/>
      <c r="T50" s="29" t="n"/>
      <c r="U50" s="29" t="n"/>
      <c r="V50" s="29" t="n"/>
      <c r="W50" s="29" t="inlineStr">
        <is>
          <t>{"source_url": "https://commons.wikimedia.org/wiki/File:Genneper_Watermolen.jpg", "author": "Lempkesfabriek", "license": "CC BY-SA 3.0", "license_url": "https://creativecommons.org/licenses/by-sa/3.0/", "original_api_record": {"size": 504199, "width": 1064, "height": 1416, "thumburl": "https://upload.wikimedia.org/wikipedia/commons/9/98/Genneper_Watermolen.jpg?utm_source=commons.wikimedia.org&amp;utm_campaign=imageinfo&amp;utm_content=thumbnail_unscaled", "thumbwidth": 1600, "thumbheight": 2129, "thumbattribs": {"src": "https://upload.wikimedia.org/wikipedia/commons/9/98/Genneper_Watermolen.jpg?utm_source=commons.wikimedia.org&amp;utm_campaign=imageinfo&amp;utm_content=thumbnail_unscaled", "decoding": "async", "loading": "lazy", "width": 1600, "height": 2129}, "url": "https://upload.wikimedia.org/wikipedia/commons/9/98/Genneper_Watermolen.jpg?utm_source=commons.wikimedia.org&amp;utm_campaign=imageinfo&amp;utm_content=original", "descriptionurl": "https://commons.wikimedia.org/wiki/File:Genneper_Watermolen.jpg", "descriptionshorturl": "https://commons.wikimedia.org/w/index.php?curid=4365809", "sha1": "6e7eb268c1955a9a39ee13afdce9250129d1b733", "extmetadata": {"DateTime": {"value": "2008-07-12 13:40:30", "source": "mediawiki-metadata", "hidden": ""}, "ObjectName": {"value": "Genneper Watermolen", "source": "mediawiki-metadata"}, "CommonsMetadataExtension": {"value": 1.2, "source": "extension", "hidden": ""}, "Categories": {"value": "Genneper watermolen|Self-published work", "source": "commons-categories", "hidden": ""}, "Assessments": {"value": "", "source": "commons-categories", "hidden": ""}, "ImageDescription": {"value": "Genneper Watermolen",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"https://upload.wikimedia.org/wikipedia/commons/9/98/Genneper_Watermolen.jpg"}, "retrieved_on": "2026-10-23"}</t>
        </is>
      </c>
    </row>
    <row r="51" ht="54" customHeight="1">
      <c r="A51" s="29" t="inlineStr">
        <is>
          <t>eindhoven:evidence:stadswandelpark-01</t>
        </is>
      </c>
      <c r="B51" s="29" t="inlineStr">
        <is>
          <t>eindhoven</t>
        </is>
      </c>
      <c r="C51" s="29" t="inlineStr">
        <is>
          <t>eindhoven:photo:stadswandelpark-01</t>
        </is>
      </c>
      <c r="D51" s="29" t="inlineStr">
        <is>
          <t>https://commons.wikimedia.org/wiki/File:0772_WN011_Stadswandelpark_Eindhoven-2.jpg</t>
        </is>
      </c>
      <c r="E51" s="29" t="inlineStr">
        <is>
          <t>File:0772 WN011 Stadswandelpark Eindhoven-2.jpg</t>
        </is>
      </c>
      <c r="F51" s="29" t="inlineStr">
        <is>
          <t>Rosemoon</t>
        </is>
      </c>
      <c r="G51" s="29" t="inlineStr">
        <is>
          <t>CC BY-SA 4.0</t>
        </is>
      </c>
      <c r="H51" s="29" t="inlineStr">
        <is>
          <t>https://creativecommons.org/licenses/by-sa/4.0/</t>
        </is>
      </c>
      <c r="I51" s="29" t="inlineStr">
        <is>
          <t>Creative Commons Attribution-Share Alike 4.0</t>
        </is>
      </c>
      <c r="J51" s="29" t="inlineStr">
        <is>
          <t>Rosemoon · CC BY-SA 4.0 · Wikimedia Commons</t>
        </is>
      </c>
      <c r="K51" s="29" t="n"/>
      <c r="L51" s="49" t="n">
        <v>46317</v>
      </c>
      <c r="M51" s="29" t="inlineStr">
        <is>
          <t>Bekliyor</t>
        </is>
      </c>
      <c r="N51" s="29" t="inlineStr">
        <is>
          <t>Bekliyor</t>
        </is>
      </c>
      <c r="O51" s="29" t="inlineStr">
        <is>
          <t>Fotoğraflar/eindhoven_stadswandelpark_01.jpg</t>
        </is>
      </c>
      <c r="P51" s="29" t="inlineStr">
        <is>
          <t>Kırağılı çimenlik, çıplak ağaçların yansıdığı gölet ve kıyıda küçük bir çardak</t>
        </is>
      </c>
      <c r="Q51" s="29" t="inlineStr">
        <is>
          <t>Bekliyor</t>
        </is>
      </c>
      <c r="R51" s="29" t="inlineStr">
        <is>
          <t>Wikimedia Commons dosya sayfasındaki lisans: CC BY-SA 4.0</t>
        </is>
      </c>
      <c r="S51" s="29" t="n"/>
      <c r="T51" s="29" t="n"/>
      <c r="U51" s="29" t="n"/>
      <c r="V51" s="29" t="n"/>
      <c r="W51" s="29" t="inlineStr">
        <is>
          <t>{"source_url": "https://commons.wikimedia.org/wiki/File:0772_WN011_Stadswandelpark_Eindhoven-2.jpg", "author": "Rosemoon", "license": "CC BY-SA 4.0", "license_url": "https://creativecommons.org/licenses/by-sa/4.0/", "original_api_record": {"size": 6921516, "width": 6000, "height": 4000, "thumburl": "https://thumb.wikimedia.org/wikipedia/commons/thumb/0/02/0772_WN011_Stadswandelpark_Eindhoven-2.jpg/1920px-0772_WN011_Stadswandelpark_Eindhoven-2.jpg?utm_source=commons.wikimedia.org&amp;utm_campaign=imageinfo&amp;utm_content=thumbnail", "thumbwidth": 1600, "thumbheight": 1067, "responsiveUrls": {"2": "https://thumb.wikimedia.org/wikipedia/commons/thumb/0/02/0772_WN011_Stadswandelpark_Eindhoven-2.jpg/3840px-0772_WN011_Stadswandelpark_Eindhoven-2.jpg?utm_source=commons.wikimedia.org&amp;utm_campaign=imageinfo&amp;utm_content=thumbnail"}, "thumbattribs": {"src": "https://thumb.wikimedia.org/wikipedia/commons/thumb/0/02/0772_WN011_Stadswandelpark_Eindhoven-2.jpg/1920px-0772_WN011_Stadswandelpark_Eindhoven-2.jpg?utm_source=commons.wikimedia.org&amp;utm_campaign=imageinfo&amp;utm_content=thumbnail", "decoding": "async", "loading": "lazy", "width": 1600, "height": 1067, "srcset": "https://thumb.wikimedia.org/wikipedia/commons/thumb/0/02/0772_WN011_Stadswandelpark_Eindhoven-2.jpg/3840px-0772_WN011_Stadswandelpark_Eindhoven-2.jpg?utm_source=commons.wikimedia.org&amp;utm_campaign=imageinfo&amp;utm_content=thumbnail 2x"}, "url": "https://upload.wikimedia.org/wikipedia/commons/0/02/0772_WN011_Stadswandelpark_Eindhoven-2.jpg?utm_source=commons.wikimedia.org&amp;utm_campaign=imageinfo&amp;utm_content=original", "descriptionurl": "https://commons.wikimedia.org/wiki/File:0772_WN011_Stadswandelpark_Eindhoven-2.jpg", "descriptionshorturl": "https://commons.wikimedia.org/w/index.php?curid=88205793", "sha1": "d908340f91271cf409695e0fae0cd9bb864b8de0", "extmetadata": {"DateTime": {"value": "2020-03-17 11:05:12", "source": "mediawiki-metadata", "hidden": ""}, "ObjectName": {"value": "0772 WN011 Stadswandelpark Eindhoven-2", "source": "mediawiki-metadata"}, "CommonsMetadataExtension": {"value": 1.2, "source": "extension", "hidden": ""}, "Categories": {"value": "Stadswandelpark, Eindhoven|Self-published work|Gemeentelijke monumenten with known IDs|Uploaded via Campaign:wlm-nl-gemeente", "source": "commons-categories", "hidden": ""}, "Assessments": {"value": "", "source": "commons-categories", "hidden": ""}, "GPSLatitude": {"value": "51.425863", "source": "commons-desc-page"}, "GPSLongitude": {"value": "5.481232", "source": "commons-desc-page"}, "GPSMapDatum": {"value": "WGS-84", "source": "commons-desc-page", "hidden": ""}, "ImageDescription": {"value": "This is an image of a municipal monument in Eindhoven with number", "source": "commons-desc-page"}, "DateTimeOriginal": {"value": "2020-03-16 08:31:08",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"https://thumb.wikimedia.org/wikipedia/commons/thumb/0/02/0772_WN011_Stadswandelpark_Eindhoven-2.jpg/1280px-0772_WN011_Stadswandelpark_Eindhoven-2.jpg"}, "retrieved_on": "2026-10-23"}</t>
        </is>
      </c>
    </row>
    <row r="52" ht="54" customHeight="1">
      <c r="A52" s="29" t="inlineStr">
        <is>
          <t>eindhoven:evidence:stadswandelpark-02</t>
        </is>
      </c>
      <c r="B52" s="29" t="inlineStr">
        <is>
          <t>eindhoven</t>
        </is>
      </c>
      <c r="C52" s="29" t="inlineStr">
        <is>
          <t>eindhoven:photo:stadswandelpark-02</t>
        </is>
      </c>
      <c r="D52" s="29" t="inlineStr">
        <is>
          <t>https://commons.wikimedia.org/wiki/File:0772_WN011_Stadswandelpark_Eindhoven-3.jpg</t>
        </is>
      </c>
      <c r="E52" s="29" t="inlineStr">
        <is>
          <t>File:0772 WN011 Stadswandelpark Eindhoven-3.jpg</t>
        </is>
      </c>
      <c r="F52" s="29" t="inlineStr">
        <is>
          <t>Rosemoon</t>
        </is>
      </c>
      <c r="G52" s="29" t="inlineStr">
        <is>
          <t>CC BY-SA 4.0</t>
        </is>
      </c>
      <c r="H52" s="29" t="inlineStr">
        <is>
          <t>https://creativecommons.org/licenses/by-sa/4.0/</t>
        </is>
      </c>
      <c r="I52" s="29" t="inlineStr">
        <is>
          <t>Creative Commons Attribution-Share Alike 4.0</t>
        </is>
      </c>
      <c r="J52" s="29" t="inlineStr">
        <is>
          <t>Rosemoon · CC BY-SA 4.0 · Wikimedia Commons</t>
        </is>
      </c>
      <c r="K52" s="29" t="n"/>
      <c r="L52" s="49" t="n">
        <v>46317</v>
      </c>
      <c r="M52" s="29" t="inlineStr">
        <is>
          <t>Bekliyor</t>
        </is>
      </c>
      <c r="N52" s="29" t="inlineStr">
        <is>
          <t>Bekliyor</t>
        </is>
      </c>
      <c r="O52" s="29" t="inlineStr">
        <is>
          <t>Fotoğraflar/eindhoven_stadswandelpark_02.jpg</t>
        </is>
      </c>
      <c r="P52" s="29" t="inlineStr">
        <is>
          <t>Kıvrılan yürüyüş yolu, sokak lambası, gölet, su kenarında küçük köşk, arkada beyaz apartmanlar</t>
        </is>
      </c>
      <c r="Q52" s="29" t="inlineStr">
        <is>
          <t>Bekliyor</t>
        </is>
      </c>
      <c r="R52" s="29" t="inlineStr">
        <is>
          <t>Wikimedia Commons dosya sayfasındaki lisans: CC BY-SA 4.0</t>
        </is>
      </c>
      <c r="S52" s="29" t="n"/>
      <c r="T52" s="29" t="n"/>
      <c r="U52" s="29" t="n"/>
      <c r="V52" s="29" t="n"/>
      <c r="W52" s="29" t="inlineStr">
        <is>
          <t>{"source_url": "https://commons.wikimedia.org/wiki/File:0772_WN011_Stadswandelpark_Eindhoven-3.jpg", "author": "Rosemoon", "license": "CC BY-SA 4.0", "license_url": "https://creativecommons.org/licenses/by-sa/4.0/", "original_api_record": {"size": 6989112, "width": 6000, "height": 4000, "thumburl": "https://thumb.wikimedia.org/wikipedia/commons/thumb/6/61/0772_WN011_Stadswandelpark_Eindhoven-3.jpg/1920px-0772_WN011_Stadswandelpark_Eindhoven-3.jpg?utm_source=commons.wikimedia.org&amp;utm_campaign=imageinfo&amp;utm_content=thumbnail", "thumbwidth": 1600, "thumbheight": 1067, "responsiveUrls": {"2": "https://thumb.wikimedia.org/wikipedia/commons/thumb/6/61/0772_WN011_Stadswandelpark_Eindhoven-3.jpg/3840px-0772_WN011_Stadswandelpark_Eindhoven-3.jpg?utm_source=commons.wikimedia.org&amp;utm_campaign=imageinfo&amp;utm_content=thumbnail"}, "thumbattribs": {"src": "https://thumb.wikimedia.org/wikipedia/commons/thumb/6/61/0772_WN011_Stadswandelpark_Eindhoven-3.jpg/1920px-0772_WN011_Stadswandelpark_Eindhoven-3.jpg?utm_source=commons.wikimedia.org&amp;utm_campaign=imageinfo&amp;utm_content=thumbnail", "decoding": "async", "loading": "lazy", "width": 1600, "height": 1067, "srcset": "https://thumb.wikimedia.org/wikipedia/commons/thumb/6/61/0772_WN011_Stadswandelpark_Eindhoven-3.jpg/3840px-0772_WN011_Stadswandelpark_Eindhoven-3.jpg?utm_source=commons.wikimedia.org&amp;utm_campaign=imageinfo&amp;utm_content=thumbnail 2x"}, "url": "https://upload.wikimedia.org/wikipedia/commons/6/61/0772_WN011_Stadswandelpark_Eindhoven-3.jpg?utm_source=commons.wikimedia.org&amp;utm_campaign=imageinfo&amp;utm_content=original", "descriptionurl": "https://commons.wikimedia.org/wiki/File:0772_WN011_Stadswandelpark_Eindhoven-3.jpg", "descriptionshorturl": "https://commons.wikimedia.org/w/index.php?curid=88205794", "sha1": "7e3c65f97001856210e38ff2cd41a65451ad2f59", "extmetadata": {"DateTime": {"value": "2020-03-17 11:05:13", "source": "mediawiki-metadata", "hidden": ""}, "ObjectName": {"value": "0772 WN011 Stadswandelpark Eindhoven-3", "source": "mediawiki-metadata"}, "CommonsMetadataExtension": {"value": 1.2, "source": "extension", "hidden": ""}, "Categories": {"value": "Stadswandelpark, Eindhoven|Self-published work|Gemeentelijke monumenten with known IDs|Uploaded via Campaign:wlm-nl-gemeente", "source": "commons-categories", "hidden": ""}, "Assessments": {"value": "", "source": "commons-categories", "hidden": ""}, "GPSLatitude": {"value": "51.425863", "source": "commons-desc-page"}, "GPSLongitude": {"value": "5.481232", "source": "commons-desc-page"}, "GPSMapDatum": {"value": "WGS-84", "source": "commons-desc-page", "hidden": ""}, "ImageDescription": {"value": "This is an image of a municipal monument in Eindhoven with number", "source": "commons-desc-page"}, "DateTimeOriginal": {"value": "2020-03-16 08:30:42",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"https://thumb.wikimedia.org/wikipedia/commons/thumb/6/61/0772_WN011_Stadswandelpark_Eindhoven-3.jpg/1280px-0772_WN011_Stadswandelpark_Eindhoven-3.jpg"}, "retrieved_on": "2026-10-23"}</t>
        </is>
      </c>
    </row>
    <row r="53" ht="54" customHeight="1">
      <c r="A53" s="29" t="inlineStr">
        <is>
          <t>eindhoven:evidence:stadswandelpark-03</t>
        </is>
      </c>
      <c r="B53" s="29" t="inlineStr">
        <is>
          <t>eindhoven</t>
        </is>
      </c>
      <c r="C53" s="29" t="inlineStr">
        <is>
          <t>eindhoven:photo:stadswandelpark-03</t>
        </is>
      </c>
      <c r="D53" s="29" t="inlineStr">
        <is>
          <t>https://commons.wikimedia.org/wiki/File:13-06-29-eindhoven-50mm-54.jpg</t>
        </is>
      </c>
      <c r="E53" s="29" t="inlineStr">
        <is>
          <t>File:13-06-29-eindhoven-50mm-54.jpg</t>
        </is>
      </c>
      <c r="F53" s="29" t="inlineStr">
        <is>
          <t>Ralf Roletschek</t>
        </is>
      </c>
      <c r="G53" s="29" t="inlineStr">
        <is>
          <t>CC BY 3.0</t>
        </is>
      </c>
      <c r="H53" s="29" t="inlineStr">
        <is>
          <t>https://creativecommons.org/licenses/by/3.0/</t>
        </is>
      </c>
      <c r="I53" s="29" t="inlineStr">
        <is>
          <t>Creative Commons Attribution 3.0</t>
        </is>
      </c>
      <c r="J53" s="29" t="inlineStr">
        <is>
          <t>Ralf Roletschek · CC BY 3.0 · Wikimedia Commons</t>
        </is>
      </c>
      <c r="K53" s="29" t="n"/>
      <c r="L53" s="49" t="n">
        <v>46317</v>
      </c>
      <c r="M53" s="29" t="inlineStr">
        <is>
          <t>Bekliyor</t>
        </is>
      </c>
      <c r="N53" s="29" t="inlineStr">
        <is>
          <t>Bekliyor</t>
        </is>
      </c>
      <c r="O53" s="29" t="inlineStr">
        <is>
          <t>Fotoğraflar/eindhoven_stadswandelpark_03.jpg</t>
        </is>
      </c>
      <c r="P53" s="29" t="inlineStr">
        <is>
          <t>Çimenlikte frizbi oynayan ve yürüyen insanlar, arkada pas renkli çelik heykel, önde demir oturak</t>
        </is>
      </c>
      <c r="Q53" s="29" t="inlineStr">
        <is>
          <t>Bekliyor</t>
        </is>
      </c>
      <c r="R53" s="29" t="inlineStr">
        <is>
          <t>Wikimedia Commons dosya sayfasındaki lisans: CC BY 3.0</t>
        </is>
      </c>
      <c r="S53" s="29" t="n"/>
      <c r="T53" s="29" t="n"/>
      <c r="U53" s="29" t="n"/>
      <c r="V53" s="29" t="n"/>
      <c r="W53" s="29" t="inlineStr">
        <is>
          <t>{"source_url": "https://commons.wikimedia.org/wiki/File:13-06-29-eindhoven-50mm-54.jpg", "author": "Ralf Roletschek", "license": "CC BY 3.0", "license_url": "https://creativecommons.org/licenses/by/3.0/", "original_api_record": {"size": 10655692, "width": 4288, "height": 2848, "thumburl": "https://thumb.wikimedia.org/wikipedia/commons/thumb/4/46/13-06-29-eindhoven-50mm-54.jpg/1920px-13-06-29-eindhoven-50mm-54.jpg?utm_source=commons.wikimedia.org&amp;utm_campaign=imageinfo&amp;utm_content=thumbnail", "thumbwidth": 1600, "thumbheight": 1063, "responsiveUrls": {"2": "https://thumb.wikimedia.org/wikipedia/commons/thumb/4/46/13-06-29-eindhoven-50mm-54.jpg/3840px-13-06-29-eindhoven-50mm-54.jpg?utm_source=commons.wikimedia.org&amp;utm_campaign=imageinfo&amp;utm_content=thumbnail"}, "thumbattribs": {"src": "https://thumb.wikimedia.org/wikipedia/commons/thumb/4/46/13-06-29-eindhoven-50mm-54.jpg/1920px-13-06-29-eindhoven-50mm-54.jpg?utm_source=commons.wikimedia.org&amp;utm_campaign=imageinfo&amp;utm_content=thumbnail", "decoding": "async", "loading": "lazy", "width": 1600, "height": 1063, "srcset": "https://thumb.wikimedia.org/wikipedia/commons/thumb/4/46/13-06-29-eindhoven-50mm-54.jpg/3840px-13-06-29-eindhoven-50mm-54.jpg?utm_source=commons.wikimedia.org&amp;utm_campaign=imageinfo&amp;utm_content=thumbnail 2x"}, "url": "https://upload.wikimedia.org/wikipedia/commons/4/46/13-06-29-eindhoven-50mm-54.jpg?utm_source=commons.wikimedia.org&amp;utm_campaign=imageinfo&amp;utm_content=original", "descriptionurl": "https://commons.wikimedia.org/wiki/File:13-06-29-eindhoven-50mm-54.jpg", "descriptionshorturl": "https://commons.wikimedia.org/w/index.php?curid=26959984", "sha1": "9eab4eaea8163a127d883e693442d7cc776ebd16", "extmetadata": {"DateTime": {"value": "2013-06-29 21:22:39", "source": "mediawiki-metadata", "hidden": ""}, "ObjectName": {"value": "13-06-29-eindhoven-50mm-54", "source": "mediawiki-metadata"}, "CommonsMetadataExtension": {"value": 1.2, "source": "extension", "hidden": ""}, "Categories": {"value": "GFDL|Taken with Nikon D300s|License migration redundant|Stadswandelpark, Eindhoven|Self-published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"51.428043", "source": "commons-desc-page"}, "GPSLongitude": {"value": "5.481953", "source": "commons-desc-page"}, "GPSMapDatum": {"value": "WGS-84", "source": "commons-desc-page", "hidden": ""}, "ImageDescription": {"value": "Eindhoven, Niederlande, 2013", "source": "commons-desc-page"}, "DateTimeOriginal": {"value": "2013-06-29 17:04:41",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"https://thumb.wikimedia.org/wikipedia/commons/thumb/4/46/13-06-29-eindhoven-50mm-54.jpg/1280px-13-06-29-eindhoven-50mm-54.jpg"}, "retrieved_on": "2026-10-23"}</t>
        </is>
      </c>
    </row>
    <row r="54" ht="54" customHeight="1">
      <c r="A54" s="29" t="inlineStr">
        <is>
          <t>eindhoven:evidence:philips-de-jongh-wandelpark-01</t>
        </is>
      </c>
      <c r="B54" s="29" t="inlineStr">
        <is>
          <t>eindhoven</t>
        </is>
      </c>
      <c r="C54" s="29" t="inlineStr">
        <is>
          <t>eindhoven:photo:philips-de-jongh-wandelpark-01</t>
        </is>
      </c>
      <c r="D54" s="29" t="inlineStr">
        <is>
          <t>https://commons.wikimedia.org/wiki/File:PhilipsDeJonghWandelpark.jpg</t>
        </is>
      </c>
      <c r="E54" s="29" t="inlineStr">
        <is>
          <t>File:PhilipsDeJonghWandelpark.jpg</t>
        </is>
      </c>
      <c r="F54" s="29" t="inlineStr">
        <is>
          <t>Lempkesfabriek</t>
        </is>
      </c>
      <c r="G54" s="29" t="inlineStr">
        <is>
          <t>CC BY-SA 3.0</t>
        </is>
      </c>
      <c r="H54" s="29" t="inlineStr">
        <is>
          <t>https://creativecommons.org/licenses/by-sa/3.0/</t>
        </is>
      </c>
      <c r="I54" s="29" t="inlineStr">
        <is>
          <t>Creative Commons Attribution-Share Alike 3.0</t>
        </is>
      </c>
      <c r="J54" s="29" t="inlineStr">
        <is>
          <t>Lempkesfabriek · CC BY-SA 3.0 · Wikimedia Commons</t>
        </is>
      </c>
      <c r="K54" s="29" t="n"/>
      <c r="L54" s="49" t="n">
        <v>46317</v>
      </c>
      <c r="M54" s="29" t="inlineStr">
        <is>
          <t>Bekliyor</t>
        </is>
      </c>
      <c r="N54" s="29" t="inlineStr">
        <is>
          <t>Bekliyor</t>
        </is>
      </c>
      <c r="O54" s="29" t="inlineStr">
        <is>
          <t>Fotoğraflar/eindhoven_philips-de-jongh-wandelpark_01.jpg</t>
        </is>
      </c>
      <c r="P54" s="29" t="inlineStr">
        <is>
          <t>Yaşlı ağaçlarla çevrili geniş çimenlik, kıvrılan çakıllı yol ve bank</t>
        </is>
      </c>
      <c r="Q54" s="29" t="inlineStr">
        <is>
          <t>Bekliyor</t>
        </is>
      </c>
      <c r="R54" s="29" t="inlineStr">
        <is>
          <t>Wikimedia Commons dosya sayfasındaki lisans: CC BY-SA 3.0</t>
        </is>
      </c>
      <c r="S54" s="29" t="n"/>
      <c r="T54" s="29" t="n"/>
      <c r="U54" s="29" t="n"/>
      <c r="V54" s="29" t="n"/>
      <c r="W54" s="29" t="inlineStr">
        <is>
          <t>{"source_url": "https://commons.wikimedia.org/wiki/File:PhilipsDeJonghWandelpark.jpg", "author": "Lempkesfabriek", "license": "CC BY-SA 3.0", "license_url": "https://creativecommons.org/licenses/by-sa/3.0/", "original_api_record": {"size": 255942, "width": 991, "height": 745, "thumburl": "https://upload.wikimedia.org/wikipedia/commons/2/2a/PhilipsDeJonghWandelpark.jpg?utm_source=commons.wikimedia.org&amp;utm_campaign=imageinfo&amp;utm_content=thumbnail_unscaled", "thumbwidth": 1600, "thumbheight": 1203, "thumbattribs": {"src": "https://upload.wikimedia.org/wikipedia/commons/2/2a/PhilipsDeJonghWandelpark.jpg?utm_source=commons.wikimedia.org&amp;utm_campaign=imageinfo&amp;utm_content=thumbnail_unscaled", "decoding": "async", "loading": "lazy", "width": 1600, "height": 1203}, "url": "https://upload.wikimedia.org/wikipedia/commons/2/2a/PhilipsDeJonghWandelpark.jpg?utm_source=commons.wikimedia.org&amp;utm_campaign=imageinfo&amp;utm_content=original", "descriptionurl": "https://commons.wikimedia.org/wiki/File:PhilipsDeJonghWandelpark.jpg", "descriptionshorturl": "https://commons.wikimedia.org/w/index.php?curid=4486438", "sha1": "b579687e122b63a49d9497381be39f0f05312db9", "extmetadata": {"DateTime": {"value": "2008-08-02 07:25:05", "source": "mediawiki-metadata", "hidden": ""}, "ObjectName": {"value": "PhilipsDeJonghWandelpark", "source": "mediawiki-metadata"}, "CommonsMetadataExtension": {"value": 1.2, "source": "extension", "hidden": ""}, "Categories": {"value": "Parks in Eindhoven|Self-published work", "source": "commons-categories", "hidden": ""}, "Assessments": {"value": "", "source": "commons-categories", "hidden": ""}, "ImageDescription": {"value": "Philips de Jongh Wandelpark in Eindhoven (Strijp)",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"https://upload.wikimedia.org/wikipedia/commons/2/2a/PhilipsDeJonghWandelpark.jpg"}, "retrieved_on": "2026-10-23"}</t>
        </is>
      </c>
    </row>
    <row r="55" ht="54" customHeight="1">
      <c r="A55" s="29" t="inlineStr">
        <is>
          <t>eindhoven:evidence:philips-de-jongh-wandelpark-02</t>
        </is>
      </c>
      <c r="B55" s="29" t="inlineStr">
        <is>
          <t>eindhoven</t>
        </is>
      </c>
      <c r="C55" s="29" t="inlineStr">
        <is>
          <t>eindhoven:photo:philips-de-jongh-wandelpark-02</t>
        </is>
      </c>
      <c r="D55" s="29" t="inlineStr">
        <is>
          <t>https://commons.wikimedia.org/wiki/File:PhilipsDeJonghWandelpark02.jpg</t>
        </is>
      </c>
      <c r="E55" s="29" t="inlineStr">
        <is>
          <t>File:PhilipsDeJonghWandelpark02.jpg</t>
        </is>
      </c>
      <c r="F55" s="29" t="inlineStr">
        <is>
          <t>Lempkesfabriek</t>
        </is>
      </c>
      <c r="G55" s="29" t="inlineStr">
        <is>
          <t>CC BY-SA 3.0</t>
        </is>
      </c>
      <c r="H55" s="29" t="inlineStr">
        <is>
          <t>https://creativecommons.org/licenses/by-sa/3.0/</t>
        </is>
      </c>
      <c r="I55" s="29" t="inlineStr">
        <is>
          <t>Creative Commons Attribution-Share Alike 3.0</t>
        </is>
      </c>
      <c r="J55" s="29" t="inlineStr">
        <is>
          <t>Lempkesfabriek · CC BY-SA 3.0 · Wikimedia Commons</t>
        </is>
      </c>
      <c r="K55" s="29" t="n"/>
      <c r="L55" s="49" t="n">
        <v>46317</v>
      </c>
      <c r="M55" s="29" t="inlineStr">
        <is>
          <t>Bekliyor</t>
        </is>
      </c>
      <c r="N55" s="29" t="inlineStr">
        <is>
          <t>Bekliyor</t>
        </is>
      </c>
      <c r="O55" s="29" t="inlineStr">
        <is>
          <t>Fotoğraflar/eindhoven_philips-de-jongh-wandelpark_02.jpg</t>
        </is>
      </c>
      <c r="P55" s="29" t="inlineStr">
        <is>
          <t>Ağaç dallarının altından geniş çimenlik, arkada yeşil şemsiyeli küçük köşk</t>
        </is>
      </c>
      <c r="Q55" s="29" t="inlineStr">
        <is>
          <t>Bekliyor</t>
        </is>
      </c>
      <c r="R55" s="29" t="inlineStr">
        <is>
          <t>Wikimedia Commons dosya sayfasındaki lisans: CC BY-SA 3.0</t>
        </is>
      </c>
      <c r="S55" s="29" t="n"/>
      <c r="T55" s="29" t="n"/>
      <c r="U55" s="29" t="n"/>
      <c r="V55" s="29" t="n"/>
      <c r="W55" s="29" t="inlineStr">
        <is>
          <t>{"source_url": "https://commons.wikimedia.org/wiki/File:PhilipsDeJonghWandelpark02.jpg", "author": "Lempkesfabriek", "license": "CC BY-SA 3.0", "license_url": "https://creativecommons.org/licenses/by-sa/3.0/", "original_api_record": {"size": 244537, "width": 991, "height": 745, "thumburl": "https://upload.wikimedia.org/wikipedia/commons/9/9f/PhilipsDeJonghWandelpark02.jpg?utm_source=commons.wikimedia.org&amp;utm_campaign=imageinfo&amp;utm_content=thumbnail_unscaled", "thumbwidth": 1600, "thumbheight": 1203, "thumbattribs": {"src": "https://upload.wikimedia.org/wikipedia/commons/9/9f/PhilipsDeJonghWandelpark02.jpg?utm_source=commons.wikimedia.org&amp;utm_campaign=imageinfo&amp;utm_content=thumbnail_unscaled", "decoding": "async", "loading": "lazy", "width": 1600, "height": 1203}, "url": "https://upload.wikimedia.org/wikipedia/commons/9/9f/PhilipsDeJonghWandelpark02.jpg?utm_source=commons.wikimedia.org&amp;utm_campaign=imageinfo&amp;utm_content=original", "descriptionurl": "https://commons.wikimedia.org/wiki/File:PhilipsDeJonghWandelpark02.jpg", "descriptionshorturl": "https://commons.wikimedia.org/w/index.php?curid=4486440", "sha1": "48e13c8609b45d5618985c3a5e0e99e55fe5faaf", "extmetadata": {"DateTime": {"value": "2008-08-02 07:25:23", "source": "mediawiki-metadata", "hidden": ""}, "ObjectName": {"value": "PhilipsDeJonghWandelpark02", "source": "mediawiki-metadata"}, "CommonsMetadataExtension": {"value": 1.2, "source": "extension", "hidden": ""}, "Categories": {"value": "Parks in Eindhoven|Self-published work", "source": "commons-categories", "hidden": ""}, "Assessments": {"value": "", "source": "commons-categories", "hidden": ""}, "ImageDescription": {"value": "Philips de Jongh Wandelpark in Eindhoven (Strijp)",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"https://upload.wikimedia.org/wikipedia/commons/9/9f/PhilipsDeJonghWandelpark02.jpg"}, "retrieved_on": "2026-10-23"}</t>
        </is>
      </c>
    </row>
    <row r="56" ht="54" customHeight="1">
      <c r="A56" s="29" t="inlineStr">
        <is>
          <t>eindhoven:evidence:philips-de-jongh-wandelpark-03</t>
        </is>
      </c>
      <c r="B56" s="29" t="inlineStr">
        <is>
          <t>eindhoven</t>
        </is>
      </c>
      <c r="C56" s="29" t="inlineStr">
        <is>
          <t>eindhoven:photo:philips-de-jongh-wandelpark-03</t>
        </is>
      </c>
      <c r="D56" s="29" t="inlineStr">
        <is>
          <t>https://commons.wikimedia.org/wiki/File:PhilipsDeJonghWandelpark03.jpg</t>
        </is>
      </c>
      <c r="E56" s="29" t="inlineStr">
        <is>
          <t>File:PhilipsDeJonghWandelpark03.jpg</t>
        </is>
      </c>
      <c r="F56" s="29" t="inlineStr">
        <is>
          <t>Lempkesfabriek</t>
        </is>
      </c>
      <c r="G56" s="29" t="inlineStr">
        <is>
          <t>CC BY-SA 3.0</t>
        </is>
      </c>
      <c r="H56" s="29" t="inlineStr">
        <is>
          <t>https://creativecommons.org/licenses/by-sa/3.0/</t>
        </is>
      </c>
      <c r="I56" s="29" t="inlineStr">
        <is>
          <t>Creative Commons Attribution-Share Alike 3.0</t>
        </is>
      </c>
      <c r="J56" s="29" t="inlineStr">
        <is>
          <t>Lempkesfabriek · CC BY-SA 3.0 · Wikimedia Commons</t>
        </is>
      </c>
      <c r="K56" s="29" t="n"/>
      <c r="L56" s="49" t="n">
        <v>46317</v>
      </c>
      <c r="M56" s="29" t="inlineStr">
        <is>
          <t>Bekliyor</t>
        </is>
      </c>
      <c r="N56" s="29" t="inlineStr">
        <is>
          <t>Bekliyor</t>
        </is>
      </c>
      <c r="O56" s="29" t="inlineStr">
        <is>
          <t>Fotoğraflar/eindhoven_philips-de-jongh-wandelpark_03.jpg</t>
        </is>
      </c>
      <c r="P56" s="29" t="inlineStr">
        <is>
          <t>Uzun ağaçlarla sıralı çakıllı yol, banklar, uzakta köpek gezdiren biri</t>
        </is>
      </c>
      <c r="Q56" s="29" t="inlineStr">
        <is>
          <t>Bekliyor</t>
        </is>
      </c>
      <c r="R56" s="29" t="inlineStr">
        <is>
          <t>Wikimedia Commons dosya sayfasındaki lisans: CC BY-SA 3.0</t>
        </is>
      </c>
      <c r="S56" s="29" t="n"/>
      <c r="T56" s="29" t="n"/>
      <c r="U56" s="29" t="n"/>
      <c r="V56" s="29" t="n"/>
      <c r="W56" s="29" t="inlineStr">
        <is>
          <t>{"source_url": "https://commons.wikimedia.org/wiki/File:PhilipsDeJonghWandelpark03.jpg", "author": "Lempkesfabriek", "license": "CC BY-SA 3.0", "license_url": "https://creativecommons.org/licenses/by-sa/3.0/", "original_api_record": {"size": 348549, "width": 745, "height": 991, "thumburl": "https://upload.wikimedia.org/wikipedia/commons/4/4f/PhilipsDeJonghWandelpark03.jpg?utm_source=commons.wikimedia.org&amp;utm_campaign=imageinfo&amp;utm_content=thumbnail_unscaled", "thumbwidth": 1600, "thumbheight": 2128, "thumbattribs": {"src": "https://upload.wikimedia.org/wikipedia/commons/4/4f/PhilipsDeJonghWandelpark03.jpg?utm_source=commons.wikimedia.org&amp;utm_campaign=imageinfo&amp;utm_content=thumbnail_unscaled", "decoding": "async", "loading": "lazy", "width": 1600, "height": 2128}, "url": "https://upload.wikimedia.org/wikipedia/commons/4/4f/PhilipsDeJonghWandelpark03.jpg?utm_source=commons.wikimedia.org&amp;utm_campaign=imageinfo&amp;utm_content=original", "descriptionurl": "https://commons.wikimedia.org/wiki/File:PhilipsDeJonghWandelpark03.jpg", "descriptionshorturl": "https://commons.wikimedia.org/w/index.php?curid=4486441", "sha1": "231d2b66418a7a452022b2add69a92fdafe4ae9e", "extmetadata": {"DateTime": {"value": "2008-08-02 07:25:43", "source": "mediawiki-metadata", "hidden": ""}, "ObjectName": {"value": "PhilipsDeJonghWandelpark03", "source": "mediawiki-metadata"}, "CommonsMetadataExtension": {"value": 1.2, "source": "extension", "hidden": ""}, "Categories": {"value": "Parks in Eindhoven|Self-published work", "source": "commons-categories", "hidden": ""}, "Assessments": {"value": "", "source": "commons-categories", "hidden": ""}, "ImageDescription": {"value": "Philips de Jongh Wandelpark in Eindhoven (Strijp)",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"https://upload.wikimedia.org/wikipedia/commons/4/4f/PhilipsDeJonghWandelpark03.jpg"}, "retrieved_on": "2026-10-23"}</t>
        </is>
      </c>
    </row>
    <row r="57" ht="54" customHeight="1">
      <c r="A57" s="29" t="inlineStr">
        <is>
          <t>eindhoven:evidence:henri-dunantpark-01</t>
        </is>
      </c>
      <c r="B57" s="29" t="inlineStr">
        <is>
          <t>eindhoven</t>
        </is>
      </c>
      <c r="C57" s="29" t="inlineStr">
        <is>
          <t>eindhoven:photo:henri-dunantpark-01</t>
        </is>
      </c>
      <c r="D57" s="29" t="inlineStr">
        <is>
          <t>https://commons.wikimedia.org/wiki/File:HenriDunantPark.jpg</t>
        </is>
      </c>
      <c r="E57" s="29" t="inlineStr">
        <is>
          <t>File:HenriDunantPark.jpg</t>
        </is>
      </c>
      <c r="F57" s="29" t="inlineStr">
        <is>
          <t>WVDW95</t>
        </is>
      </c>
      <c r="G57" s="29" t="inlineStr">
        <is>
          <t>CC0 1.0</t>
        </is>
      </c>
      <c r="H57" s="29" t="inlineStr">
        <is>
          <t>https://creativecommons.org/publicdomain/zero/1.0/</t>
        </is>
      </c>
      <c r="I57" s="29" t="inlineStr">
        <is>
          <t>Creative Commons Zero, Public Domain Dedication</t>
        </is>
      </c>
      <c r="J57" s="29" t="inlineStr">
        <is>
          <t>WVDW95 · CC0 1.0 · Wikimedia Commons</t>
        </is>
      </c>
      <c r="K57" s="29" t="n"/>
      <c r="L57" s="49" t="n">
        <v>46317</v>
      </c>
      <c r="M57" s="29" t="inlineStr">
        <is>
          <t>Bekliyor</t>
        </is>
      </c>
      <c r="N57" s="29" t="inlineStr">
        <is>
          <t>Bekliyor</t>
        </is>
      </c>
      <c r="O57" s="29" t="inlineStr">
        <is>
          <t>Fotoğraflar/eindhoven_henri-dunantpark_01.jpg</t>
        </is>
      </c>
      <c r="P57" s="29" t="inlineStr">
        <is>
          <t>Kızıl-kahve ağaçlarla çevrili gölet ve suya yansıyan uzun, gümüş renkli dikey heykel</t>
        </is>
      </c>
      <c r="Q57" s="29" t="inlineStr">
        <is>
          <t>Bekliyor</t>
        </is>
      </c>
      <c r="R57" s="29" t="inlineStr">
        <is>
          <t>Wikimedia Commons dosya sayfasındaki lisans: CC0 1.0</t>
        </is>
      </c>
      <c r="S57" s="29" t="n"/>
      <c r="T57" s="29" t="n"/>
      <c r="U57" s="29" t="n"/>
      <c r="V57" s="29" t="n"/>
      <c r="W57" s="29" t="inlineStr">
        <is>
          <t>{"source_url": "https://commons.wikimedia.org/wiki/File:HenriDunantPark.jpg", "author": "WVDW95", "license": "CC0 1.0", "license_url": "https://creativecommons.org/publicdomain/zero/1.0/", "original_api_record": {"size": 3239013, "width": 5234, "height": 3473, "thumburl": "https://thumb.wikimedia.org/wikipedia/commons/thumb/0/06/HenriDunantPark.jpg/1920px-HenriDunantPark.jpg?utm_source=commons.wikimedia.org&amp;utm_campaign=imageinfo&amp;utm_content=thumbnail", "thumbwidth": 1600, "thumbheight": 1062, "responsiveUrls": {"2": "https://thumb.wikimedia.org/wikipedia/commons/thumb/0/06/HenriDunantPark.jpg/3840px-HenriDunantPark.jpg?utm_source=commons.wikimedia.org&amp;utm_campaign=imageinfo&amp;utm_content=thumbnail"}, "thumbattribs": {"src": "https://thumb.wikimedia.org/wikipedia/commons/thumb/0/06/HenriDunantPark.jpg/1920px-HenriDunantPark.jpg?utm_source=commons.wikimedia.org&amp;utm_campaign=imageinfo&amp;utm_content=thumbnail", "decoding": "async", "loading": "lazy", "width": 1600, "height": 1062, "srcset": "https://thumb.wikimedia.org/wikipedia/commons/thumb/0/06/HenriDunantPark.jpg/3840px-HenriDunantPark.jpg?utm_source=commons.wikimedia.org&amp;utm_campaign=imageinfo&amp;utm_content=thumbnail 2x"}, "url": "https://upload.wikimedia.org/wikipedia/commons/0/06/HenriDunantPark.jpg?utm_source=commons.wikimedia.org&amp;utm_campaign=imageinfo&amp;utm_content=original", "descriptionurl": "https://commons.wikimedia.org/wiki/File:HenriDunantPark.jpg", "descriptionshorturl": "https://commons.wikimedia.org/w/index.php?curid=188436384", "sha1": "d923caa752d48061b1503feb376d029a838e6557", "extmetadata": {"DateTime": {"value": "2026-04-08 13:02:17", "source": "mediawiki-metadata", "hidden": ""}, "ObjectName": {"value": "HenriDunantPark", "source": "mediawiki-metadata"}, "CommonsMetadataExtension": {"value": 1.2, "source": "extension", "hidden": ""}, "Categories": {"value": "CC-Zero|Frans Gast|Self-published work|Henri Dunantpark (Eindhoven)", "source": "commons-categories", "hidden": ""}, "Assessments": {"value": "", "source": "commons-categories", "hidden": ""}, "ImageDescription": {"value": "Henri Dunant Park", "source": "commons-desc-page"}, "DateTimeOriginal": {"value": "2026-04-07 19:57:47", "source": "commons-desc-page"}, "Credit": {"value": "&lt;span class=\"int-own-work\" lang=\"en\"&gt;Own work&lt;/span&gt;", "source": "commons-desc-page"}, "Artist": {"value": "&lt;a href=\"//commons.wikimedia.org/w/index.php?title=User:WVDW95&amp;amp;action=edit&amp;amp;redlink=1\" class=\"new\" title=\"User:WVDW95 (page does not exist)\"&gt;WVDW95&lt;/a&gt;",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"https://thumb.wikimedia.org/wikipedia/commons/thumb/0/06/HenriDunantPark.jpg/1280px-HenriDunantPark.jpg"}, "retrieved_on": "2026-10-23"}</t>
        </is>
      </c>
    </row>
    <row r="58" ht="54" customHeight="1">
      <c r="A58" s="29" t="inlineStr">
        <is>
          <t>eindhoven:evidence:landgoed-de-wielewaal-01</t>
        </is>
      </c>
      <c r="B58" s="29" t="inlineStr">
        <is>
          <t>eindhoven</t>
        </is>
      </c>
      <c r="C58" s="29" t="inlineStr">
        <is>
          <t>eindhoven:photo:landgoed-de-wielewaal-01</t>
        </is>
      </c>
      <c r="D58" s="29" t="inlineStr">
        <is>
          <t>https://commons.wikimedia.org/wiki/File:Lichtbos_Eindhoven_januari_2026_14.jpg</t>
        </is>
      </c>
      <c r="E58" s="29" t="inlineStr">
        <is>
          <t>File:Lichtbos Eindhoven januari 2026 14.jpg</t>
        </is>
      </c>
      <c r="F58" s="29" t="inlineStr">
        <is>
          <t>Chescargot</t>
        </is>
      </c>
      <c r="G58" s="29" t="inlineStr">
        <is>
          <t>CC BY 4.0</t>
        </is>
      </c>
      <c r="H58" s="29" t="inlineStr">
        <is>
          <t>https://creativecommons.org/licenses/by/4.0/</t>
        </is>
      </c>
      <c r="I58" s="29" t="inlineStr">
        <is>
          <t>Creative Commons Attribution 4.0</t>
        </is>
      </c>
      <c r="J58" s="29" t="inlineStr">
        <is>
          <t>Chescargot · CC BY 4.0 · Wikimedia Commons</t>
        </is>
      </c>
      <c r="K58" s="29" t="n"/>
      <c r="L58" s="49" t="n">
        <v>46317</v>
      </c>
      <c r="M58" s="29" t="inlineStr">
        <is>
          <t>Bekliyor</t>
        </is>
      </c>
      <c r="N58" s="29" t="inlineStr">
        <is>
          <t>Bekliyor</t>
        </is>
      </c>
      <c r="O58" s="29" t="inlineStr">
        <is>
          <t>Fotoğraflar/eindhoven_landgoed-de-wielewaal_01.jpg</t>
        </is>
      </c>
      <c r="P58" s="29" t="inlineStr">
        <is>
          <t>Kırağılı çimenliğin ardında, ağaçlar arasında bacalı, kiremit çatılı büyük tuğla köşk</t>
        </is>
      </c>
      <c r="Q58" s="29" t="inlineStr">
        <is>
          <t>Bekliyor</t>
        </is>
      </c>
      <c r="R58" s="29" t="inlineStr">
        <is>
          <t>Wikimedia Commons dosya sayfasındaki lisans: CC BY 4.0</t>
        </is>
      </c>
      <c r="S58" s="29" t="n"/>
      <c r="T58" s="29" t="n"/>
      <c r="U58" s="29" t="n"/>
      <c r="V58" s="29" t="n"/>
      <c r="W58" s="29" t="inlineStr">
        <is>
          <t>{"source_url": "https://commons.wikimedia.org/wiki/File:Lichtbos_Eindhoven_januari_2026_14.jpg", "author": "Chescargot", "license": "CC BY 4.0", "license_url": "https://creativecommons.org/licenses/by/4.0/", "original_api_record": {"size": 2454301, "width": 3060, "height": 4080, "thumburl": "https://thumb.wikimedia.org/wikipedia/commons/thumb/1/16/Lichtbos_Eindhoven_januari_2026_14.jpg/1920px-Lichtbos_Eindhoven_januari_2026_14.jpg?utm_source=commons.wikimedia.org&amp;utm_campaign=imageinfo&amp;utm_content=thumbnail", "thumbwidth": 1600, "thumbheight": 2133, "thumbattribs": {"src": "https://thumb.wikimedia.org/wikipedia/commons/thumb/1/16/Lichtbos_Eindhoven_januari_2026_14.jpg/1920px-Lichtbos_Eindhoven_januari_2026_14.jpg?utm_source=commons.wikimedia.org&amp;utm_campaign=imageinfo&amp;utm_content=thumbnail", "decoding": "async", "loading": "lazy", "width": 1600, "height": 2133}, "url": "https://upload.wikimedia.org/wikipedia/commons/1/16/Lichtbos_Eindhoven_januari_2026_14.jpg?utm_source=commons.wikimedia.org&amp;utm_campaign=imageinfo&amp;utm_content=original", "descriptionurl": "https://commons.wikimedia.org/wiki/File:Lichtbos_Eindhoven_januari_2026_14.jpg", "descriptionshorturl": "https://commons.wikimedia.org/w/index.php?curid=182124117", "sha1": "76b820ebcc99aff3b7ceea4db48fd94706e48c1d", "extmetadata": {"DateTime": {"value": "2026-01-20 13:36:09", "source": "mediawiki-metadata", "hidden": ""}, "ObjectName": {"value": "Lichtbos Eindhoven januari 2026 14", "source": "mediawiki-metadata"}, "CommonsMetadataExtension": {"value": 1.2, "source": "extension", "hidden": ""}, "Categories": {"value": "Self-published work|Files with coordinates missing SDC location of creation (51° N, 5° E)|Lichtbos Eindhoven|Lichtbos Ehv|Landhuis De Wielewaal", "source": "commons-categories", "hidden": ""}, "Assessments": {"value": "", "source": "commons-categories", "hidden": ""}, "GPSLatitude": {"value": "51.453983", "source": "commons-desc-page"}, "GPSLongitude": {"value": "5.435993", "source": "commons-desc-page"}, "GPSMapDatum": {"value": "WGS-84", "source": "commons-desc-page", "hidden": ""}, "ImageDescription": {"value": "Lichtbos Eindhoven januari 2026", "source": "commons-desc-page"}, "DateTimeOriginal": {"value": "2026-01-18 10:51:37", "source": "commons-desc-page"}, "Credit": {"value": "&lt;span class=\"int-own-work\" lang=\"en\"&gt;Own work&lt;/span&gt;", "source": "commons-desc-page"}, "Artist": {"value": "&lt;a href=\"//commons.wikimedia.org/wiki/User:Chescargot\" title=\"User:Chescargot\"&gt;Chescargot&lt;/a&gt;",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"https://thumb.wikimedia.org/wikipedia/commons/thumb/1/16/Lichtbos_Eindhoven_januari_2026_14.jpg/1280px-Lichtbos_Eindhoven_januari_2026_14.jpg"}, "retrieved_on": "2026-10-23"}</t>
        </is>
      </c>
    </row>
    <row r="59" ht="54" customHeight="1">
      <c r="A59" s="29" t="inlineStr">
        <is>
          <t>eindhoven:evidence:de-ontdekfabriek-01</t>
        </is>
      </c>
      <c r="B59" s="29" t="inlineStr">
        <is>
          <t>eindhoven</t>
        </is>
      </c>
      <c r="C59" s="29" t="inlineStr">
        <is>
          <t>eindhoven:photo:de-ontdekfabriek-01</t>
        </is>
      </c>
      <c r="D59" s="29" t="inlineStr">
        <is>
          <t>https://commons.wikimedia.org/wiki/File:De_Ontdekfabriek.jpg</t>
        </is>
      </c>
      <c r="E59" s="29" t="inlineStr">
        <is>
          <t>File:De Ontdekfabriek.jpg</t>
        </is>
      </c>
      <c r="F59" s="29" t="inlineStr">
        <is>
          <t>S. Perquin</t>
        </is>
      </c>
      <c r="G59" s="29" t="inlineStr">
        <is>
          <t>CC BY-SA 4.0</t>
        </is>
      </c>
      <c r="H59" s="29" t="inlineStr">
        <is>
          <t>https://creativecommons.org/licenses/by-sa/4.0/</t>
        </is>
      </c>
      <c r="I59" s="29" t="inlineStr">
        <is>
          <t>Creative Commons Attribution-Share Alike 4.0</t>
        </is>
      </c>
      <c r="J59" s="29" t="inlineStr">
        <is>
          <t>S. Perquin · CC BY-SA 4.0 · Wikimedia Commons</t>
        </is>
      </c>
      <c r="K59" s="29" t="n"/>
      <c r="L59" s="49" t="n">
        <v>46317</v>
      </c>
      <c r="M59" s="29" t="inlineStr">
        <is>
          <t>Bekliyor</t>
        </is>
      </c>
      <c r="N59" s="29" t="inlineStr">
        <is>
          <t>Bekliyor</t>
        </is>
      </c>
      <c r="O59" s="29" t="inlineStr">
        <is>
          <t>Fotoğraflar/eindhoven_de-ontdekfabriek_01.jpg</t>
        </is>
      </c>
      <c r="P59" s="29" t="inlineStr">
        <is>
          <t>'De Ontdekfabriek' yazılı kemerli giriş, sağda yuvarlak parlak metal disk, bisiklet demirleri</t>
        </is>
      </c>
      <c r="Q59" s="29" t="inlineStr">
        <is>
          <t>Bekliyor</t>
        </is>
      </c>
      <c r="R59" s="29" t="inlineStr">
        <is>
          <t>Wikimedia Commons dosya sayfasındaki lisans: CC BY-SA 4.0</t>
        </is>
      </c>
      <c r="S59" s="29" t="n"/>
      <c r="T59" s="29" t="n"/>
      <c r="U59" s="29" t="n"/>
      <c r="V59" s="29" t="n"/>
      <c r="W59" s="29" t="inlineStr">
        <is>
          <t>{"source_url": "https://commons.wikimedia.org/wiki/File:De_Ontdekfabriek.jpg", "author": "S. Perquin", "license": "CC BY-SA 4.0", "license_url": "https://creativecommons.org/licenses/by-sa/4.0/", "original_api_record": {"size": 4552086, "width": 4608, "height": 3456, "thumburl": "https://thumb.wikimedia.org/wikipedia/commons/thumb/3/3b/De_Ontdekfabriek.jpg/1920px-De_Ontdekfabriek.jpg?utm_source=commons.wikimedia.org&amp;utm_campaign=imageinfo&amp;utm_content=thumbnail", "thumbwidth": 1600, "thumbheight": 1200, "responsiveUrls": {"2": "https://thumb.wikimedia.org/wikipedia/commons/thumb/3/3b/De_Ontdekfabriek.jpg/3840px-De_Ontdekfabriek.jpg?utm_source=commons.wikimedia.org&amp;utm_campaign=imageinfo&amp;utm_content=thumbnail"}, "thumbattribs": {"src": "https://thumb.wikimedia.org/wikipedia/commons/thumb/3/3b/De_Ontdekfabriek.jpg/1920px-De_Ontdekfabriek.jpg?utm_source=commons.wikimedia.org&amp;utm_campaign=imageinfo&amp;utm_content=thumbnail", "decoding": "async", "loading": "lazy", "width": 1600, "height": 1200, "srcset": "https://thumb.wikimedia.org/wikipedia/commons/thumb/3/3b/De_Ontdekfabriek.jpg/3840px-De_Ontdekfabriek.jpg?utm_source=commons.wikimedia.org&amp;utm_campaign=imageinfo&amp;utm_content=thumbnail 2x"}, "url": "https://upload.wikimedia.org/wikipedia/commons/3/3b/De_Ontdekfabriek.jpg?utm_source=commons.wikimedia.org&amp;utm_campaign=imageinfo&amp;utm_content=original", "descriptionurl": "https://commons.wikimedia.org/wiki/File:De_Ontdekfabriek.jpg", "descriptionshorturl": "https://commons.wikimedia.org/w/index.php?curid=129564264", "sha1": "59ab0a4b6ba9ffb392cf36aa07cd41d9916004b4", "extmetadata": {"DateTime": {"value": "2023-03-13 16:50:29", "source": "mediawiki-metadata", "hidden": ""}, "ObjectName": {"value": "De Ontdekfabriek", "source": "mediawiki-metadata"}, "CommonsMetadataExtension": {"value": 1.2, "source": "extension", "hidden": ""}, "Categories": {"value": "Strijp-S|Self-published work|Photographs by S. Perquin|De Ontdekfabriek|2023 photographs by S. Perquin|Photographs by S. Perquin in Eindhoven", "source": "commons-categories", "hidden": ""}, "Assessments": {"value": "", "source": "commons-categories", "hidden": ""}, "ImageDescription": {"value": "De Ontdekfabriek op Strijp-S in Eindhoven", "source": "commons-desc-page"}, "DateTimeOriginal": {"value": "2023-03-13 17:20:17",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"https://thumb.wikimedia.org/wikipedia/commons/thumb/3/3b/De_Ontdekfabriek.jpg/1280px-De_Ontdekfabriek.jpg"}, "retrieved_on": "2026-10-23"}</t>
        </is>
      </c>
    </row>
    <row r="60" ht="54" customHeight="1">
      <c r="A60" s="29" t="inlineStr">
        <is>
          <t>eindhoven:evidence:de-ontdekfabriek-02</t>
        </is>
      </c>
      <c r="B60" s="29" t="inlineStr">
        <is>
          <t>eindhoven</t>
        </is>
      </c>
      <c r="C60" s="29" t="inlineStr">
        <is>
          <t>eindhoven:photo:de-ontdekfabriek-02</t>
        </is>
      </c>
      <c r="D60" s="29" t="inlineStr">
        <is>
          <t>https://commons.wikimedia.org/wiki/File:Netherlands_Office_Philips_Eindhoven_Building.jpg</t>
        </is>
      </c>
      <c r="E60" s="29" t="inlineStr">
        <is>
          <t>File:Netherlands Office Philips Eindhoven Building.jpg</t>
        </is>
      </c>
      <c r="F60" s="29" t="inlineStr">
        <is>
          <t>olafpictures</t>
        </is>
      </c>
      <c r="G60" s="29" t="inlineStr">
        <is>
          <t>CC0 1.0</t>
        </is>
      </c>
      <c r="H60" s="29" t="inlineStr">
        <is>
          <t>https://creativecommons.org/publicdomain/zero/1.0/</t>
        </is>
      </c>
      <c r="I60" s="29" t="inlineStr">
        <is>
          <t>Creative Commons Zero, Public Domain Dedication</t>
        </is>
      </c>
      <c r="J60" s="29" t="inlineStr">
        <is>
          <t>olafpictures · CC0 1.0 · Wikimedia Commons</t>
        </is>
      </c>
      <c r="K60" s="29" t="n"/>
      <c r="L60" s="49" t="n">
        <v>46317</v>
      </c>
      <c r="M60" s="29" t="inlineStr">
        <is>
          <t>Bekliyor</t>
        </is>
      </c>
      <c r="N60" s="29" t="inlineStr">
        <is>
          <t>Bekliyor</t>
        </is>
      </c>
      <c r="O60" s="29" t="inlineStr">
        <is>
          <t>Fotoğraflar/eindhoven_de-ontdekfabriek_02.jpg</t>
        </is>
      </c>
      <c r="P60" s="29" t="inlineStr">
        <is>
          <t>Çok katlı büyük beyaz fabrika binası, zemin kattaki kemerde 'De Ontdekfabriek' yazısı</t>
        </is>
      </c>
      <c r="Q60" s="29" t="inlineStr">
        <is>
          <t>Bekliyor</t>
        </is>
      </c>
      <c r="R60" s="29" t="inlineStr">
        <is>
          <t>Wikimedia Commons dosya sayfasındaki lisans: CC0 1.0</t>
        </is>
      </c>
      <c r="S60" s="29" t="n"/>
      <c r="T60" s="29" t="n"/>
      <c r="U60" s="29" t="n"/>
      <c r="V60" s="29" t="n"/>
      <c r="W60" s="29" t="inlineStr">
        <is>
          <t>{"source_url": "https://commons.wikimedia.org/wiki/File:Netherlands_Office_Philips_Eindhoven_Building.jpg", "author": "olafpictures", "license": "CC0 1.0", "license_url": "https://creativecommons.org/publicdomain/zero/1.0/", "original_api_record": {"size": 2947570, "width": 5172, "height": 3448, "thumburl": "https://thumb.wikimedia.org/wikipedia/commons/thumb/d/d6/Netherlands_Office_Philips_Eindhoven_Building.jpg/1920px-Netherlands_Office_Philips_Eindhoven_Building.jpg?utm_source=commons.wikimedia.org&amp;utm_campaign=imageinfo&amp;utm_content=thumbnail", "thumbwidth": 1600, "thumbheight": 1067, "responsiveUrls": {"2": "https://thumb.wikimedia.org/wikipedia/commons/thumb/d/d6/Netherlands_Office_Philips_Eindhoven_Building.jpg/3840px-Netherlands_Office_Philips_Eindhoven_Building.jpg?utm_source=commons.wikimedia.org&amp;utm_campaign=imageinfo&amp;utm_content=thumbnail"}, "thumbattribs": {"src": "https://thumb.wikimedia.org/wikipedia/commons/thumb/d/d6/Netherlands_Office_Philips_Eindhoven_Building.jpg/1920px-Netherlands_Office_Philips_Eindhoven_Building.jpg?utm_source=commons.wikimedia.org&amp;utm_campaign=imageinfo&amp;utm_content=thumbnail", "decoding": "async", "loading": "lazy", "width": 1600, "height": 1067, "srcset": "https://thumb.wikimedia.org/wikipedia/commons/thumb/d/d6/Netherlands_Office_Philips_Eindhoven_Building.jpg/3840px-Netherlands_Office_Philips_Eindhoven_Building.jpg?utm_source=commons.wikimedia.org&amp;utm_campaign=imageinfo&amp;utm_content=thumbnail 2x"}, "url": "https://upload.wikimedia.org/wikipedia/commons/d/d6/Netherlands_Office_Philips_Eindhoven_Building.jpg?utm_source=commons.wikimedia.org&amp;utm_campaign=imageinfo&amp;utm_content=original", "descriptionurl": "https://commons.wikimedia.org/wiki/File:Netherlands_Office_Philips_Eindhoven_Building.jpg", "descriptionshorturl": "https://commons.wikimedia.org/w/index.php?curid=66834037", "sha1": "d7ed3de9ccaf4404385f3c9a06624ec50567a415", "extmetadata": {"DateTime": {"value": "2019-03-24 03:15:42", "source": "mediawiki-metadata", "hidden": ""}, "ObjectName": {"value": "Netherlands Office Philips Eindhoven Building", "source": "mediawiki-metadata"}, "CommonsMetadataExtension": {"value": 1.2, "source": "extension", "hidden": ""}, "Categories": {"value": "CC-Zero|Strijp-S|Yksi Expo|Images from Pixabay|Philips Eindhoven|De Ontdekfabriek|Art &amp; design images uploaded by User:Mdd", "source": "commons-categories", "hidden": ""}, "Assessments": {"value": "", "source": "commons-categories", "hidden": ""}, "ImageDescription": {"value": "Netherlands Office Philips Eindhoven Building", "source": "commons-desc-page"}, "DateTimeOriginal": {"value": "2012-04-01 15:09:47", "source": "commons-desc-page"}, "Credit": {"value": "&lt;a rel=\"nofollow\" class=\"external free\" href=\"https://pixabay.com/photos/netherlands-eindhoven-philips-1366956/\"&gt;https://pixabay.com/photos/netherlands-eindhoven-philips-1366956/&lt;/a&gt;", "source": "commons-desc-page"}, "Artist": {"value": "&lt;a rel=\"nofollow\" class=\"external text\" href=\"https://pixabay.com/users/olafpictures-2427999/\"&gt;olafpictures&lt;/a&gt;",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"https://thumb.wikimedia.org/wikipedia/commons/thumb/d/d6/Netherlands_Office_Philips_Eindhoven_Building.jpg/1280px-Netherlands_Office_Philips_Eindhoven_Building.jpg"}, "retrieved_on": "2026-10-23"}</t>
        </is>
      </c>
    </row>
    <row r="61" ht="54" customHeight="1">
      <c r="A61" s="29" t="inlineStr">
        <is>
          <t>eindhoven:evidence:speelpark-de-splinter-01</t>
        </is>
      </c>
      <c r="B61" s="29" t="inlineStr">
        <is>
          <t>eindhoven</t>
        </is>
      </c>
      <c r="C61" s="29" t="inlineStr">
        <is>
          <t>eindhoven:photo:speelpark-de-splinter-01</t>
        </is>
      </c>
      <c r="D61" s="29" t="inlineStr">
        <is>
          <t>https://commons.wikimedia.org/wiki/File:Speelpark_De_Splinter_(2025)_(10).jpg</t>
        </is>
      </c>
      <c r="E61" s="29" t="inlineStr">
        <is>
          <t>File:Speelpark De Splinter (2025) (10).jpg</t>
        </is>
      </c>
      <c r="F61" s="29" t="inlineStr">
        <is>
          <t>S. Perquin</t>
        </is>
      </c>
      <c r="G61" s="29" t="inlineStr">
        <is>
          <t>CC BY-SA 4.0</t>
        </is>
      </c>
      <c r="H61" s="29" t="inlineStr">
        <is>
          <t>https://creativecommons.org/licenses/by-sa/4.0/</t>
        </is>
      </c>
      <c r="I61" s="29" t="inlineStr">
        <is>
          <t>Creative Commons Attribution-Share Alike 4.0</t>
        </is>
      </c>
      <c r="J61" s="29" t="inlineStr">
        <is>
          <t>S. Perquin · CC BY-SA 4.0 · Wikimedia Commons</t>
        </is>
      </c>
      <c r="K61" s="29" t="n"/>
      <c r="L61" s="49" t="n">
        <v>46317</v>
      </c>
      <c r="M61" s="29" t="inlineStr">
        <is>
          <t>Bekliyor</t>
        </is>
      </c>
      <c r="N61" s="29" t="inlineStr">
        <is>
          <t>Bekliyor</t>
        </is>
      </c>
      <c r="O61" s="29" t="inlineStr">
        <is>
          <t>Fotoğraflar/eindhoven_speelpark-de-splinter_01.jpg</t>
        </is>
      </c>
      <c r="P61" s="29" t="inlineStr">
        <is>
          <t>Kumluk alanda direkli, kaydıraklı, korsan gemisi biçiminde ahşap oyun yapısı</t>
        </is>
      </c>
      <c r="Q61" s="29" t="inlineStr">
        <is>
          <t>Bekliyor</t>
        </is>
      </c>
      <c r="R61" s="29" t="inlineStr">
        <is>
          <t>Wikimedia Commons dosya sayfasındaki lisans: CC BY-SA 4.0</t>
        </is>
      </c>
      <c r="S61" s="29" t="n"/>
      <c r="T61" s="29" t="n"/>
      <c r="U61" s="29" t="n"/>
      <c r="V61" s="29" t="n"/>
      <c r="W61" s="29" t="inlineStr">
        <is>
          <t>{"source_url": "https://commons.wikimedia.org/wiki/File:Speelpark_De_Splinter_(2025)_(10).jpg", "author": "S. Perquin", "license": "CC BY-SA 4.0", "license_url": "https://creativecommons.org/licenses/by-sa/4.0/", "original_api_record": {"size": 6881708, "width": 6000, "height": 4000, "thumburl": "https://thumb.wikimedia.org/wikipedia/commons/thumb/8/89/Speelpark_De_Splinter_%282025%29_%2810%29.jpg/1920px-Speelpark_De_Splinter_%282025%29_%2810%29.jpg?utm_source=commons.wikimedia.org&amp;utm_campaign=imageinfo&amp;utm_content=thumbnail", "thumbwidth": 1600, "thumbheight": 1067, "responsiveUrls": {"2": "https://thumb.wikimedia.org/wikipedia/commons/thumb/8/89/Speelpark_De_Splinter_%282025%29_%2810%29.jpg/3840px-Speelpark_De_Splinter_%282025%29_%2810%29.jpg?utm_source=commons.wikimedia.org&amp;utm_campaign=imageinfo&amp;utm_content=thumbnail"}, "thumbattribs": {"src": "https://thumb.wikimedia.org/wikipedia/commons/thumb/8/89/Speelpark_De_Splinter_%282025%29_%2810%29.jpg/1920px-Speelpark_De_Splinter_%282025%29_%2810%29.jpg?utm_source=commons.wikimedia.org&amp;utm_campaign=imageinfo&amp;utm_content=thumbnail", "decoding": "async", "loading": "lazy", "width": 1600, "height": 1067, "srcset": "https://thumb.wikimedia.org/wikipedia/commons/thumb/8/89/Speelpark_De_Splinter_%282025%29_%2810%29.jpg/3840px-Speelpark_De_Splinter_%282025%29_%2810%29.jpg?utm_source=commons.wikimedia.org&amp;utm_campaign=imageinfo&amp;utm_content=thumbnail 2x"}, "url": "https://upload.wikimedia.org/wikipedia/commons/8/89/Speelpark_De_Splinter_%282025%29_%2810%29.jpg?utm_source=commons.wikimedia.org&amp;utm_campaign=imageinfo&amp;utm_content=original", "descriptionurl": "https://commons.wikimedia.org/wiki/File:Speelpark_De_Splinter_(2025)_(10).jpg", "descriptionshorturl": "https://commons.wikimedia.org/w/index.php?curid=165373549", "sha1": "2ea71fe4197ed8f57b711a552c4b11ee23f0f134", "extmetadata": {"DateTime": {"value": "2025-05-16 09:59:37", "source": "mediawiki-metadata", "hidden": ""}, "ObjectName": {"value": "Speelpark De Splinter (2025) (10)",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10:16:02",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"https://thumb.wikimedia.org/wikipedia/commons/thumb/8/89/Speelpark_De_Splinter_%282025%29_%2810%29.jpg/1280px-Speelpark_De_Splinter_%282025%29_%2810%29.jpg"}, "retrieved_on": "2026-10-23"}</t>
        </is>
      </c>
    </row>
    <row r="62" ht="54" customHeight="1">
      <c r="A62" s="29" t="inlineStr">
        <is>
          <t>eindhoven:evidence:speelpark-de-splinter-02</t>
        </is>
      </c>
      <c r="B62" s="29" t="inlineStr">
        <is>
          <t>eindhoven</t>
        </is>
      </c>
      <c r="C62" s="29" t="inlineStr">
        <is>
          <t>eindhoven:photo:speelpark-de-splinter-02</t>
        </is>
      </c>
      <c r="D62" s="29" t="inlineStr">
        <is>
          <t>https://commons.wikimedia.org/wiki/File:Speelpark_De_Splinter_(2025)_(11).jpg</t>
        </is>
      </c>
      <c r="E62" s="29" t="inlineStr">
        <is>
          <t>File:Speelpark De Splinter (2025) (11).jpg</t>
        </is>
      </c>
      <c r="F62" s="29" t="inlineStr">
        <is>
          <t>S. Perquin</t>
        </is>
      </c>
      <c r="G62" s="29" t="inlineStr">
        <is>
          <t>CC BY-SA 4.0</t>
        </is>
      </c>
      <c r="H62" s="29" t="inlineStr">
        <is>
          <t>https://creativecommons.org/licenses/by-sa/4.0/</t>
        </is>
      </c>
      <c r="I62" s="29" t="inlineStr">
        <is>
          <t>Creative Commons Attribution-Share Alike 4.0</t>
        </is>
      </c>
      <c r="J62" s="29" t="inlineStr">
        <is>
          <t>S. Perquin · CC BY-SA 4.0 · Wikimedia Commons</t>
        </is>
      </c>
      <c r="K62" s="29" t="n"/>
      <c r="L62" s="49" t="n">
        <v>46317</v>
      </c>
      <c r="M62" s="29" t="inlineStr">
        <is>
          <t>Bekliyor</t>
        </is>
      </c>
      <c r="N62" s="29" t="inlineStr">
        <is>
          <t>Bekliyor</t>
        </is>
      </c>
      <c r="O62" s="29" t="inlineStr">
        <is>
          <t>Fotoğraflar/eindhoven_speelpark-de-splinter_02.jpg</t>
        </is>
      </c>
      <c r="P62" s="29" t="inlineStr">
        <is>
          <t>Kumluk alanda çok kişilik salıncak takımı ve ağaçlar</t>
        </is>
      </c>
      <c r="Q62" s="29" t="inlineStr">
        <is>
          <t>Bekliyor</t>
        </is>
      </c>
      <c r="R62" s="29" t="inlineStr">
        <is>
          <t>Wikimedia Commons dosya sayfasındaki lisans: CC BY-SA 4.0</t>
        </is>
      </c>
      <c r="S62" s="29" t="n"/>
      <c r="T62" s="29" t="n"/>
      <c r="U62" s="29" t="n"/>
      <c r="V62" s="29" t="n"/>
      <c r="W62" s="29" t="inlineStr">
        <is>
          <t>{"source_url": "https://commons.wikimedia.org/wiki/File:Speelpark_De_Splinter_(2025)_(11).jpg", "author": "S. Perquin", "license": "CC BY-SA 4.0", "license_url": "https://creativecommons.org/licenses/by-sa/4.0/", "original_api_record": {"size": 7130949, "width": 6000, "height": 4000, "thumburl": "https://thumb.wikimedia.org/wikipedia/commons/thumb/a/ab/Speelpark_De_Splinter_%282025%29_%2811%29.jpg/1920px-Speelpark_De_Splinter_%282025%29_%2811%29.jpg?utm_source=commons.wikimedia.org&amp;utm_campaign=imageinfo&amp;utm_content=thumbnail", "thumbwidth": 1600, "thumbheight": 1067, "responsiveUrls": {"2": "https://thumb.wikimedia.org/wikipedia/commons/thumb/a/ab/Speelpark_De_Splinter_%282025%29_%2811%29.jpg/3840px-Speelpark_De_Splinter_%282025%29_%2811%29.jpg?utm_source=commons.wikimedia.org&amp;utm_campaign=imageinfo&amp;utm_content=thumbnail"}, "thumbattribs": {"src": "https://thumb.wikimedia.org/wikipedia/commons/thumb/a/ab/Speelpark_De_Splinter_%282025%29_%2811%29.jpg/1920px-Speelpark_De_Splinter_%282025%29_%2811%29.jpg?utm_source=commons.wikimedia.org&amp;utm_campaign=imageinfo&amp;utm_content=thumbnail", "decoding": "async", "loading": "lazy", "width": 1600, "height": 1067, "srcset": "https://thumb.wikimedia.org/wikipedia/commons/thumb/a/ab/Speelpark_De_Splinter_%282025%29_%2811%29.jpg/3840px-Speelpark_De_Splinter_%282025%29_%2811%29.jpg?utm_source=commons.wikimedia.org&amp;utm_campaign=imageinfo&amp;utm_content=thumbnail 2x"}, "url": "https://upload.wikimedia.org/wikipedia/commons/a/ab/Speelpark_De_Splinter_%282025%29_%2811%29.jpg?utm_source=commons.wikimedia.org&amp;utm_campaign=imageinfo&amp;utm_content=original", "descriptionurl": "https://commons.wikimedia.org/wiki/File:Speelpark_De_Splinter_(2025)_(11).jpg", "descriptionshorturl": "https://commons.wikimedia.org/w/index.php?curid=165373554", "sha1": "d8d8243a69715a463f913bfe0dd6841cdf83e68e", "extmetadata": {"DateTime": {"value": "2025-05-16 09:59:38", "source": "mediawiki-metadata", "hidden": ""}, "ObjectName": {"value": "Speelpark De Splinter (2025) (11)",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10:17:43",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"https://thumb.wikimedia.org/wikipedia/commons/thumb/a/ab/Speelpark_De_Splinter_%282025%29_%2811%29.jpg/1280px-Speelpark_De_Splinter_%282025%29_%2811%29.jpg"}, "retrieved_on": "2026-10-23"}</t>
        </is>
      </c>
    </row>
    <row r="63" ht="54" customHeight="1">
      <c r="A63" s="29" t="inlineStr">
        <is>
          <t>eindhoven:evidence:speelpark-de-splinter-03</t>
        </is>
      </c>
      <c r="B63" s="29" t="inlineStr">
        <is>
          <t>eindhoven</t>
        </is>
      </c>
      <c r="C63" s="29" t="inlineStr">
        <is>
          <t>eindhoven:photo:speelpark-de-splinter-03</t>
        </is>
      </c>
      <c r="D63" s="29" t="inlineStr">
        <is>
          <t>https://commons.wikimedia.org/wiki/File:Speelpark_De_Splinter_(2025)_(12).jpg</t>
        </is>
      </c>
      <c r="E63" s="29" t="inlineStr">
        <is>
          <t>File:Speelpark De Splinter (2025) (12).jpg</t>
        </is>
      </c>
      <c r="F63" s="29" t="inlineStr">
        <is>
          <t>S. Perquin</t>
        </is>
      </c>
      <c r="G63" s="29" t="inlineStr">
        <is>
          <t>CC BY-SA 4.0</t>
        </is>
      </c>
      <c r="H63" s="29" t="inlineStr">
        <is>
          <t>https://creativecommons.org/licenses/by-sa/4.0/</t>
        </is>
      </c>
      <c r="I63" s="29" t="inlineStr">
        <is>
          <t>Creative Commons Attribution-Share Alike 4.0</t>
        </is>
      </c>
      <c r="J63" s="29" t="inlineStr">
        <is>
          <t>S. Perquin · CC BY-SA 4.0 · Wikimedia Commons</t>
        </is>
      </c>
      <c r="K63" s="29" t="n"/>
      <c r="L63" s="49" t="n">
        <v>46317</v>
      </c>
      <c r="M63" s="29" t="inlineStr">
        <is>
          <t>Bekliyor</t>
        </is>
      </c>
      <c r="N63" s="29" t="inlineStr">
        <is>
          <t>Bekliyor</t>
        </is>
      </c>
      <c r="O63" s="29" t="inlineStr">
        <is>
          <t>Fotoğraflar/eindhoven_speelpark-de-splinter_03.jpg</t>
        </is>
      </c>
      <c r="P63" s="29" t="inlineStr">
        <is>
          <t>Söğütler arasında kumlukta ahşap tekne biçiminde oyun yapısı</t>
        </is>
      </c>
      <c r="Q63" s="29" t="inlineStr">
        <is>
          <t>Bekliyor</t>
        </is>
      </c>
      <c r="R63" s="29" t="inlineStr">
        <is>
          <t>Wikimedia Commons dosya sayfasındaki lisans: CC BY-SA 4.0</t>
        </is>
      </c>
      <c r="S63" s="29" t="n"/>
      <c r="T63" s="29" t="n"/>
      <c r="U63" s="29" t="n"/>
      <c r="V63" s="29" t="n"/>
      <c r="W63" s="29" t="inlineStr">
        <is>
          <t>{"source_url": "https://commons.wikimedia.org/wiki/File:Speelpark_De_Splinter_(2025)_(12).jpg", "author": "S. Perquin", "license": "CC BY-SA 4.0", "license_url": "https://creativecommons.org/licenses/by-sa/4.0/", "original_api_record": {"size": 6709739, "width": 6000, "height": 4000, "thumburl": "https://thumb.wikimedia.org/wikipedia/commons/thumb/b/b9/Speelpark_De_Splinter_%282025%29_%2812%29.jpg/1920px-Speelpark_De_Splinter_%282025%29_%2812%29.jpg?utm_source=commons.wikimedia.org&amp;utm_campaign=imageinfo&amp;utm_content=thumbnail", "thumbwidth": 1600, "thumbheight": 1067, "responsiveUrls": {"2": "https://thumb.wikimedia.org/wikipedia/commons/thumb/b/b9/Speelpark_De_Splinter_%282025%29_%2812%29.jpg/3840px-Speelpark_De_Splinter_%282025%29_%2812%29.jpg?utm_source=commons.wikimedia.org&amp;utm_campaign=imageinfo&amp;utm_content=thumbnail"}, "thumbattribs": {"src": "https://thumb.wikimedia.org/wikipedia/commons/thumb/b/b9/Speelpark_De_Splinter_%282025%29_%2812%29.jpg/1920px-Speelpark_De_Splinter_%282025%29_%2812%29.jpg?utm_source=commons.wikimedia.org&amp;utm_campaign=imageinfo&amp;utm_content=thumbnail", "decoding": "async", "loading": "lazy", "width": 1600, "height": 1067, "srcset": "https://thumb.wikimedia.org/wikipedia/commons/thumb/b/b9/Speelpark_De_Splinter_%282025%29_%2812%29.jpg/3840px-Speelpark_De_Splinter_%282025%29_%2812%29.jpg?utm_source=commons.wikimedia.org&amp;utm_campaign=imageinfo&amp;utm_content=thumbnail 2x"}, "url": "https://upload.wikimedia.org/wikipedia/commons/b/b9/Speelpark_De_Splinter_%282025%29_%2812%29.jpg?utm_source=commons.wikimedia.org&amp;utm_campaign=imageinfo&amp;utm_content=original", "descriptionurl": "https://commons.wikimedia.org/wiki/File:Speelpark_De_Splinter_(2025)_(12).jpg", "descriptionshorturl": "https://commons.wikimedia.org/w/index.php?curid=165373553", "sha1": "5fe62100510f6f5b13093276ebbd792660ba3514", "extmetadata": {"DateTime": {"value": "2025-05-16 09:59:38", "source": "mediawiki-metadata", "hidden": ""}, "ObjectName": {"value": "Speelpark De Splinter (2025) (12)",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10:17:59",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"https://thumb.wikimedia.org/wikipedia/commons/thumb/b/b9/Speelpark_De_Splinter_%282025%29_%2812%29.jpg/1280px-Speelpark_De_Splinter_%282025%29_%2812%29.jpg"}, "retrieved_on": "2026-10-23"}</t>
        </is>
      </c>
    </row>
    <row r="64" ht="54" customHeight="1">
      <c r="A64" s="29" t="inlineStr">
        <is>
          <t>eindhoven:evidence:genneper-hoeve-01</t>
        </is>
      </c>
      <c r="B64" s="29" t="inlineStr">
        <is>
          <t>eindhoven</t>
        </is>
      </c>
      <c r="C64" s="29" t="inlineStr">
        <is>
          <t>eindhoven:photo:genneper-hoeve-01</t>
        </is>
      </c>
      <c r="D64" s="29" t="inlineStr">
        <is>
          <t>https://commons.wikimedia.org/wiki/File:Tongelreeppad_1,_Eindhoven_achterzijde_GM.JPG</t>
        </is>
      </c>
      <c r="E64" s="29" t="inlineStr">
        <is>
          <t>File:Tongelreeppad 1, Eindhoven achterzijde GM.JPG</t>
        </is>
      </c>
      <c r="F64" s="29" t="inlineStr">
        <is>
          <t>Rosemoon</t>
        </is>
      </c>
      <c r="G64" s="29" t="inlineStr">
        <is>
          <t>CC BY-SA 3.0</t>
        </is>
      </c>
      <c r="H64" s="29" t="inlineStr">
        <is>
          <t>https://creativecommons.org/licenses/by-sa/3.0/</t>
        </is>
      </c>
      <c r="I64" s="29" t="inlineStr">
        <is>
          <t>Creative Commons Attribution-Share Alike 3.0</t>
        </is>
      </c>
      <c r="J64" s="29" t="inlineStr">
        <is>
          <t>Rosemoon · CC BY-SA 3.0 · Wikimedia Commons</t>
        </is>
      </c>
      <c r="K64" s="29" t="n"/>
      <c r="L64" s="49" t="n">
        <v>46317</v>
      </c>
      <c r="M64" s="29" t="inlineStr">
        <is>
          <t>Bekliyor</t>
        </is>
      </c>
      <c r="N64" s="29" t="inlineStr">
        <is>
          <t>Bekliyor</t>
        </is>
      </c>
      <c r="O64" s="29" t="inlineStr">
        <is>
          <t>Fotoğraflar/eindhoven_genneper-hoeve_01.jpg</t>
        </is>
      </c>
      <c r="P64" s="29" t="inlineStr">
        <is>
          <t>Kazıklı çayırın ardında kırmızı kiremit çatılı yeşil ahşap ambarlar ve tuğla çiftlik binaları</t>
        </is>
      </c>
      <c r="Q64" s="29" t="inlineStr">
        <is>
          <t>Bekliyor</t>
        </is>
      </c>
      <c r="R64" s="29" t="inlineStr">
        <is>
          <t>Wikimedia Commons dosya sayfasındaki lisans: CC BY-SA 3.0</t>
        </is>
      </c>
      <c r="S64" s="29" t="n"/>
      <c r="T64" s="29" t="n"/>
      <c r="U64" s="29" t="n"/>
      <c r="V64" s="29" t="n"/>
      <c r="W64" s="29" t="inlineStr">
        <is>
          <t>{"source_url": "https://commons.wikimedia.org/wiki/File:Tongelreeppad_1,_Eindhoven_achterzijde_GM.JPG", "author": "Rosemoon", "license": "CC BY-SA 3.0", "license_url": "https://creativecommons.org/licenses/by-sa/3.0/", "original_api_record": {"size": 5847552, "width": 4320, "height": 3240, "thumburl": "https://thumb.wikimedia.org/wikipedia/commons/thumb/a/ab/Tongelreeppad_1%2C_Eindhoven_achterzijde_GM.JPG/1920px-Tongelreeppad_1%2C_Eindhoven_achterzijde_GM.JPG?utm_source=commons.wikimedia.org&amp;utm_campaign=imageinfo&amp;utm_content=thumbnail", "thumbwidth": 1600, "thumbheight": 1200, "responsiveUrls": {"2": "https://thumb.wikimedia.org/wikipedia/commons/thumb/a/ab/Tongelreeppad_1%2C_Eindhoven_achterzijde_GM.JPG/3840px-Tongelreeppad_1%2C_Eindhoven_achterzijde_GM.JPG?utm_source=commons.wikimedia.org&amp;utm_campaign=imageinfo&amp;utm_content=thumbnail"}, "thumbattribs": {"src": "https://thumb.wikimedia.org/wikipedia/commons/thumb/a/ab/Tongelreeppad_1%2C_Eindhoven_achterzijde_GM.JPG/1920px-Tongelreeppad_1%2C_Eindhoven_achterzijde_GM.JPG?utm_source=commons.wikimedia.org&amp;utm_campaign=imageinfo&amp;utm_content=thumbnail", "decoding": "async", "loading": "lazy", "width": 1600, "height": 1200, "srcset": "https://thumb.wikimedia.org/wikipedia/commons/thumb/a/ab/Tongelreeppad_1%2C_Eindhoven_achterzijde_GM.JPG/3840px-Tongelreeppad_1%2C_Eindhoven_achterzijde_GM.JPG?utm_source=commons.wikimedia.org&amp;utm_campaign=imageinfo&amp;utm_content=thumbnail 2x"}, "url": "https://upload.wikimedia.org/wikipedia/commons/a/ab/Tongelreeppad_1%2C_Eindhoven_achterzijde_GM.JPG?utm_source=commons.wikimedia.org&amp;utm_campaign=imageinfo&amp;utm_content=original", "descriptionurl": "https://commons.wikimedia.org/wiki/File:Tongelreeppad_1,_Eindhoven_achterzijde_GM.JPG", "descriptionshorturl": "https://commons.wikimedia.org/w/index.php?curid=29760688", "sha1": "9b0e6780da3ff760858aa8483a811e71a006677c", "extmetadata": {"DateTime": {"value": "2013-11-21 20:14:48", "source": "mediawiki-metadata", "hidden": ""}, "ObjectName": {"value": "Tongelreeppad 1, Eindhoven achterzijde GM", "source": "mediawiki-metadata"}, "CommonsMetadataExtension": {"value": 1.2, "source": "extension", "hidden": ""}, "Categories": {"value": "Taken with Panasonic Lumix DMC-TZ20|Gemeentelijke monumenten in Eindhoven|Self-published work|2013 in Eindhoven|Netherlands photographs taken on 2013-04-17|Files with coordinates missing SDC location of creation (51° N, 5° E)", "source": "commons-categories", "hidden": ""}, "Assessments": {"value": "", "source": "commons-categories", "hidden": ""}, "GPSLatitude": {"value": "51.420384", "source": "commons-desc-page"}, "GPSLongitude": {"value": "5.474226", "source": "commons-desc-page"}, "GPSMapDatum": {"value": "WGS-84", "source": "commons-desc-page", "hidden": ""}, "ImageDescription": {"value": "Tongelreeppad 1, Eindhoven achterzijde", "source": "commons-desc-page"}, "DateTimeOriginal": {"value": "2013-04-17 15:53:08",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"https://thumb.wikimedia.org/wikipedia/commons/thumb/a/ab/Tongelreeppad_1%2C_Eindhoven_achterzijde_GM.JPG/1280px-Tongelreeppad_1%2C_Eindhoven_achterzijde_GM.JPG"}, "retrieved_on": "2026-10-23"}</t>
        </is>
      </c>
    </row>
    <row r="65" ht="54" customHeight="1">
      <c r="A65" s="29" t="inlineStr">
        <is>
          <t>eindhoven:evidence:genneper-hoeve-02</t>
        </is>
      </c>
      <c r="B65" s="29" t="inlineStr">
        <is>
          <t>eindhoven</t>
        </is>
      </c>
      <c r="C65" s="29" t="inlineStr">
        <is>
          <t>eindhoven:photo:genneper-hoeve-02</t>
        </is>
      </c>
      <c r="D65" s="29" t="inlineStr">
        <is>
          <t>https://commons.wikimedia.org/wiki/File:Tongelreeppad_1,_Eindhoven_voorzijde_GM_(2).JPG</t>
        </is>
      </c>
      <c r="E65" s="29" t="inlineStr">
        <is>
          <t>File:Tongelreeppad 1, Eindhoven voorzijde GM (2).JPG</t>
        </is>
      </c>
      <c r="F65" s="29" t="inlineStr">
        <is>
          <t>Rosemoon</t>
        </is>
      </c>
      <c r="G65" s="29" t="inlineStr">
        <is>
          <t>CC BY-SA 3.0</t>
        </is>
      </c>
      <c r="H65" s="29" t="inlineStr">
        <is>
          <t>https://creativecommons.org/licenses/by-sa/3.0/</t>
        </is>
      </c>
      <c r="I65" s="29" t="inlineStr">
        <is>
          <t>Creative Commons Attribution-Share Alike 3.0</t>
        </is>
      </c>
      <c r="J65" s="29" t="inlineStr">
        <is>
          <t>Rosemoon · CC BY-SA 3.0 · Wikimedia Commons</t>
        </is>
      </c>
      <c r="K65" s="29" t="n"/>
      <c r="L65" s="49" t="n">
        <v>46317</v>
      </c>
      <c r="M65" s="29" t="inlineStr">
        <is>
          <t>Bekliyor</t>
        </is>
      </c>
      <c r="N65" s="29" t="inlineStr">
        <is>
          <t>Bekliyor</t>
        </is>
      </c>
      <c r="O65" s="29" t="inlineStr">
        <is>
          <t>Fotoğraflar/eindhoven_genneper-hoeve_02.jpg</t>
        </is>
      </c>
      <c r="P65" s="29" t="inlineStr">
        <is>
          <t>Tuğla çiftlik binası, yeşil-beyaz minibüs, kızıl çit ve çimde beyaz kuşlar</t>
        </is>
      </c>
      <c r="Q65" s="29" t="inlineStr">
        <is>
          <t>Bekliyor</t>
        </is>
      </c>
      <c r="R65" s="29" t="inlineStr">
        <is>
          <t>Wikimedia Commons dosya sayfasındaki lisans: CC BY-SA 3.0</t>
        </is>
      </c>
      <c r="S65" s="29" t="n"/>
      <c r="T65" s="29" t="n"/>
      <c r="U65" s="29" t="n"/>
      <c r="V65" s="29" t="n"/>
      <c r="W65" s="29" t="inlineStr">
        <is>
          <t>{"source_url": "https://commons.wikimedia.org/wiki/File:Tongelreeppad_1,_Eindhoven_voorzijde_GM_(2).JPG", "author": "Rosemoon", "license": "CC BY-SA 3.0", "license_url": "https://creativecommons.org/licenses/by-sa/3.0/", "original_api_record": {"size": 5879296, "width": 4320, "height": 3240, "thumburl": "https://thumb.wikimedia.org/wikipedia/commons/thumb/8/81/Tongelreeppad_1%2C_Eindhoven_voorzijde_GM_%282%29.JPG/1920px-Tongelreeppad_1%2C_Eindhoven_voorzijde_GM_%282%29.JPG?utm_source=commons.wikimedia.org&amp;utm_campaign=imageinfo&amp;utm_content=thumbnail", "thumbwidth": 1600, "thumbheight": 1200, "responsiveUrls": {"2": "https://thumb.wikimedia.org/wikipedia/commons/thumb/8/81/Tongelreeppad_1%2C_Eindhoven_voorzijde_GM_%282%29.JPG/3840px-Tongelreeppad_1%2C_Eindhoven_voorzijde_GM_%282%29.JPG?utm_source=commons.wikimedia.org&amp;utm_campaign=imageinfo&amp;utm_content=thumbnail"}, "thumbattribs": {"src": "https://thumb.wikimedia.org/wikipedia/commons/thumb/8/81/Tongelreeppad_1%2C_Eindhoven_voorzijde_GM_%282%29.JPG/1920px-Tongelreeppad_1%2C_Eindhoven_voorzijde_GM_%282%29.JPG?utm_source=commons.wikimedia.org&amp;utm_campaign=imageinfo&amp;utm_content=thumbnail", "decoding": "async", "loading": "lazy", "width": 1600, "height": 1200, "srcset": "https://thumb.wikimedia.org/wikipedia/commons/thumb/8/81/Tongelreeppad_1%2C_Eindhoven_voorzijde_GM_%282%29.JPG/3840px-Tongelreeppad_1%2C_Eindhoven_voorzijde_GM_%282%29.JPG?utm_source=commons.wikimedia.org&amp;utm_campaign=imageinfo&amp;utm_content=thumbnail 2x"}, "url": "https://upload.wikimedia.org/wikipedia/commons/8/81/Tongelreeppad_1%2C_Eindhoven_voorzijde_GM_%282%29.JPG?utm_source=commons.wikimedia.org&amp;utm_campaign=imageinfo&amp;utm_content=original", "descriptionurl": "https://commons.wikimedia.org/wiki/File:Tongelreeppad_1,_Eindhoven_voorzijde_GM_(2).JPG", "descriptionshorturl": "https://commons.wikimedia.org/w/index.php?curid=29760687", "sha1": "0bebe5004dd8c03676be146fedd934c7cc7d9aa3", "extmetadata": {"DateTime": {"value": "2013-11-21 20:14:48", "source": "mediawiki-metadata", "hidden": ""}, "ObjectName": {"value": "Tongelreeppad 1, Eindhoven voorzijde GM (2)", "source": "mediawiki-metadata"}, "CommonsMetadataExtension": {"value": 1.2, "source": "extension", "hidden": ""}, "Categories": {"value": "Taken with Panasonic Lumix DMC-TZ20|Gemeentelijke monumenten in Eindhoven|Self-published work|2013 in Eindhoven|Netherlands photographs taken on 2013-04-17|Files with coordinates missing SDC location of creation (51° N, 5° E)", "source": "commons-categories", "hidden": ""}, "Assessments": {"value": "", "source": "commons-categories", "hidden": ""}, "GPSLatitude": {"value": "51.420384", "source": "commons-desc-page"}, "GPSLongitude": {"value": "5.474226", "source": "commons-desc-page"}, "GPSMapDatum": {"value": "WGS-84", "source": "commons-desc-page", "hidden": ""}, "ImageDescription": {"value": "Tongelreeppad 1, Eindhoven voorzijde", "source": "commons-desc-page"}, "DateTimeOriginal": {"value": "2013-04-17 15:55:33",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"https://thumb.wikimedia.org/wikipedia/commons/thumb/8/81/Tongelreeppad_1%2C_Eindhoven_voorzijde_GM_%282%29.JPG/1280px-Tongelreeppad_1%2C_Eindhoven_voorzijde_GM_%282%29.JPG"}, "retrieved_on": "2026-10-23"}</t>
        </is>
      </c>
    </row>
    <row r="66" ht="54" customHeight="1">
      <c r="A66" s="29" t="inlineStr">
        <is>
          <t>eindhoven:evidence:genneper-hoeve-03</t>
        </is>
      </c>
      <c r="B66" s="29" t="inlineStr">
        <is>
          <t>eindhoven</t>
        </is>
      </c>
      <c r="C66" s="29" t="inlineStr">
        <is>
          <t>eindhoven:photo:genneper-hoeve-03</t>
        </is>
      </c>
      <c r="D66" s="29" t="inlineStr">
        <is>
          <t>https://commons.wikimedia.org/wiki/File:Tongelreeppad_1,_Eindhoven_voorzijde_GM.JPG</t>
        </is>
      </c>
      <c r="E66" s="29" t="inlineStr">
        <is>
          <t>File:Tongelreeppad 1, Eindhoven voorzijde GM.JPG</t>
        </is>
      </c>
      <c r="F66" s="29" t="inlineStr">
        <is>
          <t>Rosemoon</t>
        </is>
      </c>
      <c r="G66" s="29" t="inlineStr">
        <is>
          <t>CC BY-SA 3.0</t>
        </is>
      </c>
      <c r="H66" s="29" t="inlineStr">
        <is>
          <t>https://creativecommons.org/licenses/by-sa/3.0/</t>
        </is>
      </c>
      <c r="I66" s="29" t="inlineStr">
        <is>
          <t>Creative Commons Attribution-Share Alike 3.0</t>
        </is>
      </c>
      <c r="J66" s="29" t="inlineStr">
        <is>
          <t>Rosemoon · CC BY-SA 3.0 · Wikimedia Commons</t>
        </is>
      </c>
      <c r="K66" s="29" t="n"/>
      <c r="L66" s="49" t="n">
        <v>46317</v>
      </c>
      <c r="M66" s="29" t="inlineStr">
        <is>
          <t>Bekliyor</t>
        </is>
      </c>
      <c r="N66" s="29" t="inlineStr">
        <is>
          <t>Bekliyor</t>
        </is>
      </c>
      <c r="O66" s="29" t="inlineStr">
        <is>
          <t>Fotoğraflar/eindhoven_genneper-hoeve_03.jpg</t>
        </is>
      </c>
      <c r="P66" s="29" t="inlineStr">
        <is>
          <t>Kızıl-kahve çitin ardında uzun tuğla çiftlik binası ve minibüs</t>
        </is>
      </c>
      <c r="Q66" s="29" t="inlineStr">
        <is>
          <t>Bekliyor</t>
        </is>
      </c>
      <c r="R66" s="29" t="inlineStr">
        <is>
          <t>Wikimedia Commons dosya sayfasındaki lisans: CC BY-SA 3.0</t>
        </is>
      </c>
      <c r="S66" s="29" t="n"/>
      <c r="T66" s="29" t="n"/>
      <c r="U66" s="29" t="n"/>
      <c r="V66" s="29" t="n"/>
      <c r="W66" s="29" t="inlineStr">
        <is>
          <t>{"source_url": "https://commons.wikimedia.org/wiki/File:Tongelreeppad_1,_Eindhoven_voorzijde_GM.JPG", "author": "Rosemoon", "license": "CC BY-SA 3.0", "license_url": "https://creativecommons.org/licenses/by-sa/3.0/", "original_api_record": {"size": 6252032, "width": 4320, "height": 3240, "thumburl": "https://thumb.wikimedia.org/wikipedia/commons/thumb/7/77/Tongelreeppad_1%2C_Eindhoven_voorzijde_GM.JPG/1920px-Tongelreeppad_1%2C_Eindhoven_voorzijde_GM.JPG?utm_source=commons.wikimedia.org&amp;utm_campaign=imageinfo&amp;utm_content=thumbnail", "thumbwidth": 1600, "thumbheight": 1200, "responsiveUrls": {"2": "https://thumb.wikimedia.org/wikipedia/commons/thumb/7/77/Tongelreeppad_1%2C_Eindhoven_voorzijde_GM.JPG/3840px-Tongelreeppad_1%2C_Eindhoven_voorzijde_GM.JPG?utm_source=commons.wikimedia.org&amp;utm_campaign=imageinfo&amp;utm_content=thumbnail"}, "thumbattribs": {"src": "https://thumb.wikimedia.org/wikipedia/commons/thumb/7/77/Tongelreeppad_1%2C_Eindhoven_voorzijde_GM.JPG/1920px-Tongelreeppad_1%2C_Eindhoven_voorzijde_GM.JPG?utm_source=commons.wikimedia.org&amp;utm_campaign=imageinfo&amp;utm_content=thumbnail", "decoding": "async", "loading": "lazy", "width": 1600, "height": 1200, "srcset": "https://thumb.wikimedia.org/wikipedia/commons/thumb/7/77/Tongelreeppad_1%2C_Eindhoven_voorzijde_GM.JPG/3840px-Tongelreeppad_1%2C_Eindhoven_voorzijde_GM.JPG?utm_source=commons.wikimedia.org&amp;utm_campaign=imageinfo&amp;utm_content=thumbnail 2x"}, "url": "https://upload.wikimedia.org/wikipedia/commons/7/77/Tongelreeppad_1%2C_Eindhoven_voorzijde_GM.JPG?utm_source=commons.wikimedia.org&amp;utm_campaign=imageinfo&amp;utm_content=original", "descriptionurl": "https://commons.wikimedia.org/wiki/File:Tongelreeppad_1,_Eindhoven_voorzijde_GM.JPG", "descriptionshorturl": "https://commons.wikimedia.org/w/index.php?curid=29760689", "sha1": "8b1ccec6588f553c8a2dc9f05fbba2000c550482", "extmetadata": {"DateTime": {"value": "2013-11-21 20:14:48", "source": "mediawiki-metadata", "hidden": ""}, "ObjectName": {"value": "Tongelreeppad 1, Eindhoven voorzijde GM", "source": "mediawiki-metadata"}, "CommonsMetadataExtension": {"value": 1.2, "source": "extension", "hidden": ""}, "Categories": {"value": "Taken with Panasonic Lumix DMC-TZ20|Gemeentelijke monumenten in Eindhoven|Self-published work|2013 in Eindhoven|Netherlands photographs taken on 2013-04-17|Files with coordinates missing SDC location of creation (51° N, 5° E)", "source": "commons-categories", "hidden": ""}, "Assessments": {"value": "", "source": "commons-categories", "hidden": ""}, "GPSLatitude": {"value": "51.420384", "source": "commons-desc-page"}, "GPSLongitude": {"value": "5.474226", "source": "commons-desc-page"}, "GPSMapDatum": {"value": "WGS-84", "source": "commons-desc-page", "hidden": ""}, "ImageDescription": {"value": "Tongelreeppad 1, Eindhoven voorzijde", "source": "commons-desc-page"}, "DateTimeOriginal": {"value": "2013-04-17 15:54:34", "source": "commons-desc-page"}, "Credit": {"value": "&lt;span class=\"int-own-work\" lang=\"en\"&gt;Own work&lt;/span&gt;", "source": "commons-desc-page"}, "Artist": {"value": "&lt;a rel=\"mw:WikiLink\" href=\"https://commons.wikimedia.org/wiki/User:Rosemoon\"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"https://thumb.wikimedia.org/wikipedia/commons/thumb/7/77/Tongelreeppad_1%2C_Eindhoven_voorzijde_GM.JPG/1280px-Tongelreeppad_1%2C_Eindhoven_voorzijde_GM.JPG"}, "retrieved_on": "2026-10-23"}</t>
        </is>
      </c>
    </row>
    <row r="67" ht="54" customHeight="1">
      <c r="A67" s="29" t="inlineStr">
        <is>
          <t>eindhoven:evidence:stratumseind-01</t>
        </is>
      </c>
      <c r="B67" s="29" t="inlineStr">
        <is>
          <t>eindhoven</t>
        </is>
      </c>
      <c r="C67" s="29" t="inlineStr">
        <is>
          <t>eindhoven:photo:stratumseind-01</t>
        </is>
      </c>
      <c r="D67" s="29" t="inlineStr">
        <is>
          <t>https://commons.wikimedia.org/wiki/File:Stratumseind_101-105,_Eindhoven.JPG</t>
        </is>
      </c>
      <c r="E67" s="29" t="inlineStr">
        <is>
          <t>File:Stratumseind 101-105, Eindhoven.JPG</t>
        </is>
      </c>
      <c r="F67" s="29" t="inlineStr">
        <is>
          <t>Rosemoon</t>
        </is>
      </c>
      <c r="G67" s="29" t="inlineStr">
        <is>
          <t>CC BY-SA 3.0</t>
        </is>
      </c>
      <c r="H67" s="29" t="inlineStr">
        <is>
          <t>https://creativecommons.org/licenses/by-sa/3.0/</t>
        </is>
      </c>
      <c r="I67" s="29" t="inlineStr">
        <is>
          <t>Creative Commons Attribution-Share Alike 3.0</t>
        </is>
      </c>
      <c r="J67" s="29" t="inlineStr">
        <is>
          <t>Rosemoon · CC BY-SA 3.0 · Wikimedia Commons</t>
        </is>
      </c>
      <c r="K67" s="29" t="n"/>
      <c r="L67" s="49" t="n">
        <v>46317</v>
      </c>
      <c r="M67" s="29" t="inlineStr">
        <is>
          <t>Bekliyor</t>
        </is>
      </c>
      <c r="N67" s="29" t="inlineStr">
        <is>
          <t>Bekliyor</t>
        </is>
      </c>
      <c r="O67" s="29" t="inlineStr">
        <is>
          <t>Fotoğraflar/eindhoven_stratumseind_01.jpg</t>
        </is>
      </c>
      <c r="P67" s="29" t="inlineStr">
        <is>
          <t>Çatı pencereli üç katlı beyaz köşe binası, taş döşeli sokak</t>
        </is>
      </c>
      <c r="Q67" s="29" t="inlineStr">
        <is>
          <t>Bekliyor</t>
        </is>
      </c>
      <c r="R67" s="29" t="inlineStr">
        <is>
          <t>Wikimedia Commons dosya sayfasındaki lisans: CC BY-SA 3.0</t>
        </is>
      </c>
      <c r="S67" s="29" t="n"/>
      <c r="T67" s="29" t="n"/>
      <c r="U67" s="29" t="n"/>
      <c r="V67" s="29" t="n"/>
      <c r="W67" s="29" t="inlineStr">
        <is>
          <t>{"source_url": "https://commons.wikimedia.org/wiki/File:Stratumseind_101-105,_Eindhoven.JPG", "author": "Rosemoon", "license": "CC BY-SA 3.0", "license_url": "https://creativecommons.org/licenses/by-sa/3.0/", "original_api_record": {"size": 5737984, "width": 4320, "height": 3240, "thumburl": "https://thumb.wikimedia.org/wikipedia/commons/thumb/3/3d/Stratumseind_101-105%2C_Eindhoven.JPG/1920px-Stratumseind_101-105%2C_Eindhoven.JPG?utm_source=commons.wikimedia.org&amp;utm_campaign=imageinfo&amp;utm_content=thumbnail", "thumbwidth": 1600, "thumbheight": 1200, "responsiveUrls": {"2": "https://thumb.wikimedia.org/wikipedia/commons/thumb/3/3d/Stratumseind_101-105%2C_Eindhoven.JPG/3840px-Stratumseind_101-105%2C_Eindhoven.JPG?utm_source=commons.wikimedia.org&amp;utm_campaign=imageinfo&amp;utm_content=thumbnail"}, "thumbattribs": {"src": "https://thumb.wikimedia.org/wikipedia/commons/thumb/3/3d/Stratumseind_101-105%2C_Eindhoven.JPG/1920px-Stratumseind_101-105%2C_Eindhoven.JPG?utm_source=commons.wikimedia.org&amp;utm_campaign=imageinfo&amp;utm_content=thumbnail", "decoding": "async", "loading": "lazy", "width": 1600, "height": 1200, "srcset": "https://thumb.wikimedia.org/wikipedia/commons/thumb/3/3d/Stratumseind_101-105%2C_Eindhoven.JPG/3840px-Stratumseind_101-105%2C_Eindhoven.JPG?utm_source=commons.wikimedia.org&amp;utm_campaign=imageinfo&amp;utm_content=thumbnail 2x"}, "url": "https://upload.wikimedia.org/wikipedia/commons/3/3d/Stratumseind_101-105%2C_Eindhoven.JPG?utm_source=commons.wikimedia.org&amp;utm_campaign=imageinfo&amp;utm_content=original", "descriptionurl": "https://commons.wikimedia.org/wiki/File:Stratumseind_101-105,_Eindhoven.JPG", "descriptionshorturl": "https://commons.wikimedia.org/w/index.php?curid=29662599", "sha1": "0815822fdbccf576fde1566dfe7255d329c2a013", "extmetadata": {"DateTime": {"value": "2013-11-16 16:18:42", "source": "mediawiki-metadata", "hidden": ""}, "ObjectName": {"value": "Stratumseind 101-105, Eindhoven", "source": "mediawiki-metadata"}, "CommonsMetadataExtension": {"value": 1.2, "source": "extension", "hidden": ""}, "Categories": {"value": "Taken with Panasonic Lumix DMC-TZ20|Gemeentelijke monumenten in Eindhoven|Stratumseind|Self-published work|2013 in Eindhoven|Netherlands photographs taken on 2013-04-21|Files with coordinates missing SDC location of creation (51° N, 5° E)", "source": "commons-categories", "hidden": ""}, "Assessments": {"value": "", "source": "commons-categories", "hidden": ""}, "GPSLatitude": {"value": "51.435506", "source": "commons-desc-page"}, "GPSLongitude": {"value": "5.483213", "source": "commons-desc-page"}, "GPSMapDatum": {"value": "WGS-84", "source": "commons-desc-page", "hidden": ""}, "ImageDescription": {"value": "Stratumseind 101-105, Eindhoven", "source": "commons-desc-page"}, "DateTimeOriginal": {"value": "2013-04-21 10:03:29",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"https://thumb.wikimedia.org/wikipedia/commons/thumb/3/3d/Stratumseind_101-105%2C_Eindhoven.JPG/1280px-Stratumseind_101-105%2C_Eindhoven.JPG"}, "retrieved_on": "2026-10-23"}</t>
        </is>
      </c>
    </row>
    <row r="68" ht="54" customHeight="1">
      <c r="A68" s="29" t="inlineStr">
        <is>
          <t>eindhoven:evidence:stratumseind-02</t>
        </is>
      </c>
      <c r="B68" s="29" t="inlineStr">
        <is>
          <t>eindhoven</t>
        </is>
      </c>
      <c r="C68" s="29" t="inlineStr">
        <is>
          <t>eindhoven:photo:stratumseind-02</t>
        </is>
      </c>
      <c r="D68" s="29" t="inlineStr">
        <is>
          <t>https://commons.wikimedia.org/wiki/File:Stratumseind_14,_Eindhoven.JPG</t>
        </is>
      </c>
      <c r="E68" s="29" t="inlineStr">
        <is>
          <t>File:Stratumseind 14, Eindhoven.JPG</t>
        </is>
      </c>
      <c r="F68" s="29" t="inlineStr">
        <is>
          <t>Rosemoon</t>
        </is>
      </c>
      <c r="G68" s="29" t="inlineStr">
        <is>
          <t>CC BY-SA 3.0</t>
        </is>
      </c>
      <c r="H68" s="29" t="inlineStr">
        <is>
          <t>https://creativecommons.org/licenses/by-sa/3.0/</t>
        </is>
      </c>
      <c r="I68" s="29" t="inlineStr">
        <is>
          <t>Creative Commons Attribution-Share Alike 3.0</t>
        </is>
      </c>
      <c r="J68" s="29" t="inlineStr">
        <is>
          <t>Rosemoon · CC BY-SA 3.0 · Wikimedia Commons</t>
        </is>
      </c>
      <c r="K68" s="29" t="n"/>
      <c r="L68" s="49" t="n">
        <v>46317</v>
      </c>
      <c r="M68" s="29" t="inlineStr">
        <is>
          <t>Bekliyor</t>
        </is>
      </c>
      <c r="N68" s="29" t="inlineStr">
        <is>
          <t>Bekliyor</t>
        </is>
      </c>
      <c r="O68" s="29" t="inlineStr">
        <is>
          <t>Fotoğraflar/eindhoven_stratumseind_02.jpg</t>
        </is>
      </c>
      <c r="P68" s="29" t="inlineStr">
        <is>
          <t>'t Lempke tabelalı beyaz kafe cephesi, damalı pankart, önde park etmiş araba</t>
        </is>
      </c>
      <c r="Q68" s="29" t="inlineStr">
        <is>
          <t>Bekliyor</t>
        </is>
      </c>
      <c r="R68" s="29" t="inlineStr">
        <is>
          <t>Wikimedia Commons dosya sayfasındaki lisans: CC BY-SA 3.0</t>
        </is>
      </c>
      <c r="S68" s="29" t="n"/>
      <c r="T68" s="29" t="n"/>
      <c r="U68" s="29" t="n"/>
      <c r="V68" s="29" t="n"/>
      <c r="W68" s="29" t="inlineStr">
        <is>
          <t>{"source_url": "https://commons.wikimedia.org/wiki/File:Stratumseind_14,_Eindhoven.JPG", "author": "Rosemoon", "license": "CC BY-SA 3.0", "license_url": "https://creativecommons.org/licenses/by-sa/3.0/", "original_api_record": {"size": 4889653, "width": 3240, "height": 4320, "thumburl": "https://thumb.wikimedia.org/wikipedia/commons/thumb/c/cd/Stratumseind_14%2C_Eindhoven.JPG/1920px-Stratumseind_14%2C_Eindhoven.JPG?utm_source=commons.wikimedia.org&amp;utm_campaign=imageinfo&amp;utm_content=thumbnail", "thumbwidth": 1600, "thumbheight": 2133, "responsiveUrls": {"2": "https://upload.wikimedia.org/wikipedia/commons/c/cd/Stratumseind_14%2C_Eindhoven.JPG?utm_source=commons.wikimedia.org&amp;utm_campaign=imageinfo&amp;utm_content=thumbnail_unscaled"}, "thumbattribs": {"src": "https://thumb.wikimedia.org/wikipedia/commons/thumb/c/cd/Stratumseind_14%2C_Eindhoven.JPG/1920px-Stratumseind_14%2C_Eindhoven.JPG?utm_source=commons.wikimedia.org&amp;utm_campaign=imageinfo&amp;utm_content=thumbnail", "decoding": "async", "loading": "lazy", "width": 1600, "height": 2133, "srcset": "https://upload.wikimedia.org/wikipedia/commons/c/cd/Stratumseind_14%2C_Eindhoven.JPG?utm_source=commons.wikimedia.org&amp;utm_campaign=imageinfo&amp;utm_content=thumbnail_unscaled 2x"}, "url": "https://upload.wikimedia.org/wikipedia/commons/c/cd/Stratumseind_14%2C_Eindhoven.JPG?utm_source=commons.wikimedia.org&amp;utm_campaign=imageinfo&amp;utm_content=original", "descriptionurl": "https://commons.wikimedia.org/wiki/File:Stratumseind_14,_Eindhoven.JPG", "descriptionshorturl": "https://commons.wikimedia.org/w/index.php?curid=29657643", "sha1": "b942e7f17e4b9e52829fcd298515d737b05b0236", "extmetadata": {"DateTime": {"value": "2013-11-16 10:38:59", "source": "mediawiki-metadata", "hidden": ""}, "ObjectName": {"value": "Stratumseind 14, Eindhoven", "source": "mediawiki-metadata"}, "CommonsMetadataExtension": {"value": 1.2, "source": "extension", "hidden": ""}, "Categories": {"value": "Taken with Panasonic Lumix DMC-TZ20|Gemeentelijke monumenten in Eindhoven|Stratumseind|Self-published work|2013 in Eindhoven|Cafés in Eindhoven|Netherlands photographs taken on 2013-04-21|Files with coordinates missing SDC location of creation (51° N, 5° E)", "source": "commons-categories", "hidden": ""}, "Assessments": {"value": "", "source": "commons-categories", "hidden": ""}, "GPSLatitude": {"value": "51.436713", "source": "commons-desc-page"}, "GPSLongitude": {"value": "5.480676", "source": "commons-desc-page"}, "GPSMapDatum": {"value": "WGS-84", "source": "commons-desc-page", "hidden": ""}, "ImageDescription": {"value": "Stratumseind 14, Eindhoven", "source": "commons-desc-page"}, "DateTimeOriginal": {"value": "2013-04-21 10:17:53",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"https://thumb.wikimedia.org/wikipedia/commons/thumb/c/cd/Stratumseind_14%2C_Eindhoven.JPG/1280px-Stratumseind_14%2C_Eindhoven.JPG"}, "retrieved_on": "2026-10-23"}</t>
        </is>
      </c>
    </row>
    <row r="69" ht="54" customHeight="1">
      <c r="A69" s="29" t="inlineStr">
        <is>
          <t>eindhoven:evidence:stratumseind-03</t>
        </is>
      </c>
      <c r="B69" s="29" t="inlineStr">
        <is>
          <t>eindhoven</t>
        </is>
      </c>
      <c r="C69" s="29" t="inlineStr">
        <is>
          <t>eindhoven:photo:stratumseind-03</t>
        </is>
      </c>
      <c r="D69" s="29" t="inlineStr">
        <is>
          <t>https://commons.wikimedia.org/wiki/File:Stratumseind_15-21,_Eindhoven.JPG</t>
        </is>
      </c>
      <c r="E69" s="29" t="inlineStr">
        <is>
          <t>File:Stratumseind 15-21, Eindhoven.JPG</t>
        </is>
      </c>
      <c r="F69" s="29" t="inlineStr">
        <is>
          <t>Rosemoon</t>
        </is>
      </c>
      <c r="G69" s="29" t="inlineStr">
        <is>
          <t>CC BY-SA 3.0</t>
        </is>
      </c>
      <c r="H69" s="29" t="inlineStr">
        <is>
          <t>https://creativecommons.org/licenses/by-sa/3.0/</t>
        </is>
      </c>
      <c r="I69" s="29" t="inlineStr">
        <is>
          <t>Creative Commons Attribution-Share Alike 3.0</t>
        </is>
      </c>
      <c r="J69" s="29" t="inlineStr">
        <is>
          <t>Rosemoon · CC BY-SA 3.0 · Wikimedia Commons</t>
        </is>
      </c>
      <c r="K69" s="29" t="n"/>
      <c r="L69" s="49" t="n">
        <v>46317</v>
      </c>
      <c r="M69" s="29" t="inlineStr">
        <is>
          <t>Bekliyor</t>
        </is>
      </c>
      <c r="N69" s="29" t="inlineStr">
        <is>
          <t>Bekliyor</t>
        </is>
      </c>
      <c r="O69" s="29" t="inlineStr">
        <is>
          <t>Fotoğraflar/eindhoven_stratumseind_03.jpg</t>
        </is>
      </c>
      <c r="P69" s="29" t="inlineStr">
        <is>
          <t>Yan yana kafe cepheleri, tabelalar, kapalı şemsiyeler, taş döşeli sokak</t>
        </is>
      </c>
      <c r="Q69" s="29" t="inlineStr">
        <is>
          <t>Bekliyor</t>
        </is>
      </c>
      <c r="R69" s="29" t="inlineStr">
        <is>
          <t>Wikimedia Commons dosya sayfasındaki lisans: CC BY-SA 3.0</t>
        </is>
      </c>
      <c r="S69" s="29" t="n"/>
      <c r="T69" s="29" t="n"/>
      <c r="U69" s="29" t="n"/>
      <c r="V69" s="29" t="n"/>
      <c r="W69" s="29" t="inlineStr">
        <is>
          <t>{"source_url": "https://commons.wikimedia.org/wiki/File:Stratumseind_15-21,_Eindhoven.JPG", "author": "Rosemoon", "license": "CC BY-SA 3.0", "license_url": "https://creativecommons.org/licenses/by-sa/3.0/", "original_api_record": {"size": 6040576, "width": 4320, "height": 3240, "thumburl": "https://thumb.wikimedia.org/wikipedia/commons/thumb/6/6d/Stratumseind_15-21%2C_Eindhoven.JPG/1920px-Stratumseind_15-21%2C_Eindhoven.JPG?utm_source=commons.wikimedia.org&amp;utm_campaign=imageinfo&amp;utm_content=thumbnail", "thumbwidth": 1600, "thumbheight": 1200, "responsiveUrls": {"2": "https://thumb.wikimedia.org/wikipedia/commons/thumb/6/6d/Stratumseind_15-21%2C_Eindhoven.JPG/3840px-Stratumseind_15-21%2C_Eindhoven.JPG?utm_source=commons.wikimedia.org&amp;utm_campaign=imageinfo&amp;utm_content=thumbnail"}, "thumbattribs": {"src": "https://thumb.wikimedia.org/wikipedia/commons/thumb/6/6d/Stratumseind_15-21%2C_Eindhoven.JPG/1920px-Stratumseind_15-21%2C_Eindhoven.JPG?utm_source=commons.wikimedia.org&amp;utm_campaign=imageinfo&amp;utm_content=thumbnail", "decoding": "async", "loading": "lazy", "width": 1600, "height": 1200, "srcset": "https://thumb.wikimedia.org/wikipedia/commons/thumb/6/6d/Stratumseind_15-21%2C_Eindhoven.JPG/3840px-Stratumseind_15-21%2C_Eindhoven.JPG?utm_source=commons.wikimedia.org&amp;utm_campaign=imageinfo&amp;utm_content=thumbnail 2x"}, "url": "https://upload.wikimedia.org/wikipedia/commons/6/6d/Stratumseind_15-21%2C_Eindhoven.JPG?utm_source=commons.wikimedia.org&amp;utm_campaign=imageinfo&amp;utm_content=original", "descriptionurl": "https://commons.wikimedia.org/wiki/File:Stratumseind_15-21,_Eindhoven.JPG", "descriptionshorturl": "https://commons.wikimedia.org/w/index.php?curid=29657642", "sha1": "1d7c17f4c317bfa58098dff4fd498b02a9d517db", "extmetadata": {"DateTime": {"value": "2013-11-16 10:38:59", "source": "mediawiki-metadata", "hidden": ""}, "ObjectName": {"value": "Stratumseind 15-21, Eindhoven", "source": "mediawiki-metadata"}, "CommonsMetadataExtension": {"value": 1.2, "source": "extension", "hidden": ""}, "Categories": {"value": "Taken with Panasonic Lumix DMC-TZ20|Buildings in Eindhoven|Stratumseind|Self-published work|2013 in Eindhoven|Cafés in Eindhoven|Netherlands photographs taken on 2013-04-21|Files with coordinates missing SDC location of creation (51° N, 5° E)", "source": "commons-categories", "hidden": ""}, "Assessments": {"value": "", "source": "commons-categories", "hidden": ""}, "GPSLatitude": {"value": "51.436967", "source": "commons-desc-page"}, "GPSLongitude": {"value": "5.480364", "source": "commons-desc-page"}, "GPSMapDatum": {"value": "WGS-84", "source": "commons-desc-page", "hidden": ""}, "ImageDescription": {"value": "Stratumseind 15-21, Eindhoven", "source": "commons-desc-page"}, "DateTimeOriginal": {"value": "2013-04-21 10:19:38",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"https://thumb.wikimedia.org/wikipedia/commons/thumb/6/6d/Stratumseind_15-21%2C_Eindhoven.JPG/1280px-Stratumseind_15-21%2C_Eindhoven.JPG"}, "retrieved_on": "2026-10-23"}</t>
        </is>
      </c>
    </row>
    <row r="70" ht="54" customHeight="1">
      <c r="A70" s="29" t="inlineStr">
        <is>
          <t>eindhoven:evidence:de-mispelhoef-01</t>
        </is>
      </c>
      <c r="B70" s="29" t="inlineStr">
        <is>
          <t>eindhoven</t>
        </is>
      </c>
      <c r="C70" s="29" t="inlineStr">
        <is>
          <t>eindhoven:photo:de-mispelhoef-01</t>
        </is>
      </c>
      <c r="D70" s="29" t="inlineStr">
        <is>
          <t>https://commons.wikimedia.org/wiki/File:Mispelhoeve.JPG</t>
        </is>
      </c>
      <c r="E70" s="29" t="inlineStr">
        <is>
          <t>File:Mispelhoeve.JPG</t>
        </is>
      </c>
      <c r="F70" s="29" t="inlineStr">
        <is>
          <t>Sloddervos</t>
        </is>
      </c>
      <c r="G70" s="29" t="inlineStr">
        <is>
          <t>CC BY-SA 3.0</t>
        </is>
      </c>
      <c r="H70" s="29" t="inlineStr">
        <is>
          <t>https://creativecommons.org/licenses/by-sa/3.0/</t>
        </is>
      </c>
      <c r="I70" s="29" t="inlineStr">
        <is>
          <t>Creative Commons Attribution-Share Alike 3.0</t>
        </is>
      </c>
      <c r="J70" s="29" t="inlineStr">
        <is>
          <t>Sloddervos · CC BY-SA 3.0 · Wikimedia Commons</t>
        </is>
      </c>
      <c r="K70" s="29" t="n"/>
      <c r="L70" s="49" t="n">
        <v>46317</v>
      </c>
      <c r="M70" s="29" t="inlineStr">
        <is>
          <t>Bekliyor</t>
        </is>
      </c>
      <c r="N70" s="29" t="inlineStr">
        <is>
          <t>Bekliyor</t>
        </is>
      </c>
      <c r="O70" s="29" t="inlineStr">
        <is>
          <t>Fotoğraflar/eindhoven_de-mispelhoef_01.jpg</t>
        </is>
      </c>
      <c r="P70" s="29" t="inlineStr">
        <is>
          <t>Saz ve kiremit çatılı tuğla çiftlik evi, teras masaları, yol</t>
        </is>
      </c>
      <c r="Q70" s="29" t="inlineStr">
        <is>
          <t>Bekliyor</t>
        </is>
      </c>
      <c r="R70" s="29" t="inlineStr">
        <is>
          <t>Wikimedia Commons dosya sayfasındaki lisans: CC BY-SA 3.0</t>
        </is>
      </c>
      <c r="S70" s="29" t="n"/>
      <c r="T70" s="29" t="n"/>
      <c r="U70" s="29" t="n"/>
      <c r="V70" s="29" t="n"/>
      <c r="W70" s="29" t="inlineStr">
        <is>
          <t>{"source_url": "https://commons.wikimedia.org/wiki/File:Mispelhoeve.JPG", "author": "Sloddervos", "license": "CC BY-SA 3.0", "license_url": "https://creativecommons.org/licenses/by-sa/3.0/", "original_api_record": {"size": 4242734, "width": 4000, "height": 3000, "thumburl": "https://thumb.wikimedia.org/wikipedia/commons/thumb/1/1f/Mispelhoeve.JPG/1920px-Mispelhoeve.JPG?utm_source=commons.wikimedia.org&amp;utm_campaign=imageinfo&amp;utm_content=thumbnail", "thumbwidth": 1600, "thumbheight": 1200, "responsiveUrls": {"2": "https://thumb.wikimedia.org/wikipedia/commons/thumb/1/1f/Mispelhoeve.JPG/3840px-Mispelhoeve.JPG?utm_source=commons.wikimedia.org&amp;utm_campaign=imageinfo&amp;utm_content=thumbnail"}, "thumbattribs": {"src": "https://thumb.wikimedia.org/wikipedia/commons/thumb/1/1f/Mispelhoeve.JPG/1920px-Mispelhoeve.JPG?utm_source=commons.wikimedia.org&amp;utm_campaign=imageinfo&amp;utm_content=thumbnail", "decoding": "async", "loading": "lazy", "width": 1600, "height": 1200, "srcset": "https://thumb.wikimedia.org/wikipedia/commons/thumb/1/1f/Mispelhoeve.JPG/3840px-Mispelhoeve.JPG?utm_source=commons.wikimedia.org&amp;utm_campaign=imageinfo&amp;utm_content=thumbnail 2x"}, "url": "https://upload.wikimedia.org/wikipedia/commons/1/1f/Mispelhoeve.JPG?utm_source=commons.wikimedia.org&amp;utm_campaign=imageinfo&amp;utm_content=original", "descriptionurl": "https://commons.wikimedia.org/wiki/File:Mispelhoeve.JPG", "descriptionshorturl": "https://commons.wikimedia.org/w/index.php?curid=27812855", "sha1": "653220458c2caaf9d9ca536225be8247087da470", "extmetadata": {"DateTime": {"value": "2013-08-21 14:47:55", "source": "mediawiki-metadata", "hidden": ""}, "ObjectName": {"value": "Mispelhoeve", "source": "mediawiki-metadata"}, "CommonsMetadataExtension": {"value": 1.2, "source": "extension", "hidden": ""}, "Categories": {"value": "Taken with Sony DSC-W510|Oirschotsedijk 9, Eindhoven|Self-published work|Rijksmonumenten with known IDs", "source": "commons-categories", "hidden": ""}, "Assessments": {"value": "", "source": "commons-categories", "hidden": ""}, "ImageDescription": {"value": "De Mispelhoeve vanaf de straatzijde gezien", "source": "commons-desc-page"}, "DateTimeOriginal": {"value": "2012-02-04 01:31:54", "source": "commons-desc-page"}, "Credit": {"value": "&lt;span class=\"int-own-work\" lang=\"en\"&gt;Own work&lt;/span&gt;", "source": "commons-desc-page"}, "Artist": {"value": "&lt;a href=\"//commons.wikimedia.org/w/index.php?title=User:Sloddervos&amp;amp;action=edit&amp;amp;redlink=1\" class=\"new\" title=\"User:Sloddervos (page does not exist)\"&gt;Sloddervos&lt;/a&gt;",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"https://thumb.wikimedia.org/wikipedia/commons/thumb/1/1f/Mispelhoeve.JPG/1280px-Mispelhoeve.JPG"}, "retrieved_on": "2026-10-23"}</t>
        </is>
      </c>
    </row>
    <row r="71" ht="54" customHeight="1">
      <c r="A71" s="29" t="inlineStr">
        <is>
          <t>eindhoven:evidence:de-mispelhoef-02</t>
        </is>
      </c>
      <c r="B71" s="29" t="inlineStr">
        <is>
          <t>eindhoven</t>
        </is>
      </c>
      <c r="C71" s="29" t="inlineStr">
        <is>
          <t>eindhoven:photo:de-mispelhoef-02</t>
        </is>
      </c>
      <c r="D71" s="29" t="inlineStr">
        <is>
          <t>https://commons.wikimedia.org/wiki/File:Monument_14638,_Oirschotsedijk_9_Eindhoven.jpg</t>
        </is>
      </c>
      <c r="E71" s="29" t="inlineStr">
        <is>
          <t>File:Monument 14638, Oirschotsedijk 9 Eindhoven.jpg</t>
        </is>
      </c>
      <c r="F71" s="29" t="inlineStr">
        <is>
          <t>Rosemoon</t>
        </is>
      </c>
      <c r="G71" s="29" t="inlineStr">
        <is>
          <t>CC BY-SA 3.0 nl</t>
        </is>
      </c>
      <c r="H71" s="29" t="inlineStr">
        <is>
          <t>https://creativecommons.org/licenses/by-sa/3.0/nl/deed.en/</t>
        </is>
      </c>
      <c r="I71" s="29" t="inlineStr">
        <is>
          <t>Creative Commons Attribution-Share Alike 3.0 nl</t>
        </is>
      </c>
      <c r="J71" s="29" t="inlineStr">
        <is>
          <t>Rosemoon · CC BY-SA 3.0 nl · Wikimedia Commons</t>
        </is>
      </c>
      <c r="K71" s="29" t="n"/>
      <c r="L71" s="49" t="n">
        <v>46317</v>
      </c>
      <c r="M71" s="29" t="inlineStr">
        <is>
          <t>Bekliyor</t>
        </is>
      </c>
      <c r="N71" s="29" t="inlineStr">
        <is>
          <t>Bekliyor</t>
        </is>
      </c>
      <c r="O71" s="29" t="inlineStr">
        <is>
          <t>Fotoğraflar/eindhoven_de-mispelhoef_02.jpg</t>
        </is>
      </c>
      <c r="P71" s="29" t="inlineStr">
        <is>
          <t>Ağaç dalları ardında kiremit çatılı tuğla çiftlik evi, saksılar</t>
        </is>
      </c>
      <c r="Q71" s="29" t="inlineStr">
        <is>
          <t>Bekliyor</t>
        </is>
      </c>
      <c r="R71" s="29" t="inlineStr">
        <is>
          <t>Wikimedia Commons dosya sayfasındaki lisans: CC BY-SA 3.0 nl</t>
        </is>
      </c>
      <c r="S71" s="29" t="n"/>
      <c r="T71" s="29" t="n"/>
      <c r="U71" s="29" t="n"/>
      <c r="V71" s="29" t="n"/>
      <c r="W71" s="29" t="inlineStr">
        <is>
          <t>{"source_url": "https://commons.wikimedia.org/wiki/File:Monument_14638,_Oirschotsedijk_9_Eindhoven.jpg", "author": "Rosemoon", "license": "CC BY-SA 3.0 nl", "license_url": "https://creativecommons.org/licenses/by-sa/3.0/nl/deed.en/", "original_api_record": {"size": 5731328, "width": 4320, "height": 3240, "thumburl": "https://thumb.wikimedia.org/wikipedia/commons/thumb/3/38/Monument_14638%2C_Oirschotsedijk_9_Eindhoven.jpg/1920px-Monument_14638%2C_Oirschotsedijk_9_Eindhoven.jpg?utm_source=commons.wikimedia.org&amp;utm_campaign=imageinfo&amp;utm_content=thumbnail", "thumbwidth": 1600, "thumbheight": 1200, "responsiveUrls": {"2": "https://thumb.wikimedia.org/wikipedia/commons/thumb/3/38/Monument_14638%2C_Oirschotsedijk_9_Eindhoven.jpg/3840px-Monument_14638%2C_Oirschotsedijk_9_Eindhoven.jpg?utm_source=commons.wikimedia.org&amp;utm_campaign=imageinfo&amp;utm_content=thumbnail"}, "thumbattribs": {"src": "https://thumb.wikimedia.org/wikipedia/commons/thumb/3/38/Monument_14638%2C_Oirschotsedijk_9_Eindhoven.jpg/1920px-Monument_14638%2C_Oirschotsedijk_9_Eindhoven.jpg?utm_source=commons.wikimedia.org&amp;utm_campaign=imageinfo&amp;utm_content=thumbnail", "decoding": "async", "loading": "lazy", "width": 1600, "height": 1200, "srcset": "https://thumb.wikimedia.org/wikipedia/commons/thumb/3/38/Monument_14638%2C_Oirschotsedijk_9_Eindhoven.jpg/3840px-Monument_14638%2C_Oirschotsedijk_9_Eindhoven.jpg?utm_source=commons.wikimedia.org&amp;utm_campaign=imageinfo&amp;utm_content=thumbnail 2x"}, "url": "https://upload.wikimedia.org/wikipedia/commons/3/38/Monument_14638%2C_Oirschotsedijk_9_Eindhoven.jpg?utm_source=commons.wikimedia.org&amp;utm_campaign=imageinfo&amp;utm_content=original", "descriptionurl": "https://commons.wikimedia.org/wiki/File:Monument_14638,_Oirschotsedijk_9_Eindhoven.jpg", "descriptionshorturl": "https://commons.wikimedia.org/w/index.php?curid=16685778", "sha1": "746b6734322a5b9bb7806acca2dc94f0607068a3", "extmetadata": {"DateTime": {"value": "2011-09-25 12:51:14", "source": "mediawiki-metadata", "hidden": ""}, "ObjectName": {"value": "Monument 14638, Oirschotsedijk 9 Eindhoven", "source": "mediawiki-metadata"}, "CommonsMetadataExtension": {"value": 1.2, "source": "extension", "hidden": ""}, "Categories": {"value": "Taken with Panasonic Lumix DMC-TZ20|Oirschotsedijk 9, Eindhoven|Self-published work|Images from Wiki Loves Monuments 2011|Rijksmonumenten with known IDs|Images from Wiki Loves Monuments 2011 in the Netherlands|Restaurants in Eindhoven|2011 in Eindhoven|Netherlands photographs taken on 2011-09-25", "source": "commons-categories", "hidden": ""}, "Assessments": {"value": "", "source": "commons-categories", "hidden": ""}, "GPSLatitude": {"value": "51.467597", "source": "commons-desc-page"}, "GPSLongitude": {"value": "5.406700", "source": "commons-desc-page"}, "GPSMapDatum": {"value": "WGS-84", "source": "commons-desc-page", "hidden": ""}, "ImageDescription": {"value": "&lt;table role=\"presentation\" style=\"border-spacing:0; width:425px; text-align:left; background:var(--background-color-neutral,#eaecf0); color:var(--color-base,#202122); border:1px solid var(--border-color-base,#a2a9b1); margin:1px;\" class=\"layouttemplate\"&gt;&lt;tbody&gt;&lt;tr&gt;&lt;td style=\"width:26px; height:22px; vertical-align:middle\"&gt;&lt;span typeof=\"mw:File\"&gt;&lt;span&gt;&lt;img alt=\"\" src=\"https://thumb.wikimedia.org/wikipedia/commons/thumb/5/5e/Monumentenbordje_2014.svg/20px-Monumentenbordje_2014.svg.png?utm_source=commons.wikimedia.org&amp;amp;utm_campaign=parser&amp;amp;utm_content=thumbnail\" decoding=\"async\" loading=\"lazy\" width=\"20\" height=\"30\" class=\"mw-file-element\" srcset=\"https://thumb.wikimedia.org/wikipedia/commons/thumb/5/5e/Monumentenbordje_2014.svg/40px-Monumentenbordje_2014.svg.png?utm_source=commons.wikimedia.org&amp;amp;utm_campaign=parser&amp;amp;utm_content=thumbnail 2x\" data-file-width=\"430\" data-file-height=\"646\"&gt;&lt;/span&gt;&lt;/span&gt;&lt;/td&gt;&lt;td style=\"padding:1pt; line-height:1.1em;\"&gt;&lt;div lang=\"en\" dir=\"ltr\"&gt;This is an image of &lt;a href=\"https://en.wikipedia.org/wiki/Rijksmonument\" class=\"extiw\" title=\"en:Rijksmonument\"&gt;rijksmonument&lt;/a&gt; number &lt;a rel=\"nofollow\" class=\"external text\" href=\"https://monumentenregister.cultureelerfgoed.nl/monumenten/14638\"&gt;14638&lt;/a&gt;&lt;/div&gt;Information from &lt;a href=\"//commons.wikimedia.org/wiki/Commons:Structured_data\" title=\"Commons:Structured data\"&gt;structured data&lt;/a&gt;:\n&lt;ul&gt;&lt;li&gt;&lt;a href=\"https://www.wikidata.org/wiki/Special:EntityPage/P1071\" class=\"extiw\" title=\"d:Special:EntityPage/P1071\"&gt;location of creation&lt;/a&gt;: &lt;a href=\"https://en.wikipedia.org/wiki/en:Eindhoven\" class=\"extiw\" title=\"w:en:Eindhoven\"&gt;&lt;span title=\"city and municipality in North Brabant, Netherlands\"&gt;Eindhoven&lt;/span&gt;&lt;/a&gt;→&lt;a href=\"https://en.wikipedia.org/wiki/en:North_Brabant\" class=\"extiw\" title=\"w:en:North Brabant\"&gt;&lt;span title=\"province of the Netherlands\"&gt;North Brabant&lt;/span&gt;&lt;/a&gt;→&lt;a href=\"https://en.wikipedia.org/wiki/en:Netherlands\" class=\"extiw\" title=\"w:en:Netherlands\"&gt;&lt;span title=\"one of the four autonomous countries of the Kingdom of the Netherlands; with territories in the Caribbean\"&gt;Netherlands&lt;/span&gt;&lt;/a&gt;&lt;/li&gt;\n&lt;li&gt;&lt;a href=\"https://www.wikidata.org/wiki/Special:EntityPage/P180\" class=\"extiw\" title=\"d:Special:EntityPage/P180\"&gt;depicts&lt;/a&gt; &lt;a href=\"https://www.wikidata.org/wiki/Special:EntityPage/P31\" class=\"extiw\" title=\"d:Special:EntityPage/P31\"&gt;instance of&lt;/a&gt;: &lt;a href=\"https://www.wikidata.org/wiki/Q17366685\" class=\"extiw\" title=\"d:Q17366685\"&gt;Oirschotsedijk 9, Eindhoven&lt;/a&gt;→&lt;a href=\"https://en.wikipedia.org/wiki/en:Farm\" class=\"extiw\" title=\"w:en:Farm\"&gt;&lt;span title=\"area of land for farming, or, for aquaculture, lake, river or sea, including various structures\"&gt;farm&lt;/span&gt;&lt;/a&gt;&lt;/li&gt;&lt;/ul&gt;&lt;/td&gt;&lt;/tr&gt;&lt;/tbody&gt;&lt;/table&gt;", "source": "commons-desc-page"}, "DateTimeOriginal": {"value": "2011-09-25", "source": "commons-desc-page"}, "Credit": {"value": "&lt;span class=\"int-own-work\" lang=\"en\"&gt;Own work&lt;/span&gt;", "source": "commons-desc-page"}, "Artist": {"value": "&lt;a href=\"//commons.wikimedia.org/wiki/User:Rosemoon\" title=\"User:Rosemoon\"&gt;Rosemoon&lt;/a&gt;",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"https://thumb.wikimedia.org/wikipedia/commons/thumb/3/38/Monument_14638%2C_Oirschotsedijk_9_Eindhoven.jpg/1280px-Monument_14638%2C_Oirschotsedijk_9_Eindhoven.jpg"}, "retrieved_on": "2026-10-23"}</t>
        </is>
      </c>
    </row>
    <row r="72" ht="54" customHeight="1">
      <c r="A72" s="29" t="inlineStr">
        <is>
          <t>eindhoven:evidence:sint-catharinakerk-01</t>
        </is>
      </c>
      <c r="B72" s="29" t="inlineStr">
        <is>
          <t>eindhoven</t>
        </is>
      </c>
      <c r="C72" s="29" t="inlineStr">
        <is>
          <t>eindhoven:photo:sint-catharinakerk-01</t>
        </is>
      </c>
      <c r="D72" s="29" t="inlineStr">
        <is>
          <t>https://commons.wikimedia.org/wiki/File:14635_Catharinakerk_Eindhoven.jpg</t>
        </is>
      </c>
      <c r="E72" s="29" t="inlineStr">
        <is>
          <t>File:14635 Catharinakerk Eindhoven.jpg</t>
        </is>
      </c>
      <c r="F72" s="29" t="inlineStr">
        <is>
          <t>Johan Bakker</t>
        </is>
      </c>
      <c r="G72" s="29" t="inlineStr">
        <is>
          <t>CC BY-SA 4.0</t>
        </is>
      </c>
      <c r="H72" s="29" t="inlineStr">
        <is>
          <t>https://creativecommons.org/licenses/by-sa/4.0/</t>
        </is>
      </c>
      <c r="I72" s="29" t="inlineStr">
        <is>
          <t>Creative Commons Attribution-Share Alike 4.0</t>
        </is>
      </c>
      <c r="J72" s="29" t="inlineStr">
        <is>
          <t>Johan Bakker · CC BY-SA 4.0 · Wikimedia Commons</t>
        </is>
      </c>
      <c r="K72" s="29" t="n"/>
      <c r="L72" s="49" t="n">
        <v>46317</v>
      </c>
      <c r="M72" s="29" t="inlineStr">
        <is>
          <t>Bekliyor</t>
        </is>
      </c>
      <c r="N72" s="29" t="inlineStr">
        <is>
          <t>Bekliyor</t>
        </is>
      </c>
      <c r="O72" s="29" t="inlineStr">
        <is>
          <t>Fotoğraflar/eindhoven_sint-catharinakerk_01.jpg</t>
        </is>
      </c>
      <c r="P72" s="29" t="inlineStr">
        <is>
          <t>İki sivri kilise kulesi, tuğla duvar, mavi gök, ağaç</t>
        </is>
      </c>
      <c r="Q72" s="29" t="inlineStr">
        <is>
          <t>Bekliyor</t>
        </is>
      </c>
      <c r="R72" s="29" t="inlineStr">
        <is>
          <t>Wikimedia Commons dosya sayfasındaki lisans: CC BY-SA 4.0</t>
        </is>
      </c>
      <c r="S72" s="29" t="n"/>
      <c r="T72" s="29" t="n"/>
      <c r="U72" s="29" t="n"/>
      <c r="V72" s="29" t="n"/>
      <c r="W72" s="29" t="inlineStr">
        <is>
          <t>{"source_url": "https://commons.wikimedia.org/wiki/File:14635_Catharinakerk_Eindhoven.jpg", "author": "Johan Bakker", "license": "CC BY-SA 4.0", "license_url": "https://creativecommons.org/licenses/by-sa/4.0/", "original_api_record": {"size": 5568822, "width": 2000, "height": 3000, "thumburl": "https://thumb.wikimedia.org/wikipedia/commons/thumb/c/c2/14635_Catharinakerk_Eindhoven.jpg/1920px-14635_Catharinakerk_Eindhoven.jpg?utm_source=commons.wikimedia.org&amp;utm_campaign=imageinfo&amp;utm_content=thumbnail", "thumbwidth": 1600, "thumbheight": 2400, "responsiveUrls": {"2": "https://upload.wikimedia.org/wikipedia/commons/c/c2/14635_Catharinakerk_Eindhoven.jpg?utm_source=commons.wikimedia.org&amp;utm_campaign=imageinfo&amp;utm_content=thumbnail_unscaled"}, "thumbattribs": {"src": "https://thumb.wikimedia.org/wikipedia/commons/thumb/c/c2/14635_Catharinakerk_Eindhoven.jpg/1920px-14635_Catharinakerk_Eindhoven.jpg?utm_source=commons.wikimedia.org&amp;utm_campaign=imageinfo&amp;utm_content=thumbnail", "decoding": "async", "loading": "lazy", "width": 1600, "height": 2400, "srcset": "https://upload.wikimedia.org/wikipedia/commons/c/c2/14635_Catharinakerk_Eindhoven.jpg?utm_source=commons.wikimedia.org&amp;utm_campaign=imageinfo&amp;utm_content=thumbnail_unscaled 2x"}, "url": "https://upload.wikimedia.org/wikipedia/commons/c/c2/14635_Catharinakerk_Eindhoven.jpg?utm_source=commons.wikimedia.org&amp;utm_campaign=imageinfo&amp;utm_content=original", "descriptionurl": "https://commons.wikimedia.org/wiki/File:14635_Catharinakerk_Eindhoven.jpg", "descriptionshorturl": "https://commons.wikimedia.org/w/index.php?curid=62360638", "sha1": "7cb69a0229a120131d892a093270bd43d7f3f1ba", "extmetadata": {"DateTime": {"value": "2017-09-11 20:18:30", "source": "mediawiki-metadata", "hidden": ""}, "ObjectName": {"value": "14635 Catharinakerk Eindhoven", "source": "mediawiki-metadata"}, "CommonsMetadataExtension": {"value": 1.2, "source": "extension", "hidden": ""}, "Categories": {"value": "Sint-Catharinakerk (Eindhoven)|Self-published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"Catharinakerk, Eindhoven", "source": "commons-desc-page"}, "DateTimeOriginal": {"value": "2015-10-11 14:55:17",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"https://thumb.wikimedia.org/wikipedia/commons/thumb/c/c2/14635_Catharinakerk_Eindhoven.jpg/1280px-14635_Catharinakerk_Eindhoven.jpg"}, "retrieved_on": "2026-10-23"}</t>
        </is>
      </c>
    </row>
    <row r="73" ht="54" customHeight="1">
      <c r="A73" s="29" t="inlineStr">
        <is>
          <t>eindhoven:evidence:strijp-s-01</t>
        </is>
      </c>
      <c r="B73" s="29" t="inlineStr">
        <is>
          <t>eindhoven</t>
        </is>
      </c>
      <c r="C73" s="29" t="inlineStr">
        <is>
          <t>eindhoven:photo:strijp-s-01</t>
        </is>
      </c>
      <c r="D73" s="29" t="inlineStr">
        <is>
          <t>https://commons.wikimedia.org/wiki/File:Anton_loft_building_in_Strip-S_-_panoramio.jpg</t>
        </is>
      </c>
      <c r="E73" s="29" t="inlineStr">
        <is>
          <t>File:Anton loft building in Strip-S - panoramio.jpg</t>
        </is>
      </c>
      <c r="F73" s="29" t="inlineStr">
        <is>
          <t>point'n'shoot</t>
        </is>
      </c>
      <c r="G73" s="29" t="inlineStr">
        <is>
          <t>CC BY-SA 3.0</t>
        </is>
      </c>
      <c r="H73" s="29" t="inlineStr">
        <is>
          <t>https://creativecommons.org/licenses/by-sa/3.0/</t>
        </is>
      </c>
      <c r="I73" s="29" t="inlineStr">
        <is>
          <t>Creative Commons Attribution-Share Alike 3.0</t>
        </is>
      </c>
      <c r="J73" s="29" t="inlineStr">
        <is>
          <t>point'n'shoot · CC BY-SA 3.0 · Wikimedia Commons</t>
        </is>
      </c>
      <c r="K73" s="29" t="n"/>
      <c r="L73" s="49" t="n">
        <v>46317</v>
      </c>
      <c r="M73" s="29" t="inlineStr">
        <is>
          <t>Bekliyor</t>
        </is>
      </c>
      <c r="N73" s="29" t="inlineStr">
        <is>
          <t>Bekliyor</t>
        </is>
      </c>
      <c r="O73" s="29" t="inlineStr">
        <is>
          <t>Fotoğraflar/eindhoven_strijp-s_01.jpg</t>
        </is>
      </c>
      <c r="P73" s="29" t="inlineStr">
        <is>
          <t>Gece ışıkları yanan çok katlı uzun bina, turuncu ışıklı yol</t>
        </is>
      </c>
      <c r="Q73" s="29" t="inlineStr">
        <is>
          <t>Bekliyor</t>
        </is>
      </c>
      <c r="R73" s="29" t="inlineStr">
        <is>
          <t>Wikimedia Commons dosya sayfasındaki lisans: CC BY-SA 3.0</t>
        </is>
      </c>
      <c r="S73" s="29" t="n"/>
      <c r="T73" s="29" t="n"/>
      <c r="U73" s="29" t="n"/>
      <c r="V73" s="29" t="n"/>
      <c r="W73" s="29" t="inlineStr">
        <is>
          <t>{"source_url": "https://commons.wikimedia.org/wiki/File:Anton_loft_building_in_Strip-S_-_panoramio.jpg", "author": "point'n'shoot", "license": "CC BY-SA 3.0", "license_url": "https://creativecommons.org/licenses/by-sa/3.0/", "original_api_record": {"size": 2281199, "width": 4000, "height": 2664, "thumburl": "https://thumb.wikimedia.org/wikipedia/commons/thumb/d/d7/Anton_loft_building_in_Strip-S_-_panoramio.jpg/1920px-Anton_loft_building_in_Strip-S_-_panoramio.jpg?utm_source=commons.wikimedia.org&amp;utm_campaign=imageinfo&amp;utm_content=thumbnail", "thumbwidth": 1600, "thumbheight": 1066, "responsiveUrls": {"2": "https://thumb.wikimedia.org/wikipedia/commons/thumb/d/d7/Anton_loft_building_in_Strip-S_-_panoramio.jpg/3840px-Anton_loft_building_in_Strip-S_-_panoramio.jpg?utm_source=commons.wikimedia.org&amp;utm_campaign=imageinfo&amp;utm_content=thumbnail"}, "thumbattribs": {"src": "https://thumb.wikimedia.org/wikipedia/commons/thumb/d/d7/Anton_loft_building_in_Strip-S_-_panoramio.jpg/1920px-Anton_loft_building_in_Strip-S_-_panoramio.jpg?utm_source=commons.wikimedia.org&amp;utm_campaign=imageinfo&amp;utm_content=thumbnail", "decoding": "async", "loading": "lazy", "width": 1600, "height": 1066, "srcset": "https://thumb.wikimedia.org/wikipedia/commons/thumb/d/d7/Anton_loft_building_in_Strip-S_-_panoramio.jpg/3840px-Anton_loft_building_in_Strip-S_-_panoramio.jpg?utm_source=commons.wikimedia.org&amp;utm_campaign=imageinfo&amp;utm_content=thumbnail 2x"}, "url": "https://upload.wikimedia.org/wikipedia/commons/d/d7/Anton_loft_building_in_Strip-S_-_panoramio.jpg?utm_source=commons.wikimedia.org&amp;utm_campaign=imageinfo&amp;utm_content=original", "descriptionurl": "https://commons.wikimedia.org/wiki/File:Anton_loft_building_in_Strip-S_-_panoramio.jpg", "descriptionshorturl": "https://commons.wikimedia.org/w/index.php?curid=55975653", "sha1": "45388e38186c57d4d450bd4479a581a9c56ab688", "extmetadata": {"DateTime": {"value": "2017-02-06 23:20:02", "source": "mediawiki-metadata", "hidden": ""}, "ObjectName": {"value": "Anton loft building in Strip-S - panoramio", "source": "mediawiki-metadata"}, "CommonsMetadataExtension": {"value": 1.2, "source": "extension", "hidden": ""}, "Categories": {"value": "Strijp-S|Panoramio files uploaded by Panoramio upload bot|Night in the Netherlands|Panoramio images reviewed by trusted users|Photos from Panoramio|Netherlands photographs taken on 2013-01-27|Media needing category review as of 6 February 2017|Files with coordinates missing SDC location of creation (51° N, 5° E)", "source": "commons-categories", "hidden": ""}, "Assessments": {"value": "", "source": "commons-categories", "hidden": ""}, "GPSLatitude": {"value": "51.447798", "source": "commons-desc-page"}, "GPSLongitude": {"value": "5.458503", "source": "commons-desc-page"}, "GPSMapDatum": {"value": "WGS-84", "source": "commons-desc-page", "hidden": ""}, "ImageDescription": {"value": "Anton loft building in Strip-S", "source": "commons-desc-page"}, "DateTimeOriginal": {"value": "Taken on 27 January 2013", "source": "commons-desc-page"}, "Credit": {"value": "&lt;a rel=\"nofollow\" class=\"external free\" href=\"https://web.archive.org/web/20161024102213/http://www.panoramio.com/photo/85605272\"&gt;https://web.archive.org/web/20161024102213/http://www.panoramio.com/photo/85605272&lt;/a&gt;", "source": "commons-desc-page"}, "Artist": {"value": "&lt;a rel=\"nofollow\" class=\"external text\" href=\"https://web.archive.org/web/20161024102204/http://www.panoramio.com/user/5753243?with_photo_id=85605272\"&gt;point'n'shoot&lt;/a&gt;",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class=\"licensetpl_attr\"&gt;point'n'shoot&lt;/div&gt;&lt;/div&gt;&lt;div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6 February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"point'n'shoot",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"https://thumb.wikimedia.org/wikipedia/commons/thumb/d/d7/Anton_loft_building_in_Strip-S_-_panoramio.jpg/1280px-Anton_loft_building_in_Strip-S_-_panoramio.jpg"}, "retrieved_on": "2026-10-23"}</t>
        </is>
      </c>
    </row>
    <row r="74" ht="54" customHeight="1">
      <c r="A74" s="29" t="inlineStr">
        <is>
          <t>eindhoven:evidence:klokgebouw-01</t>
        </is>
      </c>
      <c r="B74" s="29" t="inlineStr">
        <is>
          <t>eindhoven</t>
        </is>
      </c>
      <c r="C74" s="29" t="inlineStr">
        <is>
          <t>eindhoven:photo:klokgebouw-01</t>
        </is>
      </c>
      <c r="D74" s="29" t="inlineStr">
        <is>
          <t>https://commons.wikimedia.org/wiki/File:518769_Eindhoven_Klokgebouw_(Philipsgebouw_SA).jpg</t>
        </is>
      </c>
      <c r="E74" s="29" t="inlineStr">
        <is>
          <t>File:518769 Eindhoven Klokgebouw (Philipsgebouw SA).jpg</t>
        </is>
      </c>
      <c r="F74" s="29" t="inlineStr">
        <is>
          <t>Johan Bakker</t>
        </is>
      </c>
      <c r="G74" s="29" t="inlineStr">
        <is>
          <t>CC BY-SA 4.0</t>
        </is>
      </c>
      <c r="H74" s="29" t="inlineStr">
        <is>
          <t>https://creativecommons.org/licenses/by-sa/4.0/</t>
        </is>
      </c>
      <c r="I74" s="29" t="inlineStr">
        <is>
          <t>Creative Commons Attribution-Share Alike 4.0</t>
        </is>
      </c>
      <c r="J74" s="29" t="inlineStr">
        <is>
          <t>Johan Bakker · CC BY-SA 4.0 · Wikimedia Commons</t>
        </is>
      </c>
      <c r="K74" s="29" t="n"/>
      <c r="L74" s="49" t="n">
        <v>46317</v>
      </c>
      <c r="M74" s="29" t="inlineStr">
        <is>
          <t>Bekliyor</t>
        </is>
      </c>
      <c r="N74" s="29" t="inlineStr">
        <is>
          <t>Bekliyor</t>
        </is>
      </c>
      <c r="O74" s="29" t="inlineStr">
        <is>
          <t>Fotoğraflar/eindhoven_klokgebouw_01.jpg</t>
        </is>
      </c>
      <c r="P74" s="29" t="inlineStr">
        <is>
          <t>Saat kuleli uzun beyaz bina, yol ve demir korkuluk</t>
        </is>
      </c>
      <c r="Q74" s="29" t="inlineStr">
        <is>
          <t>Bekliyor</t>
        </is>
      </c>
      <c r="R74" s="29" t="inlineStr">
        <is>
          <t>Wikimedia Commons dosya sayfasındaki lisans: CC BY-SA 4.0</t>
        </is>
      </c>
      <c r="S74" s="29" t="n"/>
      <c r="T74" s="29" t="n"/>
      <c r="U74" s="29" t="n"/>
      <c r="V74" s="29" t="n"/>
      <c r="W74" s="29" t="inlineStr">
        <is>
          <t>{"source_url": "https://commons.wikimedia.org/wiki/File:518769_Eindhoven_Klokgebouw_(Philipsgebouw_SA).jpg", "author": "Johan Bakker", "license": "CC BY-SA 4.0", "license_url": "https://creativecommons.org/licenses/by-sa/4.0/", "original_api_record": {"size": 9533556, "width": 4494, "height": 3472, "thumburl": "https://thumb.wikimedia.org/wikipedia/commons/thumb/c/c9/518769_Eindhoven_Klokgebouw_%28Philipsgebouw_SA%29.jpg/1920px-518769_Eindhoven_Klokgebouw_%28Philipsgebouw_SA%29.jpg?utm_source=commons.wikimedia.org&amp;utm_campaign=imageinfo&amp;utm_content=thumbnail", "thumbwidth": 1600, "thumbheight": 1236, "responsiveUrls": {"2": "https://thumb.wikimedia.org/wikipedia/commons/thumb/c/c9/518769_Eindhoven_Klokgebouw_%28Philipsgebouw_SA%29.jpg/3840px-518769_Eindhoven_Klokgebouw_%28Philipsgebouw_SA%29.jpg?utm_source=commons.wikimedia.org&amp;utm_campaign=imageinfo&amp;utm_content=thumbnail"}, "thumbattribs": {"src": "https://thumb.wikimedia.org/wikipedia/commons/thumb/c/c9/518769_Eindhoven_Klokgebouw_%28Philipsgebouw_SA%29.jpg/1920px-518769_Eindhoven_Klokgebouw_%28Philipsgebouw_SA%29.jpg?utm_source=commons.wikimedia.org&amp;utm_campaign=imageinfo&amp;utm_content=thumbnail", "decoding": "async", "loading": "lazy", "width": 1600, "height": 1236, "srcset": "https://thumb.wikimedia.org/wikipedia/commons/thumb/c/c9/518769_Eindhoven_Klokgebouw_%28Philipsgebouw_SA%29.jpg/3840px-518769_Eindhoven_Klokgebouw_%28Philipsgebouw_SA%29.jpg?utm_source=commons.wikimedia.org&amp;utm_campaign=imageinfo&amp;utm_content=thumbnail 2x"}, "url": "https://upload.wikimedia.org/wikipedia/commons/c/c9/518769_Eindhoven_Klokgebouw_%28Philipsgebouw_SA%29.jpg?utm_source=commons.wikimedia.org&amp;utm_campaign=imageinfo&amp;utm_content=original", "descriptionurl": "https://commons.wikimedia.org/wiki/File:518769_Eindhoven_Klokgebouw_(Philipsgebouw_SA).jpg", "descriptionshorturl": "https://commons.wikimedia.org/w/index.php?curid=62115443", "sha1": "568603f0b81a247e1524d27b8fca34e4e3764c6d", "extmetadata": {"DateTime": {"value": "2017-09-02 18:56:47", "source": "mediawiki-metadata", "hidden": ""}, "ObjectName": {"value": "518769 Eindhoven Klokgebouw (Philipsgebouw SA)", "source": "mediawiki-metadata"}, "CommonsMetadataExtension": {"value": 1.2, "source": "extension", "hidden": ""}, "Categories": {"value": "Klokgebouw (Philipsgebouw SA), Eindhoven|Self-published work|Rijksmonumenten with known IDs|Images from Wiki Loves Monuments 2017|Uploaded via Campaign:wlm-nl|Images from Wiki Loves Monuments 2017 in the Netherlands|Netherlands photographs taken on 2017-07-06", "source": "commons-categories", "hidden": ""}, "Assessments": {"value": "", "source": "commons-categories", "hidden": ""}, "ImageDescription": {"value": "Eindhoven Klokgebouw (Philipsgebouw SA)", "source": "commons-desc-page"}, "DateTimeOriginal": {"value": "2017-07-06 13:58:13",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"https://thumb.wikimedia.org/wikipedia/commons/thumb/c/c9/518769_Eindhoven_Klokgebouw_%28Philipsgebouw_SA%29.jpg/1280px-518769_Eindhoven_Klokgebouw_%28Philipsgebouw_SA%29.jpg"}, "retrieved_on": "2026-10-23"}</t>
        </is>
      </c>
    </row>
    <row r="75" ht="54" customHeight="1">
      <c r="A75" s="29" t="inlineStr">
        <is>
          <t>eindhoven:evidence:klokgebouw-02</t>
        </is>
      </c>
      <c r="B75" s="29" t="inlineStr">
        <is>
          <t>eindhoven</t>
        </is>
      </c>
      <c r="C75" s="29" t="inlineStr">
        <is>
          <t>eindhoven:photo:klokgebouw-02</t>
        </is>
      </c>
      <c r="D75" s="29" t="inlineStr">
        <is>
          <t>https://commons.wikimedia.org/wiki/File:Klokgebouw_(2024)_(2).jpg</t>
        </is>
      </c>
      <c r="E75" s="29" t="inlineStr">
        <is>
          <t>File:Klokgebouw (2024) (2).jpg</t>
        </is>
      </c>
      <c r="F75" s="29" t="inlineStr">
        <is>
          <t>S. Perquin</t>
        </is>
      </c>
      <c r="G75" s="29" t="inlineStr">
        <is>
          <t>CC BY-SA 4.0</t>
        </is>
      </c>
      <c r="H75" s="29" t="inlineStr">
        <is>
          <t>https://creativecommons.org/licenses/by-sa/4.0/</t>
        </is>
      </c>
      <c r="I75" s="29" t="inlineStr">
        <is>
          <t>Creative Commons Attribution-Share Alike 4.0</t>
        </is>
      </c>
      <c r="J75" s="29" t="inlineStr">
        <is>
          <t>S. Perquin · CC BY-SA 4.0 · Wikimedia Commons</t>
        </is>
      </c>
      <c r="K75" s="29" t="n"/>
      <c r="L75" s="49" t="n">
        <v>46317</v>
      </c>
      <c r="M75" s="29" t="inlineStr">
        <is>
          <t>Bekliyor</t>
        </is>
      </c>
      <c r="N75" s="29" t="inlineStr">
        <is>
          <t>Bekliyor</t>
        </is>
      </c>
      <c r="O75" s="29" t="inlineStr">
        <is>
          <t>Fotoğraflar/eindhoven_klokgebouw_02.jpg</t>
        </is>
      </c>
      <c r="P75" s="29" t="inlineStr">
        <is>
          <t>Saat kulesi ortada, beyaz çok katlı bina, ağaçlar ve çit</t>
        </is>
      </c>
      <c r="Q75" s="29" t="inlineStr">
        <is>
          <t>Bekliyor</t>
        </is>
      </c>
      <c r="R75" s="29" t="inlineStr">
        <is>
          <t>Wikimedia Commons dosya sayfasındaki lisans: CC BY-SA 4.0</t>
        </is>
      </c>
      <c r="S75" s="29" t="n"/>
      <c r="T75" s="29" t="n"/>
      <c r="U75" s="29" t="n"/>
      <c r="V75" s="29" t="n"/>
      <c r="W75" s="29" t="inlineStr">
        <is>
          <t>{"source_url": "https://commons.wikimedia.org/wiki/File:Klokgebouw_(2024)_(2).jpg", "author": "S. Perquin", "license": "CC BY-SA 4.0", "license_url": "https://creativecommons.org/licenses/by-sa/4.0/", "original_api_record": {"size": 6924943, "width": 6000, "height": 4000, "thumburl": "https://thumb.wikimedia.org/wikipedia/commons/thumb/d/d2/Klokgebouw_%282024%29_%282%29.jpg/1920px-Klokgebouw_%282024%29_%282%29.jpg?utm_source=commons.wikimedia.org&amp;utm_campaign=imageinfo&amp;utm_content=thumbnail", "thumbwidth": 1600, "thumbheight": 1067, "responsiveUrls": {"2": "https://thumb.wikimedia.org/wikipedia/commons/thumb/d/d2/Klokgebouw_%282024%29_%282%29.jpg/3840px-Klokgebouw_%282024%29_%282%29.jpg?utm_source=commons.wikimedia.org&amp;utm_campaign=imageinfo&amp;utm_content=thumbnail"}, "thumbattribs": {"src": "https://thumb.wikimedia.org/wikipedia/commons/thumb/d/d2/Klokgebouw_%282024%29_%282%29.jpg/1920px-Klokgebouw_%282024%29_%282%29.jpg?utm_source=commons.wikimedia.org&amp;utm_campaign=imageinfo&amp;utm_content=thumbnail", "decoding": "async", "loading": "lazy", "width": 1600, "height": 1067, "srcset": "https://thumb.wikimedia.org/wikipedia/commons/thumb/d/d2/Klokgebouw_%282024%29_%282%29.jpg/3840px-Klokgebouw_%282024%29_%282%29.jpg?utm_source=commons.wikimedia.org&amp;utm_campaign=imageinfo&amp;utm_content=thumbnail 2x"}, "url": "https://upload.wikimedia.org/wikipedia/commons/d/d2/Klokgebouw_%282024%29_%282%29.jpg?utm_source=commons.wikimedia.org&amp;utm_campaign=imageinfo&amp;utm_content=original", "descriptionurl": "https://commons.wikimedia.org/wiki/File:Klokgebouw_(2024)_(2).jpg", "descriptionshorturl": "https://commons.wikimedia.org/w/index.php?curid=153876070", "sha1": "3813878fbc4d241bf74b116234526f3c28d80316", "extmetadata": {"DateTime": {"value": "2024-10-13 15:20:24", "source": "mediawiki-metadata", "hidden": ""}, "ObjectName": {"value": "Klokgebouw (2024) (2)", "source": "mediawiki-metadata"}, "CommonsMetadataExtension": {"value": 1.2, "source": "extension", "hidden": ""}, "Categories": {"value": "Klokgebouw (Philipsgebouw SA), Eindhoven|Self-published work|Photographs by S. Perquin|2024 photographs by S. Perquin|Photographs by S. Perquin in Eindhoven", "source": "commons-categories", "hidden": ""}, "Assessments": {"value": "", "source": "commons-categories", "hidden": ""}, "ImageDescription": {"value": "Het Klokgebouw is een monumentaal gebouw in de Eindhovense buurt Strijp-S.", "source": "commons-desc-page"}, "DateTimeOriginal": {"value": "2024-10-13 14:49:34",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"https://thumb.wikimedia.org/wikipedia/commons/thumb/d/d2/Klokgebouw_%282024%29_%282%29.jpg/1280px-Klokgebouw_%282024%29_%282%29.jpg"}, "retrieved_on": "2026-10-23"}</t>
        </is>
      </c>
    </row>
    <row r="76" ht="54" customHeight="1">
      <c r="A76" s="29" t="inlineStr">
        <is>
          <t>eindhoven:evidence:klokgebouw-03</t>
        </is>
      </c>
      <c r="B76" s="29" t="inlineStr">
        <is>
          <t>eindhoven</t>
        </is>
      </c>
      <c r="C76" s="29" t="inlineStr">
        <is>
          <t>eindhoven:photo:klokgebouw-03</t>
        </is>
      </c>
      <c r="D76" s="29" t="inlineStr">
        <is>
          <t>https://commons.wikimedia.org/wiki/File:Klokgebouw_Eindhoven.jpg</t>
        </is>
      </c>
      <c r="E76" s="29" t="inlineStr">
        <is>
          <t>File:Klokgebouw Eindhoven.jpg</t>
        </is>
      </c>
      <c r="F76" s="29" t="inlineStr">
        <is>
          <t>Choinowski</t>
        </is>
      </c>
      <c r="G76" s="29" t="inlineStr">
        <is>
          <t>CC BY-SA 4.0</t>
        </is>
      </c>
      <c r="H76" s="29" t="inlineStr">
        <is>
          <t>https://creativecommons.org/licenses/by-sa/4.0/</t>
        </is>
      </c>
      <c r="I76" s="29" t="inlineStr">
        <is>
          <t>Creative Commons Attribution-Share Alike 4.0</t>
        </is>
      </c>
      <c r="J76" s="29" t="inlineStr">
        <is>
          <t>Choinowski · CC BY-SA 4.0 · Wikimedia Commons</t>
        </is>
      </c>
      <c r="K76" s="29" t="n"/>
      <c r="L76" s="49" t="n">
        <v>46317</v>
      </c>
      <c r="M76" s="29" t="inlineStr">
        <is>
          <t>Bekliyor</t>
        </is>
      </c>
      <c r="N76" s="29" t="inlineStr">
        <is>
          <t>Bekliyor</t>
        </is>
      </c>
      <c r="O76" s="29" t="inlineStr">
        <is>
          <t>Fotoğraflar/eindhoven_klokgebouw_03.jpg</t>
        </is>
      </c>
      <c r="P76" s="29" t="inlineStr">
        <is>
          <t>Çimenlik ardında uzun beyaz bina ve saat kulesi</t>
        </is>
      </c>
      <c r="Q76" s="29" t="inlineStr">
        <is>
          <t>Bekliyor</t>
        </is>
      </c>
      <c r="R76" s="29" t="inlineStr">
        <is>
          <t>Wikimedia Commons dosya sayfasındaki lisans: CC BY-SA 4.0</t>
        </is>
      </c>
      <c r="S76" s="29" t="n"/>
      <c r="T76" s="29" t="n"/>
      <c r="U76" s="29" t="n"/>
      <c r="V76" s="29" t="n"/>
      <c r="W76" s="29" t="inlineStr">
        <is>
          <t>{"source_url": "https://commons.wikimedia.org/wiki/File:Klokgebouw_Eindhoven.jpg", "author": "Choinowski", "license": "CC BY-SA 4.0", "license_url": "https://creativecommons.org/licenses/by-sa/4.0/", "original_api_record": {"size": 3856026, "width": 5059, "height": 3373, "thumburl": "https://thumb.wikimedia.org/wikipedia/commons/thumb/8/8e/Klokgebouw_Eindhoven.jpg/1920px-Klokgebouw_Eindhoven.jpg?utm_source=commons.wikimedia.org&amp;utm_campaign=imageinfo&amp;utm_content=thumbnail", "thumbwidth": 1600, "thumbheight": 1067, "responsiveUrls": {"2": "https://thumb.wikimedia.org/wikipedia/commons/thumb/8/8e/Klokgebouw_Eindhoven.jpg/3840px-Klokgebouw_Eindhoven.jpg?utm_source=commons.wikimedia.org&amp;utm_campaign=imageinfo&amp;utm_content=thumbnail"}, "thumbattribs": {"src": "https://thumb.wikimedia.org/wikipedia/commons/thumb/8/8e/Klokgebouw_Eindhoven.jpg/1920px-Klokgebouw_Eindhoven.jpg?utm_source=commons.wikimedia.org&amp;utm_campaign=imageinfo&amp;utm_content=thumbnail", "decoding": "async", "loading": "lazy", "width": 1600, "height": 1067, "srcset": "https://thumb.wikimedia.org/wikipedia/commons/thumb/8/8e/Klokgebouw_Eindhoven.jpg/3840px-Klokgebouw_Eindhoven.jpg?utm_source=commons.wikimedia.org&amp;utm_campaign=imageinfo&amp;utm_content=thumbnail 2x"}, "url": "https://upload.wikimedia.org/wikipedia/commons/8/8e/Klokgebouw_Eindhoven.jpg?utm_source=commons.wikimedia.org&amp;utm_campaign=imageinfo&amp;utm_content=original", "descriptionurl": "https://commons.wikimedia.org/wiki/File:Klokgebouw_Eindhoven.jpg", "descriptionshorturl": "https://commons.wikimedia.org/w/index.php?curid=165689744", "sha1": "b0607abb6c8a84ef34476da5066d675222a21e05", "extmetadata": {"DateTime": {"value": "2025-05-20 19:15:46", "source": "mediawiki-metadata", "hidden": ""}, "ObjectName": {"value": "Klokgebouw Eindhoven", "source": "mediawiki-metadata"}, "CommonsMetadataExtension": {"value": 1.2, "source": "extension", "hidden": ""}, "Categories": {"value": "Klokgebouw (Philipsgebouw SA), Eindhoven|Self-published work|Netherlands photographs taken on 2016-09-06|2016 in Eindhoven", "source": "commons-categories", "hidden": ""}, "Assessments": {"value": "", "source": "commons-categories", "hidden": ""}, "ImageDescription": {"value": "Het Klokgebouw in Eindhoven in 2016 na de renovatie in 2014.", "source": "commons-desc-page"}, "DateTimeOriginal": {"value": "2016-09-06 14:23:34",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"https://thumb.wikimedia.org/wikipedia/commons/thumb/8/8e/Klokgebouw_Eindhoven.jpg/1280px-Klokgebouw_Eindhoven.jpg"}, "retrieved_on": "2026-10-23"}</t>
        </is>
      </c>
    </row>
    <row r="77" ht="54" customHeight="1">
      <c r="A77" s="29" t="inlineStr">
        <is>
          <t>eindhoven:evidence:genneper-watermolen-01</t>
        </is>
      </c>
      <c r="B77" s="29" t="inlineStr">
        <is>
          <t>eindhoven</t>
        </is>
      </c>
      <c r="C77" s="29" t="inlineStr">
        <is>
          <t>eindhoven:photo:genneper-watermolen-01</t>
        </is>
      </c>
      <c r="D77" s="29" t="inlineStr">
        <is>
          <t>https://commons.wikimedia.org/wiki/File:14639_Genneper_watermolen.jpg</t>
        </is>
      </c>
      <c r="E77" s="29" t="inlineStr">
        <is>
          <t>File:14639 Genneper watermolen.jpg</t>
        </is>
      </c>
      <c r="F77" s="29" t="inlineStr">
        <is>
          <t>Johan Bakker</t>
        </is>
      </c>
      <c r="G77" s="29" t="inlineStr">
        <is>
          <t>CC BY-SA 4.0</t>
        </is>
      </c>
      <c r="H77" s="29" t="inlineStr">
        <is>
          <t>https://creativecommons.org/licenses/by-sa/4.0/</t>
        </is>
      </c>
      <c r="I77" s="29" t="inlineStr">
        <is>
          <t>Creative Commons Attribution-Share Alike 4.0</t>
        </is>
      </c>
      <c r="J77" s="29" t="inlineStr">
        <is>
          <t>Johan Bakker · CC BY-SA 4.0 · Wikimedia Commons</t>
        </is>
      </c>
      <c r="K77" s="29" t="n"/>
      <c r="L77" s="49" t="n">
        <v>46317</v>
      </c>
      <c r="M77" s="29" t="inlineStr">
        <is>
          <t>Bekliyor</t>
        </is>
      </c>
      <c r="N77" s="29" t="inlineStr">
        <is>
          <t>Bekliyor</t>
        </is>
      </c>
      <c r="O77" s="29" t="inlineStr">
        <is>
          <t>Fotoğraflar/eindhoven_genneper-watermolen_01.jpg</t>
        </is>
      </c>
      <c r="P77" s="29" t="inlineStr">
        <is>
          <t>Ağaçlar arasında siyah ahşap su değirmeni, toprak yol, köprü</t>
        </is>
      </c>
      <c r="Q77" s="29" t="inlineStr">
        <is>
          <t>Bekliyor</t>
        </is>
      </c>
      <c r="R77" s="29" t="inlineStr">
        <is>
          <t>Wikimedia Commons dosya sayfasındaki lisans: CC BY-SA 4.0</t>
        </is>
      </c>
      <c r="S77" s="29" t="n"/>
      <c r="T77" s="29" t="n"/>
      <c r="U77" s="29" t="n"/>
      <c r="V77" s="29" t="n"/>
      <c r="W77" s="29" t="inlineStr">
        <is>
          <t>{"source_url": "https://commons.wikimedia.org/wiki/File:14639_Genneper_watermolen.jpg", "author": "Johan Bakker", "license": "CC BY-SA 4.0", "license_url": "https://creativecommons.org/licenses/by-sa/4.0/", "original_api_record": {"size": 16997814, "width": 5184, "height": 3456, "thumburl": "https://thumb.wikimedia.org/wikipedia/commons/thumb/0/0e/14639_Genneper_watermolen.jpg/1920px-14639_Genneper_watermolen.jpg?utm_source=commons.wikimedia.org&amp;utm_campaign=imageinfo&amp;utm_content=thumbnail", "thumbwidth": 1600, "thumbheight": 1067, "responsiveUrls": {"2": "https://thumb.wikimedia.org/wikipedia/commons/thumb/0/0e/14639_Genneper_watermolen.jpg/3840px-14639_Genneper_watermolen.jpg?utm_source=commons.wikimedia.org&amp;utm_campaign=imageinfo&amp;utm_content=thumbnail"}, "thumbattribs": {"src": "https://thumb.wikimedia.org/wikipedia/commons/thumb/0/0e/14639_Genneper_watermolen.jpg/1920px-14639_Genneper_watermolen.jpg?utm_source=commons.wikimedia.org&amp;utm_campaign=imageinfo&amp;utm_content=thumbnail", "decoding": "async", "loading": "lazy", "width": 1600, "height": 1067, "srcset": "https://thumb.wikimedia.org/wikipedia/commons/thumb/0/0e/14639_Genneper_watermolen.jpg/3840px-14639_Genneper_watermolen.jpg?utm_source=commons.wikimedia.org&amp;utm_campaign=imageinfo&amp;utm_content=thumbnail 2x"}, "url": "https://upload.wikimedia.org/wikipedia/commons/0/0e/14639_Genneper_watermolen.jpg?utm_source=commons.wikimedia.org&amp;utm_campaign=imageinfo&amp;utm_content=original", "descriptionurl": "https://commons.wikimedia.org/wiki/File:14639_Genneper_watermolen.jpg", "descriptionshorturl": "https://commons.wikimedia.org/w/index.php?curid=62144197", "sha1": "1bcda0822511152ea71864681e5d0becb8cbc3b0", "extmetadata": {"DateTime": {"value": "2017-09-03 15:31:35", "source": "mediawiki-metadata", "hidden": ""}, "ObjectName": {"value": "14639 Genneper watermolen", "source": "mediawiki-metadata"}, "CommonsMetadataExtension": {"value": 1.2, "source": "extension", "hidden": ""}, "Categories": {"value": "Genneper watermolen|Self-published work|Rijksmonumenten with known IDs|Images from Wiki Loves Monuments 2017|Uploaded via Campaign:wlm-nl-gemeente|Images from Wiki Loves Monuments 2017 in the Netherlands|Netherlands photographs taken on 2017-07-06", "source": "commons-categories", "hidden": ""}, "Assessments": {"value": "", "source": "commons-categories", "hidden": ""}, "ImageDescription": {"value": "De Genneper molen te Eindhoven.", "source": "commons-desc-page"}, "DateTimeOriginal": {"value": "2017-07-06 12:53:45",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"https://thumb.wikimedia.org/wikipedia/commons/thumb/0/0e/14639_Genneper_watermolen.jpg/1280px-14639_Genneper_watermolen.jpg"}, "retrieved_on": "2026-10-23"}</t>
        </is>
      </c>
    </row>
    <row r="78" ht="54" customHeight="1">
      <c r="A78" s="29" t="inlineStr">
        <is>
          <t>eindhoven:evidence:genneper-watermolen-02</t>
        </is>
      </c>
      <c r="B78" s="29" t="inlineStr">
        <is>
          <t>eindhoven</t>
        </is>
      </c>
      <c r="C78" s="29" t="inlineStr">
        <is>
          <t>eindhoven:photo:genneper-watermolen-02</t>
        </is>
      </c>
      <c r="D78" s="29" t="inlineStr">
        <is>
          <t>https://commons.wikimedia.org/wiki/File:Eindhoven-Genneper_watermolen_(1).jpg</t>
        </is>
      </c>
      <c r="E78" s="29" t="inlineStr">
        <is>
          <t>File:Eindhoven-Genneper watermolen (1).jpg</t>
        </is>
      </c>
      <c r="F78" s="29" t="inlineStr">
        <is>
          <t>Romaine</t>
        </is>
      </c>
      <c r="G78" s="29" t="inlineStr">
        <is>
          <t>CC0 1.0</t>
        </is>
      </c>
      <c r="H78" s="29" t="inlineStr">
        <is>
          <t>https://creativecommons.org/publicdomain/zero/1.0/</t>
        </is>
      </c>
      <c r="I78" s="29" t="inlineStr">
        <is>
          <t>Creative Commons Zero, Public Domain Dedication</t>
        </is>
      </c>
      <c r="J78" s="29" t="inlineStr">
        <is>
          <t>Romaine · CC0 1.0 · Wikimedia Commons</t>
        </is>
      </c>
      <c r="K78" s="29" t="n"/>
      <c r="L78" s="49" t="n">
        <v>46317</v>
      </c>
      <c r="M78" s="29" t="inlineStr">
        <is>
          <t>Bekliyor</t>
        </is>
      </c>
      <c r="N78" s="29" t="inlineStr">
        <is>
          <t>Bekliyor</t>
        </is>
      </c>
      <c r="O78" s="29" t="inlineStr">
        <is>
          <t>Fotoğraflar/eindhoven_genneper-watermolen_02.jpg</t>
        </is>
      </c>
      <c r="P78" s="29" t="inlineStr">
        <is>
          <t>Yol kenarında siyah ahşap değirmen, su çarkı, cephede yazı</t>
        </is>
      </c>
      <c r="Q78" s="29" t="inlineStr">
        <is>
          <t>Bekliyor</t>
        </is>
      </c>
      <c r="R78" s="29" t="inlineStr">
        <is>
          <t>Wikimedia Commons dosya sayfasındaki lisans: CC0 1.0</t>
        </is>
      </c>
      <c r="S78" s="29" t="n"/>
      <c r="T78" s="29" t="n"/>
      <c r="U78" s="29" t="n"/>
      <c r="V78" s="29" t="n"/>
      <c r="W78" s="29" t="inlineStr">
        <is>
          <t>{"source_url": "https://commons.wikimedia.org/wiki/File:Eindhoven-Genneper_watermolen_(1).jpg", "author": "Romaine", "license": "CC0 1.0", "license_url": "https://creativecommons.org/publicdomain/zero/1.0/", "original_api_record": {"size": 5493027, "width": 4000, "height": 3000, "thumburl": "https://thumb.wikimedia.org/wikipedia/commons/thumb/b/b1/Eindhoven-Genneper_watermolen_%281%29.jpg/1920px-Eindhoven-Genneper_watermolen_%281%29.jpg?utm_source=commons.wikimedia.org&amp;utm_campaign=imageinfo&amp;utm_content=thumbnail", "thumbwidth": 1600, "thumbheight": 1200, "responsiveUrls": {"2": "https://thumb.wikimedia.org/wikipedia/commons/thumb/b/b1/Eindhoven-Genneper_watermolen_%281%29.jpg/3840px-Eindhoven-Genneper_watermolen_%281%29.jpg?utm_source=commons.wikimedia.org&amp;utm_campaign=imageinfo&amp;utm_content=thumbnail"}, "thumbattribs": {"src": "https://thumb.wikimedia.org/wikipedia/commons/thumb/b/b1/Eindhoven-Genneper_watermolen_%281%29.jpg/1920px-Eindhoven-Genneper_watermolen_%281%29.jpg?utm_source=commons.wikimedia.org&amp;utm_campaign=imageinfo&amp;utm_content=thumbnail", "decoding": "async", "loading": "lazy", "width": 1600, "height": 1200, "srcset": "https://thumb.wikimedia.org/wikipedia/commons/thumb/b/b1/Eindhoven-Genneper_watermolen_%281%29.jpg/3840px-Eindhoven-Genneper_watermolen_%281%29.jpg?utm_source=commons.wikimedia.org&amp;utm_campaign=imageinfo&amp;utm_content=thumbnail 2x"}, "url": "https://upload.wikimedia.org/wikipedia/commons/b/b1/Eindhoven-Genneper_watermolen_%281%29.jpg?utm_source=commons.wikimedia.org&amp;utm_campaign=imageinfo&amp;utm_content=original", "descriptionurl": "https://commons.wikimedia.org/wiki/File:Eindhoven-Genneper_watermolen_(1).jpg", "descriptionshorturl": "https://commons.wikimedia.org/w/index.php?curid=77814916", "sha1": "1f561ecf18a6ab18f2ac7988797b1c03bb72ef60", "extmetadata": {"DateTime": {"value": "2019-04-06 07:53:53", "source": "mediawiki-metadata", "hidden": ""}, "ObjectName": {"value": "Eindhoven-Genneper watermolen (1)", "source": "mediawiki-metadata"}, "CommonsMetadataExtension": {"value": 1.2, "source": "extension", "hidden": ""}, "Categories": {"value": "CC-Zero|Genneper watermolen|Self-published work|Files with coordinates missing SDC location of creation (51° N, 5° E)", "source": "commons-categories", "hidden": ""}, "Assessments": {"value": "", "source": "commons-categories", "hidden": ""}, "GPSLatitude": {"value": "51.423029", "source": "commons-desc-page"}, "GPSLongitude": {"value": "5.469973", "source": "commons-desc-page"}, "GPSMapDatum": {"value": "WGS-84", "source": "commons-desc-page", "hidden": ""}, "ImageDescription": {"value": "Genneper watermolen, Eindhoven, Nederland", "source": "commons-desc-page"}, "DateTimeOriginal": {"value": "2012-04-18",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"https://thumb.wikimedia.org/wikipedia/commons/thumb/b/b1/Eindhoven-Genneper_watermolen_%281%29.jpg/1280px-Eindhoven-Genneper_watermolen_%281%29.jpg"}, "retrieved_on": "2026-10-23"}</t>
        </is>
      </c>
    </row>
    <row r="79" ht="54" customHeight="1">
      <c r="A79" s="29" t="inlineStr">
        <is>
          <t>eindhoven:evidence:genneper-watermolen-03</t>
        </is>
      </c>
      <c r="B79" s="29" t="inlineStr">
        <is>
          <t>eindhoven</t>
        </is>
      </c>
      <c r="C79" s="29" t="inlineStr">
        <is>
          <t>eindhoven:photo:genneper-watermolen-03</t>
        </is>
      </c>
      <c r="D79" s="29" t="inlineStr">
        <is>
          <t>https://commons.wikimedia.org/wiki/File:Gennepermolen-1.jpg</t>
        </is>
      </c>
      <c r="E79" s="29" t="inlineStr">
        <is>
          <t>File:Gennepermolen-1.jpg</t>
        </is>
      </c>
      <c r="F79" s="29" t="inlineStr">
        <is>
          <t>Wammes Waggel</t>
        </is>
      </c>
      <c r="G79" s="29" t="inlineStr">
        <is>
          <t>CC BY-SA 3.0</t>
        </is>
      </c>
      <c r="H79" s="29" t="inlineStr">
        <is>
          <t>https://creativecommons.org/licenses/by-sa/3.0/</t>
        </is>
      </c>
      <c r="I79" s="29" t="inlineStr">
        <is>
          <t>Creative Commons Attribution-Share Alike 3.0</t>
        </is>
      </c>
      <c r="J79" s="29" t="inlineStr">
        <is>
          <t>Wammes Waggel · CC BY-SA 3.0 · Wikimedia Commons</t>
        </is>
      </c>
      <c r="K79" s="29" t="n"/>
      <c r="L79" s="49" t="n">
        <v>46317</v>
      </c>
      <c r="M79" s="29" t="inlineStr">
        <is>
          <t>Bekliyor</t>
        </is>
      </c>
      <c r="N79" s="29" t="inlineStr">
        <is>
          <t>Bekliyor</t>
        </is>
      </c>
      <c r="O79" s="29" t="inlineStr">
        <is>
          <t>Fotoğraflar/eindhoven_genneper-watermolen_03.jpg</t>
        </is>
      </c>
      <c r="P79" s="29" t="inlineStr">
        <is>
          <t>Sonbaharda siyah ahşap değirmen, büyük su çarkı, cephede yazı</t>
        </is>
      </c>
      <c r="Q79" s="29" t="inlineStr">
        <is>
          <t>Bekliyor</t>
        </is>
      </c>
      <c r="R79" s="29" t="inlineStr">
        <is>
          <t>Wikimedia Commons dosya sayfasındaki lisans: CC BY-SA 3.0</t>
        </is>
      </c>
      <c r="S79" s="29" t="n"/>
      <c r="T79" s="29" t="n"/>
      <c r="U79" s="29" t="n"/>
      <c r="V79" s="29" t="n"/>
      <c r="W79" s="29" t="inlineStr">
        <is>
          <t>{"source_url": "https://commons.wikimedia.org/wiki/File:Gennepermolen-1.jpg", "author": "Wammes Waggel", "license": "CC BY-SA 3.0", "license_url": "https://creativecommons.org/licenses/by-sa/3.0/", "original_api_record": {"size": 1640913, "width": 3008, "height": 2000, "thumburl": "https://thumb.wikimedia.org/wikipedia/commons/thumb/e/e0/Gennepermolen-1.jpg/1920px-Gennepermolen-1.jpg?utm_source=commons.wikimedia.org&amp;utm_campaign=imageinfo&amp;utm_content=thumbnail", "thumbwidth": 1600, "thumbheight": 1064, "responsiveUrls": {"2": "https://upload.wikimedia.org/wikipedia/commons/e/e0/Gennepermolen-1.jpg?utm_source=commons.wikimedia.org&amp;utm_campaign=imageinfo&amp;utm_content=thumbnail_unscaled"}, "thumbattribs": {"src": "https://thumb.wikimedia.org/wikipedia/commons/thumb/e/e0/Gennepermolen-1.jpg/1920px-Gennepermolen-1.jpg?utm_source=commons.wikimedia.org&amp;utm_campaign=imageinfo&amp;utm_content=thumbnail", "decoding": "async", "loading": "lazy", "width": 1600, "height": 1064, "srcset": "https://upload.wikimedia.org/wikipedia/commons/e/e0/Gennepermolen-1.jpg?utm_source=commons.wikimedia.org&amp;utm_campaign=imageinfo&amp;utm_content=thumbnail_unscaled 2x"}, "url": "https://upload.wikimedia.org/wikipedia/commons/e/e0/Gennepermolen-1.jpg?utm_source=commons.wikimedia.org&amp;utm_campaign=imageinfo&amp;utm_content=original", "descriptionurl": "https://commons.wikimedia.org/wiki/File:Gennepermolen-1.jpg", "descriptionshorturl": "https://commons.wikimedia.org/w/index.php?curid=2934184", "sha1": "ee10e35c14b81142ee64d873a5ee240d298498e6", "extmetadata": {"DateTime": {"value": "2007-10-17 20:08:03", "source": "mediawiki-metadata", "hidden": ""}, "ObjectName": {"value": "Gennepermolen-1", "source": "mediawiki-metadata"}, "CommonsMetadataExtension": {"value": 1.2, "source": "extension", "hidden": ""}, "Categories": {"value": "GFDL|Genneper watermolen|CC-BY-SA-3.0,2.5,2.0,1.0|License migration redundant|Self-published work|Rijksmonumenten with known IDs", "source": "commons-categories", "hidden": ""}, "Assessments": {"value": "", "source": "commons-categories", "hidden": ""}, "GPSLatitude": {"value": "51.423081", "source": "commons-desc-page"}, "GPSLongitude": {"value": "5.469853", "source": "commons-desc-page"}, "GPSMapDatum": {"value": "WGS-84", "source": "commons-desc-page", "hidden": ""}, "ImageDescription": {"value": "Genneper watermill, Eindhoven, The Netherlands", "source": "commons-desc-page"}, "DateTimeOriginal": {"value": "2007-10", "source": "commons-desc-page"}, "Credit": {"value": "&lt;span class=\"int-own-work\" lang=\"en\"&gt;Own work&lt;/span&gt;", "source": "commons-desc-page"}, "Artist": {"value": "&lt;a href=\"//commons.wikimedia.org/wiki/User:Wammes_Waggel\" title=\"User:Wammes Waggel\"&gt;Wammes Waggel&lt;/a&gt;",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"https://thumb.wikimedia.org/wikipedia/commons/thumb/e/e0/Gennepermolen-1.jpg/1280px-Gennepermolen-1.jpg"}, "retrieved_on": "2026-10-23"}</t>
        </is>
      </c>
    </row>
    <row r="80" ht="54" customHeight="1">
      <c r="A80" s="29" t="inlineStr">
        <is>
          <t>eindhoven:evidence:klooster-marienhage-01</t>
        </is>
      </c>
      <c r="B80" s="29" t="inlineStr">
        <is>
          <t>eindhoven</t>
        </is>
      </c>
      <c r="C80" s="29" t="inlineStr">
        <is>
          <t>eindhoven:photo:klooster-marienhage-01</t>
        </is>
      </c>
      <c r="D80" s="29" t="inlineStr">
        <is>
          <t>https://commons.wikimedia.org/wiki/File:14627_klooster_marienhage.jpg</t>
        </is>
      </c>
      <c r="E80" s="29" t="inlineStr">
        <is>
          <t>File:14627 klooster marienhage.jpg</t>
        </is>
      </c>
      <c r="F80" s="29" t="inlineStr">
        <is>
          <t>Johan Bakker</t>
        </is>
      </c>
      <c r="G80" s="29" t="inlineStr">
        <is>
          <t>CC BY-SA 4.0</t>
        </is>
      </c>
      <c r="H80" s="29" t="inlineStr">
        <is>
          <t>https://creativecommons.org/licenses/by-sa/4.0/</t>
        </is>
      </c>
      <c r="I80" s="29" t="inlineStr">
        <is>
          <t>Creative Commons Attribution-Share Alike 4.0</t>
        </is>
      </c>
      <c r="J80" s="29" t="inlineStr">
        <is>
          <t>Johan Bakker · CC BY-SA 4.0 · Wikimedia Commons</t>
        </is>
      </c>
      <c r="K80" s="29" t="n"/>
      <c r="L80" s="49" t="n">
        <v>46317</v>
      </c>
      <c r="M80" s="29" t="inlineStr">
        <is>
          <t>Bekliyor</t>
        </is>
      </c>
      <c r="N80" s="29" t="inlineStr">
        <is>
          <t>Bekliyor</t>
        </is>
      </c>
      <c r="O80" s="29" t="inlineStr">
        <is>
          <t>Fotoğraflar/eindhoven_klooster-marienhage_01.jpg</t>
        </is>
      </c>
      <c r="P80" s="29" t="inlineStr">
        <is>
          <t>Çimenli avlu çevresinde kırmızı tuğlalı çok pencereli binalar</t>
        </is>
      </c>
      <c r="Q80" s="29" t="inlineStr">
        <is>
          <t>Bekliyor</t>
        </is>
      </c>
      <c r="R80" s="29" t="inlineStr">
        <is>
          <t>Wikimedia Commons dosya sayfasındaki lisans: CC BY-SA 4.0</t>
        </is>
      </c>
      <c r="S80" s="29" t="n"/>
      <c r="T80" s="29" t="n"/>
      <c r="U80" s="29" t="n"/>
      <c r="V80" s="29" t="n"/>
      <c r="W80" s="29" t="inlineStr">
        <is>
          <t>{"source_url": "https://commons.wikimedia.org/wiki/File:14627_klooster_marienhage.jpg", "author": "Johan Bakker", "license": "CC BY-SA 4.0", "license_url": "https://creativecommons.org/licenses/by-sa/4.0/", "original_api_record": {"size": 5515587, "width": 3000, "height": 2000, "thumburl": "https://thumb.wikimedia.org/wikipedia/commons/thumb/c/c3/14627_klooster_marienhage.jpg/1920px-14627_klooster_marienhage.jpg?utm_source=commons.wikimedia.org&amp;utm_campaign=imageinfo&amp;utm_content=thumbnail", "thumbwidth": 1600, "thumbheight": 1067, "responsiveUrls": {"2": "https://upload.wikimedia.org/wikipedia/commons/c/c3/14627_klooster_marienhage.jpg?utm_source=commons.wikimedia.org&amp;utm_campaign=imageinfo&amp;utm_content=thumbnail_unscaled"}, "thumbattribs": {"src": "https://thumb.wikimedia.org/wikipedia/commons/thumb/c/c3/14627_klooster_marienhage.jpg/1920px-14627_klooster_marienhage.jpg?utm_source=commons.wikimedia.org&amp;utm_campaign=imageinfo&amp;utm_content=thumbnail", "decoding": "async", "loading": "lazy", "width": 1600, "height": 1067, "srcset": "https://upload.wikimedia.org/wikipedia/commons/c/c3/14627_klooster_marienhage.jpg?utm_source=commons.wikimedia.org&amp;utm_campaign=imageinfo&amp;utm_content=thumbnail_unscaled 2x"}, "url": "https://upload.wikimedia.org/wikipedia/commons/c/c3/14627_klooster_marienhage.jpg?utm_source=commons.wikimedia.org&amp;utm_campaign=imageinfo&amp;utm_content=original", "descriptionurl": "https://commons.wikimedia.org/wiki/File:14627_klooster_marienhage.jpg", "descriptionshorturl": "https://commons.wikimedia.org/w/index.php?curid=62360654", "sha1": "a97a33e8a81de9779e04d7d17924e36f11297911", "extmetadata": {"DateTime": {"value": "2017-09-11 20:18:43", "source": "mediawiki-metadata", "hidden": ""}, "ObjectName": {"value": "14627 klooster marienhage", "source": "mediawiki-metadata"}, "CommonsMetadataExtension": {"value": 1.2, "source": "extension", "hidden": ""}, "Categories": {"value": "Klooster Mariënhage, Eindhoven|Self-published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"Klooster Mariënhage, Eindhoven.", "source": "commons-desc-page"}, "DateTimeOriginal": {"value": "2015-10-11 16:01:22",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"https://thumb.wikimedia.org/wikipedia/commons/thumb/c/c3/14627_klooster_marienhage.jpg/1280px-14627_klooster_marienhage.jpg"}, "retrieved_on": "2026-10-23"}</t>
        </is>
      </c>
    </row>
    <row r="81" ht="54" customHeight="1">
      <c r="A81" s="29" t="inlineStr">
        <is>
          <t>eindhoven:evidence:klooster-marienhage-02</t>
        </is>
      </c>
      <c r="B81" s="29" t="inlineStr">
        <is>
          <t>eindhoven</t>
        </is>
      </c>
      <c r="C81" s="29" t="inlineStr">
        <is>
          <t>eindhoven:photo:klooster-marienhage-02</t>
        </is>
      </c>
      <c r="D81" s="29" t="inlineStr">
        <is>
          <t>https://commons.wikimedia.org/wiki/File:Marienhage-oostgevel.jpg</t>
        </is>
      </c>
      <c r="E81" s="29" t="inlineStr">
        <is>
          <t>File:Marienhage-oostgevel.jpg</t>
        </is>
      </c>
      <c r="F81" s="29" t="inlineStr">
        <is>
          <t>Wammes Waggel</t>
        </is>
      </c>
      <c r="G81" s="29" t="inlineStr">
        <is>
          <t>CC BY-SA 3.0</t>
        </is>
      </c>
      <c r="H81" s="29" t="inlineStr">
        <is>
          <t>https://creativecommons.org/licenses/by-sa/3.0/</t>
        </is>
      </c>
      <c r="I81" s="29" t="inlineStr">
        <is>
          <t>Creative Commons Attribution-Share Alike 3.0</t>
        </is>
      </c>
      <c r="J81" s="29" t="inlineStr">
        <is>
          <t>Wammes Waggel · CC BY-SA 3.0 · Wikimedia Commons</t>
        </is>
      </c>
      <c r="K81" s="29" t="n"/>
      <c r="L81" s="49" t="n">
        <v>46317</v>
      </c>
      <c r="M81" s="29" t="inlineStr">
        <is>
          <t>Bekliyor</t>
        </is>
      </c>
      <c r="N81" s="29" t="inlineStr">
        <is>
          <t>Bekliyor</t>
        </is>
      </c>
      <c r="O81" s="29" t="inlineStr">
        <is>
          <t>Fotoğraflar/eindhoven_klooster-marienhage_02.jpg</t>
        </is>
      </c>
      <c r="P81" s="29" t="inlineStr">
        <is>
          <t>Tuğla cephe, kemerli ahşap kapı, taş merdiven, çatıda küçük kule</t>
        </is>
      </c>
      <c r="Q81" s="29" t="inlineStr">
        <is>
          <t>Bekliyor</t>
        </is>
      </c>
      <c r="R81" s="29" t="inlineStr">
        <is>
          <t>Wikimedia Commons dosya sayfasındaki lisans: CC BY-SA 3.0</t>
        </is>
      </c>
      <c r="S81" s="29" t="n"/>
      <c r="T81" s="29" t="n"/>
      <c r="U81" s="29" t="n"/>
      <c r="V81" s="29" t="n"/>
      <c r="W81" s="29" t="inlineStr">
        <is>
          <t>{"source_url": "https://commons.wikimedia.org/wiki/File:Marienhage-oostgevel.jpg", "author": "Wammes Waggel", "license": "CC BY-SA 3.0", "license_url": "https://creativecommons.org/licenses/by-sa/3.0/", "original_api_record": {"size": 280634, "width": 738, "height": 1423, "thumburl": "https://upload.wikimedia.org/wikipedia/commons/5/58/Marienhage-oostgevel.jpg?utm_source=commons.wikimedia.org&amp;utm_campaign=imageinfo&amp;utm_content=thumbnail_unscaled", "thumbwidth": 1600, "thumbheight": 3085, "thumbattribs": {"src": "https://upload.wikimedia.org/wikipedia/commons/5/58/Marienhage-oostgevel.jpg?utm_source=commons.wikimedia.org&amp;utm_campaign=imageinfo&amp;utm_content=thumbnail_unscaled", "decoding": "async", "loading": "lazy", "width": 1600, "height": 3085}, "url": "https://upload.wikimedia.org/wikipedia/commons/5/58/Marienhage-oostgevel.jpg?utm_source=commons.wikimedia.org&amp;utm_campaign=imageinfo&amp;utm_content=original", "descriptionurl": "https://commons.wikimedia.org/wiki/File:Marienhage-oostgevel.jpg", "descriptionshorturl": "https://commons.wikimedia.org/w/index.php?curid=5288883", "sha1": "493196e4f4586aefc62ce07e12b450f7b2338115", "extmetadata": {"DateTime": {"value": "2008-11-26 21:09:50", "source": "mediawiki-metadata", "hidden": ""}, "ObjectName": {"value": "Marienhage-oostgevel", "source": "mediawiki-metadata"}, "CommonsMetadataExtension": {"value": 1.2, "source": "extension", "hidden": ""}, "Categories": {"value": "Klooster Mariënhage, Eindhoven|Self-published work|Rijksmonumenten with known IDs", "source": "commons-categories", "hidden": ""}, "Assessments": {"value": "", "source": "commons-categories", "hidden": ""}, "GPSLatitude": {"value": "51.438778", "source": "commons-desc-page"}, "GPSLongitude": {"value": "5.485202", "source": "commons-desc-page"}, "GPSMapDatum": {"value": "WGS-84", "source": "commons-desc-page", "hidden": ""}, "ImageDescription": {"value": "Oostgevel van klooster Mariënhage te Eindhoven, Nederland.", "source": "commons-desc-page"}, "DateTimeOriginal": {"value": "2008-04", "source": "commons-desc-page"}, "Credit": {"value": "&lt;span class=\"int-own-work\" lang=\"en\"&gt;Own work&lt;/span&gt;", "source": "commons-desc-page"}, "Artist": {"value": "&lt;a href=\"//commons.wikimedia.org/wiki/User:Wammes_Waggel\" title=\"User:Wammes Waggel\"&gt;Wammes Waggel&lt;/a&gt;",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"https://upload.wikimedia.org/wikipedia/commons/5/58/Marienhage-oostgevel.jpg"}, "retrieved_on": "2026-10-23"}</t>
        </is>
      </c>
    </row>
    <row r="82" ht="54" customHeight="1">
      <c r="A82" s="29" t="inlineStr">
        <is>
          <t>eindhoven:evidence:heilige-hartkerk-hart-van-eindhoven-01</t>
        </is>
      </c>
      <c r="B82" s="29" t="inlineStr">
        <is>
          <t>eindhoven</t>
        </is>
      </c>
      <c r="C82" s="29" t="inlineStr">
        <is>
          <t>eindhoven:photo:heilige-hartkerk-hart-van-eindhoven-01</t>
        </is>
      </c>
      <c r="D82" s="29" t="inlineStr">
        <is>
          <t>https://commons.wikimedia.org/wiki/File:518763_H._Hartkerk_2.jpg</t>
        </is>
      </c>
      <c r="E82" s="29" t="inlineStr">
        <is>
          <t>File:518763 H. Hartkerk 2.jpg</t>
        </is>
      </c>
      <c r="F82" s="29" t="inlineStr">
        <is>
          <t>Johan Bakker</t>
        </is>
      </c>
      <c r="G82" s="29" t="inlineStr">
        <is>
          <t>CC BY-SA 4.0</t>
        </is>
      </c>
      <c r="H82" s="29" t="inlineStr">
        <is>
          <t>https://creativecommons.org/licenses/by-sa/4.0/</t>
        </is>
      </c>
      <c r="I82" s="29" t="inlineStr">
        <is>
          <t>Creative Commons Attribution-Share Alike 4.0</t>
        </is>
      </c>
      <c r="J82" s="29" t="inlineStr">
        <is>
          <t>Johan Bakker · CC BY-SA 4.0 · Wikimedia Commons</t>
        </is>
      </c>
      <c r="K82" s="29" t="n"/>
      <c r="L82" s="49" t="n">
        <v>46317</v>
      </c>
      <c r="M82" s="29" t="inlineStr">
        <is>
          <t>Bekliyor</t>
        </is>
      </c>
      <c r="N82" s="29" t="inlineStr">
        <is>
          <t>Bekliyor</t>
        </is>
      </c>
      <c r="O82" s="29" t="inlineStr">
        <is>
          <t>Fotoğraflar/eindhoven_heilige-hartkerk-hart-van-eindhoven_01.jpg</t>
        </is>
      </c>
      <c r="P82" s="29" t="inlineStr">
        <is>
          <t>Park ve çimenlik ardında ince kuleli tuğla kilise</t>
        </is>
      </c>
      <c r="Q82" s="29" t="inlineStr">
        <is>
          <t>Bekliyor</t>
        </is>
      </c>
      <c r="R82" s="29" t="inlineStr">
        <is>
          <t>Wikimedia Commons dosya sayfasındaki lisans: CC BY-SA 4.0</t>
        </is>
      </c>
      <c r="S82" s="29" t="n"/>
      <c r="T82" s="29" t="n"/>
      <c r="U82" s="29" t="n"/>
      <c r="V82" s="29" t="n"/>
      <c r="W82" s="29" t="inlineStr">
        <is>
          <t>{"source_url": "https://commons.wikimedia.org/wiki/File:518763_H._Hartkerk_2.jpg", "author": "Johan Bakker", "license": "CC BY-SA 4.0", "license_url": "https://creativecommons.org/licenses/by-sa/4.0/", "original_api_record": {"size": 6841152, "width": 2000, "height": 3000, "thumburl": "https://thumb.wikimedia.org/wikipedia/commons/thumb/0/0e/518763_H._Hartkerk_2.jpg/1920px-518763_H._Hartkerk_2.jpg?utm_source=commons.wikimedia.org&amp;utm_campaign=imageinfo&amp;utm_content=thumbnail", "thumbwidth": 1600, "thumbheight": 2400, "responsiveUrls": {"2": "https://upload.wikimedia.org/wikipedia/commons/0/0e/518763_H._Hartkerk_2.jpg?utm_source=commons.wikimedia.org&amp;utm_campaign=imageinfo&amp;utm_content=thumbnail_unscaled"}, "thumbattribs": {"src": "https://thumb.wikimedia.org/wikipedia/commons/thumb/0/0e/518763_H._Hartkerk_2.jpg/1920px-518763_H._Hartkerk_2.jpg?utm_source=commons.wikimedia.org&amp;utm_campaign=imageinfo&amp;utm_content=thumbnail", "decoding": "async", "loading": "lazy", "width": 1600, "height": 2400, "srcset": "https://upload.wikimedia.org/wikipedia/commons/0/0e/518763_H._Hartkerk_2.jpg?utm_source=commons.wikimedia.org&amp;utm_campaign=imageinfo&amp;utm_content=thumbnail_unscaled 2x"}, "url": "https://upload.wikimedia.org/wikipedia/commons/0/0e/518763_H._Hartkerk_2.jpg?utm_source=commons.wikimedia.org&amp;utm_campaign=imageinfo&amp;utm_content=original", "descriptionurl": "https://commons.wikimedia.org/wiki/File:518763_H._Hartkerk_2.jpg", "descriptionshorturl": "https://commons.wikimedia.org/w/index.php?curid=62360681", "sha1": "aa209e19192ad94899f999144c392a4b7460796f", "extmetadata": {"DateTime": {"value": "2017-09-11 20:19:51", "source": "mediawiki-metadata", "hidden": ""}, "ObjectName": {"value": "518763 H. Hartkerk 2", "source": "mediawiki-metadata"}, "CommonsMetadataExtension": {"value": 1.2, "source": "extension", "hidden": ""}, "Categories": {"value": "Heilig Hartkerk (Eindhoven)|Self-published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"Heilig Hartkerk, Eindhoven.", "source": "commons-desc-page"}, "DateTimeOriginal": {"value": "2015-10-11 12:59:23",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"https://thumb.wikimedia.org/wikipedia/commons/thumb/0/0e/518763_H._Hartkerk_2.jpg/1280px-518763_H._Hartkerk_2.jpg"}, "retrieved_on": "2026-10-23"}</t>
        </is>
      </c>
    </row>
    <row r="83" ht="54" customHeight="1">
      <c r="A83" s="29" t="inlineStr">
        <is>
          <t>eindhoven:evidence:heilige-hartkerk-hart-van-eindhoven-02</t>
        </is>
      </c>
      <c r="B83" s="29" t="inlineStr">
        <is>
          <t>eindhoven</t>
        </is>
      </c>
      <c r="C83" s="29" t="inlineStr">
        <is>
          <t>eindhoven:photo:heilige-hartkerk-hart-van-eindhoven-02</t>
        </is>
      </c>
      <c r="D83" s="29" t="inlineStr">
        <is>
          <t>https://commons.wikimedia.org/wiki/File:518763_H._Hartkerk.jpg</t>
        </is>
      </c>
      <c r="E83" s="29" t="inlineStr">
        <is>
          <t>File:518763 H. Hartkerk.jpg</t>
        </is>
      </c>
      <c r="F83" s="29" t="inlineStr">
        <is>
          <t>Johan Bakker</t>
        </is>
      </c>
      <c r="G83" s="29" t="inlineStr">
        <is>
          <t>CC BY-SA 4.0</t>
        </is>
      </c>
      <c r="H83" s="29" t="inlineStr">
        <is>
          <t>https://creativecommons.org/licenses/by-sa/4.0/</t>
        </is>
      </c>
      <c r="I83" s="29" t="inlineStr">
        <is>
          <t>Creative Commons Attribution-Share Alike 4.0</t>
        </is>
      </c>
      <c r="J83" s="29" t="inlineStr">
        <is>
          <t>Johan Bakker · CC BY-SA 4.0 · Wikimedia Commons</t>
        </is>
      </c>
      <c r="K83" s="29" t="n"/>
      <c r="L83" s="49" t="n">
        <v>46317</v>
      </c>
      <c r="M83" s="29" t="inlineStr">
        <is>
          <t>Bekliyor</t>
        </is>
      </c>
      <c r="N83" s="29" t="inlineStr">
        <is>
          <t>Bekliyor</t>
        </is>
      </c>
      <c r="O83" s="29" t="inlineStr">
        <is>
          <t>Fotoğraflar/eindhoven_heilige-hartkerk-hart-van-eindhoven_02.jpg</t>
        </is>
      </c>
      <c r="P83" s="29" t="inlineStr">
        <is>
          <t>Silindir biçimli yüksek tuğla kule, yeşil çatılı yapı, park etmiş arabalar</t>
        </is>
      </c>
      <c r="Q83" s="29" t="inlineStr">
        <is>
          <t>Bekliyor</t>
        </is>
      </c>
      <c r="R83" s="29" t="inlineStr">
        <is>
          <t>Wikimedia Commons dosya sayfasındaki lisans: CC BY-SA 4.0</t>
        </is>
      </c>
      <c r="S83" s="29" t="n"/>
      <c r="T83" s="29" t="n"/>
      <c r="U83" s="29" t="n"/>
      <c r="V83" s="29" t="n"/>
      <c r="W83" s="29" t="inlineStr">
        <is>
          <t>{"source_url": "https://commons.wikimedia.org/wiki/File:518763_H._Hartkerk.jpg", "author": "Johan Bakker", "license": "CC BY-SA 4.0", "license_url": "https://creativecommons.org/licenses/by-sa/4.0/", "original_api_record": {"size": 6077010, "width": 2266, "height": 3000, "thumburl": "https://thumb.wikimedia.org/wikipedia/commons/thumb/d/d8/518763_H._Hartkerk.jpg/1920px-518763_H._Hartkerk.jpg?utm_source=commons.wikimedia.org&amp;utm_campaign=imageinfo&amp;utm_content=thumbnail", "thumbwidth": 1600, "thumbheight": 2118, "responsiveUrls": {"2": "https://upload.wikimedia.org/wikipedia/commons/d/d8/518763_H._Hartkerk.jpg?utm_source=commons.wikimedia.org&amp;utm_campaign=imageinfo&amp;utm_content=thumbnail_unscaled"}, "thumbattribs": {"src": "https://thumb.wikimedia.org/wikipedia/commons/thumb/d/d8/518763_H._Hartkerk.jpg/1920px-518763_H._Hartkerk.jpg?utm_source=commons.wikimedia.org&amp;utm_campaign=imageinfo&amp;utm_content=thumbnail", "decoding": "async", "loading": "lazy", "width": 1600, "height": 2118, "srcset": "https://upload.wikimedia.org/wikipedia/commons/d/d8/518763_H._Hartkerk.jpg?utm_source=commons.wikimedia.org&amp;utm_campaign=imageinfo&amp;utm_content=thumbnail_unscaled 2x"}, "url": "https://upload.wikimedia.org/wikipedia/commons/d/d8/518763_H._Hartkerk.jpg?utm_source=commons.wikimedia.org&amp;utm_campaign=imageinfo&amp;utm_content=original", "descriptionurl": "https://commons.wikimedia.org/wiki/File:518763_H._Hartkerk.jpg", "descriptionshorturl": "https://commons.wikimedia.org/w/index.php?curid=62360632", "sha1": "c61458239c1700cf8ffeed91fb39e34a17417dde", "extmetadata": {"DateTime": {"value": "2017-09-11 20:18:27", "source": "mediawiki-metadata", "hidden": ""}, "ObjectName": {"value": "518763 H. Hartkerk", "source": "mediawiki-metadata"}, "CommonsMetadataExtension": {"value": 1.2, "source": "extension", "hidden": ""}, "Categories": {"value": "Heilig Hartkerk (Eindhoven)|Self-published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"Heilig Hartkerk, Eindhoven.", "source": "commons-desc-page"}, "DateTimeOriginal": {"value": "2015-10-11 12:49:57",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"https://thumb.wikimedia.org/wikipedia/commons/thumb/d/d8/518763_H._Hartkerk.jpg/1280px-518763_H._Hartkerk.jpg"}, "retrieved_on": "2026-10-23"}</t>
        </is>
      </c>
    </row>
    <row r="84" ht="54" customHeight="1">
      <c r="A84" s="29" t="inlineStr">
        <is>
          <t>eindhoven:evidence:heilige-hartkerk-hart-van-eindhoven-03</t>
        </is>
      </c>
      <c r="B84" s="29" t="inlineStr">
        <is>
          <t>eindhoven</t>
        </is>
      </c>
      <c r="C84" s="29" t="inlineStr">
        <is>
          <t>eindhoven:photo:heilige-hartkerk-hart-van-eindhoven-03</t>
        </is>
      </c>
      <c r="D84" s="29" t="inlineStr">
        <is>
          <t>https://commons.wikimedia.org/wiki/File:HeiligHartkerk_Rijksmonument518763.jpg</t>
        </is>
      </c>
      <c r="E84" s="29" t="inlineStr">
        <is>
          <t>File:HeiligHartkerk Rijksmonument518763.jpg</t>
        </is>
      </c>
      <c r="F84" s="29" t="inlineStr">
        <is>
          <t>Mark Bergsma</t>
        </is>
      </c>
      <c r="G84" s="29" t="inlineStr">
        <is>
          <t>CC BY-SA 3.0</t>
        </is>
      </c>
      <c r="H84" s="29" t="inlineStr">
        <is>
          <t>https://creativecommons.org/licenses/by-sa/3.0/</t>
        </is>
      </c>
      <c r="I84" s="29" t="inlineStr">
        <is>
          <t>Creative Commons Attribution-Share Alike 3.0</t>
        </is>
      </c>
      <c r="J84" s="29" t="inlineStr">
        <is>
          <t>Mark Bergsma · CC BY-SA 3.0 · Wikimedia Commons</t>
        </is>
      </c>
      <c r="K84" s="29" t="n"/>
      <c r="L84" s="49" t="n">
        <v>46317</v>
      </c>
      <c r="M84" s="29" t="inlineStr">
        <is>
          <t>Bekliyor</t>
        </is>
      </c>
      <c r="N84" s="29" t="inlineStr">
        <is>
          <t>Bekliyor</t>
        </is>
      </c>
      <c r="O84" s="29" t="inlineStr">
        <is>
          <t>Fotoğraflar/eindhoven_heilige-hartkerk-hart-van-eindhoven_03.jpg</t>
        </is>
      </c>
      <c r="P84" s="29" t="inlineStr">
        <is>
          <t>Saatli yuvarlak tuğla kule, yeşil bakır çatılı şapel, kilise cephesi</t>
        </is>
      </c>
      <c r="Q84" s="29" t="inlineStr">
        <is>
          <t>Bekliyor</t>
        </is>
      </c>
      <c r="R84" s="29" t="inlineStr">
        <is>
          <t>Wikimedia Commons dosya sayfasındaki lisans: CC BY-SA 3.0</t>
        </is>
      </c>
      <c r="S84" s="29" t="n"/>
      <c r="T84" s="29" t="n"/>
      <c r="U84" s="29" t="n"/>
      <c r="V84" s="29" t="n"/>
      <c r="W84" s="29" t="inlineStr">
        <is>
          <t>{"source_url": "https://commons.wikimedia.org/wiki/File:HeiligHartkerk_Rijksmonument518763.jpg", "author": "Mark Bergsma", "license": "CC BY-SA 3.0", "license_url": "https://creativecommons.org/licenses/by-sa/3.0/", "original_api_record": {"size": 2985827, "width": 2520, "height": 3453, "thumburl": "https://thumb.wikimedia.org/wikipedia/commons/thumb/f/f7/HeiligHartkerk_Rijksmonument518763.jpg/1920px-HeiligHartkerk_Rijksmonument518763.jpg?utm_source=commons.wikimedia.org&amp;utm_campaign=imageinfo&amp;utm_content=thumbnail", "thumbwidth": 1600, "thumbheight": 2192, "responsiveUrls": {"2": "https://upload.wikimedia.org/wikipedia/commons/f/f7/HeiligHartkerk_Rijksmonument518763.jpg?utm_source=commons.wikimedia.org&amp;utm_campaign=imageinfo&amp;utm_content=thumbnail_unscaled"}, "thumbattribs": {"src": "https://thumb.wikimedia.org/wikipedia/commons/thumb/f/f7/HeiligHartkerk_Rijksmonument518763.jpg/1920px-HeiligHartkerk_Rijksmonument518763.jpg?utm_source=commons.wikimedia.org&amp;utm_campaign=imageinfo&amp;utm_content=thumbnail", "decoding": "async", "loading": "lazy", "width": 1600, "height": 2192, "srcset": "https://upload.wikimedia.org/wikipedia/commons/f/f7/HeiligHartkerk_Rijksmonument518763.jpg?utm_source=commons.wikimedia.org&amp;utm_campaign=imageinfo&amp;utm_content=thumbnail_unscaled 2x"}, "url": "https://upload.wikimedia.org/wikipedia/commons/f/f7/HeiligHartkerk_Rijksmonument518763.jpg?utm_source=commons.wikimedia.org&amp;utm_campaign=imageinfo&amp;utm_content=original", "descriptionurl": "https://commons.wikimedia.org/wiki/File:HeiligHartkerk_Rijksmonument518763.jpg", "descriptionshorturl": "https://commons.wikimedia.org/w/index.php?curid=7888844", "sha1": "0774e83409232ee0a0662261bfa3fb53f87afcf7", "extmetadata": {"DateTime": {"value": "2009-09-24 21:49:51", "source": "mediawiki-metadata", "hidden": ""}, "ObjectName": {"value": "HeiligHartkerk Rijksmonument518763", "source": "mediawiki-metadata"}, "CommonsMetadataExtension": {"value": 1.2, "source": "extension", "hidden": ""}, "Categories": {"value": "GFDL|Taken with Panasonic Lumix DMC-LX3|License migration redundant|Heilig Hartkerk (Eindhoven)|Self-published work|Rijksmonumenten with known IDs", "source": "commons-categories", "hidden": ""}, "Assessments": {"value": "", "source": "commons-categories", "hidden": ""}, "GPSLatitude": {"value": "51.432846", "source": "commons-desc-page"}, "GPSLongitude": {"value": "5.472606", "source": "commons-desc-page"}, "GPSMapDatum": {"value": "WGS-84", "source": "commons-desc-page", "hidden": ""}, "ImageDescription": {"value": "Heilig Hartkerk op de Ploegstraat 3 in Eindhoven, Nederlands rijksmonument nr. 518763", "source": "commons-desc-page"}, "DateTimeOriginal": {"value": "2009-09-24",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"https://thumb.wikimedia.org/wikipedia/commons/thumb/f/f7/HeiligHartkerk_Rijksmonument518763.jpg/1280px-HeiligHartkerk_Rijksmonument518763.jpg"}, "retrieved_on": "2026-10-23"}</t>
        </is>
      </c>
    </row>
    <row r="85" ht="54" customHeight="1">
      <c r="A85" s="29" t="inlineStr">
        <is>
          <t>eindhoven:evidence:catharinakerkhof-01</t>
        </is>
      </c>
      <c r="B85" s="29" t="inlineStr">
        <is>
          <t>eindhoven</t>
        </is>
      </c>
      <c r="C85" s="29" t="inlineStr">
        <is>
          <t>eindhoven:photo:catharinakerkhof-01</t>
        </is>
      </c>
      <c r="D85" s="29" t="inlineStr">
        <is>
          <t>https://commons.wikimedia.org/wiki/File:Aanzicht_poort_met_klokgevel_-_Eindhoven_-_20410899_-_RCE.jpg</t>
        </is>
      </c>
      <c r="E85" s="29" t="inlineStr">
        <is>
          <t>File:Aanzicht poort met klokgevel - Eindhoven - 20410899 - RCE.jpg</t>
        </is>
      </c>
      <c r="F85" s="29" t="inlineStr">
        <is>
          <t>Sergé Technau</t>
        </is>
      </c>
      <c r="G85" s="29" t="inlineStr">
        <is>
          <t>CC BY-SA 4.0</t>
        </is>
      </c>
      <c r="H85" s="29" t="inlineStr">
        <is>
          <t>https://creativecommons.org/licenses/by-sa/4.0/</t>
        </is>
      </c>
      <c r="I85" s="29" t="inlineStr">
        <is>
          <t>Creative Commons Attribution-Share Alike 4.0</t>
        </is>
      </c>
      <c r="J85" s="29" t="inlineStr">
        <is>
          <t>Sergé Technau · CC BY-SA 4.0 · Wikimedia Commons</t>
        </is>
      </c>
      <c r="K85" s="29" t="n"/>
      <c r="L85" s="49" t="n">
        <v>46317</v>
      </c>
      <c r="M85" s="29" t="inlineStr">
        <is>
          <t>Bekliyor</t>
        </is>
      </c>
      <c r="N85" s="29" t="inlineStr">
        <is>
          <t>Bekliyor</t>
        </is>
      </c>
      <c r="O85" s="29" t="inlineStr">
        <is>
          <t>Fotoğraflar/eindhoven_catharinakerkhof_01.jpg</t>
        </is>
      </c>
      <c r="P85" s="29" t="inlineStr">
        <is>
          <t>Haç ve heykel nişli kıvrımlı tuğla giriş kapısı, ağaçlı yol</t>
        </is>
      </c>
      <c r="Q85" s="29" t="inlineStr">
        <is>
          <t>Bekliyor</t>
        </is>
      </c>
      <c r="R85" s="29" t="inlineStr">
        <is>
          <t>Wikimedia Commons dosya sayfasındaki lisans: CC BY-SA 4.0</t>
        </is>
      </c>
      <c r="S85" s="29" t="n"/>
      <c r="T85" s="29" t="n"/>
      <c r="U85" s="29" t="n"/>
      <c r="V85" s="29" t="n"/>
      <c r="W85" s="29" t="inlineStr">
        <is>
          <t>{"source_url": "https://commons.wikimedia.org/wiki/File:Aanzicht_poort_met_klokgevel_-_Eindhoven_-_20410899_-_RCE.jpg", "author": "Sergé Technau", "license": "CC BY-SA 4.0", "license_url": "https://creativecommons.org/licenses/by-sa/4.0/", "original_api_record": {"size": 1426681, "width": 2362, "height": 3543, "thumburl": "https://thumb.wikimedia.org/wikipedia/commons/thumb/e/ea/Aanzicht_poort_met_klokgevel_-_Eindhoven_-_20410899_-_RCE.jpg/1920px-Aanzicht_poort_met_klokgevel_-_Eindhoven_-_20410899_-_RCE.jpg?utm_source=commons.wikimedia.org&amp;utm_campaign=imageinfo&amp;utm_content=thumbnail", "thumbwidth": 1600, "thumbheight": 2400, "responsiveUrls": {"2": "https://upload.wikimedia.org/wikipedia/commons/e/ea/Aanzicht_poort_met_klokgevel_-_Eindhoven_-_20410899_-_RCE.jpg?utm_source=commons.wikimedia.org&amp;utm_campaign=imageinfo&amp;utm_content=thumbnail_unscaled"}, "thumbattribs": {"src": "https://thumb.wikimedia.org/wikipedia/commons/thumb/e/ea/Aanzicht_poort_met_klokgevel_-_Eindhoven_-_20410899_-_RCE.jpg/1920px-Aanzicht_poort_met_klokgevel_-_Eindhoven_-_20410899_-_RCE.jpg?utm_source=commons.wikimedia.org&amp;utm_campaign=imageinfo&amp;utm_content=thumbnail", "decoding": "async", "loading": "lazy", "width": 1600, "height": 2400, "srcset": "https://upload.wikimedia.org/wikipedia/commons/e/ea/Aanzicht_poort_met_klokgevel_-_Eindhoven_-_20410899_-_RCE.jpg?utm_source=commons.wikimedia.org&amp;utm_campaign=imageinfo&amp;utm_content=thumbnail_unscaled 2x"}, "url": "https://upload.wikimedia.org/wikipedia/commons/e/ea/Aanzicht_poort_met_klokgevel_-_Eindhoven_-_20410899_-_RCE.jpg?utm_source=commons.wikimedia.org&amp;utm_campaign=imageinfo&amp;utm_content=original", "descriptionurl": "https://commons.wikimedia.org/wiki/File:Aanzicht_poort_met_klokgevel_-_Eindhoven_-_20410899_-_RCE.jpg", "descriptionshorturl": "https://commons.wikimedia.org/w/index.php?curid=24115001", "sha1": "84473a69b686c7c3ee0a58716f522f15c11101e2", "extmetadata": {"DateTime": {"value": "2024-10-07 11:27:55", "source": "mediawiki-metadata", "hidden": ""}, "ObjectName": {"value": "Aanzicht poort met klokgevel - Eindhoven - 20410899 - RCE", "source": "mediawiki-metadata"}, "CommonsMetadataExtension": {"value": 1.2, "source": "extension", "hidden": ""}, "Categories": {"value": "Images from the Rijksdienst voor het Cultureel Erfgoed|Begraafplaats Catharinakerk (Eindhoven)|Gatehouses in the Netherlands|Rijksmonumenten with known IDs|Buildings with addresses|2008 in Eindhoven|Rijksmonumentcomplexen with known IDs|Netherlands photographs taken on 2008-01-04|Photographs by Sergé Technau", "source": "commons-categories", "hidden": ""}, "Assessments": {"value": "", "source": "commons-categories", "hidden": ""}, "ImageDescription": {"value": "This is an image of &lt;a href=\"https://en.wikipedia.org/wiki/Rijksmonument\" class=\"extiw\" title=\"en:Rijksmonument\"&gt;rijksmonumentcomplex&lt;/a&gt; number", "source": "commons-desc-page"}, "DateTimeOriginal": {"value": "2008-01-04", "source": "commons-desc-page"}, "Credit": {"value": "&lt;a rel=\"nofollow\" class=\"external text\" href=\"http://beeldbank.cultureelerfgoed.nl/alle-afbeeldingen/?mode=gallery&amp;amp;view=horizontal&amp;amp;q=20410899\"&gt;Rijksdienst voor het Cultureel Erfgoed&lt;/a&gt;", "source": "commons-desc-page"}, "Artist": {"value": "&lt;bdi&gt;&lt;a href=\"https://www.wikidata.org/wiki/Q100423837\" class=\"extiw\" title=\"d:Q100423837\"&gt;&lt;span title=\"Dutch photographer\"&gt;Sergé Technau&lt;/span&gt;&lt;/a&gt;&lt;/bdi&gt;",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"https://thumb.wikimedia.org/wikipedia/commons/thumb/e/ea/Aanzicht_poort_met_klokgevel_-_Eindhoven_-_20410899_-_RCE.jpg/1280px-Aanzicht_poort_met_klokgevel_-_Eindhoven_-_20410899_-_RCE.jpg"}, "retrieved_on": "2026-10-23"}</t>
        </is>
      </c>
    </row>
    <row r="86" ht="54" customHeight="1">
      <c r="A86" s="29" t="inlineStr">
        <is>
          <t>eindhoven:evidence:catharinakerkhof-02</t>
        </is>
      </c>
      <c r="B86" s="29" t="inlineStr">
        <is>
          <t>eindhoven</t>
        </is>
      </c>
      <c r="C86" s="29" t="inlineStr">
        <is>
          <t>eindhoven:photo:catharinakerkhof-02</t>
        </is>
      </c>
      <c r="D86" s="29" t="inlineStr">
        <is>
          <t>https://commons.wikimedia.org/wiki/File:Familiegraf_Mignot-Bouvy_is_uitgevoerd_in_natuursteen,_omgeven_door_vierkante_palen,_bekroond_door_toortsen_en_urnen_-_Eindhoven_-_20410841_-_RCE.jpg</t>
        </is>
      </c>
      <c r="E86" s="29" t="inlineStr">
        <is>
          <t>File:Familiegraf Mignot-Bouvy is uitgevoerd in natuursteen, omgeven door vierkante palen, bekroond door toortsen en urnen - Eindhoven - 20410841 - RCE.jpg</t>
        </is>
      </c>
      <c r="F86" s="29" t="inlineStr">
        <is>
          <t>Sergé Technau</t>
        </is>
      </c>
      <c r="G86" s="29" t="inlineStr">
        <is>
          <t>CC BY-SA 4.0</t>
        </is>
      </c>
      <c r="H86" s="29" t="inlineStr">
        <is>
          <t>https://creativecommons.org/licenses/by-sa/4.0/</t>
        </is>
      </c>
      <c r="I86" s="29" t="inlineStr">
        <is>
          <t>Creative Commons Attribution-Share Alike 4.0</t>
        </is>
      </c>
      <c r="J86" s="29" t="inlineStr">
        <is>
          <t>Sergé Technau · CC BY-SA 4.0 · Wikimedia Commons</t>
        </is>
      </c>
      <c r="K86" s="29" t="n"/>
      <c r="L86" s="49" t="n">
        <v>46317</v>
      </c>
      <c r="M86" s="29" t="inlineStr">
        <is>
          <t>Bekliyor</t>
        </is>
      </c>
      <c r="N86" s="29" t="inlineStr">
        <is>
          <t>Bekliyor</t>
        </is>
      </c>
      <c r="O86" s="29" t="inlineStr">
        <is>
          <t>Fotoğraflar/eindhoven_catharinakerkhof_02.jpg</t>
        </is>
      </c>
      <c r="P86" s="29" t="inlineStr">
        <is>
          <t>Direkli ve zincirli anıtsal taş aile mezarı, çevrede eski mezarlar, çıplak ağaçlar</t>
        </is>
      </c>
      <c r="Q86" s="29" t="inlineStr">
        <is>
          <t>Bekliyor</t>
        </is>
      </c>
      <c r="R86" s="29" t="inlineStr">
        <is>
          <t>Wikimedia Commons dosya sayfasındaki lisans: CC BY-SA 4.0</t>
        </is>
      </c>
      <c r="S86" s="29" t="n"/>
      <c r="T86" s="29" t="n"/>
      <c r="U86" s="29" t="n"/>
      <c r="V86" s="29" t="n"/>
      <c r="W86" s="29" t="inlineStr">
        <is>
          <t>{"source_url": "https://commons.wikimedia.org/wiki/File:Familiegraf_Mignot-Bouvy_is_uitgevoerd_in_natuursteen,_omgeven_door_vierkante_palen,_bekroond_door_toortsen_en_urnen_-_Eindhoven_-_20410841_-_RCE.jpg", "author": "Sergé Technau", "license": "CC BY-SA 4.0", "license_url": "https://creativecommons.org/licenses/by-sa/4.0/", "original_api_record": {"size": 4183121, "width": 2362, "height": 3543, "thumburl": "https://thumb.wikimedia.org/wikipedia/commons/thumb/b/bc/Familiegraf_Mignot-Bouvy_is_uitgevoerd_in_natuursteen%2C_omgeven_door_vierkante_palen%2C_bekroond_door_toortsen_en_urnen_-_Eindhoven_-_20410841_-_RCE.jpg/1920px-Familiegraf_Mignot-Bouvy_is_uitgevoerd_in_natuursteen%2C_omgeven_door_vierkante_palen%2C_bekroond_door_toortsen_en_urnen_-_Eindhoven_-_20410841_-_RCE.jpg?utm_source=commons.wikimedia.org&amp;utm_campaign=imageinfo&amp;utm_content=thumbnail", "thumbwidth": 1600, "thumbheight": 2400, "responsiveUrls": {"2": "https://upload.wikimedia.org/wikipedia/commons/b/bc/Familiegraf_Mignot-Bouvy_is_uitgevoerd_in_natuursteen%2C_omgeven_door_vierkante_palen%2C_bekroond_door_toortsen_en_urnen_-_Eindhoven_-_20410841_-_RCE.jpg?utm_source=commons.wikimedia.org&amp;utm_campaign=imageinfo&amp;utm_content=thumbnail_unscaled"}, "thumbattribs": {"src": "https://thumb.wikimedia.org/wikipedia/commons/thumb/b/bc/Familiegraf_Mignot-Bouvy_is_uitgevoerd_in_natuursteen%2C_omgeven_door_vierkante_palen%2C_bekroond_door_toortsen_en_urnen_-_Eindhoven_-_20410841_-_RCE.jpg/1920px-Familiegraf_Mignot-Bouvy_is_uitgevoerd_in_natuursteen%2C_omgeven_door_vierkante_palen%2C_bekroond_door_toortsen_en_urnen_-_Eindhoven_-_20410841_-_RCE.jpg?utm_source=commons.wikimedia.org&amp;utm_campaign=imageinfo&amp;utm_content=thumbnail", "decoding": "async", "loading": "lazy", "width": 1600, "height": 2400, "srcset": "https://upload.wikimedia.org/wikipedia/commons/b/bc/Familiegraf_Mignot-Bouvy_is_uitgevoerd_in_natuursteen%2C_omgeven_door_vierkante_palen%2C_bekroond_door_toortsen_en_urnen_-_Eindhoven_-_20410841_-_RCE.jpg?utm_source=commons.wikimedia.org&amp;utm_campaign=imageinfo&amp;utm_content=thumbnail_unscaled 2x"}, "url": "https://upload.wikimedia.org/wikipedia/commons/b/bc/Familiegraf_Mignot-Bouvy_is_uitgevoerd_in_natuursteen%2C_omgeven_door_vierkante_palen%2C_bekroond_door_toortsen_en_urnen_-_Eindhoven_-_20410841_-_RCE.jpg?utm_source=commons.wikimedia.org&amp;utm_campaign=imageinfo&amp;utm_content=original", "descriptionurl": "https://commons.wikimedia.org/wiki/File:Familiegraf_Mignot-Bouvy_is_uitgevoerd_in_natuursteen,_omgeven_door_vierkante_palen,_bekroond_door_toortsen_en_urnen_-_Eindhoven_-_20410841_-_RCE.jpg", "descriptionshorturl": "https://commons.wikimedia.org/w/index.php?curid=24114896", "sha1": "de22d4f9f3cff9d6e5f82931f3db0c88bf97138b", "extmetadata": {"DateTime": {"value": "2024-11-25 10:22:12", "source": "mediawiki-metadata", "hidden": ""}, "ObjectName": {"value": "Familiegraf Mignot-Bouvy is uitgevoerd in natuursteen, omgeven door vierkante palen, bekroond door toortsen en urnen - Eindhoven - 20410841 - RCE", "source": "mediawiki-metadata"}, "CommonsMetadataExtension": {"value": 1.2, "source": "extension", "hidden": ""}, "Categories": {"value": "Images from the Rijksdienst voor het Cultureel Erfgoed|Begraafplaats Catharinakerk (Eindhoven)|Rijksmonumenten with known IDs|Buildings with addresses|2008 in Eindhoven|Rijksmonumentcomplexen with known IDs|Netherlands photographs taken on 2008-01-04|Urns in the Netherlands|Photographs by Sergé Technau", "source": "commons-categories", "hidden": ""}, "Assessments": {"value": "", "source": "commons-categories", "hidden": ""}, "ImageDescription": {"value": "This is an image of &lt;a href=\"https://en.wikipedia.org/wiki/Rijksmonument\" class=\"extiw\" title=\"en:Rijksmonument\"&gt;rijksmonumentcomplex&lt;/a&gt; number", "source": "commons-desc-page"}, "DateTimeOriginal": {"value": "2008-01-04", "source": "commons-desc-page"}, "Credit": {"value": "&lt;a rel=\"nofollow\" class=\"external text\" href=\"http://beeldbank.cultureelerfgoed.nl/alle-afbeeldingen/?mode=gallery&amp;amp;view=horizontal&amp;amp;q=20410841\"&gt;Rijksdienst voor het Cultureel Erfgoed&lt;/a&gt;", "source": "commons-desc-page"}, "Artist": {"value": "&lt;bdi&gt;&lt;a href=\"https://www.wikidata.org/wiki/Q100423837\" class=\"extiw\" title=\"d:Q100423837\"&gt;&lt;span title=\"Dutch photographer\"&gt;Sergé Technau&lt;/span&gt;&lt;/a&gt;&lt;/bdi&gt;",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c/Familiegraf_Mignot-Bouvy_is_uitgevoerd_in_natuursteen%2C_omgeven_door_vierkante_palen%2C_bekroond_door_toortsen_en_urnen_-_Eindhoven_-_20410841_-_RCE.jpg/1280px-Familiegraf_Mignot-Bouvy_is_uitgevoerd_in_natuursteen%2C_omgeven_door_vierkante_palen%2C_bekroond_door_toortsen_en_urnen_-_Eindhoven_-_20410841_-_RCE.jpg"}, "retrieved_on": "2026-10-23"}</t>
        </is>
      </c>
    </row>
    <row r="87" ht="54" customHeight="1">
      <c r="A87" s="29" t="inlineStr">
        <is>
          <t>eindhoven:evidence:18-septemberplein-01</t>
        </is>
      </c>
      <c r="B87" s="29" t="inlineStr">
        <is>
          <t>eindhoven</t>
        </is>
      </c>
      <c r="C87" s="29" t="inlineStr">
        <is>
          <t>eindhoven:photo:18-septemberplein-01</t>
        </is>
      </c>
      <c r="D87" s="29" t="inlineStr">
        <is>
          <t>https://commons.wikimedia.org/wiki/File:13-06-28-eindhoven-by-RalfR-10.jpg</t>
        </is>
      </c>
      <c r="E87" s="29" t="inlineStr">
        <is>
          <t>File:13-06-28-eindhoven-by-RalfR-10.jpg</t>
        </is>
      </c>
      <c r="F87" s="29" t="inlineStr">
        <is>
          <t>Ralf Roletschek</t>
        </is>
      </c>
      <c r="G87" s="29" t="inlineStr">
        <is>
          <t>CC BY 3.0</t>
        </is>
      </c>
      <c r="H87" s="29" t="inlineStr">
        <is>
          <t>https://creativecommons.org/licenses/by/3.0/</t>
        </is>
      </c>
      <c r="I87" s="29" t="inlineStr">
        <is>
          <t>Creative Commons Attribution 3.0</t>
        </is>
      </c>
      <c r="J87" s="29" t="inlineStr">
        <is>
          <t>Ralf Roletschek · CC BY 3.0 · Wikimedia Commons</t>
        </is>
      </c>
      <c r="K87" s="29" t="n"/>
      <c r="L87" s="49" t="n">
        <v>46317</v>
      </c>
      <c r="M87" s="29" t="inlineStr">
        <is>
          <t>Bekliyor</t>
        </is>
      </c>
      <c r="N87" s="29" t="inlineStr">
        <is>
          <t>Bekliyor</t>
        </is>
      </c>
      <c r="O87" s="29" t="inlineStr">
        <is>
          <t>Fotoğraflar/eindhoven_18-septemberplein_01.jpg</t>
        </is>
      </c>
      <c r="P87" s="29" t="inlineStr">
        <is>
          <t>Taş döşeli meydan, yürüyen insanlar, cam kubbeli yapı, arkada Philips yazılı bina</t>
        </is>
      </c>
      <c r="Q87" s="29" t="inlineStr">
        <is>
          <t>Bekliyor</t>
        </is>
      </c>
      <c r="R87" s="29" t="inlineStr">
        <is>
          <t>Wikimedia Commons dosya sayfasındaki lisans: CC BY 3.0</t>
        </is>
      </c>
      <c r="S87" s="29" t="n"/>
      <c r="T87" s="29" t="n"/>
      <c r="U87" s="29" t="n"/>
      <c r="V87" s="29" t="n"/>
      <c r="W87" s="29" t="inlineStr">
        <is>
          <t>{"source_url": "https://commons.wikimedia.org/wiki/File:13-06-28-eindhoven-by-RalfR-10.jpg", "author": "Ralf Roletschek", "license": "CC BY 3.0", "license_url": "https://creativecommons.org/licenses/by/3.0/", "original_api_record": {"size": 7423141, "width": 4288, "height": 2848, "thumburl": "https://thumb.wikimedia.org/wikipedia/commons/thumb/e/ea/13-06-28-eindhoven-by-RalfR-10.jpg/1920px-13-06-28-eindhoven-by-RalfR-10.jpg?utm_source=commons.wikimedia.org&amp;utm_campaign=imageinfo&amp;utm_content=thumbnail", "thumbwidth": 1600, "thumbheight": 1063, "responsiveUrls": {"2": "https://thumb.wikimedia.org/wikipedia/commons/thumb/e/ea/13-06-28-eindhoven-by-RalfR-10.jpg/3840px-13-06-28-eindhoven-by-RalfR-10.jpg?utm_source=commons.wikimedia.org&amp;utm_campaign=imageinfo&amp;utm_content=thumbnail"}, "thumbattribs": {"src": "https://thumb.wikimedia.org/wikipedia/commons/thumb/e/ea/13-06-28-eindhoven-by-RalfR-10.jpg/1920px-13-06-28-eindhoven-by-RalfR-10.jpg?utm_source=commons.wikimedia.org&amp;utm_campaign=imageinfo&amp;utm_content=thumbnail", "decoding": "async", "loading": "lazy", "width": 1600, "height": 1063, "srcset": "https://thumb.wikimedia.org/wikipedia/commons/thumb/e/ea/13-06-28-eindhoven-by-RalfR-10.jpg/3840px-13-06-28-eindhoven-by-RalfR-10.jpg?utm_source=commons.wikimedia.org&amp;utm_campaign=imageinfo&amp;utm_content=thumbnail 2x"}, "url": "https://upload.wikimedia.org/wikipedia/commons/e/ea/13-06-28-eindhoven-by-RalfR-10.jpg?utm_source=commons.wikimedia.org&amp;utm_campaign=imageinfo&amp;utm_content=original", "descriptionurl": "https://commons.wikimedia.org/wiki/File:13-06-28-eindhoven-by-RalfR-10.jpg", "descriptionshorturl": "https://commons.wikimedia.org/w/index.php?curid=26941426", "sha1": "2fa0c44d6e1ac1d4be2e978a5e4a3a1b367a10b3", "extmetadata": {"DateTime": {"value": "2013-06-28 20:28:27", "source": "mediawiki-metadata", "hidden": ""}, "ObjectName": {"value": "13-06-28-eindhoven-by-RalfR-10", "source": "mediawiki-metadata"}, "CommonsMetadataExtension": {"value": 1.2, "source": "extension", "hidden": ""}, "Categories": {"value": "GFDL|Taken with Nikon D300s|License migration redundant|18 Septemberplein (Eindhoven)|Demer, Eindhoven|Self-published work|Supported by Wikimedia Deutschland|Supported by Wikimedia Österreich|Images by Ralf Roletschek/x|2013 in Eindhoven|Netherlands photographs taken on 2013-06-28|De Tube (Eindhoven)|Files with coordinates missing SDC location of creation (51° N, 5° E)|Fotoaktion Robocup 2013", "source": "commons-categories", "hidden": ""}, "Assessments": {"value": "", "source": "commons-categories", "hidden": ""}, "GPSLatitude": {"value": "51.441242", "source": "commons-desc-page"}, "GPSLongitude": {"value": "5.476765", "source": "commons-desc-page"}, "GPSMapDatum": {"value": "WGS-84", "source": "commons-desc-page", "hidden": ""}, "ImageDescription": {"value": "Eindhoven, Niederlande, Stadtzentrum", "source": "commons-desc-page"}, "DateTimeOriginal": {"value": "2013-06-28 15:13:55",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"https://thumb.wikimedia.org/wikipedia/commons/thumb/e/ea/13-06-28-eindhoven-by-RalfR-10.jpg/1280px-13-06-28-eindhoven-by-RalfR-10.jpg"}, "retrieved_on": "2026-10-23"}</t>
        </is>
      </c>
    </row>
    <row r="88" ht="54" customHeight="1">
      <c r="A88" s="29" t="inlineStr">
        <is>
          <t>eindhoven:evidence:18-septemberplein-02</t>
        </is>
      </c>
      <c r="B88" s="29" t="inlineStr">
        <is>
          <t>eindhoven</t>
        </is>
      </c>
      <c r="C88" s="29" t="inlineStr">
        <is>
          <t>eindhoven:photo:18-septemberplein-02</t>
        </is>
      </c>
      <c r="D88" s="29" t="inlineStr">
        <is>
          <t>https://commons.wikimedia.org/wiki/File:13-06-28-eindhoven-by-RalfR-16.jpg</t>
        </is>
      </c>
      <c r="E88" s="29" t="inlineStr">
        <is>
          <t>File:13-06-28-eindhoven-by-RalfR-16.jpg</t>
        </is>
      </c>
      <c r="F88" s="29" t="inlineStr">
        <is>
          <t>Ralf Roletschek</t>
        </is>
      </c>
      <c r="G88" s="29" t="inlineStr">
        <is>
          <t>CC BY 3.0</t>
        </is>
      </c>
      <c r="H88" s="29" t="inlineStr">
        <is>
          <t>https://creativecommons.org/licenses/by/3.0/</t>
        </is>
      </c>
      <c r="I88" s="29" t="inlineStr">
        <is>
          <t>Creative Commons Attribution 3.0</t>
        </is>
      </c>
      <c r="J88" s="29" t="inlineStr">
        <is>
          <t>Ralf Roletschek · CC BY 3.0 · Wikimedia Commons</t>
        </is>
      </c>
      <c r="K88" s="29" t="n"/>
      <c r="L88" s="49" t="n">
        <v>46317</v>
      </c>
      <c r="M88" s="29" t="inlineStr">
        <is>
          <t>Bekliyor</t>
        </is>
      </c>
      <c r="N88" s="29" t="inlineStr">
        <is>
          <t>Bekliyor</t>
        </is>
      </c>
      <c r="O88" s="29" t="inlineStr">
        <is>
          <t>Fotoğraflar/eindhoven_18-septemberplein_02.jpg</t>
        </is>
      </c>
      <c r="P88" s="29" t="inlineStr">
        <is>
          <t>Geniş meydan, damla biçimli cam kubbeli yapı, yürüyen insanlar</t>
        </is>
      </c>
      <c r="Q88" s="29" t="inlineStr">
        <is>
          <t>Bekliyor</t>
        </is>
      </c>
      <c r="R88" s="29" t="inlineStr">
        <is>
          <t>Wikimedia Commons dosya sayfasındaki lisans: CC BY 3.0</t>
        </is>
      </c>
      <c r="S88" s="29" t="n"/>
      <c r="T88" s="29" t="n"/>
      <c r="U88" s="29" t="n"/>
      <c r="V88" s="29" t="n"/>
      <c r="W88" s="29" t="inlineStr">
        <is>
          <t>{"source_url": "https://commons.wikimedia.org/wiki/File:13-06-28-eindhoven-by-RalfR-16.jpg", "author": "Ralf Roletschek", "license": "CC BY 3.0", "license_url": "https://creativecommons.org/licenses/by/3.0/", "original_api_record": {"size": 8696924, "width": 4288, "height": 2848, "thumburl": "https://thumb.wikimedia.org/wikipedia/commons/thumb/5/57/13-06-28-eindhoven-by-RalfR-16.jpg/1920px-13-06-28-eindhoven-by-RalfR-16.jpg?utm_source=commons.wikimedia.org&amp;utm_campaign=imageinfo&amp;utm_content=thumbnail", "thumbwidth": 1600, "thumbheight": 1063, "responsiveUrls": {"2": "https://thumb.wikimedia.org/wikipedia/commons/thumb/5/57/13-06-28-eindhoven-by-RalfR-16.jpg/3840px-13-06-28-eindhoven-by-RalfR-16.jpg?utm_source=commons.wikimedia.org&amp;utm_campaign=imageinfo&amp;utm_content=thumbnail"}, "thumbattribs": {"src": "https://thumb.wikimedia.org/wikipedia/commons/thumb/5/57/13-06-28-eindhoven-by-RalfR-16.jpg/1920px-13-06-28-eindhoven-by-RalfR-16.jpg?utm_source=commons.wikimedia.org&amp;utm_campaign=imageinfo&amp;utm_content=thumbnail", "decoding": "async", "loading": "lazy", "width": 1600, "height": 1063, "srcset": "https://thumb.wikimedia.org/wikipedia/commons/thumb/5/57/13-06-28-eindhoven-by-RalfR-16.jpg/3840px-13-06-28-eindhoven-by-RalfR-16.jpg?utm_source=commons.wikimedia.org&amp;utm_campaign=imageinfo&amp;utm_content=thumbnail 2x"}, "url": "https://upload.wikimedia.org/wikipedia/commons/5/57/13-06-28-eindhoven-by-RalfR-16.jpg?utm_source=commons.wikimedia.org&amp;utm_campaign=imageinfo&amp;utm_content=original", "descriptionurl": "https://commons.wikimedia.org/wiki/File:13-06-28-eindhoven-by-RalfR-16.jpg", "descriptionshorturl": "https://commons.wikimedia.org/w/index.php?curid=26941459", "sha1": "5f98dc6301fba3f667a6ecb663a9c7fee8b1b125", "extmetadata": {"DateTime": {"value": "2013-06-28 20:32:11", "source": "mediawiki-metadata", "hidden": ""}, "ObjectName": {"value": "13-06-28-eindhoven-by-RalfR-16", "source": "mediawiki-metadata"}, "CommonsMetadataExtension": {"value": 1.2, "source": "extension", "hidden": ""}, "Categories": {"value": "GFDL|Taken with Nikon D300s|License migration redundant|18 Septemberplein (Eindhoven)|Self-published work|Supported by Wikimedia Deutschland|Supported by Wikimedia Österreich|Images by Ralf Roletschek/x|2013 in Eindhoven|Netherlands photographs taken on 2013-06-28|Files with coordinates missing SDC location of creation (51° N, 5° E)|Fotoaktion Robocup 2013", "source": "commons-categories", "hidden": ""}, "Assessments": {"value": "", "source": "commons-categories", "hidden": ""}, "GPSLatitude": {"value": "51.440953", "source": "commons-desc-page"}, "GPSLongitude": {"value": "5.477738", "source": "commons-desc-page"}, "GPSMapDatum": {"value": "WGS-84", "source": "commons-desc-page", "hidden": ""}, "ImageDescription": {"value": "Eindhoven, Niederlande, Stadtzentrum", "source": "commons-desc-page"}, "DateTimeOriginal": {"value": "2013-06-28 15:19:19",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"https://thumb.wikimedia.org/wikipedia/commons/thumb/5/57/13-06-28-eindhoven-by-RalfR-16.jpg/1280px-13-06-28-eindhoven-by-RalfR-16.jpg"}, "retrieved_on": "2026-10-23"}</t>
        </is>
      </c>
    </row>
    <row r="89" ht="54" customHeight="1">
      <c r="A89" s="29" t="inlineStr">
        <is>
          <t>eindhoven:evidence:18-septemberplein-03</t>
        </is>
      </c>
      <c r="B89" s="29" t="inlineStr">
        <is>
          <t>eindhoven</t>
        </is>
      </c>
      <c r="C89" s="29" t="inlineStr">
        <is>
          <t>eindhoven:photo:18-septemberplein-03</t>
        </is>
      </c>
      <c r="D89" s="29" t="inlineStr">
        <is>
          <t>https://commons.wikimedia.org/wiki/File:13-06-28-eindhoven-by-RalfR-18.jpg</t>
        </is>
      </c>
      <c r="E89" s="29" t="inlineStr">
        <is>
          <t>File:13-06-28-eindhoven-by-RalfR-18.jpg</t>
        </is>
      </c>
      <c r="F89" s="29" t="inlineStr">
        <is>
          <t>Ralf Roletschek</t>
        </is>
      </c>
      <c r="G89" s="29" t="inlineStr">
        <is>
          <t>CC BY 3.0</t>
        </is>
      </c>
      <c r="H89" s="29" t="inlineStr">
        <is>
          <t>https://creativecommons.org/licenses/by/3.0/</t>
        </is>
      </c>
      <c r="I89" s="29" t="inlineStr">
        <is>
          <t>Creative Commons Attribution 3.0</t>
        </is>
      </c>
      <c r="J89" s="29" t="inlineStr">
        <is>
          <t>Ralf Roletschek · CC BY 3.0 · Wikimedia Commons</t>
        </is>
      </c>
      <c r="K89" s="29" t="n"/>
      <c r="L89" s="49" t="n">
        <v>46317</v>
      </c>
      <c r="M89" s="29" t="inlineStr">
        <is>
          <t>Bekliyor</t>
        </is>
      </c>
      <c r="N89" s="29" t="inlineStr">
        <is>
          <t>Bekliyor</t>
        </is>
      </c>
      <c r="O89" s="29" t="inlineStr">
        <is>
          <t>Fotoğraflar/eindhoven_18-septemberplein_03.jpg</t>
        </is>
      </c>
      <c r="P89" s="29" t="inlineStr">
        <is>
          <t>Taş zeminden fışkıran fıskiyeler, arkada yayalar, bisikletliler, ağaçlar</t>
        </is>
      </c>
      <c r="Q89" s="29" t="inlineStr">
        <is>
          <t>Bekliyor</t>
        </is>
      </c>
      <c r="R89" s="29" t="inlineStr">
        <is>
          <t>Wikimedia Commons dosya sayfasındaki lisans: CC BY 3.0</t>
        </is>
      </c>
      <c r="S89" s="29" t="n"/>
      <c r="T89" s="29" t="n"/>
      <c r="U89" s="29" t="n"/>
      <c r="V89" s="29" t="n"/>
      <c r="W89" s="29" t="inlineStr">
        <is>
          <t>{"source_url": "https://commons.wikimedia.org/wiki/File:13-06-28-eindhoven-by-RalfR-18.jpg", "author": "Ralf Roletschek", "license": "CC BY 3.0", "license_url": "https://creativecommons.org/licenses/by/3.0/", "original_api_record": {"size": 8562900, "width": 2848, "height": 4288, "thumburl": "https://thumb.wikimedia.org/wikipedia/commons/thumb/4/49/13-06-28-eindhoven-by-RalfR-18.jpg/1920px-13-06-28-eindhoven-by-RalfR-18.jpg?utm_source=commons.wikimedia.org&amp;utm_campaign=imageinfo&amp;utm_content=thumbnail", "thumbwidth": 1600, "thumbheight": 2409, "responsiveUrls": {"2": "https://upload.wikimedia.org/wikipedia/commons/4/49/13-06-28-eindhoven-by-RalfR-18.jpg?utm_source=commons.wikimedia.org&amp;utm_campaign=imageinfo&amp;utm_content=thumbnail_unscaled"}, "thumbattribs": {"src": "https://thumb.wikimedia.org/wikipedia/commons/thumb/4/49/13-06-28-eindhoven-by-RalfR-18.jpg/1920px-13-06-28-eindhoven-by-RalfR-18.jpg?utm_source=commons.wikimedia.org&amp;utm_campaign=imageinfo&amp;utm_content=thumbnail", "decoding": "async", "loading": "lazy", "width": 1600, "height": 2409, "srcset": "https://upload.wikimedia.org/wikipedia/commons/4/49/13-06-28-eindhoven-by-RalfR-18.jpg?utm_source=commons.wikimedia.org&amp;utm_campaign=imageinfo&amp;utm_content=thumbnail_unscaled 2x"}, "url": "https://upload.wikimedia.org/wikipedia/commons/4/49/13-06-28-eindhoven-by-RalfR-18.jpg?utm_source=commons.wikimedia.org&amp;utm_campaign=imageinfo&amp;utm_content=original", "descriptionurl": "https://commons.wikimedia.org/wiki/File:13-06-28-eindhoven-by-RalfR-18.jpg", "descriptionshorturl": "https://commons.wikimedia.org/w/index.php?curid=26941464", "sha1": "2840ed4afdb9f26d9e6ac1d35a7c105397304015", "extmetadata": {"DateTime": {"value": "2013-06-28 20:33:25", "source": "mediawiki-metadata", "hidden": ""}, "ObjectName": {"value": "13-06-28-eindhoven-by-RalfR-18", "source": "mediawiki-metadata"}, "CommonsMetadataExtension": {"value": 1.2, "source": "extension", "hidden": ""}, "Categories": {"value": "GFDL|Taken with Nikon D300s|License migration redundant|18 Septemberplein (Eindhoven)|Self-published work|Supported by Wikimedia Deutschland|Supported by Wikimedia Österreich|Images by Ralf Roletschek/x|2013 in Eindhoven|Netherlands photographs taken on 2013-06-28|Files with coordinates missing SDC location of creation (51° N, 5° E)|Fotoaktion Robocup 2013", "source": "commons-categories", "hidden": ""}, "Assessments": {"value": "", "source": "commons-categories", "hidden": ""}, "GPSLatitude": {"value": "51.441192", "source": "commons-desc-page"}, "GPSLongitude": {"value": "5.477952", "source": "commons-desc-page"}, "GPSMapDatum": {"value": "WGS-84", "source": "commons-desc-page", "hidden": ""}, "ImageDescription": {"value": "Eindhoven, Niederlande, Stadtzentrum", "source": "commons-desc-page"}, "DateTimeOriginal": {"value": "2013-06-28 15:19:51",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"https://thumb.wikimedia.org/wikipedia/commons/thumb/4/49/13-06-28-eindhoven-by-RalfR-18.jpg/1280px-13-06-28-eindhoven-by-RalfR-18.jpg"}, "retrieved_on": "2026-10-23"}</t>
        </is>
      </c>
    </row>
    <row r="90" ht="54" customHeight="1">
      <c r="A90" s="29" t="inlineStr">
        <is>
          <t>eindhoven:evidence:eindhoven-centraal-01</t>
        </is>
      </c>
      <c r="B90" s="29" t="inlineStr">
        <is>
          <t>eindhoven</t>
        </is>
      </c>
      <c r="C90" s="29" t="inlineStr">
        <is>
          <t>eindhoven:photo:eindhoven-centraal-01</t>
        </is>
      </c>
      <c r="D90" s="29" t="inlineStr">
        <is>
          <t>https://commons.wikimedia.org/wiki/File:Centraal_Station_Eindhoven_-_Centrum_1803-100.jpg</t>
        </is>
      </c>
      <c r="E90" s="29" t="inlineStr">
        <is>
          <t>File:Centraal Station Eindhoven - Centrum 1803-100.jpg</t>
        </is>
      </c>
      <c r="F90" s="29" t="inlineStr">
        <is>
          <t>Jan Geerling</t>
        </is>
      </c>
      <c r="G90" s="29" t="inlineStr">
        <is>
          <t>CC BY-SA 4.0</t>
        </is>
      </c>
      <c r="H90" s="29" t="inlineStr">
        <is>
          <t>https://creativecommons.org/licenses/by-sa/4.0/</t>
        </is>
      </c>
      <c r="I90" s="29" t="inlineStr">
        <is>
          <t>Creative Commons Attribution-Share Alike 4.0</t>
        </is>
      </c>
      <c r="J90" s="29" t="inlineStr">
        <is>
          <t>Jan Geerling · CC BY-SA 4.0 · Wikimedia Commons</t>
        </is>
      </c>
      <c r="K90" s="29" t="n"/>
      <c r="L90" s="49" t="n">
        <v>46317</v>
      </c>
      <c r="M90" s="29" t="inlineStr">
        <is>
          <t>Bekliyor</t>
        </is>
      </c>
      <c r="N90" s="29" t="inlineStr">
        <is>
          <t>Bekliyor</t>
        </is>
      </c>
      <c r="O90" s="29" t="inlineStr">
        <is>
          <t>Fotoğraflar/eindhoven_eindhoven-centraal_01.jpg</t>
        </is>
      </c>
      <c r="P90" s="29" t="inlineStr">
        <is>
          <t>Uzun cam cepheli istasyon binası, çatıda tabela, önde geniş alan</t>
        </is>
      </c>
      <c r="Q90" s="29" t="inlineStr">
        <is>
          <t>Bekliyor</t>
        </is>
      </c>
      <c r="R90" s="29" t="inlineStr">
        <is>
          <t>Wikimedia Commons dosya sayfasındaki lisans: CC BY-SA 4.0</t>
        </is>
      </c>
      <c r="S90" s="29" t="n"/>
      <c r="T90" s="29" t="n"/>
      <c r="U90" s="29" t="n"/>
      <c r="V90" s="29" t="n"/>
      <c r="W90" s="29" t="inlineStr">
        <is>
          <t>{"source_url": "https://commons.wikimedia.org/wiki/File:Centraal_Station_Eindhoven_-_Centrum_1803-100.jpg", "author": "Jan Geerling", "license": "CC BY-SA 4.0", "license_url": "https://creativecommons.org/licenses/by-sa/4.0/", "original_api_record": {"size": 2156275, "width": 4359, "height": 2452, "thumburl": "https://thumb.wikimedia.org/wikipedia/commons/thumb/0/01/Centraal_Station_Eindhoven_-_Centrum_1803-100.jpg/1920px-Centraal_Station_Eindhoven_-_Centrum_1803-100.jpg?utm_source=commons.wikimedia.org&amp;utm_campaign=imageinfo&amp;utm_content=thumbnail", "thumbwidth": 1600, "thumbheight": 900, "responsiveUrls": {"2": "https://thumb.wikimedia.org/wikipedia/commons/thumb/0/01/Centraal_Station_Eindhoven_-_Centrum_1803-100.jpg/3840px-Centraal_Station_Eindhoven_-_Centrum_1803-100.jpg?utm_source=commons.wikimedia.org&amp;utm_campaign=imageinfo&amp;utm_content=thumbnail"}, "thumbattribs": {"src": "https://thumb.wikimedia.org/wikipedia/commons/thumb/0/01/Centraal_Station_Eindhoven_-_Centrum_1803-100.jpg/1920px-Centraal_Station_Eindhoven_-_Centrum_1803-100.jpg?utm_source=commons.wikimedia.org&amp;utm_campaign=imageinfo&amp;utm_content=thumbnail", "decoding": "async", "loading": "lazy", "width": 1600, "height": 900, "srcset": "https://thumb.wikimedia.org/wikipedia/commons/thumb/0/01/Centraal_Station_Eindhoven_-_Centrum_1803-100.jpg/3840px-Centraal_Station_Eindhoven_-_Centrum_1803-100.jpg?utm_source=commons.wikimedia.org&amp;utm_campaign=imageinfo&amp;utm_content=thumbnail 2x"}, "url": "https://upload.wikimedia.org/wikipedia/commons/0/01/Centraal_Station_Eindhoven_-_Centrum_1803-100.jpg?utm_source=commons.wikimedia.org&amp;utm_campaign=imageinfo&amp;utm_content=original", "descriptionurl": "https://commons.wikimedia.org/wiki/File:Centraal_Station_Eindhoven_-_Centrum_1803-100.jpg", "descriptionshorturl": "https://commons.wikimedia.org/w/index.php?curid=103741354", "sha1": "98672d8d33a35bf26d7bba3a0ff381b1e469c43e", "extmetadata": {"DateTime": {"value": "2021-04-16 08:32:58", "source": "mediawiki-metadata", "hidden": ""}, "ObjectName": {"value": "Centraal Station Eindhoven - Centrum 1803-100", "source": "mediawiki-metadata"}, "CommonsMetadataExtension": {"value": 1.2, "source": "extension", "hidden": ""}, "Categories": {"value": "Stationsplein (Eindhoven)|Eindhoven Central station|Uploaded with pattypan|Files with coordinates missing SDC location of creation (51° N, 5° E)|Photographs by Jan Geerling contributed in 2021|Photographs by Jan Geerling in Eindhoven", "source": "commons-categories", "hidden": ""}, "Assessments": {"value": "", "source": "commons-categories", "hidden": ""}, "GPSLatitude": {"value": "51.441734", "source": "commons-desc-page"}, "GPSLongitude": {"value": "5.479656", "source": "commons-desc-page"}, "GPSMapDatum": {"value": "WGS-84", "source": "commons-desc-page", "hidden": ""}, "Artist": {"value": "&lt;bdi&gt;&lt;a href=\"https://www.wikidata.org/wiki/Q88378993\" class=\"extiw\" title=\"d:Q88378993\"&gt;&lt;span title=\"Dutch photographer\"&gt;Jan Geerling&lt;/span&gt;&lt;/a&gt;&lt;/bdi&gt;", "source": "commons-desc-page"}, "ImageDescription": {"value": "Centraal Station.", "source": "commons-desc-page"}, "DateTimeOriginal": {"value": "Tue Mar 20 15:27:00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"https://thumb.wikimedia.org/wikipedia/commons/thumb/0/01/Centraal_Station_Eindhoven_-_Centrum_1803-100.jpg/1280px-Centraal_Station_Eindhoven_-_Centrum_1803-100.jpg"}, "retrieved_on": "2026-10-23"}</t>
        </is>
      </c>
    </row>
    <row r="91" ht="54" customHeight="1">
      <c r="A91" s="29" t="inlineStr">
        <is>
          <t>eindhoven:evidence:eindhoven-centraal-02</t>
        </is>
      </c>
      <c r="B91" s="29" t="inlineStr">
        <is>
          <t>eindhoven</t>
        </is>
      </c>
      <c r="C91" s="29" t="inlineStr">
        <is>
          <t>eindhoven:photo:eindhoven-centraal-02</t>
        </is>
      </c>
      <c r="D91" s="29" t="inlineStr">
        <is>
          <t>https://commons.wikimedia.org/wiki/File:Centraal_Station_Eindhoven_-_Centrum_1803-99.jpg</t>
        </is>
      </c>
      <c r="E91" s="29" t="inlineStr">
        <is>
          <t>File:Centraal Station Eindhoven - Centrum 1803-99.jpg</t>
        </is>
      </c>
      <c r="F91" s="29" t="inlineStr">
        <is>
          <t>Jan Geerling</t>
        </is>
      </c>
      <c r="G91" s="29" t="inlineStr">
        <is>
          <t>CC BY-SA 4.0</t>
        </is>
      </c>
      <c r="H91" s="29" t="inlineStr">
        <is>
          <t>https://creativecommons.org/licenses/by-sa/4.0/</t>
        </is>
      </c>
      <c r="I91" s="29" t="inlineStr">
        <is>
          <t>Creative Commons Attribution-Share Alike 4.0</t>
        </is>
      </c>
      <c r="J91" s="29" t="inlineStr">
        <is>
          <t>Jan Geerling · CC BY-SA 4.0 · Wikimedia Commons</t>
        </is>
      </c>
      <c r="K91" s="29" t="n"/>
      <c r="L91" s="49" t="n">
        <v>46317</v>
      </c>
      <c r="M91" s="29" t="inlineStr">
        <is>
          <t>Bekliyor</t>
        </is>
      </c>
      <c r="N91" s="29" t="inlineStr">
        <is>
          <t>Bekliyor</t>
        </is>
      </c>
      <c r="O91" s="29" t="inlineStr">
        <is>
          <t>Fotoğraflar/eindhoven_eindhoven-centraal_02.jpg</t>
        </is>
      </c>
      <c r="P91" s="29" t="inlineStr">
        <is>
          <t>Beton saat kulesi, saatli cam cepheli giriş, yolcular</t>
        </is>
      </c>
      <c r="Q91" s="29" t="inlineStr">
        <is>
          <t>Bekliyor</t>
        </is>
      </c>
      <c r="R91" s="29" t="inlineStr">
        <is>
          <t>Wikimedia Commons dosya sayfasındaki lisans: CC BY-SA 4.0</t>
        </is>
      </c>
      <c r="S91" s="29" t="n"/>
      <c r="T91" s="29" t="n"/>
      <c r="U91" s="29" t="n"/>
      <c r="V91" s="29" t="n"/>
      <c r="W91" s="29" t="inlineStr">
        <is>
          <t>{"source_url": "https://commons.wikimedia.org/wiki/File:Centraal_Station_Eindhoven_-_Centrum_1803-99.jpg", "author": "Jan Geerling", "license": "CC BY-SA 4.0", "license_url": "https://creativecommons.org/licenses/by-sa/4.0/", "original_api_record": {"size": 1918250, "width": 3468, "height": 3468, "thumburl": "https://thumb.wikimedia.org/wikipedia/commons/thumb/e/ef/Centraal_Station_Eindhoven_-_Centrum_1803-99.jpg/1920px-Centraal_Station_Eindhoven_-_Centrum_1803-99.jpg?utm_source=commons.wikimedia.org&amp;utm_campaign=imageinfo&amp;utm_content=thumbnail", "thumbwidth": 1600, "thumbheight": 1600, "responsiveUrls": {"2": "https://upload.wikimedia.org/wikipedia/commons/e/ef/Centraal_Station_Eindhoven_-_Centrum_1803-99.jpg?utm_source=commons.wikimedia.org&amp;utm_campaign=imageinfo&amp;utm_content=thumbnail_unscaled"}, "thumbattribs": {"src": "https://thumb.wikimedia.org/wikipedia/commons/thumb/e/ef/Centraal_Station_Eindhoven_-_Centrum_1803-99.jpg/1920px-Centraal_Station_Eindhoven_-_Centrum_1803-99.jpg?utm_source=commons.wikimedia.org&amp;utm_campaign=imageinfo&amp;utm_content=thumbnail", "decoding": "async", "loading": "lazy", "width": 1600, "height": 1600, "srcset": "https://upload.wikimedia.org/wikipedia/commons/e/ef/Centraal_Station_Eindhoven_-_Centrum_1803-99.jpg?utm_source=commons.wikimedia.org&amp;utm_campaign=imageinfo&amp;utm_content=thumbnail_unscaled 2x"}, "url": "https://upload.wikimedia.org/wikipedia/commons/e/ef/Centraal_Station_Eindhoven_-_Centrum_1803-99.jpg?utm_source=commons.wikimedia.org&amp;utm_campaign=imageinfo&amp;utm_content=original", "descriptionurl": "https://commons.wikimedia.org/wiki/File:Centraal_Station_Eindhoven_-_Centrum_1803-99.jpg", "descriptionshorturl": "https://commons.wikimedia.org/w/index.php?curid=103741317", "sha1": "5a502bc68defdb93a6076081f8060a3d6c954f1e", "extmetadata": {"DateTime": {"value": "2021-04-16 08:32:28", "source": "mediawiki-metadata", "hidden": ""}, "ObjectName": {"value": "Centraal Station Eindhoven - Centrum 1803-99", "source": "mediawiki-metadata"}, "CommonsMetadataExtension": {"value": 1.2, "source": "extension", "hidden": ""}, "Categories": {"value": "Stationsplein (Eindhoven)|Eindhoven Central station|Uploaded with pattypan|Files with coordinates missing SDC location of creation (51° N, 5° E)|Photographs by Jan Geerling contributed in 2021|Photographs by Jan Geerling in Eindhoven", "source": "commons-categories", "hidden": ""}, "Assessments": {"value": "", "source": "commons-categories", "hidden": ""}, "GPSLatitude": {"value": "51.440929", "source": "commons-desc-page"}, "GPSLongitude": {"value": "5.480102", "source": "commons-desc-page"}, "GPSMapDatum": {"value": "WGS-84", "source": "commons-desc-page", "hidden": ""}, "Artist": {"value": "&lt;bdi&gt;&lt;a href=\"https://www.wikidata.org/wiki/Q88378993\" class=\"extiw\" title=\"d:Q88378993\"&gt;&lt;span title=\"Dutch photographer\"&gt;Jan Geerling&lt;/span&gt;&lt;/a&gt;&lt;/bdi&gt;", "source": "commons-desc-page"}, "ImageDescription": {"value": "Centraal Station.", "source": "commons-desc-page"}, "DateTimeOriginal": {"value": "Tue Mar 20 15:25:00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"https://thumb.wikimedia.org/wikipedia/commons/thumb/e/ef/Centraal_Station_Eindhoven_-_Centrum_1803-99.jpg/1280px-Centraal_Station_Eindhoven_-_Centrum_1803-99.jpg"}, "retrieved_on": "2026-10-23"}</t>
        </is>
      </c>
    </row>
    <row r="92" ht="54" customHeight="1">
      <c r="A92" s="29" t="inlineStr">
        <is>
          <t>eindhoven:evidence:eindhoven-centraal-03</t>
        </is>
      </c>
      <c r="B92" s="29" t="inlineStr">
        <is>
          <t>eindhoven</t>
        </is>
      </c>
      <c r="C92" s="29" t="inlineStr">
        <is>
          <t>eindhoven:photo:eindhoven-centraal-03</t>
        </is>
      </c>
      <c r="D92" s="29" t="inlineStr">
        <is>
          <t>https://commons.wikimedia.org/wiki/File:Station_Eindhoven_Centraal_(2023).jpg</t>
        </is>
      </c>
      <c r="E92" s="29" t="inlineStr">
        <is>
          <t>File:Station Eindhoven Centraal (2023).jpg</t>
        </is>
      </c>
      <c r="F92" s="29" t="inlineStr">
        <is>
          <t>Sneeuwvlakte</t>
        </is>
      </c>
      <c r="G92" s="29" t="inlineStr">
        <is>
          <t>CC BY-SA 4.0</t>
        </is>
      </c>
      <c r="H92" s="29" t="inlineStr">
        <is>
          <t>https://creativecommons.org/licenses/by-sa/4.0/</t>
        </is>
      </c>
      <c r="I92" s="29" t="inlineStr">
        <is>
          <t>Creative Commons Attribution-Share Alike 4.0</t>
        </is>
      </c>
      <c r="J92" s="29" t="inlineStr">
        <is>
          <t>Sneeuwvlakte · CC BY-SA 4.0 · Wikimedia Commons</t>
        </is>
      </c>
      <c r="K92" s="29" t="n"/>
      <c r="L92" s="49" t="n">
        <v>46317</v>
      </c>
      <c r="M92" s="29" t="inlineStr">
        <is>
          <t>Bekliyor</t>
        </is>
      </c>
      <c r="N92" s="29" t="inlineStr">
        <is>
          <t>Bekliyor</t>
        </is>
      </c>
      <c r="O92" s="29" t="inlineStr">
        <is>
          <t>Fotoğraflar/eindhoven_eindhoven-centraal_03.jpg</t>
        </is>
      </c>
      <c r="P92" s="29" t="inlineStr">
        <is>
          <t>Meydan karşısından istasyon binası, ince kule, arkada yüksek bina, önde scooterlar</t>
        </is>
      </c>
      <c r="Q92" s="29" t="inlineStr">
        <is>
          <t>Bekliyor</t>
        </is>
      </c>
      <c r="R92" s="29" t="inlineStr">
        <is>
          <t>Wikimedia Commons dosya sayfasındaki lisans: CC BY-SA 4.0</t>
        </is>
      </c>
      <c r="S92" s="29" t="n"/>
      <c r="T92" s="29" t="n"/>
      <c r="U92" s="29" t="n"/>
      <c r="V92" s="29" t="n"/>
      <c r="W92" s="29" t="inlineStr">
        <is>
          <t>{"source_url": "https://commons.wikimedia.org/wiki/File:Station_Eindhoven_Centraal_(2023).jpg", "author": "Sneeuwvlakte", "license": "CC BY-SA 4.0", "license_url": "https://creativecommons.org/licenses/by-sa/4.0/", "original_api_record": {"size": 3415879, "width": 4608, "height": 2592, "thumburl": "https://thumb.wikimedia.org/wikipedia/commons/thumb/8/87/Station_Eindhoven_Centraal_%282023%29.jpg/1920px-Station_Eindhoven_Centraal_%282023%29.jpg?utm_source=commons.wikimedia.org&amp;utm_campaign=imageinfo&amp;utm_content=thumbnail", "thumbwidth": 1600, "thumbheight": 900, "responsiveUrls": {"2": "https://thumb.wikimedia.org/wikipedia/commons/thumb/8/87/Station_Eindhoven_Centraal_%282023%29.jpg/3840px-Station_Eindhoven_Centraal_%282023%29.jpg?utm_source=commons.wikimedia.org&amp;utm_campaign=imageinfo&amp;utm_content=thumbnail"}, "thumbattribs": {"src": "https://thumb.wikimedia.org/wikipedia/commons/thumb/8/87/Station_Eindhoven_Centraal_%282023%29.jpg/1920px-Station_Eindhoven_Centraal_%282023%29.jpg?utm_source=commons.wikimedia.org&amp;utm_campaign=imageinfo&amp;utm_content=thumbnail", "decoding": "async", "loading": "lazy", "width": 1600, "height": 900, "srcset": "https://thumb.wikimedia.org/wikipedia/commons/thumb/8/87/Station_Eindhoven_Centraal_%282023%29.jpg/3840px-Station_Eindhoven_Centraal_%282023%29.jpg?utm_source=commons.wikimedia.org&amp;utm_campaign=imageinfo&amp;utm_content=thumbnail 2x"}, "url": "https://upload.wikimedia.org/wikipedia/commons/8/87/Station_Eindhoven_Centraal_%282023%29.jpg?utm_source=commons.wikimedia.org&amp;utm_campaign=imageinfo&amp;utm_content=original", "descriptionurl": "https://commons.wikimedia.org/wiki/File:Station_Eindhoven_Centraal_(2023).jpg", "descriptionshorturl": "https://commons.wikimedia.org/w/index.php?curid=139703927", "sha1": "d80b5926373c34721576ee593eebab25f3d07012", "extmetadata": {"DateTime": {"value": "2023-10-28 15:38:04", "source": "mediawiki-metadata", "hidden": ""}, "ObjectName": {"value": "Station Eindhoven Centraal (2023)", "source": "mediawiki-metadata"}, "CommonsMetadataExtension": {"value": 1.2, "source": "extension", "hidden": ""}, "Categories": {"value": "Eindhoven Central station|Self-published work|Netherlands photographs taken on 2023-10-28|October 2023 in rail transport in the Netherlands|Train stations in the Netherlands photographed in 2023|Station buildings in the Netherlands|2023 in Eindhoven|Railway photographs taken on 2023-10-28", "source": "commons-categories", "hidden": ""}, "Assessments": {"value": "", "source": "commons-categories", "hidden": ""}, "ImageDescription": {"value": "Front side of Eindhoven Central station.", "source": "commons-desc-page"}, "DateTimeOriginal": {"value": "2023-10-28 12:15:47", "source": "commons-desc-page"}, "Credit": {"value": "&lt;span class=\"int-own-work\" lang=\"en\"&gt;Own work&lt;/span&gt;", "source": "commons-desc-page"}, "Artist": {"value": "&lt;a href=\"//commons.wikimedia.org/wiki/User:Sneeuwvlakte\" title=\"User:Sneeuwvlakte\"&gt;Sneeuwvlakte&lt;/a&gt;",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"https://thumb.wikimedia.org/wikipedia/commons/thumb/8/87/Station_Eindhoven_Centraal_%282023%29.jpg/1280px-Station_Eindhoven_Centraal_%282023%29.jpg"}, "retrieved_on": "2026-10-23"}</t>
        </is>
      </c>
    </row>
    <row r="93" ht="54" customHeight="1">
      <c r="A93" s="29" t="inlineStr">
        <is>
          <t>eindhoven:evidence:huize-de-laak-01</t>
        </is>
      </c>
      <c r="B93" s="29" t="inlineStr">
        <is>
          <t>eindhoven</t>
        </is>
      </c>
      <c r="C93" s="29" t="inlineStr">
        <is>
          <t>eindhoven:photo:huize-de-laak-01</t>
        </is>
      </c>
      <c r="D93" s="29" t="inlineStr">
        <is>
          <t>https://commons.wikimedia.org/wiki/File:De_Laak_2012-09-20_15-05-20.jpg</t>
        </is>
      </c>
      <c r="E93" s="29" t="inlineStr">
        <is>
          <t>File:De Laak 2012-09-20 15-05-20.jpg</t>
        </is>
      </c>
      <c r="F93" s="29" t="inlineStr">
        <is>
          <t>VriendHuug</t>
        </is>
      </c>
      <c r="G93" s="29" t="inlineStr">
        <is>
          <t>CC BY-SA 3.0 nl</t>
        </is>
      </c>
      <c r="H93" s="29" t="inlineStr">
        <is>
          <t>https://creativecommons.org/licenses/by-sa/3.0/nl/deed.en/</t>
        </is>
      </c>
      <c r="I93" s="29" t="inlineStr">
        <is>
          <t>Creative Commons Attribution-Share Alike 3.0 nl</t>
        </is>
      </c>
      <c r="J93" s="29" t="inlineStr">
        <is>
          <t>VriendHuug · CC BY-SA 3.0 nl · Wikimedia Commons</t>
        </is>
      </c>
      <c r="K93" s="29" t="n"/>
      <c r="L93" s="49" t="n">
        <v>46317</v>
      </c>
      <c r="M93" s="29" t="inlineStr">
        <is>
          <t>Bekliyor</t>
        </is>
      </c>
      <c r="N93" s="29" t="inlineStr">
        <is>
          <t>Bekliyor</t>
        </is>
      </c>
      <c r="O93" s="29" t="inlineStr">
        <is>
          <t>Fotoğraflar/eindhoven_huize-de-laak_01.jpg</t>
        </is>
      </c>
      <c r="P93" s="29" t="inlineStr">
        <is>
          <t>Geniş çimenlik ardında tuğla villa, teras şemsiyeleri, ağaçlar</t>
        </is>
      </c>
      <c r="Q93" s="29" t="inlineStr">
        <is>
          <t>Bekliyor</t>
        </is>
      </c>
      <c r="R93" s="29" t="inlineStr">
        <is>
          <t>Wikimedia Commons dosya sayfasındaki lisans: CC BY-SA 3.0 nl</t>
        </is>
      </c>
      <c r="S93" s="29" t="n"/>
      <c r="T93" s="29" t="n"/>
      <c r="U93" s="29" t="n"/>
      <c r="V93" s="29" t="n"/>
      <c r="W93" s="29" t="inlineStr">
        <is>
          <t>{"source_url": "https://commons.wikimedia.org/wiki/File:De_Laak_2012-09-20_15-05-20.jpg", "author": "VriendHuug", "license": "CC BY-SA 3.0 nl", "license_url": "https://creativecommons.org/licenses/by-sa/3.0/nl/deed.en/", "original_api_record": {"size": 2166505, "width": 2592, "height": 1944, "thumburl": "https://thumb.wikimedia.org/wikipedia/commons/thumb/1/16/De_Laak_2012-09-20_15-05-20.jpg/1920px-De_Laak_2012-09-20_15-05-20.jpg?utm_source=commons.wikimedia.org&amp;utm_campaign=imageinfo&amp;utm_content=thumbnail", "thumbwidth": 1600, "thumbheight": 1200, "responsiveUrls": {"2": "https://upload.wikimedia.org/wikipedia/commons/1/16/De_Laak_2012-09-20_15-05-20.jpg?utm_source=commons.wikimedia.org&amp;utm_campaign=imageinfo&amp;utm_content=thumbnail_unscaled"}, "thumbattribs": {"src": "https://thumb.wikimedia.org/wikipedia/commons/thumb/1/16/De_Laak_2012-09-20_15-05-20.jpg/1920px-De_Laak_2012-09-20_15-05-20.jpg?utm_source=commons.wikimedia.org&amp;utm_campaign=imageinfo&amp;utm_content=thumbnail", "decoding": "async", "loading": "lazy", "width": 1600, "height": 1200, "srcset": "https://upload.wikimedia.org/wikipedia/commons/1/16/De_Laak_2012-09-20_15-05-20.jpg?utm_source=commons.wikimedia.org&amp;utm_campaign=imageinfo&amp;utm_content=thumbnail_unscaled 2x"}, "url": "https://upload.wikimedia.org/wikipedia/commons/1/16/De_Laak_2012-09-20_15-05-20.jpg?utm_source=commons.wikimedia.org&amp;utm_campaign=imageinfo&amp;utm_content=original", "descriptionurl": "https://commons.wikimedia.org/wiki/File:De_Laak_2012-09-20_15-05-20.jpg", "descriptionshorturl": "https://commons.wikimedia.org/w/index.php?curid=21483590", "sha1": "1d6b3f4fe6337235fe141d37a91176e94ce51d25", "extmetadata": {"DateTime": {"value": "2012-09-20 13:09:12", "source": "mediawiki-metadata", "hidden": ""}, "ObjectName": {"value": "De Laak 2012-09-20 15-05-20", "source": "mediawiki-metadata"}, "CommonsMetadataExtension": {"value": 1.2, "source": "extension", "hidden": ""}, "Categories": {"value": "Taken with Galaxy Nexus|Self-published work|Rijksmonumenten with known IDs|Images from Wiki Loves Monuments 2012|Images from Wiki Loves Monuments 2012 in the Netherlands|Uploaded with Android WLM App|Netherlands photographs taken on 2012-09-20|Mobile to desktop upload|Huize De Laak, manufacturer's villa", "source": "commons-categories", "hidden": ""}, "Assessments": {"value": "", "source": "commons-categories", "hidden": ""}, "GPSLatitude": {"value": "51.441090", "source": "commons-desc-page"}, "GPSLongitude": {"value": "5.486320", "source": "commons-desc-page"}, "GPSMapDatum": {"value": "WGS-84", "source": "commons-desc-page", "hidden": ""}, "ImageDescription": {"value": "De Laak", "source": "commons-desc-page"}, "DateTimeOriginal": {"value": "2012-09-20", "source": "commons-desc-page"}, "Credit": {"value": "&lt;p&gt;&lt;span class=\"int-own-work\" lang=\"en\"&gt;Own work&lt;/span&gt;\n&lt;/p&gt;\n&lt;div dir=\"ltr\"&gt;\n&lt;table cellspacing=\"0\" style=\"min-width:40em; color:#000; background:#ddd; border:1px solid #bbb; margin:.1em;\" class=\"layouttemplate\"&gt;\n&lt;tbody&gt;&lt;tr&gt;\n&lt;td style=\"width:1.2em;height:1.2em;padding:.2em\"&gt;&lt;span typeof=\"mw:File\"&gt;&lt;a href=\"//commons.wikimedia.org/wiki/File:Wiki_Loves_Monuments_Logo_notext.svg\" class=\"mw-file-description\"&gt;&lt;img src=\"https://thumb.wikimedia.org/wikipedia/commons/thumb/c/ca/Wiki_Loves_Monuments_Logo_notext.svg/40px-Wiki_Loves_Monuments_Logo_notext.svg.png?utm_source=commons.wikimedia.org&amp;amp;utm_campaign=parser&amp;amp;utm_content=thumbnail\" decoding=\"async\" loading=\"lazy\" width=\"32\" height=\"29\" class=\"mw-file-element\" srcset=\"https://thumb.wikimedia.org/wikipedia/commons/thumb/c/ca/Wiki_Loves_Monuments_Logo_notext.svg/120px-Wiki_Loves_Monuments_Logo_notext.svg.png?utm_source=commons.wikimedia.org&amp;amp;utm_campaign=parser&amp;amp;utm_content=thumbnail 2x\" data-file-width=\"352\" data-file-height=\"320\"&gt;&lt;/a&gt;&lt;/span&gt;\n&lt;/td&gt;\n&lt;td style=\"font-size:.85em; padding:.2em; vertical-align:middle\"&gt;This photo was uploaded with &lt;a href=\"https://www.mediawiki.org/wiki/Wiki_Loves_Monuments_mobile_application\" class=\"extiw\" title=\"mw:Wiki Loves Monuments mobile application\"&gt;Wiki Loves Monuments mobile&lt;/a&gt; 1.2.3-1 (Android).\n&lt;/td&gt;&lt;/tr&gt;&lt;/tbody&gt;&lt;/table&gt;&lt;/div&gt;", "source": "commons-desc-page"}, "Artist": {"value": "&lt;a href=\"//commons.wikimedia.org/w/index.php?title=User:VriendHuug&amp;amp;action=edit&amp;amp;redlink=1\" class=\"new\" title=\"User:VriendHuug (page does not exist)\"&gt;VriendHuug&lt;/a&gt;",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"https://thumb.wikimedia.org/wikipedia/commons/thumb/1/16/De_Laak_2012-09-20_15-05-20.jpg/1280px-De_Laak_2012-09-20_15-05-20.jpg"}, "retrieved_on": "2026-10-23"}</t>
        </is>
      </c>
    </row>
    <row r="94" ht="54" customHeight="1">
      <c r="A94" s="29" t="inlineStr">
        <is>
          <t>eindhoven:evidence:huize-de-laak-02</t>
        </is>
      </c>
      <c r="B94" s="29" t="inlineStr">
        <is>
          <t>eindhoven</t>
        </is>
      </c>
      <c r="C94" s="29" t="inlineStr">
        <is>
          <t>eindhoven:photo:huize-de-laak-02</t>
        </is>
      </c>
      <c r="D94" s="29" t="inlineStr">
        <is>
          <t>https://commons.wikimedia.org/wiki/File:DeLaakEindhoven_licht_Rijksmonument518761.jpg</t>
        </is>
      </c>
      <c r="E94" s="29" t="inlineStr">
        <is>
          <t>File:DeLaakEindhoven licht Rijksmonument518761.jpg</t>
        </is>
      </c>
      <c r="F94" s="29" t="inlineStr">
        <is>
          <t>Mark Bergsma</t>
        </is>
      </c>
      <c r="G94" s="29" t="inlineStr">
        <is>
          <t>CC BY-SA 3.0</t>
        </is>
      </c>
      <c r="H94" s="29" t="inlineStr">
        <is>
          <t>https://creativecommons.org/licenses/by-sa/3.0/</t>
        </is>
      </c>
      <c r="I94" s="29" t="inlineStr">
        <is>
          <t>Creative Commons Attribution-Share Alike 3.0</t>
        </is>
      </c>
      <c r="J94" s="29" t="inlineStr">
        <is>
          <t>Mark Bergsma · CC BY-SA 3.0 · Wikimedia Commons</t>
        </is>
      </c>
      <c r="K94" s="29" t="n"/>
      <c r="L94" s="49" t="n">
        <v>46317</v>
      </c>
      <c r="M94" s="29" t="inlineStr">
        <is>
          <t>Bekliyor</t>
        </is>
      </c>
      <c r="N94" s="29" t="inlineStr">
        <is>
          <t>Bekliyor</t>
        </is>
      </c>
      <c r="O94" s="29" t="inlineStr">
        <is>
          <t>Fotoğraflar/eindhoven_huize-de-laak_02.jpg</t>
        </is>
      </c>
      <c r="P94" s="29" t="inlineStr">
        <is>
          <t>Ağaçlar arasında simetrik tuğla villa, çimenlik, saksıda palmiye</t>
        </is>
      </c>
      <c r="Q94" s="29" t="inlineStr">
        <is>
          <t>Bekliyor</t>
        </is>
      </c>
      <c r="R94" s="29" t="inlineStr">
        <is>
          <t>Wikimedia Commons dosya sayfasındaki lisans: CC BY-SA 3.0</t>
        </is>
      </c>
      <c r="S94" s="29" t="n"/>
      <c r="T94" s="29" t="n"/>
      <c r="U94" s="29" t="n"/>
      <c r="V94" s="29" t="n"/>
      <c r="W94" s="29" t="inlineStr">
        <is>
          <t>{"source_url": "https://commons.wikimedia.org/wiki/File:DeLaakEindhoven_licht_Rijksmonument518761.jpg", "author": "Mark Bergsma", "license": "CC BY-SA 3.0", "license_url": "https://creativecommons.org/licenses/by-sa/3.0/", "original_api_record": {"size": 4602819, "width": 3968, "height": 2232, "thumburl": "https://thumb.wikimedia.org/wikipedia/commons/thumb/4/45/DeLaakEindhoven_licht_Rijksmonument518761.jpg/1920px-DeLaakEindhoven_licht_Rijksmonument518761.jpg?utm_source=commons.wikimedia.org&amp;utm_campaign=imageinfo&amp;utm_content=thumbnail", "thumbwidth": 1600, "thumbheight": 900, "responsiveUrls": {"2": "https://thumb.wikimedia.org/wikipedia/commons/thumb/4/45/DeLaakEindhoven_licht_Rijksmonument518761.jpg/3840px-DeLaakEindhoven_licht_Rijksmonument518761.jpg?utm_source=commons.wikimedia.org&amp;utm_campaign=imageinfo&amp;utm_content=thumbnail"}, "thumbattribs": {"src": "https://thumb.wikimedia.org/wikipedia/commons/thumb/4/45/DeLaakEindhoven_licht_Rijksmonument518761.jpg/1920px-DeLaakEindhoven_licht_Rijksmonument518761.jpg?utm_source=commons.wikimedia.org&amp;utm_campaign=imageinfo&amp;utm_content=thumbnail", "decoding": "async", "loading": "lazy", "width": 1600, "height": 900, "srcset": "https://thumb.wikimedia.org/wikipedia/commons/thumb/4/45/DeLaakEindhoven_licht_Rijksmonument518761.jpg/3840px-DeLaakEindhoven_licht_Rijksmonument518761.jpg?utm_source=commons.wikimedia.org&amp;utm_campaign=imageinfo&amp;utm_content=thumbnail 2x"}, "url": "https://upload.wikimedia.org/wikipedia/commons/4/45/DeLaakEindhoven_licht_Rijksmonument518761.jpg?utm_source=commons.wikimedia.org&amp;utm_campaign=imageinfo&amp;utm_content=original", "descriptionurl": "https://commons.wikimedia.org/wiki/File:DeLaakEindhoven_licht_Rijksmonument518761.jpg", "descriptionshorturl": "https://commons.wikimedia.org/w/index.php?curid=7857672", "sha1": "c6e510be246aef8ca9cce679bc6eb6c66d20b0a8", "extmetadata": {"DateTime": {"value": "2009-09-20 19:34:22", "source": "mediawiki-metadata", "hidden": ""}, "ObjectName": {"value": "DeLaakEindhoven licht Rijksmonument518761", "source": "mediawiki-metadata"}, "CommonsMetadataExtension": {"value": 1.2, "source": "extension", "hidden": ""}, "Categories": {"value": "GFDL|Taken with Panasonic Lumix DMC-LX3|License migration redundant|Self-published work|Rijksmonumenten with known IDs|Huize De Laak, manufacturer's villa", "source": "commons-categories", "hidden": ""}, "Assessments": {"value": "", "source": "commons-categories", "hidden": ""}, "GPSLatitude": {"value": "51.441096", "source": "commons-desc-page"}, "GPSLongitude": {"value": "5.486329", "source": "commons-desc-page"}, "GPSMapDatum": {"value": "WGS-84", "source": "commons-desc-page", "hidden": ""}, "ImageDescription": {"value": "Villa De Laak bij daglicht, Nederlands rijksmonument nr. 518761", "source": "commons-desc-page"}, "DateTimeOriginal": {"value": "2009-09-20",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"https://thumb.wikimedia.org/wikipedia/commons/thumb/4/45/DeLaakEindhoven_licht_Rijksmonument518761.jpg/1280px-DeLaakEindhoven_licht_Rijksmonument518761.jpg"}, "retrieved_on": "2026-10-23"}</t>
        </is>
      </c>
    </row>
    <row r="95" ht="54" customHeight="1">
      <c r="A95" s="29" t="inlineStr">
        <is>
          <t>eindhoven:evidence:philipsdorp-01</t>
        </is>
      </c>
      <c r="B95" s="29" t="inlineStr">
        <is>
          <t>eindhoven</t>
        </is>
      </c>
      <c r="C95" s="29" t="inlineStr">
        <is>
          <t>eindhoven:photo:philipsdorp-01</t>
        </is>
      </c>
      <c r="D95" s="29" t="inlineStr">
        <is>
          <t>https://commons.wikimedia.org/wiki/File:Achterpad_Keerweerstraat_Eindhoven-_Philipsdorp_1509-123.jpg</t>
        </is>
      </c>
      <c r="E95" s="29" t="inlineStr">
        <is>
          <t>File:Achterpad Keerweerstraat Eindhoven- Philipsdorp 1509-123.jpg</t>
        </is>
      </c>
      <c r="F95" s="29" t="inlineStr">
        <is>
          <t>Jan Geerling</t>
        </is>
      </c>
      <c r="G95" s="29" t="inlineStr">
        <is>
          <t>CC BY-SA 4.0</t>
        </is>
      </c>
      <c r="H95" s="29" t="inlineStr">
        <is>
          <t>https://creativecommons.org/licenses/by-sa/4.0/</t>
        </is>
      </c>
      <c r="I95" s="29" t="inlineStr">
        <is>
          <t>Creative Commons Attribution-Share Alike 4.0</t>
        </is>
      </c>
      <c r="J95" s="29" t="inlineStr">
        <is>
          <t>Jan Geerling · CC BY-SA 4.0 · Wikimedia Commons</t>
        </is>
      </c>
      <c r="K95" s="29" t="n"/>
      <c r="L95" s="49" t="n">
        <v>46317</v>
      </c>
      <c r="M95" s="29" t="inlineStr">
        <is>
          <t>Bekliyor</t>
        </is>
      </c>
      <c r="N95" s="29" t="inlineStr">
        <is>
          <t>Bekliyor</t>
        </is>
      </c>
      <c r="O95" s="29" t="inlineStr">
        <is>
          <t>Fotoğraflar/eindhoven_philipsdorp_01.jpg</t>
        </is>
      </c>
      <c r="P95" s="29" t="inlineStr">
        <is>
          <t>Tuğla depolar arasında dar arka yol, lambalar, arkada cam bina</t>
        </is>
      </c>
      <c r="Q95" s="29" t="inlineStr">
        <is>
          <t>Bekliyor</t>
        </is>
      </c>
      <c r="R95" s="29" t="inlineStr">
        <is>
          <t>Wikimedia Commons dosya sayfasındaki lisans: CC BY-SA 4.0</t>
        </is>
      </c>
      <c r="S95" s="29" t="n"/>
      <c r="T95" s="29" t="n"/>
      <c r="U95" s="29" t="n"/>
      <c r="V95" s="29" t="n"/>
      <c r="W95" s="29" t="inlineStr">
        <is>
          <t>{"source_url": "https://commons.wikimedia.org/wiki/File:Achterpad_Keerweerstraat_Eindhoven-_Philipsdorp_1509-123.jpg", "author": "Jan Geerling", "license": "CC BY-SA 4.0", "license_url": "https://creativecommons.org/licenses/by-sa/4.0/", "original_api_record": {"size": 2099834, "width": 3473, "height": 5448, "thumburl": "https://thumb.wikimedia.org/wikipedia/commons/thumb/4/48/Achterpad_Keerweerstraat_Eindhoven-_Philipsdorp_1509-123.jpg/1920px-Achterpad_Keerweerstraat_Eindhoven-_Philipsdorp_1509-123.jpg?utm_source=commons.wikimedia.org&amp;utm_campaign=imageinfo&amp;utm_content=thumbnail", "thumbwidth": 1600, "thumbheight": 2510, "responsiveUrls": {"2": "https://upload.wikimedia.org/wikipedia/commons/4/48/Achterpad_Keerweerstraat_Eindhoven-_Philipsdorp_1509-123.jpg?utm_source=commons.wikimedia.org&amp;utm_campaign=imageinfo&amp;utm_content=thumbnail_unscaled"}, "thumbattribs": {"src": "https://thumb.wikimedia.org/wikipedia/commons/thumb/4/48/Achterpad_Keerweerstraat_Eindhoven-_Philipsdorp_1509-123.jpg/1920px-Achterpad_Keerweerstraat_Eindhoven-_Philipsdorp_1509-123.jpg?utm_source=commons.wikimedia.org&amp;utm_campaign=imageinfo&amp;utm_content=thumbnail", "decoding": "async", "loading": "lazy", "width": 1600, "height": 2510, "srcset": "https://upload.wikimedia.org/wikipedia/commons/4/48/Achterpad_Keerweerstraat_Eindhoven-_Philipsdorp_1509-123.jpg?utm_source=commons.wikimedia.org&amp;utm_campaign=imageinfo&amp;utm_content=thumbnail_unscaled 2x"}, "url": "https://upload.wikimedia.org/wikipedia/commons/4/48/Achterpad_Keerweerstraat_Eindhoven-_Philipsdorp_1509-123.jpg?utm_source=commons.wikimedia.org&amp;utm_campaign=imageinfo&amp;utm_content=original", "descriptionurl": "https://commons.wikimedia.org/wiki/File:Achterpad_Keerweerstraat_Eindhoven-_Philipsdorp_1509-123.jpg", "descriptionshorturl": "https://commons.wikimedia.org/w/index.php?curid=102299877", "sha1": "2cf625714840bb46e74a306178b05b7d6ed7073f", "extmetadata": {"DateTime": {"value": "2021-03-25 14:11:30", "source": "mediawiki-metadata", "hidden": ""}, "ObjectName": {"value": "Achterpad Keerweerstraat Eindhoven- Philipsdorp 1509-123", "source": "mediawiki-metadata"}, "CommonsMetadataExtension": {"value": 1.2, "source": "extension", "hidden": ""}, "Categories": {"value": "Uploaded with pattypan|Philipsdorp, Eindhoven|Keerweerstraat (Eindhoven)|Files with coordinates missing SDC location of creation (51° N, 5° E)|Photographs by Jan Geerling contributed in 2021|Photographs by Jan Geerling in Eindhoven", "source": "commons-categories", "hidden": ""}, "Assessments": {"value": "", "source": "commons-categories", "hidden": ""}, "GPSLatitude": {"value": "51.442574", "source": "commons-desc-page"}, "GPSLongitude": {"value": "5.462447", "source": "commons-desc-page"}, "GPSMapDatum": {"value": "WGS-84", "source": "commons-desc-page", "hidden": ""}, "Artist": {"value": "&lt;bdi&gt;&lt;a href=\"https://www.wikidata.org/wiki/Q88378993\" class=\"extiw\" title=\"d:Q88378993\"&gt;&lt;span title=\"Dutch photographer\"&gt;Jan Geerling&lt;/span&gt;&lt;/a&gt;&lt;/bdi&gt;", "source": "commons-desc-page"}, "ImageDescription": {"value": "achterpad langs schuurtjes", "source": "commons-desc-page"}, "DateTimeOriginal": {"value": "29 September 2015, 13:36",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"https://thumb.wikimedia.org/wikipedia/commons/thumb/4/48/Achterpad_Keerweerstraat_Eindhoven-_Philipsdorp_1509-123.jpg/1280px-Achterpad_Keerweerstraat_Eindhoven-_Philipsdorp_1509-123.jpg"}, "retrieved_on": "2026-10-23"}</t>
        </is>
      </c>
    </row>
    <row r="96" ht="54" customHeight="1">
      <c r="A96" s="29" t="inlineStr">
        <is>
          <t>eindhoven:evidence:philipsdorp-02</t>
        </is>
      </c>
      <c r="B96" s="29" t="inlineStr">
        <is>
          <t>eindhoven</t>
        </is>
      </c>
      <c r="C96" s="29" t="inlineStr">
        <is>
          <t>eindhoven:photo:philipsdorp-02</t>
        </is>
      </c>
      <c r="D96" s="29" t="inlineStr">
        <is>
          <t>https://commons.wikimedia.org/wiki/File:Achterzijde_woningen_Annastraat_Eindhoven-_Philipsdorp_1509-116.jpg</t>
        </is>
      </c>
      <c r="E96" s="29" t="inlineStr">
        <is>
          <t>File:Achterzijde woningen Annastraat Eindhoven- Philipsdorp 1509-116.jpg</t>
        </is>
      </c>
      <c r="F96" s="29" t="inlineStr">
        <is>
          <t>Jan Geerling</t>
        </is>
      </c>
      <c r="G96" s="29" t="inlineStr">
        <is>
          <t>CC BY-SA 4.0</t>
        </is>
      </c>
      <c r="H96" s="29" t="inlineStr">
        <is>
          <t>https://creativecommons.org/licenses/by-sa/4.0/</t>
        </is>
      </c>
      <c r="I96" s="29" t="inlineStr">
        <is>
          <t>Creative Commons Attribution-Share Alike 4.0</t>
        </is>
      </c>
      <c r="J96" s="29" t="inlineStr">
        <is>
          <t>Jan Geerling · CC BY-SA 4.0 · Wikimedia Commons</t>
        </is>
      </c>
      <c r="K96" s="29" t="n"/>
      <c r="L96" s="49" t="n">
        <v>46317</v>
      </c>
      <c r="M96" s="29" t="inlineStr">
        <is>
          <t>Bekliyor</t>
        </is>
      </c>
      <c r="N96" s="29" t="inlineStr">
        <is>
          <t>Bekliyor</t>
        </is>
      </c>
      <c r="O96" s="29" t="inlineStr">
        <is>
          <t>Fotoğraflar/eindhoven_philipsdorp_02.jpg</t>
        </is>
      </c>
      <c r="P96" s="29" t="inlineStr">
        <is>
          <t>Kiremit çatılı alçak evler, arkada mavi cam cepheli yüksek konut</t>
        </is>
      </c>
      <c r="Q96" s="29" t="inlineStr">
        <is>
          <t>Bekliyor</t>
        </is>
      </c>
      <c r="R96" s="29" t="inlineStr">
        <is>
          <t>Wikimedia Commons dosya sayfasındaki lisans: CC BY-SA 4.0</t>
        </is>
      </c>
      <c r="S96" s="29" t="n"/>
      <c r="T96" s="29" t="n"/>
      <c r="U96" s="29" t="n"/>
      <c r="V96" s="29" t="n"/>
      <c r="W96" s="29" t="inlineStr">
        <is>
          <t>{"source_url": "https://commons.wikimedia.org/wiki/File:Achterzijde_woningen_Annastraat_Eindhoven-_Philipsdorp_1509-116.jpg", "author": "Jan Geerling", "license": "CC BY-SA 4.0", "license_url": "https://creativecommons.org/licenses/by-sa/4.0/", "original_api_record": {"size": 1943453, "width": 5472, "height": 3648, "thumburl": "https://thumb.wikimedia.org/wikipedia/commons/thumb/7/7b/Achterzijde_woningen_Annastraat_Eindhoven-_Philipsdorp_1509-116.jpg/1920px-Achterzijde_woningen_Annastraat_Eindhoven-_Philipsdorp_1509-116.jpg?utm_source=commons.wikimedia.org&amp;utm_campaign=imageinfo&amp;utm_content=thumbnail", "thumbwidth": 1600, "thumbheight": 1067, "responsiveUrls": {"2": "https://thumb.wikimedia.org/wikipedia/commons/thumb/7/7b/Achterzijde_woningen_Annastraat_Eindhoven-_Philipsdorp_1509-116.jpg/3840px-Achterzijde_woningen_Annastraat_Eindhoven-_Philipsdorp_1509-116.jpg?utm_source=commons.wikimedia.org&amp;utm_campaign=imageinfo&amp;utm_content=thumbnail"}, "thumbattribs": {"src": "https://thumb.wikimedia.org/wikipedia/commons/thumb/7/7b/Achterzijde_woningen_Annastraat_Eindhoven-_Philipsdorp_1509-116.jpg/1920px-Achterzijde_woningen_Annastraat_Eindhoven-_Philipsdorp_1509-116.jpg?utm_source=commons.wikimedia.org&amp;utm_campaign=imageinfo&amp;utm_content=thumbnail", "decoding": "async", "loading": "lazy", "width": 1600, "height": 1067, "srcset": "https://thumb.wikimedia.org/wikipedia/commons/thumb/7/7b/Achterzijde_woningen_Annastraat_Eindhoven-_Philipsdorp_1509-116.jpg/3840px-Achterzijde_woningen_Annastraat_Eindhoven-_Philipsdorp_1509-116.jpg?utm_source=commons.wikimedia.org&amp;utm_campaign=imageinfo&amp;utm_content=thumbnail 2x"}, "url": "https://upload.wikimedia.org/wikipedia/commons/7/7b/Achterzijde_woningen_Annastraat_Eindhoven-_Philipsdorp_1509-116.jpg?utm_source=commons.wikimedia.org&amp;utm_campaign=imageinfo&amp;utm_content=original", "descriptionurl": "https://commons.wikimedia.org/wiki/File:Achterzijde_woningen_Annastraat_Eindhoven-_Philipsdorp_1509-116.jpg", "descriptionshorturl": "https://commons.wikimedia.org/w/index.php?curid=102299728", "sha1": "ab53227b50027f6d2248165f9354608edb4fd703", "extmetadata": {"DateTime": {"value": "2021-03-25 14:09:41", "source": "mediawiki-metadata", "hidden": ""}, "ObjectName": {"value": "Achterzijde woningen Annastraat Eindhoven- Philipsdorp 1509-116", "source": "mediawiki-metadata"}, "CommonsMetadataExtension": {"value": 1.2, "source": "extension", "hidden": ""}, "Categories": {"value": "Uploaded with pattypan|Philipsdorp, Eindhoven|Henriëttestraat (Eindhoven)|Files with coordinates missing SDC location of creation (51° N, 5° E)|Photographs by Jan Geerling contributed in 2021|Photographs by Jan Geerling in Eindhoven", "source": "commons-categories", "hidden": ""}, "Assessments": {"value": "", "source": "commons-categories", "hidden": ""}, "GPSLatitude": {"value": "51.441868", "source": "commons-desc-page"}, "GPSLongitude": {"value": "5.462533", "source": "commons-desc-page"}, "GPSMapDatum": {"value": "WGS-84", "source": "commons-desc-page", "hidden": ""}, "Artist": {"value": "&lt;bdi&gt;&lt;a href=\"https://www.wikidata.org/wiki/Q88378993\" class=\"extiw\" title=\"d:Q88378993\"&gt;&lt;span title=\"Dutch photographer\"&gt;Jan Geerling&lt;/span&gt;&lt;/a&gt;&lt;/bdi&gt;", "source": "commons-desc-page"}, "ImageDescription": {"value": "achterkant daken woningen Annastraat met woongebouw op achtergrond", "source": "commons-desc-page"}, "DateTimeOriginal": {"value": "29 September 2015, 13:33",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"https://thumb.wikimedia.org/wikipedia/commons/thumb/7/7b/Achterzijde_woningen_Annastraat_Eindhoven-_Philipsdorp_1509-116.jpg/1280px-Achterzijde_woningen_Annastraat_Eindhoven-_Philipsdorp_1509-116.jpg"}, "retrieved_on": "2026-10-23"}</t>
        </is>
      </c>
    </row>
    <row r="97" ht="54" customHeight="1">
      <c r="A97" s="29" t="inlineStr">
        <is>
          <t>eindhoven:evidence:de-witte-dame-lichtfabriek-01</t>
        </is>
      </c>
      <c r="B97" s="29" t="inlineStr">
        <is>
          <t>eindhoven</t>
        </is>
      </c>
      <c r="C97" s="29" t="inlineStr">
        <is>
          <t>eindhoven:photo:de-witte-dame-lichtfabriek-01</t>
        </is>
      </c>
      <c r="D97" s="29" t="inlineStr">
        <is>
          <t>https://commons.wikimedia.org/wiki/File:518718_De_Witte_Dame.jpg</t>
        </is>
      </c>
      <c r="E97" s="29" t="inlineStr">
        <is>
          <t>File:518718 De Witte Dame.jpg</t>
        </is>
      </c>
      <c r="F97" s="29" t="inlineStr">
        <is>
          <t>Johan Bakker</t>
        </is>
      </c>
      <c r="G97" s="29" t="inlineStr">
        <is>
          <t>CC BY-SA 4.0</t>
        </is>
      </c>
      <c r="H97" s="29" t="inlineStr">
        <is>
          <t>https://creativecommons.org/licenses/by-sa/4.0/</t>
        </is>
      </c>
      <c r="I97" s="29" t="inlineStr">
        <is>
          <t>Creative Commons Attribution-Share Alike 4.0</t>
        </is>
      </c>
      <c r="J97" s="29" t="inlineStr">
        <is>
          <t>Johan Bakker · CC BY-SA 4.0 · Wikimedia Commons</t>
        </is>
      </c>
      <c r="K97" s="29" t="n"/>
      <c r="L97" s="49" t="n">
        <v>46317</v>
      </c>
      <c r="M97" s="29" t="inlineStr">
        <is>
          <t>Bekliyor</t>
        </is>
      </c>
      <c r="N97" s="29" t="inlineStr">
        <is>
          <t>Bekliyor</t>
        </is>
      </c>
      <c r="O97" s="29" t="inlineStr">
        <is>
          <t>Fotoğraflar/eindhoven_de-witte-dame-lichtfabriek_01.jpg</t>
        </is>
      </c>
      <c r="P97" s="29" t="inlineStr">
        <is>
          <t>Taş döşeli meydan ve banklar, köşesinde kule olan uzun beyaz bina</t>
        </is>
      </c>
      <c r="Q97" s="29" t="inlineStr">
        <is>
          <t>Bekliyor</t>
        </is>
      </c>
      <c r="R97" s="29" t="inlineStr">
        <is>
          <t>Wikimedia Commons dosya sayfasındaki lisans: CC BY-SA 4.0</t>
        </is>
      </c>
      <c r="S97" s="29" t="n"/>
      <c r="T97" s="29" t="n"/>
      <c r="U97" s="29" t="n"/>
      <c r="V97" s="29" t="n"/>
      <c r="W97" s="29" t="inlineStr">
        <is>
          <t>{"source_url": "https://commons.wikimedia.org/wiki/File:518718_De_Witte_Dame.jpg", "author": "Johan Bakker", "license": "CC BY-SA 4.0", "license_url": "https://creativecommons.org/licenses/by-sa/4.0/", "original_api_record": {"size": 4903803, "width": 3000, "height": 2261, "thumburl": "https://thumb.wikimedia.org/wikipedia/commons/thumb/4/43/518718_De_Witte_Dame.jpg/1920px-518718_De_Witte_Dame.jpg?utm_source=commons.wikimedia.org&amp;utm_campaign=imageinfo&amp;utm_content=thumbnail", "thumbwidth": 1600, "thumbheight": 1206, "responsiveUrls": {"2": "https://upload.wikimedia.org/wikipedia/commons/4/43/518718_De_Witte_Dame.jpg?utm_source=commons.wikimedia.org&amp;utm_campaign=imageinfo&amp;utm_content=thumbnail_unscaled"}, "thumbattribs": {"src": "https://thumb.wikimedia.org/wikipedia/commons/thumb/4/43/518718_De_Witte_Dame.jpg/1920px-518718_De_Witte_Dame.jpg?utm_source=commons.wikimedia.org&amp;utm_campaign=imageinfo&amp;utm_content=thumbnail", "decoding": "async", "loading": "lazy", "width": 1600, "height": 1206, "srcset": "https://upload.wikimedia.org/wikipedia/commons/4/43/518718_De_Witte_Dame.jpg?utm_source=commons.wikimedia.org&amp;utm_campaign=imageinfo&amp;utm_content=thumbnail_unscaled 2x"}, "url": "https://upload.wikimedia.org/wikipedia/commons/4/43/518718_De_Witte_Dame.jpg?utm_source=commons.wikimedia.org&amp;utm_campaign=imageinfo&amp;utm_content=original", "descriptionurl": "https://commons.wikimedia.org/wiki/File:518718_De_Witte_Dame.jpg", "descriptionshorturl": "https://commons.wikimedia.org/w/index.php?curid=62360637", "sha1": "2dcc86eb149d1606d62972276a46edadef532599", "extmetadata": {"DateTime": {"value": "2017-09-11 20:18:30", "source": "mediawiki-metadata", "hidden": ""}, "ObjectName": {"value": "518718 De Witte Dame", "source": "mediawiki-metadata"}, "CommonsMetadataExtension": {"value": 1.2, "source": "extension", "hidden": ""}, "Categories": {"value": "De Witte Dame (gebouwen EE/EF/EH)|Self-published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"Philipsfabriek, De Witte Dame, Eindhoven.", "source": "commons-desc-page"}, "DateTimeOriginal": {"value": "2015-10-11 14:10:25",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"https://thumb.wikimedia.org/wikipedia/commons/thumb/4/43/518718_De_Witte_Dame.jpg/1280px-518718_De_Witte_Dame.jpg"}, "retrieved_on": "2026-10-23"}</t>
        </is>
      </c>
    </row>
    <row r="98" ht="54" customHeight="1">
      <c r="A98" s="29" t="inlineStr">
        <is>
          <t>eindhoven:evidence:de-witte-dame-lichtfabriek-02</t>
        </is>
      </c>
      <c r="B98" s="29" t="inlineStr">
        <is>
          <t>eindhoven</t>
        </is>
      </c>
      <c r="C98" s="29" t="inlineStr">
        <is>
          <t>eindhoven:photo:de-witte-dame-lichtfabriek-02</t>
        </is>
      </c>
      <c r="D98" s="29" t="inlineStr">
        <is>
          <t>https://commons.wikimedia.org/wiki/File:De_Witte_Dame_bibliotheek.jpg</t>
        </is>
      </c>
      <c r="E98" s="29" t="inlineStr">
        <is>
          <t>File:De Witte Dame bibliotheek.jpg</t>
        </is>
      </c>
      <c r="F98" s="29" t="inlineStr">
        <is>
          <t>Mirjamvg</t>
        </is>
      </c>
      <c r="G98" s="29" t="inlineStr">
        <is>
          <t>CC BY-SA 4.0</t>
        </is>
      </c>
      <c r="H98" s="29" t="inlineStr">
        <is>
          <t>https://creativecommons.org/licenses/by-sa/4.0/</t>
        </is>
      </c>
      <c r="I98" s="29" t="inlineStr">
        <is>
          <t>Creative Commons Attribution-Share Alike 4.0</t>
        </is>
      </c>
      <c r="J98" s="29" t="inlineStr">
        <is>
          <t>Mirjamvg · CC BY-SA 4.0 · Wikimedia Commons</t>
        </is>
      </c>
      <c r="K98" s="29" t="n"/>
      <c r="L98" s="49" t="n">
        <v>46317</v>
      </c>
      <c r="M98" s="29" t="inlineStr">
        <is>
          <t>Bekliyor</t>
        </is>
      </c>
      <c r="N98" s="29" t="inlineStr">
        <is>
          <t>Bekliyor</t>
        </is>
      </c>
      <c r="O98" s="29" t="inlineStr">
        <is>
          <t>Fotoğraflar/eindhoven_de-witte-dame-lichtfabriek_02.jpg</t>
        </is>
      </c>
      <c r="P98" s="29" t="inlineStr">
        <is>
          <t>Kütüphane iç mekânı: raflar, masalar, tavanda borular, yürüyen insanlar</t>
        </is>
      </c>
      <c r="Q98" s="29" t="inlineStr">
        <is>
          <t>Bekliyor</t>
        </is>
      </c>
      <c r="R98" s="29" t="inlineStr">
        <is>
          <t>Wikimedia Commons dosya sayfasındaki lisans: CC BY-SA 4.0</t>
        </is>
      </c>
      <c r="S98" s="29" t="n"/>
      <c r="T98" s="29" t="n"/>
      <c r="U98" s="29" t="n"/>
      <c r="V98" s="29" t="n"/>
      <c r="W98" s="29" t="inlineStr">
        <is>
          <t>{"source_url": "https://commons.wikimedia.org/wiki/File:De_Witte_Dame_bibliotheek.jpg", "author": "Mirjamvg", "license": "CC BY-SA 4.0", "license_url": "https://creativecommons.org/licenses/by-sa/4.0/", "original_api_record": {"size": 2674550, "width": 3720, "height": 2480, "thumburl": "https://thumb.wikimedia.org/wikipedia/commons/thumb/2/23/De_Witte_Dame_bibliotheek.jpg/1920px-De_Witte_Dame_bibliotheek.jpg?utm_source=commons.wikimedia.org&amp;utm_campaign=imageinfo&amp;utm_content=thumbnail", "thumbwidth": 1600, "thumbheight": 1067, "responsiveUrls": {"2": "https://upload.wikimedia.org/wikipedia/commons/2/23/De_Witte_Dame_bibliotheek.jpg?utm_source=commons.wikimedia.org&amp;utm_campaign=imageinfo&amp;utm_content=thumbnail_unscaled"}, "thumbattribs": {"src": "https://thumb.wikimedia.org/wikipedia/commons/thumb/2/23/De_Witte_Dame_bibliotheek.jpg/1920px-De_Witte_Dame_bibliotheek.jpg?utm_source=commons.wikimedia.org&amp;utm_campaign=imageinfo&amp;utm_content=thumbnail", "decoding": "async", "loading": "lazy", "width": 1600, "height": 1067, "srcset": "https://upload.wikimedia.org/wikipedia/commons/2/23/De_Witte_Dame_bibliotheek.jpg?utm_source=commons.wikimedia.org&amp;utm_campaign=imageinfo&amp;utm_content=thumbnail_unscaled 2x"}, "url": "https://upload.wikimedia.org/wikipedia/commons/2/23/De_Witte_Dame_bibliotheek.jpg?utm_source=commons.wikimedia.org&amp;utm_campaign=imageinfo&amp;utm_content=original", "descriptionurl": "https://commons.wikimedia.org/wiki/File:De_Witte_Dame_bibliotheek.jpg", "descriptionshorturl": "https://commons.wikimedia.org/w/index.php?curid=119304980", "sha1": "ee7e16486fd202e9436d92ff9b648d39fb38a453", "extmetadata": {"DateTime": {"value": "2022-06-15 08:37:43", "source": "mediawiki-metadata", "hidden": ""}, "ObjectName": {"value": "De Witte Dame bibliotheek", "source": "mediawiki-metadata"}, "CommonsMetadataExtension": {"value": 1.2, "source": "extension", "hidden": ""}, "Categories": {"value": "De Witte Dame (gebouwen EE/EF/EH)|Self-published work|Public libraries in North Brabant", "source": "commons-categories", "hidden": ""}, "Assessments": {"value": "", "source": "commons-categories", "hidden": ""}, "ImageDescription": {"value": "De bibliotheek in De Witte Dame", "source": "commons-desc-page"}, "DateTimeOriginal": {"value": "2020-03-05", "source": "commons-desc-page"}, "Credit": {"value": "&lt;span class=\"int-own-work\" lang=\"en\"&gt;Own work&lt;/span&gt;", "source": "commons-desc-page"}, "Artist": {"value": "&lt;a href=\"//commons.wikimedia.org/w/index.php?title=User:Mirjamvg&amp;amp;action=edit&amp;amp;redlink=1\" class=\"new\" title=\"User:Mirjamvg (page does not exist)\"&gt;Mirjamvg&lt;/a&gt;",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"https://thumb.wikimedia.org/wikipedia/commons/thumb/2/23/De_Witte_Dame_bibliotheek.jpg/1280px-De_Witte_Dame_bibliotheek.jpg"}, "retrieved_on": "2026-10-23"}</t>
        </is>
      </c>
    </row>
    <row r="99" ht="54" customHeight="1">
      <c r="A99" s="29" t="inlineStr">
        <is>
          <t>eindhoven:evidence:de-witte-dame-lichtfabriek-03</t>
        </is>
      </c>
      <c r="B99" s="29" t="inlineStr">
        <is>
          <t>eindhoven</t>
        </is>
      </c>
      <c r="C99" s="29" t="inlineStr">
        <is>
          <t>eindhoven:photo:de-witte-dame-lichtfabriek-03</t>
        </is>
      </c>
      <c r="D99" s="29" t="inlineStr">
        <is>
          <t>https://commons.wikimedia.org/wiki/File:Eindhoven-Witte_Dame_(1).jpg</t>
        </is>
      </c>
      <c r="E99" s="29" t="inlineStr">
        <is>
          <t>File:Eindhoven-Witte Dame (1).jpg</t>
        </is>
      </c>
      <c r="F99" s="29" t="inlineStr">
        <is>
          <t>Romaine</t>
        </is>
      </c>
      <c r="G99" s="29" t="inlineStr">
        <is>
          <t>CC0 1.0</t>
        </is>
      </c>
      <c r="H99" s="29" t="inlineStr">
        <is>
          <t>https://creativecommons.org/publicdomain/zero/1.0/</t>
        </is>
      </c>
      <c r="I99" s="29" t="inlineStr">
        <is>
          <t>Creative Commons Zero, Public Domain Dedication</t>
        </is>
      </c>
      <c r="J99" s="29" t="inlineStr">
        <is>
          <t>Romaine · CC0 1.0 · Wikimedia Commons</t>
        </is>
      </c>
      <c r="K99" s="29" t="n"/>
      <c r="L99" s="49" t="n">
        <v>46317</v>
      </c>
      <c r="M99" s="29" t="inlineStr">
        <is>
          <t>Bekliyor</t>
        </is>
      </c>
      <c r="N99" s="29" t="inlineStr">
        <is>
          <t>Bekliyor</t>
        </is>
      </c>
      <c r="O99" s="29" t="inlineStr">
        <is>
          <t>Fotoğraflar/eindhoven_de-witte-dame-lichtfabriek_03.jpg</t>
        </is>
      </c>
      <c r="P99" s="29" t="inlineStr">
        <is>
          <t>Çıplak ağaçlar ardında düzenli pencereli beyaz bina, mavi tabela</t>
        </is>
      </c>
      <c r="Q99" s="29" t="inlineStr">
        <is>
          <t>Bekliyor</t>
        </is>
      </c>
      <c r="R99" s="29" t="inlineStr">
        <is>
          <t>Wikimedia Commons dosya sayfasındaki lisans: CC0 1.0</t>
        </is>
      </c>
      <c r="S99" s="29" t="n"/>
      <c r="T99" s="29" t="n"/>
      <c r="U99" s="29" t="n"/>
      <c r="V99" s="29" t="n"/>
      <c r="W99" s="29" t="inlineStr">
        <is>
          <t>{"source_url": "https://commons.wikimedia.org/wiki/File:Eindhoven-Witte_Dame_(1).jpg", "author": "Romaine", "license": "CC0 1.0", "license_url": "https://creativecommons.org/publicdomain/zero/1.0/", "original_api_record": {"size": 6749788, "width": 5312, "height": 2988, "thumburl": "https://thumb.wikimedia.org/wikipedia/commons/thumb/9/92/Eindhoven-Witte_Dame_%281%29.jpg/1920px-Eindhoven-Witte_Dame_%281%29.jpg?utm_source=commons.wikimedia.org&amp;utm_campaign=imageinfo&amp;utm_content=thumbnail", "thumbwidth": 1600, "thumbheight": 900, "responsiveUrls": {"2": "https://thumb.wikimedia.org/wikipedia/commons/thumb/9/92/Eindhoven-Witte_Dame_%281%29.jpg/3840px-Eindhoven-Witte_Dame_%281%29.jpg?utm_source=commons.wikimedia.org&amp;utm_campaign=imageinfo&amp;utm_content=thumbnail"}, "thumbattribs": {"src": "https://thumb.wikimedia.org/wikipedia/commons/thumb/9/92/Eindhoven-Witte_Dame_%281%29.jpg/1920px-Eindhoven-Witte_Dame_%281%29.jpg?utm_source=commons.wikimedia.org&amp;utm_campaign=imageinfo&amp;utm_content=thumbnail", "decoding": "async", "loading": "lazy", "width": 1600, "height": 900, "srcset": "https://thumb.wikimedia.org/wikipedia/commons/thumb/9/92/Eindhoven-Witte_Dame_%281%29.jpg/3840px-Eindhoven-Witte_Dame_%281%29.jpg?utm_source=commons.wikimedia.org&amp;utm_campaign=imageinfo&amp;utm_content=thumbnail 2x"}, "url": "https://upload.wikimedia.org/wikipedia/commons/9/92/Eindhoven-Witte_Dame_%281%29.jpg?utm_source=commons.wikimedia.org&amp;utm_campaign=imageinfo&amp;utm_content=original", "descriptionurl": "https://commons.wikimedia.org/wiki/File:Eindhoven-Witte_Dame_(1).jpg", "descriptionshorturl": "https://commons.wikimedia.org/w/index.php?curid=46357289", "sha1": "bc501d1f04c4944e6c88c2725874394da0803c5c", "extmetadata": {"DateTime": {"value": "2016-01-13 12:43:13", "source": "mediawiki-metadata", "hidden": ""}, "ObjectName": {"value": "Eindhoven-Witte Dame (1)", "source": "mediawiki-metadata"}, "CommonsMetadataExtension": {"value": 1.2, "source": "extension", "hidden": ""}, "Categories": {"value": "CC-Zero|De Witte Dame (gebouwen EE/EF/EH)|Self-published work|Files with coordinates missing SDC location of creation (51° N, 5° E)", "source": "commons-categories", "hidden": ""}, "Assessments": {"value": "", "source": "commons-categories", "hidden": ""}, "GPSLatitude": {"value": "51.438529", "source": "commons-desc-page"}, "GPSLongitude": {"value": "5.474673", "source": "commons-desc-page"}, "GPSMapDatum": {"value": "WGS-84", "source": "commons-desc-page", "hidden": ""}, "ImageDescription": {"value": "The White Lady in Eindhoven, Noord-Brabant, the Netherlands", "source": "commons-desc-page"}, "DateTimeOriginal": {"value": "2016-01-12", "source": "commons-desc-page"}, "Credit": {"value": "&lt;span class=\"int-own-work\" lang=\"en\"&gt;Own work&lt;/span&gt;", "source": "commons-desc-page"}, "Artist": {"value": "&lt;a rel=\"mw:WikiLink\" href=\"https://commons.wikimedia.org/wiki/User:Romaine\"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"https://thumb.wikimedia.org/wikipedia/commons/thumb/9/92/Eindhoven-Witte_Dame_%281%29.jpg/1280px-Eindhoven-Witte_Dame_%281%29.jpg"}, "retrieved_on": "2026-10-23"}</t>
        </is>
      </c>
    </row>
    <row r="100" ht="54" customHeight="1">
      <c r="A100" s="29" t="inlineStr">
        <is>
          <t>eindhoven:evidence:ton-smits-huis-01</t>
        </is>
      </c>
      <c r="B100" s="29" t="inlineStr">
        <is>
          <t>eindhoven</t>
        </is>
      </c>
      <c r="C100" s="29" t="inlineStr">
        <is>
          <t>eindhoven:photo:ton-smits-huis-01</t>
        </is>
      </c>
      <c r="D100" s="29" t="inlineStr">
        <is>
          <t>https://commons.wikimedia.org/wiki/File:Jacob_Reviuslaan_25,_Eindhoven-2.jpg</t>
        </is>
      </c>
      <c r="E100" s="29" t="inlineStr">
        <is>
          <t>File:Jacob Reviuslaan 25, Eindhoven-2.jpg</t>
        </is>
      </c>
      <c r="F100" s="29" t="inlineStr">
        <is>
          <t>Rosemoon</t>
        </is>
      </c>
      <c r="G100" s="29" t="inlineStr">
        <is>
          <t>CC BY-SA 4.0</t>
        </is>
      </c>
      <c r="H100" s="29" t="inlineStr">
        <is>
          <t>https://creativecommons.org/licenses/by-sa/4.0/</t>
        </is>
      </c>
      <c r="I100" s="29" t="inlineStr">
        <is>
          <t>Creative Commons Attribution-Share Alike 4.0</t>
        </is>
      </c>
      <c r="J100" s="29" t="inlineStr">
        <is>
          <t>Rosemoon · CC BY-SA 4.0 · Wikimedia Commons</t>
        </is>
      </c>
      <c r="K100" s="29" t="n"/>
      <c r="L100" s="49" t="n">
        <v>46317</v>
      </c>
      <c r="M100" s="29" t="inlineStr">
        <is>
          <t>Bekliyor</t>
        </is>
      </c>
      <c r="N100" s="29" t="inlineStr">
        <is>
          <t>Bekliyor</t>
        </is>
      </c>
      <c r="O100" s="29" t="inlineStr">
        <is>
          <t>Fotoğraflar/eindhoven_ton-smits-huis_01.jpg</t>
        </is>
      </c>
      <c r="P100" s="29" t="inlineStr">
        <is>
          <t>'Ton Smits Huis' yazılı açık mavi ev, çit, çöp konteynerleri, arabalar</t>
        </is>
      </c>
      <c r="Q100" s="29" t="inlineStr">
        <is>
          <t>Bekliyor</t>
        </is>
      </c>
      <c r="R100" s="29" t="inlineStr">
        <is>
          <t>Wikimedia Commons dosya sayfasındaki lisans: CC BY-SA 4.0</t>
        </is>
      </c>
      <c r="S100" s="29" t="n"/>
      <c r="T100" s="29" t="n"/>
      <c r="U100" s="29" t="n"/>
      <c r="V100" s="29" t="n"/>
      <c r="W100" s="29" t="inlineStr">
        <is>
          <t>{"source_url": "https://commons.wikimedia.org/wiki/File:Jacob_Reviuslaan_25,_Eindhoven-2.jpg", "author": "Rosemoon", "license": "CC BY-SA 4.0", "license_url": "https://creativecommons.org/licenses/by-sa/4.0/", "original_api_record": {"size": 7507894, "width": 6000, "height": 4000, "thumburl": "https://thumb.wikimedia.org/wikipedia/commons/thumb/7/70/Jacob_Reviuslaan_25%2C_Eindhoven-2.jpg/1920px-Jacob_Reviuslaan_25%2C_Eindhoven-2.jpg?utm_source=commons.wikimedia.org&amp;utm_campaign=imageinfo&amp;utm_content=thumbnail", "thumbwidth": 1600, "thumbheight": 1067, "responsiveUrls": {"2": "https://thumb.wikimedia.org/wikipedia/commons/thumb/7/70/Jacob_Reviuslaan_25%2C_Eindhoven-2.jpg/3840px-Jacob_Reviuslaan_25%2C_Eindhoven-2.jpg?utm_source=commons.wikimedia.org&amp;utm_campaign=imageinfo&amp;utm_content=thumbnail"}, "thumbattribs": {"src": "https://thumb.wikimedia.org/wikipedia/commons/thumb/7/70/Jacob_Reviuslaan_25%2C_Eindhoven-2.jpg/1920px-Jacob_Reviuslaan_25%2C_Eindhoven-2.jpg?utm_source=commons.wikimedia.org&amp;utm_campaign=imageinfo&amp;utm_content=thumbnail", "decoding": "async", "loading": "lazy", "width": 1600, "height": 1067, "srcset": "https://thumb.wikimedia.org/wikipedia/commons/thumb/7/70/Jacob_Reviuslaan_25%2C_Eindhoven-2.jpg/3840px-Jacob_Reviuslaan_25%2C_Eindhoven-2.jpg?utm_source=commons.wikimedia.org&amp;utm_campaign=imageinfo&amp;utm_content=thumbnail 2x"}, "url": "https://upload.wikimedia.org/wikipedia/commons/7/70/Jacob_Reviuslaan_25%2C_Eindhoven-2.jpg?utm_source=commons.wikimedia.org&amp;utm_campaign=imageinfo&amp;utm_content=original", "descriptionurl": "https://commons.wikimedia.org/wiki/File:Jacob_Reviuslaan_25,_Eindhoven-2.jpg", "descriptionshorturl": "https://commons.wikimedia.org/w/index.php?curid=105006299", "sha1": "b46594546125219250c159679d1127b040397390", "extmetadata": {"DateTime": {"value": "2021-05-07 17:42:11", "source": "mediawiki-metadata", "hidden": ""}, "ObjectName": {"value": "Jacob Reviuslaan 25, Eindhoven-2", "source": "mediawiki-metadata"}, "CommonsMetadataExtension": {"value": 1.2, "source": "extension", "hidden": ""}, "Categories": {"value": "Uploaded with pattypan|Gemeentelijke monumenten in Eindhoven|Automobiles with license plates of the Netherlands|Gemeentelijke monumenten with known IDs|Ton Smits Huis", "source": "commons-categories", "hidden": ""}, "Assessments": {"value": "", "source": "commons-categories", "hidden": ""}, "GPSLatitude": {"value": "51.422408", "source": "commons-desc-page"}, "GPSLongitude": {"value": "5.481468", "source": "commons-desc-page"}, "GPSMapDatum": {"value": "WGS-84", "source": "commons-desc-page", "hidden": ""}, "Artist": {"value": "&lt;div class=\"fn value\"&gt;\nRosemoon&lt;/div&gt;", "source": "commons-desc-page"}, "ImageDescription": {"value": "&lt;div class=\"description\"&gt;\nJacob Reviuslaan 25, Eindhoven-2&lt;/div&gt;", "source": "commons-desc-page"}, "Credit": {"value": "&lt;span class=\"int-own-work\" lang=\"en\"&gt;Own work&lt;/span&gt;", "source": "commons-desc-page"}, "Permission": {"value": "&lt;div class=\"responsive-license-cc layouttemplate licensetpl\" dir=\"ltr\" lang=\"en\"&gt;&lt;div class=\"rlicense-icons\"&gt;&lt;span class=\"skin-invert\" typeof=\"mw:File\" data-mw='{\"caption\":\"&amp;lt;a rel=\\\"mw:WikiLink/Interwiki\\\" href=\\\"https://en.wikipedia.org/wiki/en:Creative%20Commons\\\" title=\\\"w:en:Creative Commons\\\" class=\\\"extiw\\\" id=\\\"mwCg\\\"&amp;gt;w:en:Creative Commons&amp;lt;/a&amp;gt;\"}'&gt;&lt;span title=\"w:en:Creative Commons\"&gt;&lt;img resource=\"https://commons.wikimedia.org/wiki/File:CC_some_rights_reserved.svg\" src=\"https://thumb.wikimedia.org/wikipedia/commons/thumb/7/79/CC_some_rights_reserved.svg/120px-CC_some_rights_reserved.svg.png?utm_source=commons.wikimedia.org&amp;amp;utm_campaign=parser&amp;amp;utm_content=thumbnail\" decoding=\"async\" loading=\"lazy\" srcset=\"https://thumb.wikimedia.org/wikipedia/commons/thumb/7/79/CC_some_rights_reserved.svg/250px-CC_some_rights_reserved.svg.png?utm_source=commons.wikimedia.org&amp;amp;utm_campaign=parser&amp;amp;utm_content=thumbnail 2x\" alt=\"w:en:Creative Commons\" data-file-width=\"744\" data-file-height=\"300\" data-file-type=\"drawing\" height=\"36\" width=\"90\" class=\"mw-file-element\"&gt;&lt;/span&gt;&lt;/span&gt;&lt;br&gt;\n&lt;span class=\"skin-invert\" typeof=\"mw:File\" data-mw='{\"caption\":\"attribution\"}'&gt;&lt;span title=\"attribution\"&gt;&lt;img resource=\"https://commons.wikimedia.org/wiki/File:Cc-by_new_white.svg\" src=\"https://thumb.wikimedia.org/wikipedia/commons/thumb/1/11/Cc-by_new_white.svg/40px-Cc-by_new_white.svg.png?utm_source=commons.wikimedia.org&amp;amp;utm_campaign=parser&amp;amp;utm_content=thumbnail\" decoding=\"async\" loading=\"lazy\" srcset=\"https://thumb.wikimedia.org/wikipedia/commons/thumb/1/11/Cc-by_new_white.svg/60px-Cc-by_new_white.svg.png?utm_source=commons.wikimedia.org&amp;amp;utm_campaign=parser&amp;amp;utm_content=thumbnail 2x\" alt=\"attribution\" data-file-width=\"64\" data-file-height=\"64\" data-file-type=\"drawing\" height=\"24\" width=\"24\" class=\"mw-file-element\"&gt;&lt;/span&gt;&lt;/span&gt; &lt;span class=\"skin-invert\" typeof=\"mw:File\" data-mw='{\"caption\":\"share alike\"}'&gt;&lt;span title=\"share alike\"&gt;&lt;img resource=\"https://commons.wikimedia.org/wiki/File:Cc-sa_white.svg\" src=\"https://thumb.wikimedia.org/wikipedia/commons/thumb/d/df/Cc-sa_white.svg/40px-Cc-sa_white.svg.png?utm_source=commons.wikimedia.org&amp;amp;utm_campaign=parser&amp;amp;utm_content=thumbnail\" decoding=\"async\" loading=\"lazy\" srcset=\"https://thumb.wikimedia.org/wikipedia/commons/thumb/d/df/Cc-sa_white.svg/60px-Cc-sa_white.svg.png?utm_source=commons.wikimedia.org&amp;amp;utm_campaign=parser&amp;amp;utm_content=thumbnail 2x\" alt=\"share alike\" data-file-width=\"64\" data-file-height=\"64\" data-file-type=\"drawing\" height=\"24\" width=\"24\" class=\"mw-file-element\"&gt;&lt;/span&gt;&lt;/span&gt;&lt;/div&gt;&lt;div class=\"rlicense-text\"&gt;&lt;div class=\"rlicense-declaration\"&gt;This file is licensed under the &lt;a rel=\"mw:WikiLink/Interwiki\" href=\"https://en.wikipedia.org/wiki/en:Creative%20Commons\" title=\"w:en:Creative Commons\" class=\"extiw\"&gt;Creative Commons&lt;/a&gt; &lt;a rel=\"mw:WikiLink/Interwiki\" href=\"//creativecommons.org/licenses/by-sa/4.0/deed.en\" title=\"creativecommons:by-sa/4.0/deed.en\" class=\"extiw\"&gt;Attribution-Share Alike 4.0 International&lt;/a&gt;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rel=\"mw:WikiLink/Interwiki\" href=\"https://creativecommons.org/share-your-work/licensing-considerations/compatible-licenses\" title=\"ccorg:share-your-work/licensing-considerations/compatible-licenses\" class=\"extiw\"&gt;same or compatible license&lt;/a&gt; as the original.&lt;/li&gt;&lt;/ul&gt;&lt;/dd&gt;&lt;/dl&gt;&lt;/div&gt;&lt;span class=\"licensetpl_link\" style=\"display:none;\"&gt;https://creativecommons.org/licenses/by-sa/4.0&lt;/span&gt;&lt;span class=\"licensetpl_short\" style=\"display:none;\"&gt;CC BY-SA 4.0 &lt;/span&gt;&lt;span class=\"licensetpl_long\" style=\"display:none;\"&gt;Creative Commons Attribution-Share Alike 4.0 &lt;/span&gt;&lt;span class=\"licensetpl_link_req\" style=\"display:none;\"&gt;true&lt;/span&gt;&lt;span class=\"licensetpl_attr_req\" style=\"display:none;\"&gt;true&lt;/span&gt;&lt;/div&gt;&lt;/div&gt;\n&lt;span class=\"mw-empty-elt\"&gt;&lt;link rel=\"mw:PageProp/Category\" href=\"./Category:CC-BY-SA-4.0#Jacob%20Reviuslaan%2025,%20Eindhoven-2.jpg\"&gt;&lt;/span&gt;", "source": "commons-desc-page", "hidden": ""},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"https://thumb.wikimedia.org/wikipedia/commons/thumb/7/70/Jacob_Reviuslaan_25%2C_Eindhoven-2.jpg/1280px-Jacob_Reviuslaan_25%2C_Eindhoven-2.jpg"}, "retrieved_on": "2026-10-23"}</t>
        </is>
      </c>
    </row>
    <row r="101" ht="54" customHeight="1">
      <c r="A101" s="29" t="inlineStr">
        <is>
          <t>eindhoven:evidence:ton-smits-huis-02</t>
        </is>
      </c>
      <c r="B101" s="29" t="inlineStr">
        <is>
          <t>eindhoven</t>
        </is>
      </c>
      <c r="C101" s="29" t="inlineStr">
        <is>
          <t>eindhoven:photo:ton-smits-huis-02</t>
        </is>
      </c>
      <c r="D101" s="29" t="inlineStr">
        <is>
          <t>https://commons.wikimedia.org/wiki/File:Jacob_Reviuslaan_25,_Eindhoven.jpg</t>
        </is>
      </c>
      <c r="E101" s="29" t="inlineStr">
        <is>
          <t>File:Jacob Reviuslaan 25, Eindhoven.jpg</t>
        </is>
      </c>
      <c r="F101" s="29" t="inlineStr">
        <is>
          <t>Rosemoon</t>
        </is>
      </c>
      <c r="G101" s="29" t="inlineStr">
        <is>
          <t>CC BY-SA 4.0</t>
        </is>
      </c>
      <c r="H101" s="29" t="inlineStr">
        <is>
          <t>https://creativecommons.org/licenses/by-sa/4.0/</t>
        </is>
      </c>
      <c r="I101" s="29" t="inlineStr">
        <is>
          <t>Creative Commons Attribution-Share Alike 4.0</t>
        </is>
      </c>
      <c r="J101" s="29" t="inlineStr">
        <is>
          <t>Rosemoon · CC BY-SA 4.0 · Wikimedia Commons</t>
        </is>
      </c>
      <c r="K101" s="29" t="n"/>
      <c r="L101" s="49" t="n">
        <v>46317</v>
      </c>
      <c r="M101" s="29" t="inlineStr">
        <is>
          <t>Bekliyor</t>
        </is>
      </c>
      <c r="N101" s="29" t="inlineStr">
        <is>
          <t>Bekliyor</t>
        </is>
      </c>
      <c r="O101" s="29" t="inlineStr">
        <is>
          <t>Fotoğraflar/eindhoven_ton-smits-huis_02.jpg</t>
        </is>
      </c>
      <c r="P101" s="29" t="inlineStr">
        <is>
          <t>Köşeden açık mavi ev, çit, sokak lambası, mavi gök</t>
        </is>
      </c>
      <c r="Q101" s="29" t="inlineStr">
        <is>
          <t>Bekliyor</t>
        </is>
      </c>
      <c r="R101" s="29" t="inlineStr">
        <is>
          <t>Wikimedia Commons dosya sayfasındaki lisans: CC BY-SA 4.0</t>
        </is>
      </c>
      <c r="S101" s="29" t="n"/>
      <c r="T101" s="29" t="n"/>
      <c r="U101" s="29" t="n"/>
      <c r="V101" s="29" t="n"/>
      <c r="W101" s="29" t="inlineStr">
        <is>
          <t>{"source_url": "https://commons.wikimedia.org/wiki/File:Jacob_Reviuslaan_25,_Eindhoven.jpg", "author": "Rosemoon", "license": "CC BY-SA 4.0", "license_url": "https://creativecommons.org/licenses/by-sa/4.0/", "original_api_record": {"size": 7093478, "width": 6000, "height": 4000, "thumburl": "https://thumb.wikimedia.org/wikipedia/commons/thumb/9/99/Jacob_Reviuslaan_25%2C_Eindhoven.jpg/1920px-Jacob_Reviuslaan_25%2C_Eindhoven.jpg?utm_source=commons.wikimedia.org&amp;utm_campaign=imageinfo&amp;utm_content=thumbnail", "thumbwidth": 1600, "thumbheight": 1067, "responsiveUrls": {"2": "https://thumb.wikimedia.org/wikipedia/commons/thumb/9/99/Jacob_Reviuslaan_25%2C_Eindhoven.jpg/3840px-Jacob_Reviuslaan_25%2C_Eindhoven.jpg?utm_source=commons.wikimedia.org&amp;utm_campaign=imageinfo&amp;utm_content=thumbnail"}, "thumbattribs": {"src": "https://thumb.wikimedia.org/wikipedia/commons/thumb/9/99/Jacob_Reviuslaan_25%2C_Eindhoven.jpg/1920px-Jacob_Reviuslaan_25%2C_Eindhoven.jpg?utm_source=commons.wikimedia.org&amp;utm_campaign=imageinfo&amp;utm_content=thumbnail", "decoding": "async", "loading": "lazy", "width": 1600, "height": 1067, "srcset": "https://thumb.wikimedia.org/wikipedia/commons/thumb/9/99/Jacob_Reviuslaan_25%2C_Eindhoven.jpg/3840px-Jacob_Reviuslaan_25%2C_Eindhoven.jpg?utm_source=commons.wikimedia.org&amp;utm_campaign=imageinfo&amp;utm_content=thumbnail 2x"}, "url": "https://upload.wikimedia.org/wikipedia/commons/9/99/Jacob_Reviuslaan_25%2C_Eindhoven.jpg?utm_source=commons.wikimedia.org&amp;utm_campaign=imageinfo&amp;utm_content=original", "descriptionurl": "https://commons.wikimedia.org/wiki/File:Jacob_Reviuslaan_25,_Eindhoven.jpg", "descriptionshorturl": "https://commons.wikimedia.org/w/index.php?curid=105006337", "sha1": "2a092a669917edf8b7e1caf419d6c5e1fb50c3e0", "extmetadata": {"DateTime": {"value": "2021-05-07 17:42:50", "source": "mediawiki-metadata", "hidden": ""}, "ObjectName": {"value": "Jacob Reviuslaan 25, Eindhoven", "source": "mediawiki-metadata"}, "CommonsMetadataExtension": {"value": 1.2, "source": "extension", "hidden": ""}, "Categories": {"value": "Uploaded with pattypan|Gemeentelijke monumenten in Eindhoven|Gemeentelijke monumenten with known IDs|Ton Smits Huis", "source": "commons-categories", "hidden": ""}, "Assessments": {"value": "", "source": "commons-categories", "hidden": ""}, "GPSLatitude": {"value": "51.422198", "source": "commons-desc-page"}, "GPSLongitude": {"value": "5.481762", "source": "commons-desc-page"}, "GPSMapDatum": {"value": "WGS-84", "source": "commons-desc-page", "hidden": ""}, "Artist": {"value": "&lt;div class=\"fn value\"&gt;\nRosemoon&lt;/div&gt;", "source": "commons-desc-page"}, "ImageDescription": {"value": "&lt;div class=\"description\"&gt;\nJacob Reviuslaan 25, Eindhoven&lt;/div&gt;", "source": "commons-desc-page"}, "Credit": {"value": "&lt;span class=\"int-own-work\" lang=\"en\"&gt;Own work&lt;/span&gt;", "source": "commons-desc-page"}, "Permission": {"value": "&lt;div class=\"responsive-license-cc layouttemplate licensetpl\" dir=\"ltr\" lang=\"en\"&gt;&lt;div class=\"rlicense-icons\"&gt;&lt;span class=\"skin-invert\" typeof=\"mw:File\" data-mw='{\"caption\":\"&amp;lt;a rel=\\\"mw:WikiLink/Interwiki\\\" href=\\\"https://en.wikipedia.org/wiki/en:Creative%20Commons\\\" title=\\\"w:en:Creative Commons\\\" class=\\\"extiw\\\" id=\\\"mwCg\\\"&amp;gt;w:en:Creative Commons&amp;lt;/a&amp;gt;\"}'&gt;&lt;span title=\"w:en:Creative Commons\"&gt;&lt;img resource=\"https://commons.wikimedia.org/wiki/File:CC_some_rights_reserved.svg\" src=\"https://thumb.wikimedia.org/wikipedia/commons/thumb/7/79/CC_some_rights_reserved.svg/120px-CC_some_rights_reserved.svg.png?utm_source=commons.wikimedia.org&amp;amp;utm_campaign=parser&amp;amp;utm_content=thumbnail\" decoding=\"async\" loading=\"lazy\" srcset=\"https://thumb.wikimedia.org/wikipedia/commons/thumb/7/79/CC_some_rights_reserved.svg/250px-CC_some_rights_reserved.svg.png?utm_source=commons.wikimedia.org&amp;amp;utm_campaign=parser&amp;amp;utm_content=thumbnail 2x\" alt=\"w:en:Creative Commons\" data-file-width=\"744\" data-file-height=\"300\" data-file-type=\"drawing\" height=\"36\" width=\"90\" class=\"mw-file-element\"&gt;&lt;/span&gt;&lt;/span&gt;&lt;br&gt;\n&lt;span class=\"skin-invert\" typeof=\"mw:File\" data-mw='{\"caption\":\"attribution\"}'&gt;&lt;span title=\"attribution\"&gt;&lt;img resource=\"https://commons.wikimedia.org/wiki/File:Cc-by_new_white.svg\" src=\"https://thumb.wikimedia.org/wikipedia/commons/thumb/1/11/Cc-by_new_white.svg/40px-Cc-by_new_white.svg.png?utm_source=commons.wikimedia.org&amp;amp;utm_campaign=parser&amp;amp;utm_content=thumbnail\" decoding=\"async\" loading=\"lazy\" srcset=\"https://thumb.wikimedia.org/wikipedia/commons/thumb/1/11/Cc-by_new_white.svg/60px-Cc-by_new_white.svg.png?utm_source=commons.wikimedia.org&amp;amp;utm_campaign=parser&amp;amp;utm_content=thumbnail 2x\" alt=\"attribution\" data-file-width=\"64\" data-file-height=\"64\" data-file-type=\"drawing\" height=\"24\" width=\"24\" class=\"mw-file-element\"&gt;&lt;/span&gt;&lt;/span&gt; &lt;span class=\"skin-invert\" typeof=\"mw:File\" data-mw='{\"caption\":\"share alike\"}'&gt;&lt;span title=\"share alike\"&gt;&lt;img resource=\"https://commons.wikimedia.org/wiki/File:Cc-sa_white.svg\" src=\"https://thumb.wikimedia.org/wikipedia/commons/thumb/d/df/Cc-sa_white.svg/40px-Cc-sa_white.svg.png?utm_source=commons.wikimedia.org&amp;amp;utm_campaign=parser&amp;amp;utm_content=thumbnail\" decoding=\"async\" loading=\"lazy\" srcset=\"https://thumb.wikimedia.org/wikipedia/commons/thumb/d/df/Cc-sa_white.svg/60px-Cc-sa_white.svg.png?utm_source=commons.wikimedia.org&amp;amp;utm_campaign=parser&amp;amp;utm_content=thumbnail 2x\" alt=\"share alike\" data-file-width=\"64\" data-file-height=\"64\" data-file-type=\"drawing\" height=\"24\" width=\"24\" class=\"mw-file-element\"&gt;&lt;/span&gt;&lt;/span&gt;&lt;/div&gt;&lt;div class=\"rlicense-text\"&gt;&lt;div class=\"rlicense-declaration\"&gt;This file is licensed under the &lt;a rel=\"mw:WikiLink/Interwiki\" href=\"https://en.wikipedia.org/wiki/en:Creative%20Commons\" title=\"w:en:Creative Commons\" class=\"extiw\"&gt;Creative Commons&lt;/a&gt; &lt;a rel=\"mw:WikiLink/Interwiki\" href=\"//creativecommons.org/licenses/by-sa/4.0/deed.en\" title=\"creativecommons:by-sa/4.0/deed.en\" class=\"extiw\"&gt;Attribution-Share Alike 4.0 International&lt;/a&gt;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rel=\"mw:WikiLink/Interwiki\" href=\"https://creativecommons.org/share-your-work/licensing-considerations/compatible-licenses\" title=\"ccorg:share-your-work/licensing-considerations/compatible-licenses\" class=\"extiw\"&gt;same or compatible license&lt;/a&gt; as the original.&lt;/li&gt;&lt;/ul&gt;&lt;/dd&gt;&lt;/dl&gt;&lt;/div&gt;&lt;span class=\"licensetpl_link\" style=\"display:none;\"&gt;https://creativecommons.org/licenses/by-sa/4.0&lt;/span&gt;&lt;span class=\"licensetpl_short\" style=\"display:none;\"&gt;CC BY-SA 4.0 &lt;/span&gt;&lt;span class=\"licensetpl_long\" style=\"display:none;\"&gt;Creative Commons Attribution-Share Alike 4.0 &lt;/span&gt;&lt;span class=\"licensetpl_link_req\" style=\"display:none;\"&gt;true&lt;/span&gt;&lt;span class=\"licensetpl_attr_req\" style=\"display:none;\"&gt;true&lt;/span&gt;&lt;/div&gt;&lt;/div&gt;\n&lt;span class=\"mw-empty-elt\"&gt;&lt;link rel=\"mw:PageProp/Category\" href=\"./Category:CC-BY-SA-4.0#Jacob%20Reviuslaan%2025,%20Eindhoven.jpg\"&gt;&lt;/span&gt;", "source": "commons-desc-page", "hidden": ""},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"https://thumb.wikimedia.org/wikipedia/commons/thumb/9/99/Jacob_Reviuslaan_25%2C_Eindhoven.jpg/1280px-Jacob_Reviuslaan_25%2C_Eindhoven.jpg"}, "retrieved_on": "2026-10-23"}</t>
        </is>
      </c>
    </row>
    <row r="102" ht="54" customHeight="1">
      <c r="A102" s="29" t="inlineStr">
        <is>
          <t>eindhoven:evidence:ton-smits-huis-03</t>
        </is>
      </c>
      <c r="B102" s="29" t="inlineStr">
        <is>
          <t>eindhoven</t>
        </is>
      </c>
      <c r="C102" s="29" t="inlineStr">
        <is>
          <t>eindhoven:photo:ton-smits-huis-03</t>
        </is>
      </c>
      <c r="D102" s="29" t="inlineStr">
        <is>
          <t>https://commons.wikimedia.org/wiki/File:Ton_Smitshuis_Eindhoven.JPG</t>
        </is>
      </c>
      <c r="E102" s="29" t="inlineStr">
        <is>
          <t>File:Ton Smitshuis Eindhoven.JPG</t>
        </is>
      </c>
      <c r="F102" s="29" t="inlineStr">
        <is>
          <t>Rosemoon</t>
        </is>
      </c>
      <c r="G102" s="29" t="inlineStr">
        <is>
          <t>CC BY-SA 3.0</t>
        </is>
      </c>
      <c r="H102" s="29" t="inlineStr">
        <is>
          <t>https://creativecommons.org/licenses/by-sa/3.0/</t>
        </is>
      </c>
      <c r="I102" s="29" t="inlineStr">
        <is>
          <t>Creative Commons Attribution-Share Alike 3.0</t>
        </is>
      </c>
      <c r="J102" s="29" t="inlineStr">
        <is>
          <t>Rosemoon · CC BY-SA 3.0 · Wikimedia Commons</t>
        </is>
      </c>
      <c r="K102" s="29" t="n"/>
      <c r="L102" s="49" t="n">
        <v>46317</v>
      </c>
      <c r="M102" s="29" t="inlineStr">
        <is>
          <t>Bekliyor</t>
        </is>
      </c>
      <c r="N102" s="29" t="inlineStr">
        <is>
          <t>Bekliyor</t>
        </is>
      </c>
      <c r="O102" s="29" t="inlineStr">
        <is>
          <t>Fotoğraflar/eindhoven_ton-smits-huis_03.jpg</t>
        </is>
      </c>
      <c r="P102" s="29" t="inlineStr">
        <is>
          <t>Açık mavi cephede 'Ton Smits Huis' yazısı, bayrak, lamba</t>
        </is>
      </c>
      <c r="Q102" s="29" t="inlineStr">
        <is>
          <t>Bekliyor</t>
        </is>
      </c>
      <c r="R102" s="29" t="inlineStr">
        <is>
          <t>Wikimedia Commons dosya sayfasındaki lisans: CC BY-SA 3.0</t>
        </is>
      </c>
      <c r="S102" s="29" t="n"/>
      <c r="T102" s="29" t="n"/>
      <c r="U102" s="29" t="n"/>
      <c r="V102" s="29" t="n"/>
      <c r="W102" s="29" t="inlineStr">
        <is>
          <t>{"source_url": "https://commons.wikimedia.org/wiki/File:Ton_Smitshuis_Eindhoven.JPG", "author": "Rosemoon", "license": "CC BY-SA 3.0", "license_url": "https://creativecommons.org/licenses/by-sa/3.0/", "original_api_record": {"size": 5974016, "width": 4320, "height": 3240, "thumburl": "https://thumb.wikimedia.org/wikipedia/commons/thumb/4/42/Ton_Smitshuis_Eindhoven.JPG/1920px-Ton_Smitshuis_Eindhoven.JPG?utm_source=commons.wikimedia.org&amp;utm_campaign=imageinfo&amp;utm_content=thumbnail", "thumbwidth": 1600, "thumbheight": 1200, "responsiveUrls": {"2": "https://thumb.wikimedia.org/wikipedia/commons/thumb/4/42/Ton_Smitshuis_Eindhoven.JPG/3840px-Ton_Smitshuis_Eindhoven.JPG?utm_source=commons.wikimedia.org&amp;utm_campaign=imageinfo&amp;utm_content=thumbnail"}, "thumbattribs": {"src": "https://thumb.wikimedia.org/wikipedia/commons/thumb/4/42/Ton_Smitshuis_Eindhoven.JPG/1920px-Ton_Smitshuis_Eindhoven.JPG?utm_source=commons.wikimedia.org&amp;utm_campaign=imageinfo&amp;utm_content=thumbnail", "decoding": "async", "loading": "lazy", "width": 1600, "height": 1200, "srcset": "https://thumb.wikimedia.org/wikipedia/commons/thumb/4/42/Ton_Smitshuis_Eindhoven.JPG/3840px-Ton_Smitshuis_Eindhoven.JPG?utm_source=commons.wikimedia.org&amp;utm_campaign=imageinfo&amp;utm_content=thumbnail 2x"}, "url": "https://upload.wikimedia.org/wikipedia/commons/4/42/Ton_Smitshuis_Eindhoven.JPG?utm_source=commons.wikimedia.org&amp;utm_campaign=imageinfo&amp;utm_content=original", "descriptionurl": "https://commons.wikimedia.org/wiki/File:Ton_Smitshuis_Eindhoven.JPG", "descriptionshorturl": "https://commons.wikimedia.org/w/index.php?curid=17701233", "sha1": "9063ddce59476f4878dfd4b39f77c6636f562e36", "extmetadata": {"DateTime": {"value": "2011-12-17 10:50:15", "source": "mediawiki-metadata", "hidden": ""}, "ObjectName": {"value": "Ton Smitshuis Eindhoven", "source": "mediawiki-metadata"}, "CommonsMetadataExtension": {"value": 1.2, "source": "extension", "hidden": ""}, "Categories": {"value": "Taken with Panasonic Lumix DMC-TZ20|Museums in North Brabant|Buildings in Eindhoven|Self-published work|2011 in Eindhoven|Netherlands photographs taken on 2011-12-11|Ton Smits Huis|Files with coordinates missing SDC location of creation (51° N, 5° E)", "source": "commons-categories", "hidden": ""}, "Assessments": {"value": "", "source": "commons-categories", "hidden": ""}, "GPSLatitude": {"value": "51.422346", "source": "commons-desc-page"}, "GPSLongitude": {"value": "5.481802", "source": "commons-desc-page"}, "GPSMapDatum": {"value": "WGS-84", "source": "commons-desc-page", "hidden": ""}, "ImageDescription": {"value": "Ton Smitsmuseum Eindhoven", "source": "commons-desc-page"}, "DateTimeOriginal": {"value": "2011-12-11",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"https://thumb.wikimedia.org/wikipedia/commons/thumb/4/42/Ton_Smitshuis_Eindhoven.JPG/1280px-Ton_Smitshuis_Eindhoven.JPG"}, "retrieved_on": "2026-10-23"}</t>
        </is>
      </c>
    </row>
    <row r="103" ht="54" customHeight="1">
      <c r="A103" s="29" t="inlineStr">
        <is>
          <t>eindhoven:evidence:stadhuis-van-eindhoven-01</t>
        </is>
      </c>
      <c r="B103" s="29" t="inlineStr">
        <is>
          <t>eindhoven</t>
        </is>
      </c>
      <c r="C103" s="29" t="inlineStr">
        <is>
          <t>eindhoven:photo:stadhuis-van-eindhoven-01</t>
        </is>
      </c>
      <c r="D103" s="29" t="inlineStr">
        <is>
          <t>https://commons.wikimedia.org/wiki/File:Overzicht_achtergevel_stadhuis_-_Eindhoven_-_20413336_-_RCE.jpg</t>
        </is>
      </c>
      <c r="E103" s="29" t="inlineStr">
        <is>
          <t>File:Overzicht achtergevel stadhuis - Eindhoven - 20413336 - RCE.jpg</t>
        </is>
      </c>
      <c r="F103" s="29" t="inlineStr">
        <is>
          <t>Kris Roderburg</t>
        </is>
      </c>
      <c r="G103" s="29" t="inlineStr">
        <is>
          <t>CC BY-SA 4.0</t>
        </is>
      </c>
      <c r="H103" s="29" t="inlineStr">
        <is>
          <t>https://creativecommons.org/licenses/by-sa/4.0/</t>
        </is>
      </c>
      <c r="I103" s="29" t="inlineStr">
        <is>
          <t>Creative Commons Attribution-Share Alike 4.0</t>
        </is>
      </c>
      <c r="J103" s="29" t="inlineStr">
        <is>
          <t>Kris Roderburg · CC BY-SA 4.0 · Wikimedia Commons</t>
        </is>
      </c>
      <c r="K103" s="29" t="n"/>
      <c r="L103" s="49" t="n">
        <v>46317</v>
      </c>
      <c r="M103" s="29" t="inlineStr">
        <is>
          <t>Bekliyor</t>
        </is>
      </c>
      <c r="N103" s="29" t="inlineStr">
        <is>
          <t>Bekliyor</t>
        </is>
      </c>
      <c r="O103" s="29" t="inlineStr">
        <is>
          <t>Fotoğraflar/eindhoven_stadhuis-van-eindhoven_01.jpg</t>
        </is>
      </c>
      <c r="P103" s="29" t="inlineStr">
        <is>
          <t>Belediye binasının arka cephesi: yatay pencere şeritli yüksek beton blok, alçak kanat, önde yeşil kıyılı dere</t>
        </is>
      </c>
      <c r="Q103" s="29" t="inlineStr">
        <is>
          <t>Bekliyor</t>
        </is>
      </c>
      <c r="R103" s="29" t="inlineStr">
        <is>
          <t>Wikimedia Commons dosya sayfasındaki lisans: CC BY-SA 4.0</t>
        </is>
      </c>
      <c r="S103" s="29" t="n"/>
      <c r="T103" s="29" t="n"/>
      <c r="U103" s="29" t="n"/>
      <c r="V103" s="29" t="n"/>
      <c r="W103" s="29" t="inlineStr">
        <is>
          <t>{"source_url": "https://commons.wikimedia.org/wiki/File:Overzicht_achtergevel_stadhuis_-_Eindhoven_-_20413336_-_RCE.jpg", "author": "Kris Roderburg", "license": "CC BY-SA 4.0", "license_url": "https://creativecommons.org/licenses/by-sa/4.0/", "original_api_record": {"size": 1969565, "width": 2901, "height": 2904, "thumburl": "https://thumb.wikimedia.org/wikipedia/commons/thumb/c/ce/Overzicht_achtergevel_stadhuis_-_Eindhoven_-_20413336_-_RCE.jpg/1920px-Overzicht_achtergevel_stadhuis_-_Eindhoven_-_20413336_-_RCE.jpg?utm_source=commons.wikimedia.org&amp;utm_campaign=imageinfo&amp;utm_content=thumbnail", "thumbwidth": 1600, "thumbheight": 1602, "responsiveUrls": {"2": "https://upload.wikimedia.org/wikipedia/commons/c/ce/Overzicht_achtergevel_stadhuis_-_Eindhoven_-_20413336_-_RCE.jpg?utm_source=commons.wikimedia.org&amp;utm_campaign=imageinfo&amp;utm_content=thumbnail_unscaled"}, "thumbattribs": {"src": "https://thumb.wikimedia.org/wikipedia/commons/thumb/c/ce/Overzicht_achtergevel_stadhuis_-_Eindhoven_-_20413336_-_RCE.jpg/1920px-Overzicht_achtergevel_stadhuis_-_Eindhoven_-_20413336_-_RCE.jpg?utm_source=commons.wikimedia.org&amp;utm_campaign=imageinfo&amp;utm_content=thumbnail", "decoding": "async", "loading": "lazy", "width": 1600, "height": 1602, "srcset": "https://upload.wikimedia.org/wikipedia/commons/c/ce/Overzicht_achtergevel_stadhuis_-_Eindhoven_-_20413336_-_RCE.jpg?utm_source=commons.wikimedia.org&amp;utm_campaign=imageinfo&amp;utm_content=thumbnail_unscaled 2x"}, "url": "https://upload.wikimedia.org/wikipedia/commons/c/ce/Overzicht_achtergevel_stadhuis_-_Eindhoven_-_20413336_-_RCE.jpg?utm_source=commons.wikimedia.org&amp;utm_campaign=imageinfo&amp;utm_content=original", "descriptionurl": "https://commons.wikimedia.org/wiki/File:Overzicht_achtergevel_stadhuis_-_Eindhoven_-_20413336_-_RCE.jpg", "descriptionshorturl": "https://commons.wikimedia.org/w/index.php?curid=24120110", "sha1": "6944faaf4d98fa1dfddd4746e70d89a547d3e9db", "extmetadata": {"DateTime": {"value": "2024-11-01 06:05:38", "source": "mediawiki-metadata", "hidden": ""}, "ObjectName": {"value": "Overzicht achtergevel stadhuis - Eindhoven - 20413336 - RCE", "source": "mediawiki-metadata"}, "CommonsMetadataExtension": {"value": 1.2, "source": "extension", "hidden": ""}, "Categories": {"value": "Images from the Rijksdienst voor het Cultureel Erfgoed|Buildings with addresses|2007 in Eindhoven|Photographs by Kris Roderburg|Eindhoven City Hall", "source": "commons-categories", "hidden": ""}, "Assessments": {"value": "", "source": "commons-categories", "hidden": ""}, "ImageDescription": {"value": "Stadhuis: Overzicht achtergevel stadhuis", "source": "commons-desc-page"}, "DateTimeOriginal": {"value": "2007-05", "source": "commons-desc-page"}, "Credit": {"value": "&lt;a rel=\"nofollow\" class=\"external text\" href=\"http://beeldbank.cultureelerfgoed.nl/alle-afbeeldingen/?mode=gallery&amp;amp;view=horizontal&amp;amp;q=20413336\"&gt;Rijksdienst voor het Cultureel Erfgoed&lt;/a&gt;", "source": "commons-desc-page"}, "Artist": {"value": "&lt;bdi&gt;&lt;a href=\"https://www.wikidata.org/wiki/Q59248002\" class=\"extiw\" title=\"d:Q59248002\"&gt;&lt;span title=\"Dutch photographer\"&gt;Kris Roderburg&lt;/span&gt;&lt;/a&gt;&lt;/bdi&gt;",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"https://thumb.wikimedia.org/wikipedia/commons/thumb/c/ce/Overzicht_achtergevel_stadhuis_-_Eindhoven_-_20413336_-_RCE.jpg/1280px-Overzicht_achtergevel_stadhuis_-_Eindhoven_-_20413336_-_RCE.jpg"}, "retrieved_on": "2026-10-23"}</t>
        </is>
      </c>
    </row>
    <row r="104" ht="54" customHeight="1">
      <c r="A104" s="29" t="inlineStr">
        <is>
          <t>eindhoven:evidence:centrum-bolgesi-01</t>
        </is>
      </c>
      <c r="B104" s="29" t="inlineStr">
        <is>
          <t>eindhoven</t>
        </is>
      </c>
      <c r="C104" s="29" t="inlineStr">
        <is>
          <t>eindhoven:photo:centrum-bolgesi-01</t>
        </is>
      </c>
      <c r="D104" s="29" t="inlineStr">
        <is>
          <t>https://commons.wikimedia.org/wiki/File:13-06-28-eindhoven-by-RalfR-07.jpg</t>
        </is>
      </c>
      <c r="E104" s="29" t="inlineStr">
        <is>
          <t>File:13-06-28-eindhoven-by-RalfR-07.jpg</t>
        </is>
      </c>
      <c r="F104" s="29" t="inlineStr">
        <is>
          <t>Ralf Roletschek</t>
        </is>
      </c>
      <c r="G104" s="29" t="inlineStr">
        <is>
          <t>CC BY 3.0</t>
        </is>
      </c>
      <c r="H104" s="29" t="inlineStr">
        <is>
          <t>https://creativecommons.org/licenses/by/3.0/</t>
        </is>
      </c>
      <c r="I104" s="29" t="inlineStr">
        <is>
          <t>Creative Commons Attribution 3.0</t>
        </is>
      </c>
      <c r="J104" s="29" t="inlineStr">
        <is>
          <t>Ralf Roletschek · CC BY 3.0 · Wikimedia Commons</t>
        </is>
      </c>
      <c r="K104" s="29" t="n"/>
      <c r="L104" s="49" t="n">
        <v>46317</v>
      </c>
      <c r="M104" s="29" t="inlineStr">
        <is>
          <t>Bekliyor</t>
        </is>
      </c>
      <c r="N104" s="29" t="inlineStr">
        <is>
          <t>Bekliyor</t>
        </is>
      </c>
      <c r="O104" s="29" t="inlineStr">
        <is>
          <t>Fotoğraflar/eindhoven_centrum-bolgesi_01.jpg</t>
        </is>
      </c>
      <c r="P104" s="29" t="inlineStr">
        <is>
          <t>Üçgen cam panelli, damla biçimli cam bina ve çevresindeki binalar</t>
        </is>
      </c>
      <c r="Q104" s="29" t="inlineStr">
        <is>
          <t>Bekliyor</t>
        </is>
      </c>
      <c r="R104" s="29" t="inlineStr">
        <is>
          <t>Wikimedia Commons dosya sayfasındaki lisans: CC BY 3.0</t>
        </is>
      </c>
      <c r="S104" s="29" t="n"/>
      <c r="T104" s="29" t="n"/>
      <c r="U104" s="29" t="n"/>
      <c r="V104" s="29" t="n"/>
      <c r="W104" s="29" t="inlineStr">
        <is>
          <t>{"source_url": "https://commons.wikimedia.org/wiki/File:13-06-28-eindhoven-by-RalfR-07.jpg", "author": "Ralf Roletschek", "license": "CC BY 3.0", "license_url": "https://creativecommons.org/licenses/by/3.0/", "original_api_record": {"size": 3341139, "width": 2848, "height": 3185, "thumburl": "https://thumb.wikimedia.org/wikipedia/commons/thumb/2/2b/13-06-28-eindhoven-by-RalfR-07.jpg/1920px-13-06-28-eindhoven-by-RalfR-07.jpg?utm_source=commons.wikimedia.org&amp;utm_campaign=imageinfo&amp;utm_content=thumbnail", "thumbwidth": 1600, "thumbheight": 1789, "responsiveUrls": {"2": "https://upload.wikimedia.org/wikipedia/commons/2/2b/13-06-28-eindhoven-by-RalfR-07.jpg?utm_source=commons.wikimedia.org&amp;utm_campaign=imageinfo&amp;utm_content=thumbnail_unscaled"}, "thumbattribs": {"src": "https://thumb.wikimedia.org/wikipedia/commons/thumb/2/2b/13-06-28-eindhoven-by-RalfR-07.jpg/1920px-13-06-28-eindhoven-by-RalfR-07.jpg?utm_source=commons.wikimedia.org&amp;utm_campaign=imageinfo&amp;utm_content=thumbnail", "decoding": "async", "loading": "lazy", "width": 1600, "height": 1789, "srcset": "https://upload.wikimedia.org/wikipedia/commons/2/2b/13-06-28-eindhoven-by-RalfR-07.jpg?utm_source=commons.wikimedia.org&amp;utm_campaign=imageinfo&amp;utm_content=thumbnail_unscaled 2x"}, "url": "https://upload.wikimedia.org/wikipedia/commons/2/2b/13-06-28-eindhoven-by-RalfR-07.jpg?utm_source=commons.wikimedia.org&amp;utm_campaign=imageinfo&amp;utm_content=original", "descriptionurl": "https://commons.wikimedia.org/wiki/File:13-06-28-eindhoven-by-RalfR-07.jpg", "descriptionshorturl": "https://commons.wikimedia.org/w/index.php?curid=26941391", "sha1": "497a3c2a2fd82931da05bfb447fc6386fbd67181", "extmetadata": {"DateTime": {"value": "2016-05-24 16:30:28", "source": "mediawiki-metadata", "hidden": ""}, "ObjectName": {"value": "13-06-28-eindhoven-by-RalfR-07", "source": "mediawiki-metadata"}, "CommonsMetadataExtension": {"value": 1.2, "source": "extension", "hidden": ""}, "Categories": {"value": "GFDL|License migration redundant|Eindhoven Centrum|Self-published work|Supported by Wikimedia Deutschland|Supported by Wikimedia Österreich|Images by Ralf Roletschek/x|FoP-Netherlands|2013 in Eindhoven|Netherlands photographs taken on 2013-06-28|Files with coordinates missing SDC location of creation (51° N, 5° E)|Fotoaktion Robocup 2013", "source": "commons-categories", "hidden": ""}, "Assessments": {"value": "quality", "source": "commons-categories", "hidden": ""}, "GPSLatitude": {"value": "51.441130", "source": "commons-desc-page"}, "GPSLongitude": {"value": "5.475448", "source": "commons-desc-page"}, "GPSMapDatum": {"value": "WGS-84", "source": "commons-desc-page", "hidden": ""}, "ImageDescription": {"value": "Eindhoven, Niederlande, Stadtzentrum", "source": "commons-desc-page"}, "DateTimeOriginal": {"value": "2013-06-28 15:12:34",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"https://thumb.wikimedia.org/wikipedia/commons/thumb/2/2b/13-06-28-eindhoven-by-RalfR-07.jpg/1280px-13-06-28-eindhoven-by-RalfR-07.jpg"}, "retrieved_on": "2026-10-23"}</t>
        </is>
      </c>
    </row>
    <row r="105" ht="54" customHeight="1">
      <c r="A105" s="29" t="inlineStr">
        <is>
          <t>eindhoven:evidence:centrum-bolgesi-02</t>
        </is>
      </c>
      <c r="B105" s="29" t="inlineStr">
        <is>
          <t>eindhoven</t>
        </is>
      </c>
      <c r="C105" s="29" t="inlineStr">
        <is>
          <t>eindhoven:photo:centrum-bolgesi-02</t>
        </is>
      </c>
      <c r="D105" s="29" t="inlineStr">
        <is>
          <t>https://commons.wikimedia.org/wiki/File:Brandweerkazerne_Eindhoven-centrum.jpg</t>
        </is>
      </c>
      <c r="E105" s="29" t="inlineStr">
        <is>
          <t>File:Brandweerkazerne Eindhoven-centrum.jpg</t>
        </is>
      </c>
      <c r="F105" s="29" t="inlineStr">
        <is>
          <t>S. Perquin</t>
        </is>
      </c>
      <c r="G105" s="29" t="inlineStr">
        <is>
          <t>CC BY-SA 4.0</t>
        </is>
      </c>
      <c r="H105" s="29" t="inlineStr">
        <is>
          <t>https://creativecommons.org/licenses/by-sa/4.0/</t>
        </is>
      </c>
      <c r="I105" s="29" t="inlineStr">
        <is>
          <t>Creative Commons Attribution-Share Alike 4.0</t>
        </is>
      </c>
      <c r="J105" s="29" t="inlineStr">
        <is>
          <t>S. Perquin · CC BY-SA 4.0 · Wikimedia Commons</t>
        </is>
      </c>
      <c r="K105" s="29" t="n"/>
      <c r="L105" s="49" t="n">
        <v>46317</v>
      </c>
      <c r="M105" s="29" t="inlineStr">
        <is>
          <t>Bekliyor</t>
        </is>
      </c>
      <c r="N105" s="29" t="inlineStr">
        <is>
          <t>Bekliyor</t>
        </is>
      </c>
      <c r="O105" s="29" t="inlineStr">
        <is>
          <t>Fotoğraflar/eindhoven_centrum-bolgesi_02.jpg</t>
        </is>
      </c>
      <c r="P105" s="29" t="inlineStr">
        <is>
          <t>Yarım daire planlı kırmızı tuğla itfaiye binası, kemerli kırmızı garaj kapıları, arkada vinç</t>
        </is>
      </c>
      <c r="Q105" s="29" t="inlineStr">
        <is>
          <t>Bekliyor</t>
        </is>
      </c>
      <c r="R105" s="29" t="inlineStr">
        <is>
          <t>Wikimedia Commons dosya sayfasındaki lisans: CC BY-SA 4.0</t>
        </is>
      </c>
      <c r="S105" s="29" t="n"/>
      <c r="T105" s="29" t="n"/>
      <c r="U105" s="29" t="n"/>
      <c r="V105" s="29" t="n"/>
      <c r="W105" s="29" t="inlineStr">
        <is>
          <t>{"source_url": "https://commons.wikimedia.org/wiki/File:Brandweerkazerne_Eindhoven-centrum.jpg", "author": "S. Perquin", "license": "CC BY-SA 4.0", "license_url": "https://creativecommons.org/licenses/by-sa/4.0/", "original_api_record": {"size": 2572943, "width": 4674, "height": 2448, "thumburl": "https://thumb.wikimedia.org/wikipedia/commons/thumb/3/31/Brandweerkazerne_Eindhoven-centrum.jpg/1920px-Brandweerkazerne_Eindhoven-centrum.jpg?utm_source=commons.wikimedia.org&amp;utm_campaign=imageinfo&amp;utm_content=thumbnail", "thumbwidth": 1600, "thumbheight": 838, "responsiveUrls": {"2": "https://thumb.wikimedia.org/wikipedia/commons/thumb/3/31/Brandweerkazerne_Eindhoven-centrum.jpg/3840px-Brandweerkazerne_Eindhoven-centrum.jpg?utm_source=commons.wikimedia.org&amp;utm_campaign=imageinfo&amp;utm_content=thumbnail"}, "thumbattribs": {"src": "https://thumb.wikimedia.org/wikipedia/commons/thumb/3/31/Brandweerkazerne_Eindhoven-centrum.jpg/1920px-Brandweerkazerne_Eindhoven-centrum.jpg?utm_source=commons.wikimedia.org&amp;utm_campaign=imageinfo&amp;utm_content=thumbnail", "decoding": "async", "loading": "lazy", "width": 1600, "height": 838, "srcset": "https://thumb.wikimedia.org/wikipedia/commons/thumb/3/31/Brandweerkazerne_Eindhoven-centrum.jpg/3840px-Brandweerkazerne_Eindhoven-centrum.jpg?utm_source=commons.wikimedia.org&amp;utm_campaign=imageinfo&amp;utm_content=thumbnail 2x"}, "url": "https://upload.wikimedia.org/wikipedia/commons/3/31/Brandweerkazerne_Eindhoven-centrum.jpg?utm_source=commons.wikimedia.org&amp;utm_campaign=imageinfo&amp;utm_content=original", "descriptionurl": "https://commons.wikimedia.org/wiki/File:Brandweerkazerne_Eindhoven-centrum.jpg", "descriptionshorturl": "https://commons.wikimedia.org/w/index.php?curid=136899918", "sha1": "a40afed6bc86a32f95d1a0e1ff332f445ed52b17", "extmetadata": {"DateTime": {"value": "2023-09-03 15:07:41", "source": "mediawiki-metadata", "hidden": ""}, "ObjectName": {"value": "Brandweerkazerne Eindhoven-centrum", "source": "mediawiki-metadata"}, "CommonsMetadataExtension": {"value": 1.2, "source": "extension", "hidden": ""}, "Categories": {"value": "Self-published work|Photographs by S. Perquin|2023 photographs by S. Perquin|Photographs by S. Perquin in Eindhoven|Brandweerkazerne Edenstraat, Eindhoven", "source": "commons-categories", "hidden": ""}, "Assessments": {"value": "", "source": "commons-categories", "hidden": ""}, "ImageDescription": {"value": "De brandweerkazerne in het centrum van Eindhoven", "source": "commons-desc-page"}, "DateTimeOriginal": {"value": "2023-09-03 16:45:14",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"https://thumb.wikimedia.org/wikipedia/commons/thumb/3/31/Brandweerkazerne_Eindhoven-centrum.jpg/1280px-Brandweerkazerne_Eindhoven-centrum.jpg"}, "retrieved_on": "2026-10-23"}</t>
        </is>
      </c>
    </row>
    <row r="106" ht="54" customHeight="1">
      <c r="A106" s="29" t="inlineStr">
        <is>
          <t>eindhoven:evidence:de-bergen-mahallesi-01</t>
        </is>
      </c>
      <c r="B106" s="29" t="inlineStr">
        <is>
          <t>eindhoven</t>
        </is>
      </c>
      <c r="C106" s="29" t="inlineStr">
        <is>
          <t>eindhoven:photo:de-bergen-mahallesi-01</t>
        </is>
      </c>
      <c r="D106" s="29" t="inlineStr">
        <is>
          <t>https://commons.wikimedia.org/wiki/File:Catharinastraat_Eindhoven.jpg</t>
        </is>
      </c>
      <c r="E106" s="29" t="inlineStr">
        <is>
          <t>File:Catharinastraat Eindhoven.jpg</t>
        </is>
      </c>
      <c r="F106" s="29" t="inlineStr">
        <is>
          <t>Lempkesfabriek</t>
        </is>
      </c>
      <c r="G106" s="29" t="inlineStr">
        <is>
          <t>Public domain</t>
        </is>
      </c>
      <c r="H106" s="29" t="inlineStr">
        <is>
          <t>https://commons.wikimedia.org/wiki/File:Catharinastraat_Eindhoven.jpg</t>
        </is>
      </c>
      <c r="I106" s="29" t="inlineStr">
        <is>
          <t>Public domain</t>
        </is>
      </c>
      <c r="J106" s="29" t="inlineStr">
        <is>
          <t>Lempkesfabriek · Public domain · Wikimedia Commons</t>
        </is>
      </c>
      <c r="K106" s="29" t="n"/>
      <c r="L106" s="49" t="n">
        <v>46317</v>
      </c>
      <c r="M106" s="29" t="inlineStr">
        <is>
          <t>Bekliyor</t>
        </is>
      </c>
      <c r="N106" s="29" t="inlineStr">
        <is>
          <t>Bekliyor</t>
        </is>
      </c>
      <c r="O106" s="29" t="inlineStr">
        <is>
          <t>Fotoğraflar/eindhoven_de-bergen-mahallesi_01.jpg</t>
        </is>
      </c>
      <c r="P106" s="29" t="inlineStr">
        <is>
          <t>Sarmaşıklı tuğla sıra evler, ağaçlar ve park etmiş araçlarla dar sokak</t>
        </is>
      </c>
      <c r="Q106" s="29" t="inlineStr">
        <is>
          <t>Bekliyor</t>
        </is>
      </c>
      <c r="R106" s="29" t="inlineStr">
        <is>
          <t>Wikimedia Commons dosya sayfasındaki lisans: Public domain</t>
        </is>
      </c>
      <c r="S106" s="29" t="n"/>
      <c r="T106" s="29" t="n"/>
      <c r="U106" s="29" t="n"/>
      <c r="V106" s="29" t="n"/>
      <c r="W106" s="29" t="inlineStr">
        <is>
          <t>{"source_url": "https://commons.wikimedia.org/wiki/File:Catharinastraat_Eindhoven.jpg", "author": "Lempkesfabriek", "license": "Public domain", "license_url": "https://commons.wikimedia.org/wiki/File:Catharinastraat_Eindhoven.jpg", "original_api_record": {"size": 1111047, "width": 2368, "height": 2120, "thumburl": "https://thumb.wikimedia.org/wikipedia/commons/thumb/4/44/Catharinastraat_Eindhoven.jpg/1920px-Catharinastraat_Eindhoven.jpg?utm_source=commons.wikimedia.org&amp;utm_campaign=imageinfo&amp;utm_content=thumbnail", "thumbwidth": 1600, "thumbheight": 1432, "responsiveUrls": {"2": "https://upload.wikimedia.org/wikipedia/commons/4/44/Catharinastraat_Eindhoven.jpg?utm_source=commons.wikimedia.org&amp;utm_campaign=imageinfo&amp;utm_content=thumbnail_unscaled"}, "thumbattribs": {"src": "https://thumb.wikimedia.org/wikipedia/commons/thumb/4/44/Catharinastraat_Eindhoven.jpg/1920px-Catharinastraat_Eindhoven.jpg?utm_source=commons.wikimedia.org&amp;utm_campaign=imageinfo&amp;utm_content=thumbnail", "decoding": "async", "loading": "lazy", "width": 1600, "height": 1432, "srcset": "https://upload.wikimedia.org/wikipedia/commons/4/44/Catharinastraat_Eindhoven.jpg?utm_source=commons.wikimedia.org&amp;utm_campaign=imageinfo&amp;utm_content=thumbnail_unscaled 2x"}, "url": "https://upload.wikimedia.org/wikipedia/commons/4/44/Catharinastraat_Eindhoven.jpg?utm_source=commons.wikimedia.org&amp;utm_campaign=imageinfo&amp;utm_content=original", "descriptionurl": "https://commons.wikimedia.org/wiki/File:Catharinastraat_Eindhoven.jpg", "descriptionshorturl": "https://commons.wikimedia.org/w/index.php?curid=4204698", "sha1": "f9980b859e34a059e29213a049cbe1c560645904", "extmetadata": {"DateTime": {"value": "2008-06-12 09:44:11", "source": "mediawiki-metadata", "hidden": ""}, "ObjectName": {"value": "Catharinastraat Eindhoven", "source": "mediawiki-metadata"}, "CommonsMetadataExtension": {"value": 1.2, "source": "extension", "hidden": ""}, "Categories": {"value": "Streets in Eindhoven|Self-published work|PD-self|De Bergen", "source": "commons-categories", "hidden": ""}, "Assessments": {"value": "", "source": "commons-categories", "hidden": ""}, "ImageDescription": {"value": "Catharinastraat in Eindhoven in de wijk de Bergen, stadsdeel Centrum.", "source": "commons-desc-page"}, "DateTimeOriginal": {"value": "2008-06-08", "source": "commons-desc-page"}, "Credit": {"value": "&lt;span class=\"int-own-work\" lang=\"en\"&gt;Own work&lt;/span&gt;", "source": "commons-desc-page"}, "Artist": {"value": "&lt;a href=\"//commons.wikimedia.org/wiki/User:Lempkesfabriek\" title=\"User:Lempkesfabriek\"&gt;Lempkesfabriek&lt;/a&gt;",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"https://thumb.wikimedia.org/wikipedia/commons/thumb/4/44/Catharinastraat_Eindhoven.jpg/1280px-Catharinastraat_Eindhoven.jpg"}, "retrieved_on": "2026-10-23"}</t>
        </is>
      </c>
    </row>
    <row r="107" ht="54" customHeight="1">
      <c r="A107" s="29" t="inlineStr">
        <is>
          <t>eindhoven:evidence:strijp-s-mahallesi-01</t>
        </is>
      </c>
      <c r="B107" s="29" t="inlineStr">
        <is>
          <t>eindhoven</t>
        </is>
      </c>
      <c r="C107" s="29" t="inlineStr">
        <is>
          <t>eindhoven:photo:strijp-s-mahallesi-01</t>
        </is>
      </c>
      <c r="D107" s="29" t="inlineStr">
        <is>
          <t>https://commons.wikimedia.org/wiki/File:Bomen_op_het_dak_in_Strijp-S_in_Eindhoven_(48023562136).jpg</t>
        </is>
      </c>
      <c r="E107" s="29" t="inlineStr">
        <is>
          <t>File:Bomen op het dak in Strijp-S in Eindhoven (48023562136).jpg</t>
        </is>
      </c>
      <c r="F107" s="29" t="inlineStr">
        <is>
          <t>Nanda Sluijsmans from Den Haag, Nederland</t>
        </is>
      </c>
      <c r="G107" s="29" t="inlineStr">
        <is>
          <t>CC BY-SA 2.0</t>
        </is>
      </c>
      <c r="H107" s="29" t="inlineStr">
        <is>
          <t>https://creativecommons.org/licenses/by-sa/2.0/</t>
        </is>
      </c>
      <c r="I107" s="29" t="inlineStr">
        <is>
          <t>Creative Commons Attribution-Share Alike 2.0</t>
        </is>
      </c>
      <c r="J107" s="29" t="inlineStr">
        <is>
          <t>Nanda Sluijsmans from Den Haag, Nederland · CC BY-SA 2.0 · Wikimedia Commons</t>
        </is>
      </c>
      <c r="K107" s="29" t="n"/>
      <c r="L107" s="49" t="n">
        <v>46317</v>
      </c>
      <c r="M107" s="29" t="inlineStr">
        <is>
          <t>Bekliyor</t>
        </is>
      </c>
      <c r="N107" s="29" t="inlineStr">
        <is>
          <t>Bekliyor</t>
        </is>
      </c>
      <c r="O107" s="29" t="inlineStr">
        <is>
          <t>Fotoğraflar/eindhoven_strijp-s-mahallesi_01.jpg</t>
        </is>
      </c>
      <c r="P107" s="29" t="inlineStr">
        <is>
          <t>Çatısında ağaç sırası olan büyük beyaz bina, önünde ağaçlı yol, sokak lambaları, bisikletler</t>
        </is>
      </c>
      <c r="Q107" s="29" t="inlineStr">
        <is>
          <t>Bekliyor</t>
        </is>
      </c>
      <c r="R107" s="29" t="inlineStr">
        <is>
          <t>Wikimedia Commons dosya sayfasındaki lisans: CC BY-SA 2.0</t>
        </is>
      </c>
      <c r="S107" s="29" t="n"/>
      <c r="T107" s="29" t="n"/>
      <c r="U107" s="29" t="n"/>
      <c r="V107" s="29" t="n"/>
      <c r="W107" s="29" t="inlineStr">
        <is>
          <t>{"source_url": "https://commons.wikimedia.org/wiki/File:Bomen_op_het_dak_in_Strijp-S_in_Eindhoven_(48023562136).jpg", "author": "Nanda Sluijsmans from Den Haag, Nederland", "license": "CC BY-SA 2.0", "license_url": "https://creativecommons.org/licenses/by-sa/2.0/", "original_api_record": {"size": 7110347, "width": 5312, "height": 2988, "thumburl": "https://thumb.wikimedia.org/wikipedia/commons/thumb/8/83/Bomen_op_het_dak_in_Strijp-S_in_Eindhoven_%2848023562136%29.jpg/1920px-Bomen_op_het_dak_in_Strijp-S_in_Eindhoven_%2848023562136%29.jpg?utm_source=commons.wikimedia.org&amp;utm_campaign=imageinfo&amp;utm_content=thumbnail", "thumbwidth": 1600, "thumbheight": 900, "responsiveUrls": {"2": "https://thumb.wikimedia.org/wikipedia/commons/thumb/8/83/Bomen_op_het_dak_in_Strijp-S_in_Eindhoven_%2848023562136%29.jpg/3840px-Bomen_op_het_dak_in_Strijp-S_in_Eindhoven_%2848023562136%29.jpg?utm_source=commons.wikimedia.org&amp;utm_campaign=imageinfo&amp;utm_content=thumbnail"}, "thumbattribs": {"src": "https://thumb.wikimedia.org/wikipedia/commons/thumb/8/83/Bomen_op_het_dak_in_Strijp-S_in_Eindhoven_%2848023562136%29.jpg/1920px-Bomen_op_het_dak_in_Strijp-S_in_Eindhoven_%2848023562136%29.jpg?utm_source=commons.wikimedia.org&amp;utm_campaign=imageinfo&amp;utm_content=thumbnail", "decoding": "async", "loading": "lazy", "width": 1600, "height": 900, "srcset": "https://thumb.wikimedia.org/wikipedia/commons/thumb/8/83/Bomen_op_het_dak_in_Strijp-S_in_Eindhoven_%2848023562136%29.jpg/3840px-Bomen_op_het_dak_in_Strijp-S_in_Eindhoven_%2848023562136%29.jpg?utm_source=commons.wikimedia.org&amp;utm_campaign=imageinfo&amp;utm_content=thumbnail 2x"}, "url": "https://upload.wikimedia.org/wikipedia/commons/8/83/Bomen_op_het_dak_in_Strijp-S_in_Eindhoven_%2848023562136%29.jpg?utm_source=commons.wikimedia.org&amp;utm_campaign=imageinfo&amp;utm_content=original", "descriptionurl": "https://commons.wikimedia.org/wiki/File:Bomen_op_het_dak_in_Strijp-S_in_Eindhoven_(48023562136).jpg", "descriptionshorturl": "https://commons.wikimedia.org/w/index.php?curid=81322854", "sha1": "15fa48c8f99a750f3986a644ec4cc6de523c69f1", "extmetadata": {"DateTime": {"value": "2019-08-14 12:11:20", "source": "mediawiki-metadata", "hidden": ""}, "ObjectName": {"value": "Bomen op het dak in Strijp-S in Eindhoven (48023562136)", "source": "mediawiki-metadata"}, "CommonsMetadataExtension": {"value": 1.2, "source": "extension", "hidden": ""}, "Categories": {"value": "Eindhoven|Flickr images reviewed by FlickreviewR 2|Photographs by Nanda Sluijsmans, Eindhoven", "source": "commons-categories", "hidden": ""}, "Assessments": {"value": "", "source": "commons-categories", "hidden": ""}, "ImageDescription": {"value": "Photo by urban planner &lt;a rel=\"nofollow\" class=\"external text\" href=\"http://nandasluijsmans.nl/\"&gt;Nanda Sluijsmans&lt;/a&gt;", "source": "commons-desc-page"}, "DateTimeOriginal": {"value": "2019-06-02 13:32", "source": "commons-desc-page"}, "Credit": {"value": "&lt;a rel=\"nofollow\" class=\"external text\" href=\"https://www.flickr.com/photos/nandasluijsmans/48023562136/\"&gt;Bomen op het dak in Strijp-S in Eindhoven&lt;/a&gt;", "source": "commons-desc-page"}, "Artist": {"value": "&lt;a rel=\"nofollow\" class=\"external text\" href=\"https://www.flickr.com/people/141420435@N08\"&gt;Nanda Sluijsmans&lt;/a&gt; from Den Haag, Nederland",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"https://thumb.wikimedia.org/wikipedia/commons/thumb/8/83/Bomen_op_het_dak_in_Strijp-S_in_Eindhoven_%2848023562136%29.jpg/1280px-Bomen_op_het_dak_in_Strijp-S_in_Eindhoven_%2848023562136%29.jpg"}, "retrieved_on": "2026-10-23"}</t>
        </is>
      </c>
    </row>
    <row r="108" ht="54" customHeight="1">
      <c r="A108" s="29" t="inlineStr">
        <is>
          <t>eindhoven:evidence:philipsdorp-mahallesi-01</t>
        </is>
      </c>
      <c r="B108" s="29" t="inlineStr">
        <is>
          <t>eindhoven</t>
        </is>
      </c>
      <c r="C108" s="29" t="inlineStr">
        <is>
          <t>eindhoven:photo:philipsdorp-mahallesi-01</t>
        </is>
      </c>
      <c r="D108" s="29" t="inlineStr">
        <is>
          <t>https://commons.wikimedia.org/wiki/File:Eindhoven_-_Philipsdorp.jpg</t>
        </is>
      </c>
      <c r="E108" s="29" t="inlineStr">
        <is>
          <t>File:Eindhoven - Philipsdorp.jpg</t>
        </is>
      </c>
      <c r="F108" s="29" t="inlineStr">
        <is>
          <t>Jan Geerling</t>
        </is>
      </c>
      <c r="G108" s="29" t="inlineStr">
        <is>
          <t>CC BY-SA 4.0</t>
        </is>
      </c>
      <c r="H108" s="29" t="inlineStr">
        <is>
          <t>https://creativecommons.org/licenses/by-sa/4.0/</t>
        </is>
      </c>
      <c r="I108" s="29" t="inlineStr">
        <is>
          <t>Creative Commons Attribution-Share Alike 4.0</t>
        </is>
      </c>
      <c r="J108" s="29" t="inlineStr">
        <is>
          <t>Jan Geerling · CC BY-SA 4.0 · Wikimedia Commons</t>
        </is>
      </c>
      <c r="K108" s="29" t="n"/>
      <c r="L108" s="49" t="n">
        <v>46317</v>
      </c>
      <c r="M108" s="29" t="inlineStr">
        <is>
          <t>Bekliyor</t>
        </is>
      </c>
      <c r="N108" s="29" t="inlineStr">
        <is>
          <t>Bekliyor</t>
        </is>
      </c>
      <c r="O108" s="29" t="inlineStr">
        <is>
          <t>Fotoğraflar/eindhoven_philipsdorp-mahallesi_01.jpg</t>
        </is>
      </c>
      <c r="P108" s="29" t="inlineStr">
        <is>
          <t>Kırmızı çatılı sıra evler, saat kuleli taş kilise, arkada stadyum çatısı, caddede beyaz kamyonet</t>
        </is>
      </c>
      <c r="Q108" s="29" t="inlineStr">
        <is>
          <t>Bekliyor</t>
        </is>
      </c>
      <c r="R108" s="29" t="inlineStr">
        <is>
          <t>Wikimedia Commons dosya sayfasındaki lisans: CC BY-SA 4.0</t>
        </is>
      </c>
      <c r="S108" s="29" t="n"/>
      <c r="T108" s="29" t="n"/>
      <c r="U108" s="29" t="n"/>
      <c r="V108" s="29" t="n"/>
      <c r="W108" s="29" t="inlineStr">
        <is>
          <t>{"source_url": "https://commons.wikimedia.org/wiki/File:Eindhoven_-_Philipsdorp.jpg", "author": "Jan Geerling", "license": "CC BY-SA 4.0", "license_url": "https://creativecommons.org/licenses/by-sa/4.0/", "original_api_record": {"size": 883531, "width": 3048, "height": 3048, "thumburl": "https://thumb.wikimedia.org/wikipedia/commons/thumb/a/a9/Eindhoven_-_Philipsdorp.jpg/1920px-Eindhoven_-_Philipsdorp.jpg?utm_source=commons.wikimedia.org&amp;utm_campaign=imageinfo&amp;utm_content=thumbnail", "thumbwidth": 1600, "thumbheight": 1600, "responsiveUrls": {"2": "https://upload.wikimedia.org/wikipedia/commons/a/a9/Eindhoven_-_Philipsdorp.jpg?utm_source=commons.wikimedia.org&amp;utm_campaign=imageinfo&amp;utm_content=thumbnail_unscaled"}, "thumbattribs": {"src": "https://thumb.wikimedia.org/wikipedia/commons/thumb/a/a9/Eindhoven_-_Philipsdorp.jpg/1920px-Eindhoven_-_Philipsdorp.jpg?utm_source=commons.wikimedia.org&amp;utm_campaign=imageinfo&amp;utm_content=thumbnail", "decoding": "async", "loading": "lazy", "width": 1600, "height": 1600, "srcset": "https://upload.wikimedia.org/wikipedia/commons/a/a9/Eindhoven_-_Philipsdorp.jpg?utm_source=commons.wikimedia.org&amp;utm_campaign=imageinfo&amp;utm_content=thumbnail_unscaled 2x"}, "url": "https://upload.wikimedia.org/wikipedia/commons/a/a9/Eindhoven_-_Philipsdorp.jpg?utm_source=commons.wikimedia.org&amp;utm_campaign=imageinfo&amp;utm_content=original", "descriptionurl": "https://commons.wikimedia.org/wiki/File:Eindhoven_-_Philipsdorp.jpg", "descriptionshorturl": "https://commons.wikimedia.org/w/index.php?curid=96217650", "sha1": "e95eae6b3714e05ddd53d4c7f4eaabbe5b4c16ae", "extmetadata": {"DateTime": {"value": "2020-11-17 14:14:42", "source": "mediawiki-metadata", "hidden": ""}, "ObjectName": {"value": "&lt;div class=\"fn\"&gt;\nEindhoven- Philipsdorp Sint Antoniusstraat  Steentjeskerk&lt;/div&gt;", "source": "commons-desc-page"}, "CommonsMetadataExtension": {"value": 1.2, "source": "extension", "hidden": ""}, "Categories": {"value": "Steentjeskerk (Eindhoven)|Philips Stadion|Uploaded with pattypan|Self-published work|Files with coordinates missing SDC location of creation (51° N, 5° E)|Photographs by Jan Geerling contributed in 2021|Photographs by Jan Geerling in Eindhoven", "source": "commons-categories", "hidden": ""}, "Assessments": {"value": "", "source": "commons-categories", "hidden": ""}, "GPSLatitude": {"value": "51.438919", "source": "commons-desc-page"}, "GPSLongitude": {"value": "5.467752", "source": "commons-desc-page"}, "GPSMapDatum": {"value": "WGS-84", "source": "commons-desc-page", "hidden": ""}, "Artist": {"value": "&lt;bdi&gt;&lt;a href=\"https://www.wikidata.org/wiki/Q88378993\" class=\"extiw\" title=\"d:Q88378993\"&gt;&lt;span title=\"Dutch photographer\"&gt;Jan Geerling&lt;/span&gt;&lt;/a&gt;&lt;/bdi&gt;", "source": "commons-desc-page"}, "ImageDescription": {"value": "&lt;div class=\"description\"&gt;\nrechts de Steentjeskerk, op de achtergrond het PSV Stadion aan de Frederiklaan&lt;/div&gt;", "source": "commons-desc-page"}, "DateTimeOriginal": {"value": "29 September 2015, 12:51", "source": "commons-desc-page"}, "Credit": {"value": "&lt;span class=\"int-own-work\" lang=\"en\"&gt;Own work&lt;/span&gt;", "source": "commons-desc-page"}, "Permission": {"value": "I, the copyright holder of this work, hereby publish it under the following license:", "source": "commons-desc-page", "hidden": ""},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"https://thumb.wikimedia.org/wikipedia/commons/thumb/a/a9/Eindhoven_-_Philipsdorp.jpg/1280px-Eindhoven_-_Philipsdorp.jpg"}, "retrieved_on": "2026-10-23"}</t>
        </is>
      </c>
    </row>
    <row r="109" ht="54" customHeight="1">
      <c r="A109" s="29" t="inlineStr">
        <is>
          <t>eindhoven:evidence:meerhoven-mahallesi-01</t>
        </is>
      </c>
      <c r="B109" s="29" t="inlineStr">
        <is>
          <t>eindhoven</t>
        </is>
      </c>
      <c r="C109" s="29" t="inlineStr">
        <is>
          <t>eindhoven:photo:meerhoven-mahallesi-01</t>
        </is>
      </c>
      <c r="D109" s="29" t="inlineStr">
        <is>
          <t>https://commons.wikimedia.org/wiki/File:Eindhoven,_wijk_Meerhoven,_buurt_Meerrijk_met_op_de_achtergrond_Zandrijk.jpg</t>
        </is>
      </c>
      <c r="E109" s="29" t="inlineStr">
        <is>
          <t>File:Eindhoven, wijk Meerhoven, buurt Meerrijk met op de achtergrond Zandrijk.jpg</t>
        </is>
      </c>
      <c r="F109" s="29" t="inlineStr">
        <is>
          <t>Alex P. Kok</t>
        </is>
      </c>
      <c r="G109" s="29" t="inlineStr">
        <is>
          <t>CC BY-SA 4.0</t>
        </is>
      </c>
      <c r="H109" s="29" t="inlineStr">
        <is>
          <t>https://creativecommons.org/licenses/by-sa/4.0/</t>
        </is>
      </c>
      <c r="I109" s="29" t="inlineStr">
        <is>
          <t>Creative Commons Attribution-Share Alike 4.0</t>
        </is>
      </c>
      <c r="J109" s="29" t="inlineStr">
        <is>
          <t>Alex P. Kok · CC BY-SA 4.0 · Wikimedia Commons</t>
        </is>
      </c>
      <c r="K109" s="29" t="n"/>
      <c r="L109" s="49" t="n">
        <v>46317</v>
      </c>
      <c r="M109" s="29" t="inlineStr">
        <is>
          <t>Bekliyor</t>
        </is>
      </c>
      <c r="N109" s="29" t="inlineStr">
        <is>
          <t>Bekliyor</t>
        </is>
      </c>
      <c r="O109" s="29" t="inlineStr">
        <is>
          <t>Fotoğraflar/eindhoven_meerhoven-mahallesi_01.jpg</t>
        </is>
      </c>
      <c r="P109" s="29" t="inlineStr">
        <is>
          <t>Geniş çimenlik, göl, kırmızı tuğla yüksek konut kulesi ve alçak bloklar</t>
        </is>
      </c>
      <c r="Q109" s="29" t="inlineStr">
        <is>
          <t>Bekliyor</t>
        </is>
      </c>
      <c r="R109" s="29" t="inlineStr">
        <is>
          <t>Wikimedia Commons dosya sayfasındaki lisans: CC BY-SA 4.0</t>
        </is>
      </c>
      <c r="S109" s="29" t="n"/>
      <c r="T109" s="29" t="n"/>
      <c r="U109" s="29" t="n"/>
      <c r="V109" s="29" t="n"/>
      <c r="W109" s="29" t="inlineStr">
        <is>
          <t>{"source_url": "https://commons.wikimedia.org/wiki/File:Eindhoven,_wijk_Meerhoven,_buurt_Meerrijk_met_op_de_achtergrond_Zandrijk.jpg", "author": "Alex P. Kok", "license": "CC BY-SA 4.0", "license_url": "https://creativecommons.org/licenses/by-sa/4.0/", "original_api_record": {"size": 3051002, "width": 5568, "height": 3132, "thumburl": "https://thumb.wikimedia.org/wikipedia/commons/thumb/2/2b/Eindhoven%2C_wijk_Meerhoven%2C_buurt_Meerrijk_met_op_de_achtergrond_Zandrijk.jpg/1920px-Eindhoven%2C_wijk_Meerhoven%2C_buurt_Meerrijk_met_op_de_achtergrond_Zandrijk.jpg?utm_source=commons.wikimedia.org&amp;utm_campaign=imageinfo&amp;utm_content=thumbnail", "thumbwidth": 1600, "thumbheight": 900, "responsiveUrls": {"2": "https://thumb.wikimedia.org/wikipedia/commons/thumb/2/2b/Eindhoven%2C_wijk_Meerhoven%2C_buurt_Meerrijk_met_op_de_achtergrond_Zandrijk.jpg/3840px-Eindhoven%2C_wijk_Meerhoven%2C_buurt_Meerrijk_met_op_de_achtergrond_Zandrijk.jpg?utm_source=commons.wikimedia.org&amp;utm_campaign=imageinfo&amp;utm_content=thumbnail"}, "thumbattribs": {"src": "https://thumb.wikimedia.org/wikipedia/commons/thumb/2/2b/Eindhoven%2C_wijk_Meerhoven%2C_buurt_Meerrijk_met_op_de_achtergrond_Zandrijk.jpg/1920px-Eindhoven%2C_wijk_Meerhoven%2C_buurt_Meerrijk_met_op_de_achtergrond_Zandrijk.jpg?utm_source=commons.wikimedia.org&amp;utm_campaign=imageinfo&amp;utm_content=thumbnail", "decoding": "async", "loading": "lazy", "width": 1600, "height": 900, "srcset": "https://thumb.wikimedia.org/wikipedia/commons/thumb/2/2b/Eindhoven%2C_wijk_Meerhoven%2C_buurt_Meerrijk_met_op_de_achtergrond_Zandrijk.jpg/3840px-Eindhoven%2C_wijk_Meerhoven%2C_buurt_Meerrijk_met_op_de_achtergrond_Zandrijk.jpg?utm_source=commons.wikimedia.org&amp;utm_campaign=imageinfo&amp;utm_content=thumbnail 2x"}, "url": "https://upload.wikimedia.org/wikipedia/commons/2/2b/Eindhoven%2C_wijk_Meerhoven%2C_buurt_Meerrijk_met_op_de_achtergrond_Zandrijk.jpg?utm_source=commons.wikimedia.org&amp;utm_campaign=imageinfo&amp;utm_content=original", "descriptionurl": "https://commons.wikimedia.org/wiki/File:Eindhoven,_wijk_Meerhoven,_buurt_Meerrijk_met_op_de_achtergrond_Zandrijk.jpg", "descriptionshorturl": "https://commons.wikimedia.org/w/index.php?curid=112592319", "sha1": "8a5f274756e7d1cdd480bc3c713782746b52479c", "extmetadata": {"DateTime": {"value": "2021-11-17 15:08:55", "source": "mediawiki-metadata", "hidden": ""}, "ObjectName": {"value": "Eindhoven, wijk Meerhoven, buurt Meerrijk met op de achtergrond Zandrijk", "source": "mediawiki-metadata"}, "CommonsMetadataExtension": {"value": 1.2, "source": "extension", "hidden": ""}, "Categories": {"value": "Strijp|Self-published work|Photographs by Alex P. Kok", "source": "commons-categories", "hidden": ""}, "Assessments": {"value": "", "source": "commons-categories", "hidden": ""}, "ImageDescription": {"value": "Eindhoven, wijk Meerhoven, buurt Meerrijk met op de achtergrond Zandrijk", "source": "commons-desc-page"}, "DateTimeOriginal": {"value": "2021-11-09",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"https://thumb.wikimedia.org/wikipedia/commons/thumb/2/2b/Eindhoven%2C_wijk_Meerhoven%2C_buurt_Meerrijk_met_op_de_achtergrond_Zandrijk.jpg/1280px-Eindhoven%2C_wijk_Meerhoven%2C_buurt_Meerrijk_met_op_de_achtergrond_Zandrijk.jpg"}, "retrieved_on": "2026-10-23"}</t>
        </is>
      </c>
    </row>
    <row r="110" ht="54" customHeight="1">
      <c r="A110" s="29" t="inlineStr">
        <is>
          <t>eindhoven:evidence:meerhoven-mahallesi-02</t>
        </is>
      </c>
      <c r="B110" s="29" t="inlineStr">
        <is>
          <t>eindhoven</t>
        </is>
      </c>
      <c r="C110" s="29" t="inlineStr">
        <is>
          <t>eindhoven:photo:meerhoven-mahallesi-02</t>
        </is>
      </c>
      <c r="D110" s="29" t="inlineStr">
        <is>
          <t>https://commons.wikimedia.org/wiki/File:Natuur_in_Eindhoven_-_Meerhoven.jpg</t>
        </is>
      </c>
      <c r="E110" s="29" t="inlineStr">
        <is>
          <t>File:Natuur in Eindhoven - Meerhoven.jpg</t>
        </is>
      </c>
      <c r="F110" s="29" t="inlineStr">
        <is>
          <t>Dennal</t>
        </is>
      </c>
      <c r="G110" s="29" t="inlineStr">
        <is>
          <t>CC BY-SA 4.0</t>
        </is>
      </c>
      <c r="H110" s="29" t="inlineStr">
        <is>
          <t>https://creativecommons.org/licenses/by-sa/4.0/</t>
        </is>
      </c>
      <c r="I110" s="29" t="inlineStr">
        <is>
          <t>Creative Commons Attribution-Share Alike 4.0</t>
        </is>
      </c>
      <c r="J110" s="29" t="inlineStr">
        <is>
          <t>Dennal · CC BY-SA 4.0 · Wikimedia Commons</t>
        </is>
      </c>
      <c r="K110" s="29" t="n"/>
      <c r="L110" s="49" t="n">
        <v>46317</v>
      </c>
      <c r="M110" s="29" t="inlineStr">
        <is>
          <t>Bekliyor</t>
        </is>
      </c>
      <c r="N110" s="29" t="inlineStr">
        <is>
          <t>Bekliyor</t>
        </is>
      </c>
      <c r="O110" s="29" t="inlineStr">
        <is>
          <t>Fotoğraflar/eindhoven_meerhoven-mahallesi_02.jpg</t>
        </is>
      </c>
      <c r="P110" s="29" t="inlineStr">
        <is>
          <t>Kayalar arasından akan küçük dere, çimenli şevler, ağaçlık</t>
        </is>
      </c>
      <c r="Q110" s="29" t="inlineStr">
        <is>
          <t>Bekliyor</t>
        </is>
      </c>
      <c r="R110" s="29" t="inlineStr">
        <is>
          <t>Wikimedia Commons dosya sayfasındaki lisans: CC BY-SA 4.0</t>
        </is>
      </c>
      <c r="S110" s="29" t="n"/>
      <c r="T110" s="29" t="n"/>
      <c r="U110" s="29" t="n"/>
      <c r="V110" s="29" t="n"/>
      <c r="W110" s="29" t="inlineStr">
        <is>
          <t>{"source_url": "https://commons.wikimedia.org/wiki/File:Natuur_in_Eindhoven_-_Meerhoven.jpg", "author": "Dennal", "license": "CC BY-SA 4.0", "license_url": "https://creativecommons.org/licenses/by-sa/4.0/", "original_api_record": {"size": 3957703, "width": 3264, "height": 1836, "thumburl": "https://thumb.wikimedia.org/wikipedia/commons/thumb/4/47/Natuur_in_Eindhoven_-_Meerhoven.jpg/1920px-Natuur_in_Eindhoven_-_Meerhoven.jpg?utm_source=commons.wikimedia.org&amp;utm_campaign=imageinfo&amp;utm_content=thumbnail", "thumbwidth": 1600, "thumbheight": 900, "responsiveUrls": {"2": "https://upload.wikimedia.org/wikipedia/commons/4/47/Natuur_in_Eindhoven_-_Meerhoven.jpg?utm_source=commons.wikimedia.org&amp;utm_campaign=imageinfo&amp;utm_content=thumbnail_unscaled"}, "thumbattribs": {"src": "https://thumb.wikimedia.org/wikipedia/commons/thumb/4/47/Natuur_in_Eindhoven_-_Meerhoven.jpg/1920px-Natuur_in_Eindhoven_-_Meerhoven.jpg?utm_source=commons.wikimedia.org&amp;utm_campaign=imageinfo&amp;utm_content=thumbnail", "decoding": "async", "loading": "lazy", "width": 1600, "height": 900, "srcset": "https://upload.wikimedia.org/wikipedia/commons/4/47/Natuur_in_Eindhoven_-_Meerhoven.jpg?utm_source=commons.wikimedia.org&amp;utm_campaign=imageinfo&amp;utm_content=thumbnail_unscaled 2x"}, "url": "https://upload.wikimedia.org/wikipedia/commons/4/47/Natuur_in_Eindhoven_-_Meerhoven.jpg?utm_source=commons.wikimedia.org&amp;utm_campaign=imageinfo&amp;utm_content=original", "descriptionurl": "https://commons.wikimedia.org/wiki/File:Natuur_in_Eindhoven_-_Meerhoven.jpg", "descriptionshorturl": "https://commons.wikimedia.org/w/index.php?curid=35794483", "sha1": "7044d81ea7b707a0d00db7025d5dacbe93cccc65", "extmetadata": {"DateTime": {"value": "2014-09-30 12:53:23", "source": "mediawiki-metadata", "hidden": ""}, "ObjectName": {"value": "Natuur in Eindhoven - Meerhoven", "source": "mediawiki-metadata"}, "CommonsMetadataExtension": {"value": 1.2, "source": "extension", "hidden": ""}, "Categories": {"value": "Parks in Eindhoven|Self-published work|Water in Eindhoven|2014 in Eindhoven|Netherlands photographs taken on 2014-09-27|Taken with Samsung GT-I9505", "source": "commons-categories", "hidden": ""}, "Assessments": {"value": "", "source": "commons-categories", "hidden": ""}, "ImageDescription": {"value": "Natuur in Eindhoven - Meerhoven", "source": "commons-desc-page"}, "DateTimeOriginal": {"value": "2014-09-27 14:58:43", "source": "commons-desc-page"}, "Credit": {"value": "&lt;span class=\"int-own-work\" lang=\"en\"&gt;Own work&lt;/span&gt;", "source": "commons-desc-page"}, "Artist": {"value": "&lt;a href=\"//commons.wikimedia.org/w/index.php?title=User:Dennal&amp;amp;action=edit&amp;amp;redlink=1\" class=\"new\" title=\"User:Dennal (page does not exist)\"&gt;Dennal&lt;/a&gt;",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"https://thumb.wikimedia.org/wikipedia/commons/thumb/4/47/Natuur_in_Eindhoven_-_Meerhoven.jpg/1280px-Natuur_in_Eindhoven_-_Meerhoven.jpg"}, "retrieved_on": "2026-10-23"}</t>
        </is>
      </c>
    </row>
    <row r="111" ht="54" customHeight="1">
      <c r="A111" s="29" t="inlineStr">
        <is>
          <t>eindhoven:evidence:meerhoven-mahallesi-03</t>
        </is>
      </c>
      <c r="B111" s="29" t="inlineStr">
        <is>
          <t>eindhoven</t>
        </is>
      </c>
      <c r="C111" s="29" t="inlineStr">
        <is>
          <t>eindhoven:photo:meerhoven-mahallesi-03</t>
        </is>
      </c>
      <c r="D111" s="29" t="inlineStr">
        <is>
          <t>https://commons.wikimedia.org/wiki/File:Woontoren_Meerzicht.jpg</t>
        </is>
      </c>
      <c r="E111" s="29" t="inlineStr">
        <is>
          <t>File:Woontoren Meerzicht.jpg</t>
        </is>
      </c>
      <c r="F111" s="29" t="inlineStr">
        <is>
          <t>S. Perquin</t>
        </is>
      </c>
      <c r="G111" s="29" t="inlineStr">
        <is>
          <t>CC BY-SA 4.0</t>
        </is>
      </c>
      <c r="H111" s="29" t="inlineStr">
        <is>
          <t>https://creativecommons.org/licenses/by-sa/4.0/</t>
        </is>
      </c>
      <c r="I111" s="29" t="inlineStr">
        <is>
          <t>Creative Commons Attribution-Share Alike 4.0</t>
        </is>
      </c>
      <c r="J111" s="29" t="inlineStr">
        <is>
          <t>S. Perquin · CC BY-SA 4.0 · Wikimedia Commons</t>
        </is>
      </c>
      <c r="K111" s="29" t="n"/>
      <c r="L111" s="49" t="n">
        <v>46317</v>
      </c>
      <c r="M111" s="29" t="inlineStr">
        <is>
          <t>Bekliyor</t>
        </is>
      </c>
      <c r="N111" s="29" t="inlineStr">
        <is>
          <t>Bekliyor</t>
        </is>
      </c>
      <c r="O111" s="29" t="inlineStr">
        <is>
          <t>Fotoğraflar/eindhoven_meerhoven-mahallesi_03.jpg</t>
        </is>
      </c>
      <c r="P111" s="29" t="inlineStr">
        <is>
          <t>Su kenarında balkonlu kırmızı tuğla konut kulesi</t>
        </is>
      </c>
      <c r="Q111" s="29" t="inlineStr">
        <is>
          <t>Bekliyor</t>
        </is>
      </c>
      <c r="R111" s="29" t="inlineStr">
        <is>
          <t>Wikimedia Commons dosya sayfasındaki lisans: CC BY-SA 4.0</t>
        </is>
      </c>
      <c r="S111" s="29" t="n"/>
      <c r="T111" s="29" t="n"/>
      <c r="U111" s="29" t="n"/>
      <c r="V111" s="29" t="n"/>
      <c r="W111" s="29" t="inlineStr">
        <is>
          <t>{"source_url": "https://commons.wikimedia.org/wiki/File:Woontoren_Meerzicht.jpg", "author": "S. Perquin", "license": "CC BY-SA 4.0", "license_url": "https://creativecommons.org/licenses/by-sa/4.0/", "original_api_record": {"size": 3260169, "width": 3912, "height": 5868, "thumburl": "https://thumb.wikimedia.org/wikipedia/commons/thumb/a/ae/Woontoren_Meerzicht.jpg/1920px-Woontoren_Meerzicht.jpg?utm_source=commons.wikimedia.org&amp;utm_campaign=imageinfo&amp;utm_content=thumbnail", "thumbwidth": 1600, "thumbheight": 2400, "responsiveUrls": {"2": "https://thumb.wikimedia.org/wikipedia/commons/thumb/a/ae/Woontoren_Meerzicht.jpg/3840px-Woontoren_Meerzicht.jpg?utm_source=commons.wikimedia.org&amp;utm_campaign=imageinfo&amp;utm_content=thumbnail"}, "thumbattribs": {"src": "https://thumb.wikimedia.org/wikipedia/commons/thumb/a/ae/Woontoren_Meerzicht.jpg/1920px-Woontoren_Meerzicht.jpg?utm_source=commons.wikimedia.org&amp;utm_campaign=imageinfo&amp;utm_content=thumbnail", "decoding": "async", "loading": "lazy", "width": 1600, "height": 2400, "srcset": "https://thumb.wikimedia.org/wikipedia/commons/thumb/a/ae/Woontoren_Meerzicht.jpg/3840px-Woontoren_Meerzicht.jpg?utm_source=commons.wikimedia.org&amp;utm_campaign=imageinfo&amp;utm_content=thumbnail 2x"}, "url": "https://upload.wikimedia.org/wikipedia/commons/a/ae/Woontoren_Meerzicht.jpg?utm_source=commons.wikimedia.org&amp;utm_campaign=imageinfo&amp;utm_content=original", "descriptionurl": "https://commons.wikimedia.org/wiki/File:Woontoren_Meerzicht.jpg", "descriptionshorturl": "https://commons.wikimedia.org/w/index.php?curid=136899919", "sha1": "3a15730761c144c3d404d58d958c8dc27c447693", "extmetadata": {"DateTime": {"value": "2024-11-14 17:51:45", "source": "mediawiki-metadata", "hidden": ""}, "ObjectName": {"value": "Woontoren Meerzicht", "source": "mediawiki-metadata"}, "CommonsMetadataExtension": {"value": 1.2, "source": "extension", "hidden": ""}, "Categories": {"value": "Buildings in Eindhoven|Self-published work|Unassessed QI candidates|Photographs by S. Perquin|2023 photographs by S. Perquin", "source": "commons-categories", "hidden": ""}, "Assessments": {"value": "", "source": "commons-categories", "hidden": ""}, "ImageDescription": {"value": "Woontoren Meerzicht in Meerhoven", "source": "commons-desc-page"}, "DateTimeOriginal": {"value": "2023-09-03 15:49:56",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"https://thumb.wikimedia.org/wikipedia/commons/thumb/a/ae/Woontoren_Meerzicht.jpg/1280px-Woontoren_Meerzicht.jpg"}, "retrieved_on": "2026-10-23"}</t>
        </is>
      </c>
    </row>
    <row r="112" ht="54" customHeight="1">
      <c r="A112" s="29" t="inlineStr">
        <is>
          <t>eindhoven:evidence:woensel-zuid-bolgesi-01</t>
        </is>
      </c>
      <c r="B112" s="29" t="inlineStr">
        <is>
          <t>eindhoven</t>
        </is>
      </c>
      <c r="C112" s="29" t="inlineStr">
        <is>
          <t>eindhoven:photo:woensel-zuid-bolgesi-01</t>
        </is>
      </c>
      <c r="D112" s="29" t="inlineStr">
        <is>
          <t>https://commons.wikimedia.org/wiki/File:Eindhoven_-_Marconilaan_Soestdijk_II.jpg</t>
        </is>
      </c>
      <c r="E112" s="29" t="inlineStr">
        <is>
          <t>File:Eindhoven - Marconilaan Soestdijk II.jpg</t>
        </is>
      </c>
      <c r="F112" s="29" t="inlineStr">
        <is>
          <t>Hoebele</t>
        </is>
      </c>
      <c r="G112" s="29" t="inlineStr">
        <is>
          <t>CC BY-SA 4.0</t>
        </is>
      </c>
      <c r="H112" s="29" t="inlineStr">
        <is>
          <t>https://creativecommons.org/licenses/by-sa/4.0/</t>
        </is>
      </c>
      <c r="I112" s="29" t="inlineStr">
        <is>
          <t>Creative Commons Attribution-Share Alike 4.0</t>
        </is>
      </c>
      <c r="J112" s="29" t="inlineStr">
        <is>
          <t>Hoebele · CC BY-SA 4.0 · Wikimedia Commons</t>
        </is>
      </c>
      <c r="K112" s="29" t="n"/>
      <c r="L112" s="49" t="n">
        <v>46317</v>
      </c>
      <c r="M112" s="29" t="inlineStr">
        <is>
          <t>Bekliyor</t>
        </is>
      </c>
      <c r="N112" s="29" t="inlineStr">
        <is>
          <t>Bekliyor</t>
        </is>
      </c>
      <c r="O112" s="29" t="inlineStr">
        <is>
          <t>Fotoğraflar/eindhoven_woensel-zuid-bolgesi_01.jpg</t>
        </is>
      </c>
      <c r="P112" s="29" t="inlineStr">
        <is>
          <t>Sütunlu girişli, saat kuleli beyaz bina, 'Soestdijk II' tabelası</t>
        </is>
      </c>
      <c r="Q112" s="29" t="inlineStr">
        <is>
          <t>Bekliyor</t>
        </is>
      </c>
      <c r="R112" s="29" t="inlineStr">
        <is>
          <t>Wikimedia Commons dosya sayfasındaki lisans: CC BY-SA 4.0</t>
        </is>
      </c>
      <c r="S112" s="29" t="n"/>
      <c r="T112" s="29" t="n"/>
      <c r="U112" s="29" t="n"/>
      <c r="V112" s="29" t="n"/>
      <c r="W112" s="29" t="inlineStr">
        <is>
          <t>{"source_url": "https://commons.wikimedia.org/wiki/File:Eindhoven_-_Marconilaan_Soestdijk_II.jpg", "author": "Hoebele", "license": "CC BY-SA 4.0", "license_url": "https://creativecommons.org/licenses/by-sa/4.0/", "original_api_record": {"size": 1805457, "width": 3264, "height": 1840, "thumburl": "https://thumb.wikimedia.org/wikipedia/commons/thumb/4/42/Eindhoven_-_Marconilaan_Soestdijk_II.jpg/1920px-Eindhoven_-_Marconilaan_Soestdijk_II.jpg?utm_source=commons.wikimedia.org&amp;utm_campaign=imageinfo&amp;utm_content=thumbnail", "thumbwidth": 1600, "thumbheight": 902, "responsiveUrls": {"2": "https://upload.wikimedia.org/wikipedia/commons/4/42/Eindhoven_-_Marconilaan_Soestdijk_II.jpg?utm_source=commons.wikimedia.org&amp;utm_campaign=imageinfo&amp;utm_content=thumbnail_unscaled"}, "thumbattribs": {"src": "https://thumb.wikimedia.org/wikipedia/commons/thumb/4/42/Eindhoven_-_Marconilaan_Soestdijk_II.jpg/1920px-Eindhoven_-_Marconilaan_Soestdijk_II.jpg?utm_source=commons.wikimedia.org&amp;utm_campaign=imageinfo&amp;utm_content=thumbnail", "decoding": "async", "loading": "lazy", "width": 1600, "height": 902, "srcset": "https://upload.wikimedia.org/wikipedia/commons/4/42/Eindhoven_-_Marconilaan_Soestdijk_II.jpg?utm_source=commons.wikimedia.org&amp;utm_campaign=imageinfo&amp;utm_content=thumbnail_unscaled 2x"}, "url": "https://upload.wikimedia.org/wikipedia/commons/4/42/Eindhoven_-_Marconilaan_Soestdijk_II.jpg?utm_source=commons.wikimedia.org&amp;utm_campaign=imageinfo&amp;utm_content=original", "descriptionurl": "https://commons.wikimedia.org/wiki/File:Eindhoven_-_Marconilaan_Soestdijk_II.jpg", "descriptionshorturl": "https://commons.wikimedia.org/w/index.php?curid=155825230", "sha1": "114a3f82e7946b09929d016dc3964b05eb089cf1", "extmetadata": {"DateTime": {"value": "2024-11-26 12:40:28", "source": "mediawiki-metadata", "hidden": ""}, "ObjectName": {"value": "Eindhoven - Marconilaan Soestdijk II", "source": "mediawiki-metadata"}, "CommonsMetadataExtension": {"value": 1.2, "source": "extension", "hidden": ""}, "Categories": {"value": "Buildings in Eindhoven|Groenewoud (Eindhoven)|Erp (Eindhoven)|Self-published work|2017 in Eindhoven|Netherlands photographs taken on 2017-09-05", "source": "commons-categories", "hidden": ""}, "Assessments": {"value": "", "source": "commons-categories", "hidden": ""}, "ImageDescription": {"value": "\"Paleis Soestdijk II\" op de hoek van de Marconilaan en de Galileistraat, tussen station Eindhoven Strijp-S Beukenlaan, de Joodse begraafplaats en Baptistengemeente De Schuilplaats, in Woensel-Zuid in Eindhoven, in september 2017.", "source": "commons-desc-page"}, "DateTimeOriginal": {"value": "2017-09-05 19:26:20", "source": "commons-desc-page"}, "Credit": {"value": "&lt;span class=\"int-own-work\" lang=\"en\"&gt;Own work&lt;/span&gt;", "source": "commons-desc-page"}, "Artist": {"value": "&lt;a href=\"//commons.wikimedia.org/wiki/User:Hoebele\" title=\"User:Hoebele\"&gt;Hoebele&lt;/a&gt;",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"https://thumb.wikimedia.org/wikipedia/commons/thumb/4/42/Eindhoven_-_Marconilaan_Soestdijk_II.jpg/1280px-Eindhoven_-_Marconilaan_Soestdijk_II.jpg"}, "retrieved_on": "2026-10-23"}</t>
        </is>
      </c>
    </row>
    <row r="113" ht="54" customHeight="1">
      <c r="A113" s="29" t="inlineStr">
        <is>
          <t>eindhoven:evidence:woensel-zuid-bolgesi-02</t>
        </is>
      </c>
      <c r="B113" s="29" t="inlineStr">
        <is>
          <t>eindhoven</t>
        </is>
      </c>
      <c r="C113" s="29" t="inlineStr">
        <is>
          <t>eindhoven:photo:woensel-zuid-bolgesi-02</t>
        </is>
      </c>
      <c r="D113" s="29" t="inlineStr">
        <is>
          <t>https://commons.wikimedia.org/wiki/File:Woontoren_Porthos_Eindhoven.jpg</t>
        </is>
      </c>
      <c r="E113" s="29" t="inlineStr">
        <is>
          <t>File:Woontoren Porthos Eindhoven.jpg</t>
        </is>
      </c>
      <c r="F113" s="29" t="inlineStr">
        <is>
          <t>Choinowski</t>
        </is>
      </c>
      <c r="G113" s="29" t="inlineStr">
        <is>
          <t>CC BY-SA 4.0</t>
        </is>
      </c>
      <c r="H113" s="29" t="inlineStr">
        <is>
          <t>https://creativecommons.org/licenses/by-sa/4.0/</t>
        </is>
      </c>
      <c r="I113" s="29" t="inlineStr">
        <is>
          <t>Creative Commons Attribution-Share Alike 4.0</t>
        </is>
      </c>
      <c r="J113" s="29" t="inlineStr">
        <is>
          <t>Choinowski · CC BY-SA 4.0 · Wikimedia Commons</t>
        </is>
      </c>
      <c r="K113" s="29" t="n"/>
      <c r="L113" s="49" t="n">
        <v>46317</v>
      </c>
      <c r="M113" s="29" t="inlineStr">
        <is>
          <t>Bekliyor</t>
        </is>
      </c>
      <c r="N113" s="29" t="inlineStr">
        <is>
          <t>Bekliyor</t>
        </is>
      </c>
      <c r="O113" s="29" t="inlineStr">
        <is>
          <t>Fotoğraflar/eindhoven_woensel-zuid-bolgesi_02.jpg</t>
        </is>
      </c>
      <c r="P113" s="29" t="inlineStr">
        <is>
          <t>Koyu cepheli, bir yanı beyaz şeritli çok katlı konut kulesi, altta yol ve araçlar</t>
        </is>
      </c>
      <c r="Q113" s="29" t="inlineStr">
        <is>
          <t>Bekliyor</t>
        </is>
      </c>
      <c r="R113" s="29" t="inlineStr">
        <is>
          <t>Wikimedia Commons dosya sayfasındaki lisans: CC BY-SA 4.0</t>
        </is>
      </c>
      <c r="S113" s="29" t="n"/>
      <c r="T113" s="29" t="n"/>
      <c r="U113" s="29" t="n"/>
      <c r="V113" s="29" t="n"/>
      <c r="W113" s="29" t="inlineStr">
        <is>
          <t>{"source_url": "https://commons.wikimedia.org/wiki/File:Woontoren_Porthos_Eindhoven.jpg", "author": "Choinowski", "license": "CC BY-SA 4.0", "license_url": "https://creativecommons.org/licenses/by-sa/4.0/", "original_api_record": {"size": 3646403, "width": 3300, "height": 4952, "thumburl": "https://thumb.wikimedia.org/wikipedia/commons/thumb/5/51/Woontoren_Porthos_Eindhoven.jpg/1920px-Woontoren_Porthos_Eindhoven.jpg?utm_source=commons.wikimedia.org&amp;utm_campaign=imageinfo&amp;utm_content=thumbnail", "thumbwidth": 1600, "thumbheight": 2401, "responsiveUrls": {"2": "https://upload.wikimedia.org/wikipedia/commons/5/51/Woontoren_Porthos_Eindhoven.jpg?utm_source=commons.wikimedia.org&amp;utm_campaign=imageinfo&amp;utm_content=thumbnail_unscaled"}, "thumbattribs": {"src": "https://thumb.wikimedia.org/wikipedia/commons/thumb/5/51/Woontoren_Porthos_Eindhoven.jpg/1920px-Woontoren_Porthos_Eindhoven.jpg?utm_source=commons.wikimedia.org&amp;utm_campaign=imageinfo&amp;utm_content=thumbnail", "decoding": "async", "loading": "lazy", "width": 1600, "height": 2401, "srcset": "https://upload.wikimedia.org/wikipedia/commons/5/51/Woontoren_Porthos_Eindhoven.jpg?utm_source=commons.wikimedia.org&amp;utm_campaign=imageinfo&amp;utm_content=thumbnail_unscaled 2x"}, "url": "https://upload.wikimedia.org/wikipedia/commons/5/51/Woontoren_Porthos_Eindhoven.jpg?utm_source=commons.wikimedia.org&amp;utm_campaign=imageinfo&amp;utm_content=original", "descriptionurl": "https://commons.wikimedia.org/wiki/File:Woontoren_Porthos_Eindhoven.jpg", "descriptionshorturl": "https://commons.wikimedia.org/w/index.php?curid=162989441", "sha1": "014c2442b25dd0b92fc9fc33e25ac249936623a3", "extmetadata": {"DateTime": {"value": "2025-03-30 17:18:41", "source": "mediawiki-metadata", "hidden": ""}, "ObjectName": {"value": "Woontoren Porthos Eindhoven", "source": "mediawiki-metadata"}, "CommonsMetadataExtension": {"value": 1.2, "source": "extension", "hidden": ""}, "Categories": {"value": "Porthos|Self-published work|Netherlands photographs taken on 2016-09-06|2016 in Eindhoven", "source": "commons-categories", "hidden": ""}, "Assessments": {"value": "", "source": "commons-categories", "hidden": ""}, "ImageDescription": {"value": "De woontoren Porthos in de Eindhovense stadsdeel Woensel. Het gebouw ligt langs de Winston Churchilllaan en werd in 2006 opgeleverd. \nArchitect: Engelman Architecten", "source": "commons-desc-page"}, "DateTimeOriginal": {"value": "2016-09-06 13:43:19",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"https://thumb.wikimedia.org/wikipedia/commons/thumb/5/51/Woontoren_Porthos_Eindhoven.jpg/1280px-Woontoren_Porthos_Eindhoven.jpg"}, "retrieved_on": "2026-10-23"}</t>
        </is>
      </c>
    </row>
    <row r="114" ht="54" customHeight="1">
      <c r="A114" s="29" t="inlineStr">
        <is>
          <t>eindhoven:evidence:woensel-zuid-bolgesi-03</t>
        </is>
      </c>
      <c r="B114" s="29" t="inlineStr">
        <is>
          <t>eindhoven</t>
        </is>
      </c>
      <c r="C114" s="29" t="inlineStr">
        <is>
          <t>eindhoven:photo:woensel-zuid-bolgesi-03</t>
        </is>
      </c>
      <c r="D114" s="29" t="inlineStr">
        <is>
          <t>https://commons.wikimedia.org/wiki/File:Woontoren_Scottlaan_Eindhoven.jpg</t>
        </is>
      </c>
      <c r="E114" s="29" t="inlineStr">
        <is>
          <t>File:Woontoren Scottlaan Eindhoven.jpg</t>
        </is>
      </c>
      <c r="F114" s="29" t="inlineStr">
        <is>
          <t>Choinowski</t>
        </is>
      </c>
      <c r="G114" s="29" t="inlineStr">
        <is>
          <t>CC BY-SA 4.0</t>
        </is>
      </c>
      <c r="H114" s="29" t="inlineStr">
        <is>
          <t>https://creativecommons.org/licenses/by-sa/4.0/</t>
        </is>
      </c>
      <c r="I114" s="29" t="inlineStr">
        <is>
          <t>Creative Commons Attribution-Share Alike 4.0</t>
        </is>
      </c>
      <c r="J114" s="29" t="inlineStr">
        <is>
          <t>Choinowski · CC BY-SA 4.0 · Wikimedia Commons</t>
        </is>
      </c>
      <c r="K114" s="29" t="n"/>
      <c r="L114" s="49" t="n">
        <v>46317</v>
      </c>
      <c r="M114" s="29" t="inlineStr">
        <is>
          <t>Bekliyor</t>
        </is>
      </c>
      <c r="N114" s="29" t="inlineStr">
        <is>
          <t>Bekliyor</t>
        </is>
      </c>
      <c r="O114" s="29" t="inlineStr">
        <is>
          <t>Fotoğraflar/eindhoven_woensel-zuid-bolgesi_03.jpg</t>
        </is>
      </c>
      <c r="P114" s="29" t="inlineStr">
        <is>
          <t>Balkonlu gri-kahverengi tuğla konut bloğu, önünde çalılık alan</t>
        </is>
      </c>
      <c r="Q114" s="29" t="inlineStr">
        <is>
          <t>Bekliyor</t>
        </is>
      </c>
      <c r="R114" s="29" t="inlineStr">
        <is>
          <t>Wikimedia Commons dosya sayfasındaki lisans: CC BY-SA 4.0</t>
        </is>
      </c>
      <c r="S114" s="29" t="n"/>
      <c r="T114" s="29" t="n"/>
      <c r="U114" s="29" t="n"/>
      <c r="V114" s="29" t="n"/>
      <c r="W114" s="29" t="inlineStr">
        <is>
          <t>{"source_url": "https://commons.wikimedia.org/wiki/File:Woontoren_Scottlaan_Eindhoven.jpg", "author": "Choinowski", "license": "CC BY-SA 4.0", "license_url": "https://creativecommons.org/licenses/by-sa/4.0/", "original_api_record": {"size": 4031665, "width": 3234, "height": 4851, "thumburl": "https://thumb.wikimedia.org/wikipedia/commons/thumb/e/eb/Woontoren_Scottlaan_Eindhoven.jpg/1920px-Woontoren_Scottlaan_Eindhoven.jpg?utm_source=commons.wikimedia.org&amp;utm_campaign=imageinfo&amp;utm_content=thumbnail", "thumbwidth": 1600, "thumbheight": 2400, "responsiveUrls": {"2": "https://upload.wikimedia.org/wikipedia/commons/e/eb/Woontoren_Scottlaan_Eindhoven.jpg?utm_source=commons.wikimedia.org&amp;utm_campaign=imageinfo&amp;utm_content=thumbnail_unscaled"}, "thumbattribs": {"src": "https://thumb.wikimedia.org/wikipedia/commons/thumb/e/eb/Woontoren_Scottlaan_Eindhoven.jpg/1920px-Woontoren_Scottlaan_Eindhoven.jpg?utm_source=commons.wikimedia.org&amp;utm_campaign=imageinfo&amp;utm_content=thumbnail", "decoding": "async", "loading": "lazy", "width": 1600, "height": 2400, "srcset": "https://upload.wikimedia.org/wikipedia/commons/e/eb/Woontoren_Scottlaan_Eindhoven.jpg?utm_source=commons.wikimedia.org&amp;utm_campaign=imageinfo&amp;utm_content=thumbnail_unscaled 2x"}, "url": "https://upload.wikimedia.org/wikipedia/commons/e/eb/Woontoren_Scottlaan_Eindhoven.jpg?utm_source=commons.wikimedia.org&amp;utm_campaign=imageinfo&amp;utm_content=original", "descriptionurl": "https://commons.wikimedia.org/wiki/File:Woontoren_Scottlaan_Eindhoven.jpg", "descriptionshorturl": "https://commons.wikimedia.org/w/index.php?curid=144680639", "sha1": "89c055981229bd456c4b56dc7cf59e9ecdf8cda0", "extmetadata": {"DateTime": {"value": "2024-01-28 13:49:44", "source": "mediawiki-metadata", "hidden": ""}, "ObjectName": {"value": "Woontoren Scottlaan Eindhoven", "source": "mediawiki-metadata"}, "CommonsMetadataExtension": {"value": 1.2, "source": "extension", "hidden": ""}, "Categories": {"value": "Woensel|Self-published work|Houses in Eindhoven|2020 in Eindhoven|Netherlands photographs taken on 2020-11-07", "source": "commons-categories", "hidden": ""}, "Assessments": {"value": "", "source": "commons-categories", "hidden": ""}, "ImageDescription": {"value": "Woontoren Gunsele aan de Scottlaan in Eindhoven, gebouwd tussen 1977 en 1979  naar ontwerp van architectenbureau Werkgroep 4", "source": "commons-desc-page"}, "DateTimeOriginal": {"value": "2020-11-07 12:31:08",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"https://thumb.wikimedia.org/wikipedia/commons/thumb/e/eb/Woontoren_Scottlaan_Eindhoven.jpg/1280px-Woontoren_Scottlaan_Eindhoven.jpg"}, "retrieved_on": "2026-10-23"}</t>
        </is>
      </c>
    </row>
    <row r="115" ht="54" customHeight="1">
      <c r="A115" s="29" t="inlineStr">
        <is>
          <t>eindhoven:evidence:stratum-bolgesi-01</t>
        </is>
      </c>
      <c r="B115" s="29" t="inlineStr">
        <is>
          <t>eindhoven</t>
        </is>
      </c>
      <c r="C115" s="29" t="inlineStr">
        <is>
          <t>eindhoven:photo:stratum-bolgesi-01</t>
        </is>
      </c>
      <c r="D115" s="29" t="inlineStr">
        <is>
          <t>https://commons.wikimedia.org/wiki/File:Eindhoven_-_Stratum_-_Elzent-Noord_-_Jan_Smitzlaan_-_Elzentbrug_-_2026-03-01.jpg</t>
        </is>
      </c>
      <c r="E115" s="29" t="inlineStr">
        <is>
          <t>File:Eindhoven - Stratum - Elzent-Noord - Jan Smitzlaan - Elzentbrug - 2026-03-01.jpg</t>
        </is>
      </c>
      <c r="F115" s="29" t="inlineStr">
        <is>
          <t>Sjenghai</t>
        </is>
      </c>
      <c r="G115" s="29" t="inlineStr">
        <is>
          <t>CC BY-SA 4.0</t>
        </is>
      </c>
      <c r="H115" s="29" t="inlineStr">
        <is>
          <t>https://creativecommons.org/licenses/by-sa/4.0/</t>
        </is>
      </c>
      <c r="I115" s="29" t="inlineStr">
        <is>
          <t>Creative Commons Attribution-Share Alike 4.0</t>
        </is>
      </c>
      <c r="J115" s="29" t="inlineStr">
        <is>
          <t>Sjenghai · CC BY-SA 4.0 · Wikimedia Commons</t>
        </is>
      </c>
      <c r="K115" s="29" t="n"/>
      <c r="L115" s="49" t="n">
        <v>46317</v>
      </c>
      <c r="M115" s="29" t="inlineStr">
        <is>
          <t>Bekliyor</t>
        </is>
      </c>
      <c r="N115" s="29" t="inlineStr">
        <is>
          <t>Bekliyor</t>
        </is>
      </c>
      <c r="O115" s="29" t="inlineStr">
        <is>
          <t>Fotoğraflar/eindhoven_stratum-bolgesi_01.jpg</t>
        </is>
      </c>
      <c r="P115" s="29" t="inlineStr">
        <is>
          <t>Kırmızı bisiklet yollu cadde, fenerli tuğla köprü korkulukları, yapraksız ağaçlar</t>
        </is>
      </c>
      <c r="Q115" s="29" t="inlineStr">
        <is>
          <t>Bekliyor</t>
        </is>
      </c>
      <c r="R115" s="29" t="inlineStr">
        <is>
          <t>Wikimedia Commons dosya sayfasındaki lisans: CC BY-SA 4.0</t>
        </is>
      </c>
      <c r="S115" s="29" t="n"/>
      <c r="T115" s="29" t="n"/>
      <c r="U115" s="29" t="n"/>
      <c r="V115" s="29" t="n"/>
      <c r="W115" s="29" t="inlineStr">
        <is>
          <t>{"source_url": "https://commons.wikimedia.org/wiki/File:Eindhoven_-_Stratum_-_Elzent-Noord_-_Jan_Smitzlaan_-_Elzentbrug_-_2026-03-01.jpg", "author": "Sjenghai", "license": "CC BY-SA 4.0", "license_url": "https://creativecommons.org/licenses/by-sa/4.0/", "original_api_record": {"size": 4779393, "width": 4040, "height": 2440, "thumburl": "https://thumb.wikimedia.org/wikipedia/commons/thumb/9/97/Eindhoven_-_Stratum_-_Elzent-Noord_-_Jan_Smitzlaan_-_Elzentbrug_-_2026-03-01.jpg/1920px-Eindhoven_-_Stratum_-_Elzent-Noord_-_Jan_Smitzlaan_-_Elzentbrug_-_2026-03-01.jpg?utm_source=commons.wikimedia.org&amp;utm_campaign=imageinfo&amp;utm_content=thumbnail", "thumbwidth": 1600, "thumbheight": 966, "responsiveUrls": {"2": "https://thumb.wikimedia.org/wikipedia/commons/thumb/9/97/Eindhoven_-_Stratum_-_Elzent-Noord_-_Jan_Smitzlaan_-_Elzentbrug_-_2026-03-01.jpg/3840px-Eindhoven_-_Stratum_-_Elzent-Noord_-_Jan_Smitzlaan_-_Elzentbrug_-_2026-03-01.jpg?utm_source=commons.wikimedia.org&amp;utm_campaign=imageinfo&amp;utm_content=thumbnail"}, "thumbattribs": {"src": "https://thumb.wikimedia.org/wikipedia/commons/thumb/9/97/Eindhoven_-_Stratum_-_Elzent-Noord_-_Jan_Smitzlaan_-_Elzentbrug_-_2026-03-01.jpg/1920px-Eindhoven_-_Stratum_-_Elzent-Noord_-_Jan_Smitzlaan_-_Elzentbrug_-_2026-03-01.jpg?utm_source=commons.wikimedia.org&amp;utm_campaign=imageinfo&amp;utm_content=thumbnail", "decoding": "async", "loading": "lazy", "width": 1600, "height": 966, "srcset": "https://thumb.wikimedia.org/wikipedia/commons/thumb/9/97/Eindhoven_-_Stratum_-_Elzent-Noord_-_Jan_Smitzlaan_-_Elzentbrug_-_2026-03-01.jpg/3840px-Eindhoven_-_Stratum_-_Elzent-Noord_-_Jan_Smitzlaan_-_Elzentbrug_-_2026-03-01.jpg?utm_source=commons.wikimedia.org&amp;utm_campaign=imageinfo&amp;utm_content=thumbnail 2x"}, "url": "https://upload.wikimedia.org/wikipedia/commons/9/97/Eindhoven_-_Stratum_-_Elzent-Noord_-_Jan_Smitzlaan_-_Elzentbrug_-_2026-03-01.jpg?utm_source=commons.wikimedia.org&amp;utm_campaign=imageinfo&amp;utm_content=original", "descriptionurl": "https://commons.wikimedia.org/wiki/File:Eindhoven_-_Stratum_-_Elzent-Noord_-_Jan_Smitzlaan_-_Elzentbrug_-_2026-03-01.jpg", "descriptionshorturl": "https://commons.wikimedia.org/w/index.php?curid=186690204", "sha1": "9443fa7305d7e57a61195b68841fac9858ad5dd2", "extmetadata": {"DateTime": {"value": "2026-03-22 13:11:04", "source": "mediawiki-metadata", "hidden": ""}, "ObjectName": {"value": "Eindhoven - Stratum - Elzent-Noord - Jan Smitzlaan - Elzentbrug - 2026-03-01", "source": "mediawiki-metadata"}, "CommonsMetadataExtension": {"value": 1.2, "source": "extension", "hidden": ""}, "Categories": {"value": "Rijksmonumenten in Eindhoven|Elzent-Noord|Anne Frankplantsoen|Self-published work|Built in the Netherlands in 1930|Bridges in Eindhoven|2026 in Eindhoven|Netherlands photographs taken on 2026-03-01|March 2026 North Brabant photographs", "source": "commons-categories", "hidden": ""}, "Assessments": {"value": "", "source": "commons-categories", "hidden": ""}, "ImageDescription": {"value": "De Elzentbrug over de rivier de Dommel bij de wijk Elzent-Noord in het Eindhovense stadsdeeel Stratum. De brug werd gebouwd in 1930 en is een beschermd Rijksmonument (nummer 518820).", "source": "commons-desc-page"}, "DateTimeOriginal": {"value": "2026-03-01", "source": "commons-desc-page"}, "Credit": {"value": "&lt;span class=\"int-own-work\" lang=\"en\"&gt;Own work&lt;/span&gt;", "source": "commons-desc-page"}, "Artist": {"value": "&lt;a href=\"//commons.wikimedia.org/wiki/User:Sjenghai\" title=\"User:Sjenghai\"&gt;Sjenghai&lt;/a&gt;",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"https://thumb.wikimedia.org/wikipedia/commons/thumb/9/97/Eindhoven_-_Stratum_-_Elzent-Noord_-_Jan_Smitzlaan_-_Elzentbrug_-_2026-03-01.jpg/1280px-Eindhoven_-_Stratum_-_Elzent-Noord_-_Jan_Smitzlaan_-_Elzentbrug_-_2026-03-01.jpg"}, "retrieved_on": "2026-10-23"}</t>
        </is>
      </c>
    </row>
    <row r="116" ht="54" customHeight="1">
      <c r="A116" s="29" t="inlineStr">
        <is>
          <t>eindhoven:evidence:stratum-bolgesi-02</t>
        </is>
      </c>
      <c r="B116" s="29" t="inlineStr">
        <is>
          <t>eindhoven</t>
        </is>
      </c>
      <c r="C116" s="29" t="inlineStr">
        <is>
          <t>eindhoven:photo:stratum-bolgesi-02</t>
        </is>
      </c>
      <c r="D116" s="29" t="inlineStr">
        <is>
          <t>https://commons.wikimedia.org/wiki/File:Eindhoven_-_Stratum_-_Elzent-Zuid_-_De_Genestetlaan_-_2026-03-01.jpg</t>
        </is>
      </c>
      <c r="E116" s="29" t="inlineStr">
        <is>
          <t>File:Eindhoven - Stratum - Elzent-Zuid - De Genestetlaan - 2026-03-01.jpg</t>
        </is>
      </c>
      <c r="F116" s="29" t="inlineStr">
        <is>
          <t>Sjenghai</t>
        </is>
      </c>
      <c r="G116" s="29" t="inlineStr">
        <is>
          <t>CC BY-SA 4.0</t>
        </is>
      </c>
      <c r="H116" s="29" t="inlineStr">
        <is>
          <t>https://creativecommons.org/licenses/by-sa/4.0/</t>
        </is>
      </c>
      <c r="I116" s="29" t="inlineStr">
        <is>
          <t>Creative Commons Attribution-Share Alike 4.0</t>
        </is>
      </c>
      <c r="J116" s="29" t="inlineStr">
        <is>
          <t>Sjenghai · CC BY-SA 4.0 · Wikimedia Commons</t>
        </is>
      </c>
      <c r="K116" s="29" t="n"/>
      <c r="L116" s="49" t="n">
        <v>46317</v>
      </c>
      <c r="M116" s="29" t="inlineStr">
        <is>
          <t>Bekliyor</t>
        </is>
      </c>
      <c r="N116" s="29" t="inlineStr">
        <is>
          <t>Bekliyor</t>
        </is>
      </c>
      <c r="O116" s="29" t="inlineStr">
        <is>
          <t>Fotoğraflar/eindhoven_stratum-bolgesi_02.jpg</t>
        </is>
      </c>
      <c r="P116" s="29" t="inlineStr">
        <is>
          <t>Kırmızı kiremit çatılı, yüksek bacalı tuğla evler, çitler, taş döşeli sokak</t>
        </is>
      </c>
      <c r="Q116" s="29" t="inlineStr">
        <is>
          <t>Bekliyor</t>
        </is>
      </c>
      <c r="R116" s="29" t="inlineStr">
        <is>
          <t>Wikimedia Commons dosya sayfasındaki lisans: CC BY-SA 4.0</t>
        </is>
      </c>
      <c r="S116" s="29" t="n"/>
      <c r="T116" s="29" t="n"/>
      <c r="U116" s="29" t="n"/>
      <c r="V116" s="29" t="n"/>
      <c r="W116" s="29" t="inlineStr">
        <is>
          <t>{"source_url": "https://commons.wikimedia.org/wiki/File:Eindhoven_-_Stratum_-_Elzent-Zuid_-_De_Genestetlaan_-_2026-03-01.jpg", "author": "Sjenghai", "license": "CC BY-SA 4.0", "license_url": "https://creativecommons.org/licenses/by-sa/4.0/", "original_api_record": {"size": 3113293, "width": 3260, "height": 2504, "thumburl": "https://thumb.wikimedia.org/wikipedia/commons/thumb/0/0c/Eindhoven_-_Stratum_-_Elzent-Zuid_-_De_Genestetlaan_-_2026-03-01.jpg/1920px-Eindhoven_-_Stratum_-_Elzent-Zuid_-_De_Genestetlaan_-_2026-03-01.jpg?utm_source=commons.wikimedia.org&amp;utm_campaign=imageinfo&amp;utm_content=thumbnail", "thumbwidth": 1600, "thumbheight": 1229, "responsiveUrls": {"2": "https://upload.wikimedia.org/wikipedia/commons/0/0c/Eindhoven_-_Stratum_-_Elzent-Zuid_-_De_Genestetlaan_-_2026-03-01.jpg?utm_source=commons.wikimedia.org&amp;utm_campaign=imageinfo&amp;utm_content=thumbnail_unscaled"}, "thumbattribs": {"src": "https://thumb.wikimedia.org/wikipedia/commons/thumb/0/0c/Eindhoven_-_Stratum_-_Elzent-Zuid_-_De_Genestetlaan_-_2026-03-01.jpg/1920px-Eindhoven_-_Stratum_-_Elzent-Zuid_-_De_Genestetlaan_-_2026-03-01.jpg?utm_source=commons.wikimedia.org&amp;utm_campaign=imageinfo&amp;utm_content=thumbnail", "decoding": "async", "loading": "lazy", "width": 1600, "height": 1229, "srcset": "https://upload.wikimedia.org/wikipedia/commons/0/0c/Eindhoven_-_Stratum_-_Elzent-Zuid_-_De_Genestetlaan_-_2026-03-01.jpg?utm_source=commons.wikimedia.org&amp;utm_campaign=imageinfo&amp;utm_content=thumbnail_unscaled 2x"}, "url": "https://upload.wikimedia.org/wikipedia/commons/0/0c/Eindhoven_-_Stratum_-_Elzent-Zuid_-_De_Genestetlaan_-_2026-03-01.jpg?utm_source=commons.wikimedia.org&amp;utm_campaign=imageinfo&amp;utm_content=original", "descriptionurl": "https://commons.wikimedia.org/wiki/File:Eindhoven_-_Stratum_-_Elzent-Zuid_-_De_Genestetlaan_-_2026-03-01.jpg", "descriptionshorturl": "https://commons.wikimedia.org/w/index.php?curid=187233252", "sha1": "dd1fe69b12b9de02bb209ba331d850e69059f0d5", "extmetadata": {"DateTime": {"value": "2026-03-27 19:37:20", "source": "mediawiki-metadata", "hidden": ""}, "ObjectName": {"value": "Eindhoven - Stratum - Elzent-Zuid - De Genestetlaan - 2026-03-01", "source": "mediawiki-metadata"}, "CommonsMetadataExtension": {"value": 1.2, "source": "extension", "hidden": ""}, "Categories": {"value": "Streets in Eindhoven|Elzent-Zuid|Self-published work|2026 in Eindhoven|Netherlands photographs taken on 2026-03-01|March 2026 North Brabant photographs", "source": "commons-categories", "hidden": ""}, "Assessments": {"value": "", "source": "commons-categories", "hidden": ""}, "ImageDescription": {"value": "De de Genestetlaan in de wijk Elzent-Zuid van het Eindhovense stadsdeel Stratum.", "source": "commons-desc-page"}, "DateTimeOriginal": {"value": "2026-03-01", "source": "commons-desc-page"}, "Credit": {"value": "&lt;span class=\"int-own-work\" lang=\"en\"&gt;Own work&lt;/span&gt;", "source": "commons-desc-page"}, "Artist": {"value": "&lt;a href=\"//commons.wikimedia.org/wiki/User:Sjenghai\" title=\"User:Sjenghai\"&gt;Sjenghai&lt;/a&gt;",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"https://thumb.wikimedia.org/wikipedia/commons/thumb/0/0c/Eindhoven_-_Stratum_-_Elzent-Zuid_-_De_Genestetlaan_-_2026-03-01.jpg/1280px-Eindhoven_-_Stratum_-_Elzent-Zuid_-_De_Genestetlaan_-_2026-03-01.jpg"}, "retrieved_on": "2026-10-23"}</t>
        </is>
      </c>
    </row>
    <row r="117" ht="54" customHeight="1">
      <c r="A117" s="29" t="inlineStr">
        <is>
          <t>eindhoven:evidence:stratum-bolgesi-03</t>
        </is>
      </c>
      <c r="B117" s="29" t="inlineStr">
        <is>
          <t>eindhoven</t>
        </is>
      </c>
      <c r="C117" s="29" t="inlineStr">
        <is>
          <t>eindhoven:photo:stratum-bolgesi-03</t>
        </is>
      </c>
      <c r="D117" s="29" t="inlineStr">
        <is>
          <t>https://commons.wikimedia.org/wiki/File:Eindhoven_H._Pius_X_Kerk,_Stratum.jpg</t>
        </is>
      </c>
      <c r="E117" s="29" t="inlineStr">
        <is>
          <t>File:Eindhoven H. Pius X Kerk, Stratum.jpg</t>
        </is>
      </c>
      <c r="F117" s="29" t="inlineStr">
        <is>
          <t>Machiel Lock</t>
        </is>
      </c>
      <c r="G117" s="29" t="inlineStr">
        <is>
          <t>CC BY-SA 4.0</t>
        </is>
      </c>
      <c r="H117" s="29" t="inlineStr">
        <is>
          <t>https://creativecommons.org/licenses/by-sa/4.0/</t>
        </is>
      </c>
      <c r="I117" s="29" t="inlineStr">
        <is>
          <t>Creative Commons Attribution-Share Alike 4.0</t>
        </is>
      </c>
      <c r="J117" s="29" t="inlineStr">
        <is>
          <t>Machiel Lock · CC BY-SA 4.0 · Wikimedia Commons</t>
        </is>
      </c>
      <c r="K117" s="29" t="n"/>
      <c r="L117" s="49" t="n">
        <v>46317</v>
      </c>
      <c r="M117" s="29" t="inlineStr">
        <is>
          <t>Bekliyor</t>
        </is>
      </c>
      <c r="N117" s="29" t="inlineStr">
        <is>
          <t>Bekliyor</t>
        </is>
      </c>
      <c r="O117" s="29" t="inlineStr">
        <is>
          <t>Fotoğraflar/eindhoven_stratum-bolgesi_03.jpg</t>
        </is>
      </c>
      <c r="P117" s="29" t="inlineStr">
        <is>
          <t>Haçlı açık çan kulesi, yuvarlak pencereli sarı tuğla kilise, park etmiş arabalar</t>
        </is>
      </c>
      <c r="Q117" s="29" t="inlineStr">
        <is>
          <t>Bekliyor</t>
        </is>
      </c>
      <c r="R117" s="29" t="inlineStr">
        <is>
          <t>Wikimedia Commons dosya sayfasındaki lisans: CC BY-SA 4.0</t>
        </is>
      </c>
      <c r="S117" s="29" t="n"/>
      <c r="T117" s="29" t="n"/>
      <c r="U117" s="29" t="n"/>
      <c r="V117" s="29" t="n"/>
      <c r="W117" s="29" t="inlineStr">
        <is>
          <t>{"source_url": "https://commons.wikimedia.org/wiki/File:Eindhoven_H._Pius_X_Kerk,_Stratum.jpg", "author": "Machiel Lock", "license": "CC BY-SA 4.0", "license_url": "https://creativecommons.org/licenses/by-sa/4.0/", "original_api_record": {"size": 1353182, "width": 3264, "height": 2448, "thumburl": "https://thumb.wikimedia.org/wikipedia/commons/thumb/4/4b/Eindhoven_H._Pius_X_Kerk%2C_Stratum.jpg/1920px-Eindhoven_H._Pius_X_Kerk%2C_Stratum.jpg?utm_source=commons.wikimedia.org&amp;utm_campaign=imageinfo&amp;utm_content=thumbnail", "thumbwidth": 1600, "thumbheight": 1200, "responsiveUrls": {"2": "https://upload.wikimedia.org/wikipedia/commons/4/4b/Eindhoven_H._Pius_X_Kerk%2C_Stratum.jpg?utm_source=commons.wikimedia.org&amp;utm_campaign=imageinfo&amp;utm_content=thumbnail_unscaled"}, "thumbattribs": {"src": "https://thumb.wikimedia.org/wikipedia/commons/thumb/4/4b/Eindhoven_H._Pius_X_Kerk%2C_Stratum.jpg/1920px-Eindhoven_H._Pius_X_Kerk%2C_Stratum.jpg?utm_source=commons.wikimedia.org&amp;utm_campaign=imageinfo&amp;utm_content=thumbnail", "decoding": "async", "loading": "lazy", "width": 1600, "height": 1200, "srcset": "https://upload.wikimedia.org/wikipedia/commons/4/4b/Eindhoven_H._Pius_X_Kerk%2C_Stratum.jpg?utm_source=commons.wikimedia.org&amp;utm_campaign=imageinfo&amp;utm_content=thumbnail_unscaled 2x"}, "url": "https://upload.wikimedia.org/wikipedia/commons/4/4b/Eindhoven_H._Pius_X_Kerk%2C_Stratum.jpg?utm_source=commons.wikimedia.org&amp;utm_campaign=imageinfo&amp;utm_content=original", "descriptionurl": "https://commons.wikimedia.org/wiki/File:Eindhoven_H._Pius_X_Kerk,_Stratum.jpg", "descriptionshorturl": "https://commons.wikimedia.org/w/index.php?curid=64459293", "sha1": "622fe17ab3c8c78d2582ba86cf2bc85e26b58e64", "extmetadata": {"DateTime": {"value": "2017-11-29 21:37:22", "source": "mediawiki-metadata", "hidden": ""}, "ObjectName": {"value": "Eindhoven H. Pius X Kerk, Stratum", "source": "mediawiki-metadata"}, "CommonsMetadataExtension": {"value": 1.2, "source": "extension", "hidden": ""}, "Categories": {"value": "Churches in Eindhoven|Self-published work|Images from Open Kerken Brabant 2017|Uploaded via Campaign:open-kerken", "source": "commons-categories", "hidden": ""}, "Assessments": {"value": "", "source": "commons-categories", "hidden": ""}, "ImageDescription": {"value": "H. Pius X kerk, Kardinaal de Jongweg 71, Eindhoven", "source": "commons-desc-page"}, "DateTimeOriginal": {"value": "2008-08-02 16:44:12", "source": "commons-desc-page"}, "Credit": {"value": "&lt;span class=\"int-own-work\" lang=\"en\"&gt;Own work&lt;/span&gt;", "source": "commons-desc-page"}, "Artist": {"value": "&lt;a href=\"//commons.wikimedia.org/w/index.php?title=User:Machiel_Lock&amp;amp;action=edit&amp;amp;redlink=1\" class=\"new\" title=\"User:Machiel Lock (page does not exist)\"&gt;Machiel Lock&lt;/a&gt;",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"https://thumb.wikimedia.org/wikipedia/commons/thumb/4/4b/Eindhoven_H._Pius_X_Kerk%2C_Stratum.jpg/1280px-Eindhoven_H._Pius_X_Kerk%2C_Stratum.jpg"}, "retrieved_on": "2026-10-23"}</t>
        </is>
      </c>
    </row>
    <row r="118" ht="54" customHeight="1">
      <c r="A118" s="29" t="inlineStr">
        <is>
          <t>eindhoven:evidence:witte-dorp-mahallesi-01</t>
        </is>
      </c>
      <c r="B118" s="29" t="inlineStr">
        <is>
          <t>eindhoven</t>
        </is>
      </c>
      <c r="C118" s="29" t="inlineStr">
        <is>
          <t>eindhoven:photo:witte-dorp-mahallesi-01</t>
        </is>
      </c>
      <c r="D118" s="29" t="inlineStr">
        <is>
          <t>https://commons.wikimedia.org/wiki/File:Monument_518723,_Burghplein_8_Eindhoven.jpg</t>
        </is>
      </c>
      <c r="E118" s="29" t="inlineStr">
        <is>
          <t>File:Monument 518723, Burghplein 8 Eindhoven.jpg</t>
        </is>
      </c>
      <c r="F118" s="29" t="inlineStr">
        <is>
          <t>Rosemoon</t>
        </is>
      </c>
      <c r="G118" s="29" t="inlineStr">
        <is>
          <t>CC BY-SA 3.0 nl</t>
        </is>
      </c>
      <c r="H118" s="29" t="inlineStr">
        <is>
          <t>https://creativecommons.org/licenses/by-sa/3.0/nl/deed.en/</t>
        </is>
      </c>
      <c r="I118" s="29" t="inlineStr">
        <is>
          <t>Creative Commons Attribution-Share Alike 3.0 nl</t>
        </is>
      </c>
      <c r="J118" s="29" t="inlineStr">
        <is>
          <t>Rosemoon · CC BY-SA 3.0 nl · Wikimedia Commons</t>
        </is>
      </c>
      <c r="K118" s="29" t="n"/>
      <c r="L118" s="49" t="n">
        <v>46317</v>
      </c>
      <c r="M118" s="29" t="inlineStr">
        <is>
          <t>Bekliyor</t>
        </is>
      </c>
      <c r="N118" s="29" t="inlineStr">
        <is>
          <t>Bekliyor</t>
        </is>
      </c>
      <c r="O118" s="29" t="inlineStr">
        <is>
          <t>Fotoğraflar/eindhoven_witte-dorp-mahallesi_01.jpg</t>
        </is>
      </c>
      <c r="P118" s="29" t="inlineStr">
        <is>
          <t>Kırmızı kiremit çatılı beyaz ev, çitler, küçük ağaç</t>
        </is>
      </c>
      <c r="Q118" s="29" t="inlineStr">
        <is>
          <t>Bekliyor</t>
        </is>
      </c>
      <c r="R118" s="29" t="inlineStr">
        <is>
          <t>Wikimedia Commons dosya sayfasındaki lisans: CC BY-SA 3.0 nl</t>
        </is>
      </c>
      <c r="S118" s="29" t="n"/>
      <c r="T118" s="29" t="n"/>
      <c r="U118" s="29" t="n"/>
      <c r="V118" s="29" t="n"/>
      <c r="W118" s="29" t="inlineStr">
        <is>
          <t>{"source_url": "https://commons.wikimedia.org/wiki/File:Monument_518723,_Burghplein_8_Eindhoven.jpg", "author": "Rosemoon", "license": "CC BY-SA 3.0 nl", "license_url": "https://creativecommons.org/licenses/by-sa/3.0/nl/deed.en/", "original_api_record": {"size": 6258688, "width": 4320, "height": 3240, "thumburl": "https://thumb.wikimedia.org/wikipedia/commons/thumb/1/19/Monument_518723%2C_Burghplein_8_Eindhoven.jpg/1920px-Monument_518723%2C_Burghplein_8_Eindhoven.jpg?utm_source=commons.wikimedia.org&amp;utm_campaign=imageinfo&amp;utm_content=thumbnail", "thumbwidth": 1600, "thumbheight": 1200, "responsiveUrls": {"2": "https://thumb.wikimedia.org/wikipedia/commons/thumb/1/19/Monument_518723%2C_Burghplein_8_Eindhoven.jpg/3840px-Monument_518723%2C_Burghplein_8_Eindhoven.jpg?utm_source=commons.wikimedia.org&amp;utm_campaign=imageinfo&amp;utm_content=thumbnail"}, "thumbattribs": {"src": "https://thumb.wikimedia.org/wikipedia/commons/thumb/1/19/Monument_518723%2C_Burghplein_8_Eindhoven.jpg/1920px-Monument_518723%2C_Burghplein_8_Eindhoven.jpg?utm_source=commons.wikimedia.org&amp;utm_campaign=imageinfo&amp;utm_content=thumbnail", "decoding": "async", "loading": "lazy", "width": 1600, "height": 1200, "srcset": "https://thumb.wikimedia.org/wikipedia/commons/thumb/1/19/Monument_518723%2C_Burghplein_8_Eindhoven.jpg/3840px-Monument_518723%2C_Burghplein_8_Eindhoven.jpg?utm_source=commons.wikimedia.org&amp;utm_campaign=imageinfo&amp;utm_content=thumbnail 2x"}, "url": "https://upload.wikimedia.org/wikipedia/commons/1/19/Monument_518723%2C_Burghplein_8_Eindhoven.jpg?utm_source=commons.wikimedia.org&amp;utm_campaign=imageinfo&amp;utm_content=original", "descriptionurl": "https://commons.wikimedia.org/wiki/File:Monument_518723,_Burghplein_8_Eindhoven.jpg", "descriptionshorturl": "https://commons.wikimedia.org/w/index.php?curid=16553057", "sha1": "ad5b60d42c4a83631030270b1b98e769e75a8350", "extmetadata": {"DateTime": {"value": "2011-09-18 15:42:20", "source": "mediawiki-metadata", "hidden": ""}, "ObjectName": {"value": "Monument 518723, Burghplein 8 Eindhoven", "source": "mediawiki-metadata"}, "CommonsMetadataExtension": {"value": 1.2, "source": "extension", "hidden": ""}, "Categories": {"value": "Taken with Panasonic Lumix DMC-TZ20|Self-published work|Images from Wiki Loves Monuments 2011|Rijksmonumenten with known IDs|Images from Wiki Loves Monuments 2011 in the Netherlands|Rijksmonumentcomplexen with known IDs|2011 in Eindhoven|Netherlands photographs taken on 2011-09-18|Witte Dorp, Eindhoven", "source": "commons-categories", "hidden": ""}, "Assessments": {"value": "", "source": "commons-categories", "hidden": ""}, "GPSLatitude": {"value": "51.429542", "source": "commons-desc-page"}, "GPSLongitude": {"value": "5.493836", "source": "commons-desc-page"}, "GPSMapDatum": {"value": "WGS-84", "source": "commons-desc-page", "hidden": ""}, "ImageDescription": {"value": "This is an image of &lt;a href=\"https://en.wikipedia.org/wiki/Rijksmonument\" class=\"extiw\" title=\"en:Rijksmonument\"&gt;rijksmonumentcomplex&lt;/a&gt; number", "source": "commons-desc-page"}, "DateTimeOriginal": {"value": "2011-09-18", "source": "commons-desc-page"}, "Credit": {"value": "&lt;span class=\"int-own-work\" lang=\"en\"&gt;Own work&lt;/span&gt;", "source": "commons-desc-page"}, "Artist": {"value": "&lt;a href=\"//commons.wikimedia.org/wiki/User:Rosemoon\" title=\"User:Rosemoon\"&gt;Rosemoon&lt;/a&gt;",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"https://thumb.wikimedia.org/wikipedia/commons/thumb/1/19/Monument_518723%2C_Burghplein_8_Eindhoven.jpg/1280px-Monument_518723%2C_Burghplein_8_Eindhoven.jpg"}, "retrieved_on": "2026-10-23"}</t>
        </is>
      </c>
    </row>
    <row r="119" ht="54" customHeight="1">
      <c r="A119" s="29" t="inlineStr">
        <is>
          <t>eindhoven:evidence:witte-dorp-mahallesi-02</t>
        </is>
      </c>
      <c r="B119" s="29" t="inlineStr">
        <is>
          <t>eindhoven</t>
        </is>
      </c>
      <c r="C119" s="29" t="inlineStr">
        <is>
          <t>eindhoven:photo:witte-dorp-mahallesi-02</t>
        </is>
      </c>
      <c r="D119" s="29" t="inlineStr">
        <is>
          <t>https://commons.wikimedia.org/wiki/File:Monument_518731,_Burghstraat_11_Eindhoven.jpg</t>
        </is>
      </c>
      <c r="E119" s="29" t="inlineStr">
        <is>
          <t>File:Monument 518731, Burghstraat 11 Eindhoven.jpg</t>
        </is>
      </c>
      <c r="F119" s="29" t="inlineStr">
        <is>
          <t>Rosemoon</t>
        </is>
      </c>
      <c r="G119" s="29" t="inlineStr">
        <is>
          <t>CC BY-SA 3.0 nl</t>
        </is>
      </c>
      <c r="H119" s="29" t="inlineStr">
        <is>
          <t>https://creativecommons.org/licenses/by-sa/3.0/nl/deed.en/</t>
        </is>
      </c>
      <c r="I119" s="29" t="inlineStr">
        <is>
          <t>Creative Commons Attribution-Share Alike 3.0 nl</t>
        </is>
      </c>
      <c r="J119" s="29" t="inlineStr">
        <is>
          <t>Rosemoon · CC BY-SA 3.0 nl · Wikimedia Commons</t>
        </is>
      </c>
      <c r="K119" s="29" t="n"/>
      <c r="L119" s="49" t="n">
        <v>46317</v>
      </c>
      <c r="M119" s="29" t="inlineStr">
        <is>
          <t>Bekliyor</t>
        </is>
      </c>
      <c r="N119" s="29" t="inlineStr">
        <is>
          <t>Bekliyor</t>
        </is>
      </c>
      <c r="O119" s="29" t="inlineStr">
        <is>
          <t>Fotoğraflar/eindhoven_witte-dorp-mahallesi_02.jpg</t>
        </is>
      </c>
      <c r="P119" s="29" t="inlineStr">
        <is>
          <t>Kırmızı çatılı beyaz sıra evler, çitler, park etmiş arabalar</t>
        </is>
      </c>
      <c r="Q119" s="29" t="inlineStr">
        <is>
          <t>Bekliyor</t>
        </is>
      </c>
      <c r="R119" s="29" t="inlineStr">
        <is>
          <t>Wikimedia Commons dosya sayfasındaki lisans: CC BY-SA 3.0 nl</t>
        </is>
      </c>
      <c r="S119" s="29" t="n"/>
      <c r="T119" s="29" t="n"/>
      <c r="U119" s="29" t="n"/>
      <c r="V119" s="29" t="n"/>
      <c r="W119" s="29" t="inlineStr">
        <is>
          <t>{"source_url": "https://commons.wikimedia.org/wiki/File:Monument_518731,_Burghstraat_11_Eindhoven.jpg", "author": "Rosemoon", "license": "CC BY-SA 3.0 nl", "license_url": "https://creativecommons.org/licenses/by-sa/3.0/nl/deed.en/", "original_api_record": {"size": 6186496, "width": 4320, "height": 3240, "thumburl": "https://thumb.wikimedia.org/wikipedia/commons/thumb/6/6e/Monument_518731%2C_Burghstraat_11_Eindhoven.jpg/1920px-Monument_518731%2C_Burghstraat_11_Eindhoven.jpg?utm_source=commons.wikimedia.org&amp;utm_campaign=imageinfo&amp;utm_content=thumbnail", "thumbwidth": 1600, "thumbheight": 1200, "responsiveUrls": {"2": "https://thumb.wikimedia.org/wikipedia/commons/thumb/6/6e/Monument_518731%2C_Burghstraat_11_Eindhoven.jpg/3840px-Monument_518731%2C_Burghstraat_11_Eindhoven.jpg?utm_source=commons.wikimedia.org&amp;utm_campaign=imageinfo&amp;utm_content=thumbnail"}, "thumbattribs": {"src": "https://thumb.wikimedia.org/wikipedia/commons/thumb/6/6e/Monument_518731%2C_Burghstraat_11_Eindhoven.jpg/1920px-Monument_518731%2C_Burghstraat_11_Eindhoven.jpg?utm_source=commons.wikimedia.org&amp;utm_campaign=imageinfo&amp;utm_content=thumbnail", "decoding": "async", "loading": "lazy", "width": 1600, "height": 1200, "srcset": "https://thumb.wikimedia.org/wikipedia/commons/thumb/6/6e/Monument_518731%2C_Burghstraat_11_Eindhoven.jpg/3840px-Monument_518731%2C_Burghstraat_11_Eindhoven.jpg?utm_source=commons.wikimedia.org&amp;utm_campaign=imageinfo&amp;utm_content=thumbnail 2x"}, "url": "https://upload.wikimedia.org/wikipedia/commons/6/6e/Monument_518731%2C_Burghstraat_11_Eindhoven.jpg?utm_source=commons.wikimedia.org&amp;utm_campaign=imageinfo&amp;utm_content=original", "descriptionurl": "https://commons.wikimedia.org/wiki/File:Monument_518731,_Burghstraat_11_Eindhoven.jpg", "descriptionshorturl": "https://commons.wikimedia.org/w/index.php?curid=16553490", "sha1": "9c8db2946c045c925364c659542d7281957cb3dd", "extmetadata": {"DateTime": {"value": "2011-09-18 16:06:45", "source": "mediawiki-metadata", "hidden": ""}, "ObjectName": {"value": "Monument 518731, Burghstraat 11 Eindhoven", "source": "mediawiki-metadata"}, "CommonsMetadataExtension": {"value": 1.2, "source": "extension", "hidden": ""}, "Categories": {"value": "Taken with Panasonic Lumix DMC-TZ20|Self-published work|Images from Wiki Loves Monuments 2011|Rijksmonumenten with known IDs|Images from Wiki Loves Monuments 2011 in the Netherlands|2011 in Eindhoven|Netherlands photographs taken on 2011-09-18|Witte Dorp, Eindhoven", "source": "commons-categories", "hidden": ""}, "Assessments": {"value": "", "source": "commons-categories", "hidden": ""}, "GPSLatitude": {"value": "51.430253", "source": "commons-desc-page"}, "GPSLongitude": {"value": "5.492964", "source": "commons-desc-page"}, "GPSMapDatum": {"value": "WGS-84", "source": "commons-desc-page", "hidden": ""}, "ImageDescription": {"value": "&lt;table role=\"presentation\" style=\"border-spacing:0; width:425px; text-align:left; background:var(--background-color-neutral,#eaecf0); color:var(--color-base,#202122); border:1px solid var(--border-color-base,#a2a9b1); margin:1px;\" class=\"layouttemplate\"&gt;&lt;tbody&gt;&lt;tr&gt;&lt;td style=\"width:26px; height:22px; vertical-align:middle\"&gt;&lt;span typeof=\"mw:File\"&gt;&lt;span&gt;&lt;img alt=\"\" src=\"https://thumb.wikimedia.org/wikipedia/commons/thumb/5/5e/Monumentenbordje_2014.svg/20px-Monumentenbordje_2014.svg.png?utm_source=commons.wikimedia.org&amp;amp;utm_campaign=parser&amp;amp;utm_content=thumbnail\" decoding=\"async\" loading=\"lazy\" width=\"20\" height=\"30\" class=\"mw-file-element\" srcset=\"https://thumb.wikimedia.org/wikipedia/commons/thumb/5/5e/Monumentenbordje_2014.svg/40px-Monumentenbordje_2014.svg.png?utm_source=commons.wikimedia.org&amp;amp;utm_campaign=parser&amp;amp;utm_content=thumbnail 2x\" data-file-width=\"430\" data-file-height=\"646\"&gt;&lt;/span&gt;&lt;/span&gt;&lt;/td&gt;&lt;td style=\"padding:1pt; line-height:1.1em;\"&gt;&lt;div lang=\"en\" dir=\"ltr\"&gt;This is an image of &lt;a href=\"https://en.wikipedia.org/wiki/Rijksmonument\" class=\"extiw\" title=\"en:Rijksmonument\"&gt;rijksmonument&lt;/a&gt; number &lt;a rel=\"nofollow\" class=\"external text\" href=\"https://monumentenregister.cultureelerfgoed.nl/monumenten/518731\"&gt;518731&lt;/a&gt;&lt;/div&gt;Information from &lt;a href=\"//commons.wikimedia.org/wiki/Commons:Structured_data\" title=\"Commons:Structured data\"&gt;structured data&lt;/a&gt;:\n&lt;ul&gt;&lt;li&gt;&lt;a href=\"https://www.wikidata.org/wiki/Special:EntityPage/P1071\" class=\"extiw\" title=\"d:Special:EntityPage/P1071\"&gt;location of creation&lt;/a&gt;: &lt;a href=\"https://en.wikipedia.org/wiki/en:Eindhoven\" class=\"extiw\" title=\"w:en:Eindhoven\"&gt;&lt;span title=\"city and municipality in North Brabant, Netherlands\"&gt;Eindhoven&lt;/span&gt;&lt;/a&gt;→&lt;a href=\"https://en.wikipedia.org/wiki/en:North_Brabant\" class=\"extiw\" title=\"w:en:North Brabant\"&gt;&lt;span title=\"province of the Netherlands\"&gt;North Brabant&lt;/span&gt;&lt;/a&gt;→&lt;a href=\"https://en.wikipedia.org/wiki/en:Netherlands\" class=\"extiw\" title=\"w:en:Netherlands\"&gt;&lt;span title=\"one of the four autonomous countries of the Kingdom of the Netherlands; with territories in the Caribbean\"&gt;Netherlands&lt;/span&gt;&lt;/a&gt;&lt;/li&gt;\n&lt;li&gt;&lt;a href=\"https://www.wikidata.org/wiki/Special:EntityPage/P180\" class=\"extiw\" title=\"d:Special:EntityPage/P180\"&gt;depicts&lt;/a&gt; &lt;a href=\"https://www.wikidata.org/wiki/Special:EntityPage/P31\" class=\"extiw\" title=\"d:Special:EntityPage/P31\"&gt;instance of&lt;/a&gt;: &lt;a href=\"https://www.wikidata.org/wiki/Q17595229\" class=\"extiw\" title=\"d:Q17595229\"&gt;&lt;span title=\"house in Eindhoven, Netherlands\"&gt;Q17595229&lt;/span&gt;&lt;/a&gt;→&lt;a href=\"https://en.wikipedia.org/wiki/en:House\" class=\"extiw\" title=\"w:en:House\"&gt;&lt;span title=\"building usually intended for living in\"&gt;house&lt;/span&gt;&lt;/a&gt;→&lt;a href=\"https://www.wikidata.org/wiki/Q811102\" class=\"extiw\" title=\"d:Q811102\"&gt;&lt;span title=\"Wikidata metaclass for building and architectural typology\"&gt;type of building&lt;/span&gt;&lt;/a&gt;→&lt;a href=\"https://en.wikipedia.org/wiki/en:Classification_scheme_(information_science)\" class=\"extiw\" title=\"w:en:Classification scheme (information science)\"&gt;&lt;span title=\"system of descriptive information for an arrangement or division of objects into groups based on characteristics, which the objects have in common\"&gt;classification scheme&lt;/span&gt;&lt;/a&gt;→&lt;a href=\"https://www.wikidata.org/wiki/Q23958852\" class=\"extiw\" title=\"d:Q23958852\"&gt;&lt;span title=\"abstract entity representing classes whose instances may be classes of different orders or even non-classes\"&gt;variable-order class&lt;/span&gt;&lt;/a&gt;&lt;/li&gt;&lt;/ul&gt;&lt;/td&gt;&lt;/tr&gt;&lt;/tbody&gt;&lt;/table&gt;", "source": "commons-desc-page"}, "DateTimeOriginal": {"value": "2011-09-18", "source": "commons-desc-page"}, "Credit": {"value": "&lt;span class=\"int-own-work\" lang=\"en\"&gt;Own work&lt;/span&gt;", "source": "commons-desc-page"}, "Artist": {"value": "&lt;a href=\"//commons.wikimedia.org/wiki/User:Rosemoon\" title=\"User:Rosemoon\"&gt;Rosemoon&lt;/a&gt;",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"https://thumb.wikimedia.org/wikipedia/commons/thumb/6/6e/Monument_518731%2C_Burghstraat_11_Eindhoven.jpg/1280px-Monument_518731%2C_Burghstraat_11_Eindhoven.jpg"}, "retrieved_on": "2026-10-23"}</t>
        </is>
      </c>
    </row>
    <row r="120" ht="54" customHeight="1">
      <c r="A120" s="29" t="inlineStr">
        <is>
          <t>eindhoven:evidence:witte-dorp-mahallesi-03</t>
        </is>
      </c>
      <c r="B120" s="29" t="inlineStr">
        <is>
          <t>eindhoven</t>
        </is>
      </c>
      <c r="C120" s="29" t="inlineStr">
        <is>
          <t>eindhoven:photo:witte-dorp-mahallesi-03</t>
        </is>
      </c>
      <c r="D120" s="29" t="inlineStr">
        <is>
          <t>https://commons.wikimedia.org/wiki/File:Monument_518736,_Sint_Jorislaan_4_Eindhoven.jpg</t>
        </is>
      </c>
      <c r="E120" s="29" t="inlineStr">
        <is>
          <t>File:Monument 518736, Sint Jorislaan 4 Eindhoven.jpg</t>
        </is>
      </c>
      <c r="F120" s="29" t="inlineStr">
        <is>
          <t>Rosemoon</t>
        </is>
      </c>
      <c r="G120" s="29" t="inlineStr">
        <is>
          <t>CC BY-SA 3.0 nl</t>
        </is>
      </c>
      <c r="H120" s="29" t="inlineStr">
        <is>
          <t>https://creativecommons.org/licenses/by-sa/3.0/nl/deed.en/</t>
        </is>
      </c>
      <c r="I120" s="29" t="inlineStr">
        <is>
          <t>Creative Commons Attribution-Share Alike 3.0 nl</t>
        </is>
      </c>
      <c r="J120" s="29" t="inlineStr">
        <is>
          <t>Rosemoon · CC BY-SA 3.0 nl · Wikimedia Commons</t>
        </is>
      </c>
      <c r="K120" s="29" t="n"/>
      <c r="L120" s="49" t="n">
        <v>46317</v>
      </c>
      <c r="M120" s="29" t="inlineStr">
        <is>
          <t>Bekliyor</t>
        </is>
      </c>
      <c r="N120" s="29" t="inlineStr">
        <is>
          <t>Bekliyor</t>
        </is>
      </c>
      <c r="O120" s="29" t="inlineStr">
        <is>
          <t>Fotoğraflar/eindhoven_witte-dorp-mahallesi_03.jpg</t>
        </is>
      </c>
      <c r="P120" s="29" t="inlineStr">
        <is>
          <t>Uzun beyaz sıra evler, çitler, sokak lambası</t>
        </is>
      </c>
      <c r="Q120" s="29" t="inlineStr">
        <is>
          <t>Bekliyor</t>
        </is>
      </c>
      <c r="R120" s="29" t="inlineStr">
        <is>
          <t>Wikimedia Commons dosya sayfasındaki lisans: CC BY-SA 3.0 nl</t>
        </is>
      </c>
      <c r="S120" s="29" t="n"/>
      <c r="T120" s="29" t="n"/>
      <c r="U120" s="29" t="n"/>
      <c r="V120" s="29" t="n"/>
      <c r="W120" s="29" t="inlineStr">
        <is>
          <t>{"source_url": "https://commons.wikimedia.org/wiki/File:Monument_518736,_Sint_Jorislaan_4_Eindhoven.jpg", "author": "Rosemoon", "license": "CC BY-SA 3.0 nl", "license_url": "https://creativecommons.org/licenses/by-sa/3.0/nl/deed.en/", "original_api_record": {"size": 6029312, "width": 4320, "height": 3240, "thumburl": "https://thumb.wikimedia.org/wikipedia/commons/thumb/0/01/Monument_518736%2C_Sint_Jorislaan_4_Eindhoven.jpg/1920px-Monument_518736%2C_Sint_Jorislaan_4_Eindhoven.jpg?utm_source=commons.wikimedia.org&amp;utm_campaign=imageinfo&amp;utm_content=thumbnail", "thumbwidth": 1600, "thumbheight": 1200, "responsiveUrls": {"2": "https://thumb.wikimedia.org/wikipedia/commons/thumb/0/01/Monument_518736%2C_Sint_Jorislaan_4_Eindhoven.jpg/3840px-Monument_518736%2C_Sint_Jorislaan_4_Eindhoven.jpg?utm_source=commons.wikimedia.org&amp;utm_campaign=imageinfo&amp;utm_content=thumbnail"}, "thumbattribs": {"src": "https://thumb.wikimedia.org/wikipedia/commons/thumb/0/01/Monument_518736%2C_Sint_Jorislaan_4_Eindhoven.jpg/1920px-Monument_518736%2C_Sint_Jorislaan_4_Eindhoven.jpg?utm_source=commons.wikimedia.org&amp;utm_campaign=imageinfo&amp;utm_content=thumbnail", "decoding": "async", "loading": "lazy", "width": 1600, "height": 1200, "srcset": "https://thumb.wikimedia.org/wikipedia/commons/thumb/0/01/Monument_518736%2C_Sint_Jorislaan_4_Eindhoven.jpg/3840px-Monument_518736%2C_Sint_Jorislaan_4_Eindhoven.jpg?utm_source=commons.wikimedia.org&amp;utm_campaign=imageinfo&amp;utm_content=thumbnail 2x"}, "url": "https://upload.wikimedia.org/wikipedia/commons/0/01/Monument_518736%2C_Sint_Jorislaan_4_Eindhoven.jpg?utm_source=commons.wikimedia.org&amp;utm_campaign=imageinfo&amp;utm_content=original", "descriptionurl": "https://commons.wikimedia.org/wiki/File:Monument_518736,_Sint_Jorislaan_4_Eindhoven.jpg", "descriptionshorturl": "https://commons.wikimedia.org/w/index.php?curid=16677249", "sha1": "8adbccca799c5a94aee6e875fe41e901ed786f1e", "extmetadata": {"DateTime": {"value": "2011-09-24 22:20:20", "source": "mediawiki-metadata", "hidden": ""}, "ObjectName": {"value": "Monument 518736, Sint Jorislaan 4 Eindhoven", "source": "mediawiki-metadata"}, "CommonsMetadataExtension": {"value": 1.2, "source": "extension", "hidden": ""}, "Categories": {"value": "Taken with Panasonic Lumix DMC-TZ20|Self-published work|Images from Wiki Loves Monuments 2011|Rijksmonumenten with known IDs|Images from Wiki Loves Monuments 2011 in the Netherlands|2011 in Eindhoven|Netherlands photographs taken on 2011-09-24|Witte Dorp, Eindhoven", "source": "commons-categories", "hidden": ""}, "Assessments": {"value": "", "source": "commons-categories", "hidden": ""}, "GPSLatitude": {"value": "51.429542", "source": "commons-desc-page"}, "GPSLongitude": {"value": "5.493836", "source": "commons-desc-page"}, "GPSMapDatum": {"value": "WGS-84", "source": "commons-desc-page", "hidden": ""}, "ImageDescription": {"value": "&lt;table role=\"presentation\" style=\"border-spacing:0; width:425px; text-align:left; background:var(--background-color-neutral,#eaecf0); color:var(--color-base,#202122); border:1px solid var(--border-color-base,#a2a9b1); margin:1px;\" class=\"layouttemplate\"&gt;&lt;tbody&gt;&lt;tr&gt;&lt;td style=\"width:26px; height:22px; vertical-align:middle\"&gt;&lt;span typeof=\"mw:File\"&gt;&lt;span&gt;&lt;img alt=\"\" src=\"https://thumb.wikimedia.org/wikipedia/commons/thumb/5/5e/Monumentenbordje_2014.svg/20px-Monumentenbordje_2014.svg.png?utm_source=commons.wikimedia.org&amp;amp;utm_campaign=parser&amp;amp;utm_content=thumbnail\" decoding=\"async\" loading=\"lazy\" width=\"20\" height=\"30\" class=\"mw-file-element\" srcset=\"https://thumb.wikimedia.org/wikipedia/commons/thumb/5/5e/Monumentenbordje_2014.svg/40px-Monumentenbordje_2014.svg.png?utm_source=commons.wikimedia.org&amp;amp;utm_campaign=parser&amp;amp;utm_content=thumbnail 2x\" data-file-width=\"430\" data-file-height=\"646\"&gt;&lt;/span&gt;&lt;/span&gt;&lt;/td&gt;&lt;td style=\"padding:1pt; line-height:1.1em;\"&gt;&lt;div lang=\"en\" dir=\"ltr\"&gt;This is an image of &lt;a href=\"https://en.wikipedia.org/wiki/Rijksmonument\" class=\"extiw\" title=\"en:Rijksmonument\"&gt;rijksmonument&lt;/a&gt; number &lt;a rel=\"nofollow\" class=\"external text\" href=\"https://monumentenregister.cultureelerfgoed.nl/monumenten/518736\"&gt;518736&lt;/a&gt;&lt;/div&gt;Information from &lt;a href=\"//commons.wikimedia.org/wiki/Commons:Structured_data\" title=\"Commons:Structured data\"&gt;structured data&lt;/a&gt;:\n&lt;ul&gt;&lt;li&gt;&lt;a href=\"https://www.wikidata.org/wiki/Special:EntityPage/P1071\" class=\"extiw\" title=\"d:Special:EntityPage/P1071\"&gt;location of creation&lt;/a&gt;: &lt;a href=\"https://en.wikipedia.org/wiki/en:Eindhoven\" class=\"extiw\" title=\"w:en:Eindhoven\"&gt;&lt;span title=\"city and municipality in North Brabant, Netherlands\"&gt;Eindhoven&lt;/span&gt;&lt;/a&gt;→&lt;a href=\"https://en.wikipedia.org/wiki/en:North_Brabant\" class=\"extiw\" title=\"w:en:North Brabant\"&gt;&lt;span title=\"province of the Netherlands\"&gt;North Brabant&lt;/span&gt;&lt;/a&gt;→&lt;a href=\"https://en.wikipedia.org/wiki/en:Netherlands\" class=\"extiw\" title=\"w:en:Netherlands\"&gt;&lt;span title=\"one of the four autonomous countries of the Kingdom of the Netherlands; with territories in the Caribbean\"&gt;Netherlands&lt;/span&gt;&lt;/a&gt;&lt;/li&gt;\n&lt;li&gt;&lt;a href=\"https://www.wikidata.org/wiki/Special:EntityPage/P180\" class=\"extiw\" title=\"d:Special:EntityPage/P180\"&gt;depicts&lt;/a&gt; &lt;a href=\"https://www.wikidata.org/wiki/Special:EntityPage/P31\" class=\"extiw\" title=\"d:Special:EntityPage/P31\"&gt;instance of&lt;/a&gt;: &lt;a href=\"https://www.wikidata.org/wiki/Q17595239\" class=\"extiw\" title=\"d:Q17595239\"&gt;&lt;span title=\"house in Eindhoven, Netherlands\"&gt;Q17595239&lt;/span&gt;&lt;/a&gt;→&lt;a href=\"https://en.wikipedia.org/wiki/en:House\" class=\"extiw\" title=\"w:en:House\"&gt;&lt;span title=\"building usually intended for living in\"&gt;house&lt;/span&gt;&lt;/a&gt;→&lt;a href=\"https://www.wikidata.org/wiki/Q811102\" class=\"extiw\" title=\"d:Q811102\"&gt;&lt;span title=\"Wikidata metaclass for building and architectural typology\"&gt;type of building&lt;/span&gt;&lt;/a&gt;→&lt;a href=\"https://en.wikipedia.org/wiki/en:Classification_scheme_(information_science)\" class=\"extiw\" title=\"w:en:Classification scheme (information science)\"&gt;&lt;span title=\"system of descriptive information for an arrangement or division of objects into groups based on characteristics, which the objects have in common\"&gt;classification scheme&lt;/span&gt;&lt;/a&gt;→&lt;a href=\"https://www.wikidata.org/wiki/Q23958852\" class=\"extiw\" title=\"d:Q23958852\"&gt;&lt;span title=\"abstract entity representing classes whose instances may be classes of different orders or even non-classes\"&gt;variable-order class&lt;/span&gt;&lt;/a&gt;&lt;/li&gt;&lt;/ul&gt;&lt;/td&gt;&lt;/tr&gt;&lt;/tbody&gt;&lt;/table&gt;", "source": "commons-desc-page"}, "DateTimeOriginal": {"value": "2011-09-24", "source": "commons-desc-page"}, "Credit": {"value": "&lt;span class=\"int-own-work\" lang=\"en\"&gt;Own work&lt;/span&gt;", "source": "commons-desc-page"}, "Artist": {"value": "&lt;a href=\"//commons.wikimedia.org/wiki/User:Rosemoon\" title=\"User:Rosemoon\"&gt;Rosemoon&lt;/a&gt;",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"https://thumb.wikimedia.org/wikipedia/commons/thumb/0/01/Monument_518736%2C_Sint_Jorislaan_4_Eindhoven.jpg/1280px-Monument_518736%2C_Sint_Jorislaan_4_Eindhoven.jpg"}, "retrieved_on": "2026-10-23"}</t>
        </is>
      </c>
    </row>
    <row r="121" ht="54" customHeight="1">
      <c r="A121" s="29" t="inlineStr">
        <is>
          <t>eindhoven:evidence:riel-mahallesi-01</t>
        </is>
      </c>
      <c r="B121" s="29" t="inlineStr">
        <is>
          <t>eindhoven</t>
        </is>
      </c>
      <c r="C121" s="29" t="inlineStr">
        <is>
          <t>eindhoven:photo:riel-mahallesi-01</t>
        </is>
      </c>
      <c r="D121" s="29" t="inlineStr">
        <is>
          <t>https://commons.wikimedia.org/wiki/File:Mariakapel_op_Riel_-_2008_-_Riel_-_Eindhoven.jpg</t>
        </is>
      </c>
      <c r="E121" s="29" t="inlineStr">
        <is>
          <t>File:Mariakapel op Riel - 2008 - Riel - Eindhoven.jpg</t>
        </is>
      </c>
      <c r="F121" s="29" t="inlineStr">
        <is>
          <t>Alex P. Kok</t>
        </is>
      </c>
      <c r="G121" s="29" t="inlineStr">
        <is>
          <t>CC BY-SA 4.0</t>
        </is>
      </c>
      <c r="H121" s="29" t="inlineStr">
        <is>
          <t>https://creativecommons.org/licenses/by-sa/4.0/</t>
        </is>
      </c>
      <c r="I121" s="29" t="inlineStr">
        <is>
          <t>Creative Commons Attribution-Share Alike 4.0</t>
        </is>
      </c>
      <c r="J121" s="29" t="inlineStr">
        <is>
          <t>Alex P. Kok · CC BY-SA 4.0 · Wikimedia Commons</t>
        </is>
      </c>
      <c r="K121" s="29" t="n"/>
      <c r="L121" s="49" t="n">
        <v>46317</v>
      </c>
      <c r="M121" s="29" t="inlineStr">
        <is>
          <t>Bekliyor</t>
        </is>
      </c>
      <c r="N121" s="29" t="inlineStr">
        <is>
          <t>Bekliyor</t>
        </is>
      </c>
      <c r="O121" s="29" t="inlineStr">
        <is>
          <t>Fotoğraflar/eindhoven_riel-mahallesi_01.jpg</t>
        </is>
      </c>
      <c r="P121" s="29" t="inlineStr">
        <is>
          <t>Sivri çatılı küçük tuğla şapel, parmaklıklı nişte heykel, çiçeklik</t>
        </is>
      </c>
      <c r="Q121" s="29" t="inlineStr">
        <is>
          <t>Bekliyor</t>
        </is>
      </c>
      <c r="R121" s="29" t="inlineStr">
        <is>
          <t>Wikimedia Commons dosya sayfasındaki lisans: CC BY-SA 4.0</t>
        </is>
      </c>
      <c r="S121" s="29" t="n"/>
      <c r="T121" s="29" t="n"/>
      <c r="U121" s="29" t="n"/>
      <c r="V121" s="29" t="n"/>
      <c r="W121" s="29" t="inlineStr">
        <is>
          <t>{"source_url": "https://commons.wikimedia.org/wiki/File:Mariakapel_op_Riel_-_2008_-_Riel_-_Eindhoven.jpg", "author": "Alex P. Kok", "license": "CC BY-SA 4.0", "license_url": "https://creativecommons.org/licenses/by-sa/4.0/", "original_api_record": {"size": 5059389, "width": 3606, "height": 5048, "thumburl": "https://thumb.wikimedia.org/wikipedia/commons/thumb/e/e1/Mariakapel_op_Riel_-_2008_-_Riel_-_Eindhoven.jpg/1920px-Mariakapel_op_Riel_-_2008_-_Riel_-_Eindhoven.jpg?utm_source=commons.wikimedia.org&amp;utm_campaign=imageinfo&amp;utm_content=thumbnail", "thumbwidth": 1600, "thumbheight": 2240, "responsiveUrls": {"2": "https://upload.wikimedia.org/wikipedia/commons/e/e1/Mariakapel_op_Riel_-_2008_-_Riel_-_Eindhoven.jpg?utm_source=commons.wikimedia.org&amp;utm_campaign=imageinfo&amp;utm_content=thumbnail_unscaled"}, "thumbattribs": {"src": "https://thumb.wikimedia.org/wikipedia/commons/thumb/e/e1/Mariakapel_op_Riel_-_2008_-_Riel_-_Eindhoven.jpg/1920px-Mariakapel_op_Riel_-_2008_-_Riel_-_Eindhoven.jpg?utm_source=commons.wikimedia.org&amp;utm_campaign=imageinfo&amp;utm_content=thumbnail", "decoding": "async", "loading": "lazy", "width": 1600, "height": 2240, "srcset": "https://upload.wikimedia.org/wikipedia/commons/e/e1/Mariakapel_op_Riel_-_2008_-_Riel_-_Eindhoven.jpg?utm_source=commons.wikimedia.org&amp;utm_campaign=imageinfo&amp;utm_content=thumbnail_unscaled 2x"}, "url": "https://upload.wikimedia.org/wikipedia/commons/e/e1/Mariakapel_op_Riel_-_2008_-_Riel_-_Eindhoven.jpg?utm_source=commons.wikimedia.org&amp;utm_campaign=imageinfo&amp;utm_content=original", "descriptionurl": "https://commons.wikimedia.org/wiki/File:Mariakapel_op_Riel_-_2008_-_Riel_-_Eindhoven.jpg", "descriptionshorturl": "https://commons.wikimedia.org/w/index.php?curid=135214288", "sha1": "e3f512e606bb51dcde14f6b0b8df1dff879ec3f4", "extmetadata": {"DateTime": {"value": "2023-07-29 15:32:50", "source": "mediawiki-metadata", "hidden": ""}, "ObjectName": {"value": "Mariakapel op Riel - 2008 - Riel - Eindhoven", "source": "mediawiki-metadata"}, "CommonsMetadataExtension": {"value": 1.2, "source": "extension", "hidden": ""}, "Categories": {"value": "Self-published work|Saint Mary chapels in the Netherlands|Wayside chapels in North Brabant|21st-century chapels|Roman Catholic chapels in the Netherlands|Photographs by Alex P. Kok|Chapels in Eindhoven|Brick chapels", "source": "commons-categories", "hidden": ""}, "Assessments": {"value": "", "source": "commons-categories", "hidden": ""}, "ImageDescription": {"value": "Mariakapel op Riel, aan de Riel tegenover nr. 14 (nabij Rielsedijk) te Eindhoven. Gebouwd in 2008, architect was André de Bock. Ingewijd op 13 september 2008 door pater Paul Iruthayasamy, toenmalig pastoor van parochie Pius X.", "source": "commons-desc-page"}, "DateTimeOriginal": {"value": "2023-07-23",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"https://thumb.wikimedia.org/wikipedia/commons/thumb/e/e1/Mariakapel_op_Riel_-_2008_-_Riel_-_Eindhoven.jpg/1280px-Mariakapel_op_Riel_-_2008_-_Riel_-_Eindhoven.jpg"}, "retrieved_on": "2026-10-23"}</t>
        </is>
      </c>
    </row>
    <row r="122" ht="54" customHeight="1">
      <c r="A122" s="29" t="inlineStr">
        <is>
          <t>eindhoven:evidence:riel-mahallesi-02</t>
        </is>
      </c>
      <c r="B122" s="29" t="inlineStr">
        <is>
          <t>eindhoven</t>
        </is>
      </c>
      <c r="C122" s="29" t="inlineStr">
        <is>
          <t>eindhoven:photo:riel-mahallesi-02</t>
        </is>
      </c>
      <c r="D122" s="29" t="inlineStr">
        <is>
          <t>https://commons.wikimedia.org/wiki/File:Riel_14,_Eindhoven.jpg</t>
        </is>
      </c>
      <c r="E122" s="29" t="inlineStr">
        <is>
          <t>File:Riel 14, Eindhoven.jpg</t>
        </is>
      </c>
      <c r="F122" s="29" t="inlineStr">
        <is>
          <t>Rosemoon</t>
        </is>
      </c>
      <c r="G122" s="29" t="inlineStr">
        <is>
          <t>CC BY-SA 4.0</t>
        </is>
      </c>
      <c r="H122" s="29" t="inlineStr">
        <is>
          <t>https://creativecommons.org/licenses/by-sa/4.0/</t>
        </is>
      </c>
      <c r="I122" s="29" t="inlineStr">
        <is>
          <t>Creative Commons Attribution-Share Alike 4.0</t>
        </is>
      </c>
      <c r="J122" s="29" t="inlineStr">
        <is>
          <t>Rosemoon · CC BY-SA 4.0 · Wikimedia Commons</t>
        </is>
      </c>
      <c r="K122" s="29" t="n"/>
      <c r="L122" s="49" t="n">
        <v>46317</v>
      </c>
      <c r="M122" s="29" t="inlineStr">
        <is>
          <t>Bekliyor</t>
        </is>
      </c>
      <c r="N122" s="29" t="inlineStr">
        <is>
          <t>Bekliyor</t>
        </is>
      </c>
      <c r="O122" s="29" t="inlineStr">
        <is>
          <t>Fotoğraflar/eindhoven_riel-mahallesi_02.jpg</t>
        </is>
      </c>
      <c r="P122" s="29" t="inlineStr">
        <is>
          <t>Büyük ağaçlar altında uzun alçak çiftlik evi ve ahır, toprak yol</t>
        </is>
      </c>
      <c r="Q122" s="29" t="inlineStr">
        <is>
          <t>Bekliyor</t>
        </is>
      </c>
      <c r="R122" s="29" t="inlineStr">
        <is>
          <t>Wikimedia Commons dosya sayfasındaki lisans: CC BY-SA 4.0</t>
        </is>
      </c>
      <c r="S122" s="29" t="n"/>
      <c r="T122" s="29" t="n"/>
      <c r="U122" s="29" t="n"/>
      <c r="V122" s="29" t="n"/>
      <c r="W122" s="29" t="inlineStr">
        <is>
          <t>{"source_url": "https://commons.wikimedia.org/wiki/File:Riel_14,_Eindhoven.jpg", "author": "Rosemoon", "license": "CC BY-SA 4.0", "license_url": "https://creativecommons.org/licenses/by-sa/4.0/", "original_api_record": {"size": 4372168, "width": 4032, "height": 3024, "thumburl": "https://thumb.wikimedia.org/wikipedia/commons/thumb/9/96/Riel_14%2C_Eindhoven.jpg/1920px-Riel_14%2C_Eindhoven.jpg?utm_source=commons.wikimedia.org&amp;utm_campaign=imageinfo&amp;utm_content=thumbnail", "thumbwidth": 1600, "thumbheight": 1200, "responsiveUrls": {"2": "https://thumb.wikimedia.org/wikipedia/commons/thumb/9/96/Riel_14%2C_Eindhoven.jpg/3840px-Riel_14%2C_Eindhoven.jpg?utm_source=commons.wikimedia.org&amp;utm_campaign=imageinfo&amp;utm_content=thumbnail"}, "thumbattribs": {"src": "https://thumb.wikimedia.org/wikipedia/commons/thumb/9/96/Riel_14%2C_Eindhoven.jpg/1920px-Riel_14%2C_Eindhoven.jpg?utm_source=commons.wikimedia.org&amp;utm_campaign=imageinfo&amp;utm_content=thumbnail", "decoding": "async", "loading": "lazy", "width": 1600, "height": 1200, "srcset": "https://thumb.wikimedia.org/wikipedia/commons/thumb/9/96/Riel_14%2C_Eindhoven.jpg/3840px-Riel_14%2C_Eindhoven.jpg?utm_source=commons.wikimedia.org&amp;utm_campaign=imageinfo&amp;utm_content=thumbnail 2x"}, "url": "https://upload.wikimedia.org/wikipedia/commons/9/96/Riel_14%2C_Eindhoven.jpg?utm_source=commons.wikimedia.org&amp;utm_campaign=imageinfo&amp;utm_content=original", "descriptionurl": "https://commons.wikimedia.org/wiki/File:Riel_14,_Eindhoven.jpg", "descriptionshorturl": "https://commons.wikimedia.org/w/index.php?curid=105004042", "sha1": "daf8b2a25b2f7d58b2ce8f3d05e9d88dd0730308", "extmetadata": {"DateTime": {"value": "2021-05-07 16:45:34", "source": "mediawiki-metadata", "hidden": ""}, "ObjectName": {"value": "Riel 14, Eindhoven", "source": "mediawiki-metadata"}, "CommonsMetadataExtension": {"value": 1.2, "source": "extension", "hidden": ""}, "Categories": {"value": "Riel 14, Eindhoven|Self-published work|Uploaded via Campaign:wlm-nl-gemeente|Files with coordinates missing SDC location of creation (51° N, 5° E)", "source": "commons-categories", "hidden": ""}, "Assessments": {"value": "", "source": "commons-categories", "hidden": ""}, "GPSLatitude": {"value": "51.423450", "source": "commons-desc-page"}, "GPSLongitude": {"value": "5.522967", "source": "commons-desc-page"}, "GPSMapDatum": {"value": "WGS-84", "source": "commons-desc-page", "hidden": ""}, "ImageDescription": {"value": "Riel 14, Eindhoven", "source": "commons-desc-page"}, "DateTimeOriginal": {"value": "2020-05-09 11:29:29",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"https://thumb.wikimedia.org/wikipedia/commons/thumb/9/96/Riel_14%2C_Eindhoven.jpg/1280px-Riel_14%2C_Eindhoven.jpg"}, "retrieved_on": "2026-10-23"}</t>
        </is>
      </c>
    </row>
    <row r="123" ht="54" customHeight="1">
      <c r="A123" s="29" t="inlineStr">
        <is>
          <t>eindhoven:evidence:riel-mahallesi-03</t>
        </is>
      </c>
      <c r="B123" s="29" t="inlineStr">
        <is>
          <t>eindhoven</t>
        </is>
      </c>
      <c r="C123" s="29" t="inlineStr">
        <is>
          <t>eindhoven:photo:riel-mahallesi-03</t>
        </is>
      </c>
      <c r="D123" s="29" t="inlineStr">
        <is>
          <t>https://commons.wikimedia.org/wiki/File:Riel_8,_Eindhoven-2.jpg</t>
        </is>
      </c>
      <c r="E123" s="29" t="inlineStr">
        <is>
          <t>File:Riel 8, Eindhoven-2.jpg</t>
        </is>
      </c>
      <c r="F123" s="29" t="inlineStr">
        <is>
          <t>Rosemoon</t>
        </is>
      </c>
      <c r="G123" s="29" t="inlineStr">
        <is>
          <t>CC BY-SA 4.0</t>
        </is>
      </c>
      <c r="H123" s="29" t="inlineStr">
        <is>
          <t>https://creativecommons.org/licenses/by-sa/4.0/</t>
        </is>
      </c>
      <c r="I123" s="29" t="inlineStr">
        <is>
          <t>Creative Commons Attribution-Share Alike 4.0</t>
        </is>
      </c>
      <c r="J123" s="29" t="inlineStr">
        <is>
          <t>Rosemoon · CC BY-SA 4.0 · Wikimedia Commons</t>
        </is>
      </c>
      <c r="K123" s="29" t="n"/>
      <c r="L123" s="49" t="n">
        <v>46317</v>
      </c>
      <c r="M123" s="29" t="inlineStr">
        <is>
          <t>Bekliyor</t>
        </is>
      </c>
      <c r="N123" s="29" t="inlineStr">
        <is>
          <t>Bekliyor</t>
        </is>
      </c>
      <c r="O123" s="29" t="inlineStr">
        <is>
          <t>Fotoğraflar/eindhoven_riel-mahallesi_03.jpg</t>
        </is>
      </c>
      <c r="P123" s="29" t="inlineStr">
        <is>
          <t>Saz çatılı eski tuğla çiftlik binası, ahşap kapı, çimenli yol</t>
        </is>
      </c>
      <c r="Q123" s="29" t="inlineStr">
        <is>
          <t>Bekliyor</t>
        </is>
      </c>
      <c r="R123" s="29" t="inlineStr">
        <is>
          <t>Wikimedia Commons dosya sayfasındaki lisans: CC BY-SA 4.0</t>
        </is>
      </c>
      <c r="S123" s="29" t="n"/>
      <c r="T123" s="29" t="n"/>
      <c r="U123" s="29" t="n"/>
      <c r="V123" s="29" t="n"/>
      <c r="W123" s="29" t="inlineStr">
        <is>
          <t>{"source_url": "https://commons.wikimedia.org/wiki/File:Riel_8,_Eindhoven-2.jpg", "author": "Rosemoon", "license": "CC BY-SA 4.0", "license_url": "https://creativecommons.org/licenses/by-sa/4.0/", "original_api_record": {"size": 2447001, "width": 4032, "height": 3024, "thumburl": "https://thumb.wikimedia.org/wikipedia/commons/thumb/f/f7/Riel_8%2C_Eindhoven-2.jpg/1920px-Riel_8%2C_Eindhoven-2.jpg?utm_source=commons.wikimedia.org&amp;utm_campaign=imageinfo&amp;utm_content=thumbnail", "thumbwidth": 1600, "thumbheight": 1200, "responsiveUrls": {"2": "https://thumb.wikimedia.org/wikipedia/commons/thumb/f/f7/Riel_8%2C_Eindhoven-2.jpg/3840px-Riel_8%2C_Eindhoven-2.jpg?utm_source=commons.wikimedia.org&amp;utm_campaign=imageinfo&amp;utm_content=thumbnail"}, "thumbattribs": {"src": "https://thumb.wikimedia.org/wikipedia/commons/thumb/f/f7/Riel_8%2C_Eindhoven-2.jpg/1920px-Riel_8%2C_Eindhoven-2.jpg?utm_source=commons.wikimedia.org&amp;utm_campaign=imageinfo&amp;utm_content=thumbnail", "decoding": "async", "loading": "lazy", "width": 1600, "height": 1200, "srcset": "https://thumb.wikimedia.org/wikipedia/commons/thumb/f/f7/Riel_8%2C_Eindhoven-2.jpg/3840px-Riel_8%2C_Eindhoven-2.jpg?utm_source=commons.wikimedia.org&amp;utm_campaign=imageinfo&amp;utm_content=thumbnail 2x"}, "url": "https://upload.wikimedia.org/wikipedia/commons/f/f7/Riel_8%2C_Eindhoven-2.jpg?utm_source=commons.wikimedia.org&amp;utm_campaign=imageinfo&amp;utm_content=original", "descriptionurl": "https://commons.wikimedia.org/wiki/File:Riel_8,_Eindhoven-2.jpg", "descriptionshorturl": "https://commons.wikimedia.org/w/index.php?curid=105003960", "sha1": "2968eade9d87efd468acee5d3f4f28d143e26a76", "extmetadata": {"DateTime": {"value": "2021-05-07 16:43:22", "source": "mediawiki-metadata", "hidden": ""}, "ObjectName": {"value": "Riel 8, Eindhoven-2", "source": "mediawiki-metadata"}, "CommonsMetadataExtension": {"value": 1.2, "source": "extension", "hidden": ""}, "Categories": {"value": "Gemeentelijke monumenten in Eindhoven|Self-published work|Gemeentelijke monumenten with known IDs|Uploaded via Campaign:wlm-nl-gemeente", "source": "commons-categories", "hidden": ""}, "Assessments": {"value": "", "source": "commons-categories", "hidden": ""}, "GPSLatitude": {"value": "51.420567", "source": "commons-desc-page"}, "GPSLongitude": {"value": "5.524183", "source": "commons-desc-page"}, "GPSMapDatum": {"value": "WGS-84", "source": "commons-desc-page", "hidden": ""}, "ImageDescription": {"value": "This is an image of a municipal monument in Eindhoven with number", "source": "commons-desc-page"}, "DateTimeOriginal": {"value": "2020-05-09 11:26:05",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"https://thumb.wikimedia.org/wikipedia/commons/thumb/f/f7/Riel_8%2C_Eindhoven-2.jpg/1280px-Riel_8%2C_Eindhoven-2.jpg"}, "retrieved_on": "2026-10-23"}</t>
        </is>
      </c>
    </row>
    <row r="124" ht="54" customHeight="1">
      <c r="A124" s="29" t="inlineStr">
        <is>
          <t>eindhoven:evidence:gestel-bolgesi-01</t>
        </is>
      </c>
      <c r="B124" s="29" t="inlineStr">
        <is>
          <t>eindhoven</t>
        </is>
      </c>
      <c r="C124" s="29" t="inlineStr">
        <is>
          <t>eindhoven:photo:gestel-bolgesi-01</t>
        </is>
      </c>
      <c r="D124" s="29" t="inlineStr">
        <is>
          <t>https://commons.wikimedia.org/wiki/File:Eindhoven_Gestel_St_Lambertusstr_13_Winkel_woonhuis.jpg</t>
        </is>
      </c>
      <c r="E124" s="29" t="inlineStr">
        <is>
          <t>File:Eindhoven Gestel St Lambertusstr 13 Winkel woonhuis.jpg</t>
        </is>
      </c>
      <c r="F124" s="29" t="inlineStr">
        <is>
          <t>AcroniusZ</t>
        </is>
      </c>
      <c r="G124" s="29" t="inlineStr">
        <is>
          <t>CC BY-SA 4.0</t>
        </is>
      </c>
      <c r="H124" s="29" t="inlineStr">
        <is>
          <t>https://creativecommons.org/licenses/by-sa/4.0/</t>
        </is>
      </c>
      <c r="I124" s="29" t="inlineStr">
        <is>
          <t>Creative Commons Attribution-Share Alike 4.0</t>
        </is>
      </c>
      <c r="J124" s="29" t="inlineStr">
        <is>
          <t>AcroniusZ · CC BY-SA 4.0 · Wikimedia Commons</t>
        </is>
      </c>
      <c r="K124" s="29" t="n"/>
      <c r="L124" s="49" t="n">
        <v>46317</v>
      </c>
      <c r="M124" s="29" t="inlineStr">
        <is>
          <t>Bekliyor</t>
        </is>
      </c>
      <c r="N124" s="29" t="inlineStr">
        <is>
          <t>Bekliyor</t>
        </is>
      </c>
      <c r="O124" s="29" t="inlineStr">
        <is>
          <t>Fotoğraflar/eindhoven_gestel-bolgesi_01.jpg</t>
        </is>
      </c>
      <c r="P124" s="29" t="inlineStr">
        <is>
          <t>Sivri süslü alınlıklı beyaz köşe binası, tuğla sıra evler, girilmez levhası</t>
        </is>
      </c>
      <c r="Q124" s="29" t="inlineStr">
        <is>
          <t>Bekliyor</t>
        </is>
      </c>
      <c r="R124" s="29" t="inlineStr">
        <is>
          <t>Wikimedia Commons dosya sayfasındaki lisans: CC BY-SA 4.0</t>
        </is>
      </c>
      <c r="S124" s="29" t="n"/>
      <c r="T124" s="29" t="n"/>
      <c r="U124" s="29" t="n"/>
      <c r="V124" s="29" t="n"/>
      <c r="W124" s="29" t="inlineStr">
        <is>
          <t>{"source_url": "https://commons.wikimedia.org/wiki/File:Eindhoven_Gestel_St_Lambertusstr_13_Winkel_woonhuis.jpg", "author": "AcroniusZ", "license": "CC BY-SA 4.0", "license_url": "https://creativecommons.org/licenses/by-sa/4.0/", "original_api_record": {"size": 2124106, "width": 4000, "height": 3000, "thumburl": "https://thumb.wikimedia.org/wikipedia/commons/thumb/2/28/Eindhoven_Gestel_St_Lambertusstr_13_Winkel_woonhuis.jpg/1920px-Eindhoven_Gestel_St_Lambertusstr_13_Winkel_woonhuis.jpg?utm_source=commons.wikimedia.org&amp;utm_campaign=imageinfo&amp;utm_content=thumbnail", "thumbwidth": 1600, "thumbheight": 1200, "responsiveUrls": {"2": "https://thumb.wikimedia.org/wikipedia/commons/thumb/2/28/Eindhoven_Gestel_St_Lambertusstr_13_Winkel_woonhuis.jpg/3840px-Eindhoven_Gestel_St_Lambertusstr_13_Winkel_woonhuis.jpg?utm_source=commons.wikimedia.org&amp;utm_campaign=imageinfo&amp;utm_content=thumbnail"}, "thumbattribs": {"src": "https://thumb.wikimedia.org/wikipedia/commons/thumb/2/28/Eindhoven_Gestel_St_Lambertusstr_13_Winkel_woonhuis.jpg/1920px-Eindhoven_Gestel_St_Lambertusstr_13_Winkel_woonhuis.jpg?utm_source=commons.wikimedia.org&amp;utm_campaign=imageinfo&amp;utm_content=thumbnail", "decoding": "async", "loading": "lazy", "width": 1600, "height": 1200, "srcset": "https://thumb.wikimedia.org/wikipedia/commons/thumb/2/28/Eindhoven_Gestel_St_Lambertusstr_13_Winkel_woonhuis.jpg/3840px-Eindhoven_Gestel_St_Lambertusstr_13_Winkel_woonhuis.jpg?utm_source=commons.wikimedia.org&amp;utm_campaign=imageinfo&amp;utm_content=thumbnail 2x"}, "url": "https://upload.wikimedia.org/wikipedia/commons/2/28/Eindhoven_Gestel_St_Lambertusstr_13_Winkel_woonhuis.jpg?utm_source=commons.wikimedia.org&amp;utm_campaign=imageinfo&amp;utm_content=original", "descriptionurl": "https://commons.wikimedia.org/wiki/File:Eindhoven_Gestel_St_Lambertusstr_13_Winkel_woonhuis.jpg", "descriptionshorturl": "https://commons.wikimedia.org/w/index.php?curid=95913401", "sha1": "1f2dc8ab25292511f6d31d25bed4d02e6fa888a2", "extmetadata": {"DateTime": {"value": "2020-11-08 08:55:01", "source": "mediawiki-metadata", "hidden": ""}, "ObjectName": {"value": "Eindhoven Gestel St Lambertusstr 13 Winkel woonhuis", "source": "mediawiki-metadata"}, "CommonsMetadataExtension": {"value": 1.2, "source": "extension", "hidden": ""}, "Categories": {"value": "Gemeentelijke monumenten in Eindhoven|Self-published work|Gemeentelijke monumenten with known IDs|Uploaded via Campaign:wlm-nl-gemeente", "source": "commons-categories", "hidden": ""}, "Assessments": {"value": "", "source": "commons-categories", "hidden": ""}, "ImageDescription": {"value": "This is an image of a municipal monument in Eindhoven with number", "source": "commons-desc-page"}, "DateTimeOriginal": {"value": "2020-11-05 16:43:17", "source": "commons-desc-page"}, "Credit": {"value": "&lt;span class=\"int-own-work\" lang=\"en\"&gt;Own work&lt;/span&gt;", "source": "commons-desc-page"}, "Artist": {"value": "&lt;a href=\"//commons.wikimedia.org/w/index.php?title=User:AcroniusZ&amp;amp;action=edit&amp;amp;redlink=1\" class=\"new\" title=\"User:AcroniusZ (page does not exist)\"&gt;AcroniusZ&lt;/a&gt;",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"https://thumb.wikimedia.org/wikipedia/commons/thumb/2/28/Eindhoven_Gestel_St_Lambertusstr_13_Winkel_woonhuis.jpg/1280px-Eindhoven_Gestel_St_Lambertusstr_13_Winkel_woonhuis.jpg"}, "retrieved_on": "2026-10-23"}</t>
        </is>
      </c>
    </row>
    <row r="125" ht="54" customHeight="1">
      <c r="A125" s="29" t="inlineStr">
        <is>
          <t>eindhoven:evidence:gestel-bolgesi-02</t>
        </is>
      </c>
      <c r="B125" s="29" t="inlineStr">
        <is>
          <t>eindhoven</t>
        </is>
      </c>
      <c r="C125" s="29" t="inlineStr">
        <is>
          <t>eindhoven:photo:gestel-bolgesi-02</t>
        </is>
      </c>
      <c r="D125" s="29" t="inlineStr">
        <is>
          <t>https://commons.wikimedia.org/wiki/File:Eindhoven_Gestel_St_Lambertusstr_17-25_Woonhuizen.jpg</t>
        </is>
      </c>
      <c r="E125" s="29" t="inlineStr">
        <is>
          <t>File:Eindhoven Gestel St Lambertusstr 17-25 Woonhuizen.jpg</t>
        </is>
      </c>
      <c r="F125" s="29" t="inlineStr">
        <is>
          <t>AcroniusZ</t>
        </is>
      </c>
      <c r="G125" s="29" t="inlineStr">
        <is>
          <t>CC BY-SA 4.0</t>
        </is>
      </c>
      <c r="H125" s="29" t="inlineStr">
        <is>
          <t>https://creativecommons.org/licenses/by-sa/4.0/</t>
        </is>
      </c>
      <c r="I125" s="29" t="inlineStr">
        <is>
          <t>Creative Commons Attribution-Share Alike 4.0</t>
        </is>
      </c>
      <c r="J125" s="29" t="inlineStr">
        <is>
          <t>AcroniusZ · CC BY-SA 4.0 · Wikimedia Commons</t>
        </is>
      </c>
      <c r="K125" s="29" t="n"/>
      <c r="L125" s="49" t="n">
        <v>46317</v>
      </c>
      <c r="M125" s="29" t="inlineStr">
        <is>
          <t>Bekliyor</t>
        </is>
      </c>
      <c r="N125" s="29" t="inlineStr">
        <is>
          <t>Bekliyor</t>
        </is>
      </c>
      <c r="O125" s="29" t="inlineStr">
        <is>
          <t>Fotoğraflar/eindhoven_gestel-bolgesi_02.jpg</t>
        </is>
      </c>
      <c r="P125" s="29" t="inlineStr">
        <is>
          <t>Çatı pencereli tuğla sıra evler, sarmaşıklar, beyaz kamyonet</t>
        </is>
      </c>
      <c r="Q125" s="29" t="inlineStr">
        <is>
          <t>Bekliyor</t>
        </is>
      </c>
      <c r="R125" s="29" t="inlineStr">
        <is>
          <t>Wikimedia Commons dosya sayfasındaki lisans: CC BY-SA 4.0</t>
        </is>
      </c>
      <c r="S125" s="29" t="n"/>
      <c r="T125" s="29" t="n"/>
      <c r="U125" s="29" t="n"/>
      <c r="V125" s="29" t="n"/>
      <c r="W125" s="29" t="inlineStr">
        <is>
          <t>{"source_url": "https://commons.wikimedia.org/wiki/File:Eindhoven_Gestel_St_Lambertusstr_17-25_Woonhuizen.jpg", "author": "AcroniusZ", "license": "CC BY-SA 4.0", "license_url": "https://creativecommons.org/licenses/by-sa/4.0/", "original_api_record": {"size": 2672355, "width": 4000, "height": 3000, "thumburl": "https://thumb.wikimedia.org/wikipedia/commons/thumb/0/08/Eindhoven_Gestel_St_Lambertusstr_17-25_Woonhuizen.jpg/1920px-Eindhoven_Gestel_St_Lambertusstr_17-25_Woonhuizen.jpg?utm_source=commons.wikimedia.org&amp;utm_campaign=imageinfo&amp;utm_content=thumbnail", "thumbwidth": 1600, "thumbheight": 1200, "responsiveUrls": {"2": "https://thumb.wikimedia.org/wikipedia/commons/thumb/0/08/Eindhoven_Gestel_St_Lambertusstr_17-25_Woonhuizen.jpg/3840px-Eindhoven_Gestel_St_Lambertusstr_17-25_Woonhuizen.jpg?utm_source=commons.wikimedia.org&amp;utm_campaign=imageinfo&amp;utm_content=thumbnail"}, "thumbattribs": {"src": "https://thumb.wikimedia.org/wikipedia/commons/thumb/0/08/Eindhoven_Gestel_St_Lambertusstr_17-25_Woonhuizen.jpg/1920px-Eindhoven_Gestel_St_Lambertusstr_17-25_Woonhuizen.jpg?utm_source=commons.wikimedia.org&amp;utm_campaign=imageinfo&amp;utm_content=thumbnail", "decoding": "async", "loading": "lazy", "width": 1600, "height": 1200, "srcset": "https://thumb.wikimedia.org/wikipedia/commons/thumb/0/08/Eindhoven_Gestel_St_Lambertusstr_17-25_Woonhuizen.jpg/3840px-Eindhoven_Gestel_St_Lambertusstr_17-25_Woonhuizen.jpg?utm_source=commons.wikimedia.org&amp;utm_campaign=imageinfo&amp;utm_content=thumbnail 2x"}, "url": "https://upload.wikimedia.org/wikipedia/commons/0/08/Eindhoven_Gestel_St_Lambertusstr_17-25_Woonhuizen.jpg?utm_source=commons.wikimedia.org&amp;utm_campaign=imageinfo&amp;utm_content=original", "descriptionurl": "https://commons.wikimedia.org/wiki/File:Eindhoven_Gestel_St_Lambertusstr_17-25_Woonhuizen.jpg", "descriptionshorturl": "https://commons.wikimedia.org/w/index.php?curid=95913400", "sha1": "b773ff5b6dfb41d3d1871017bf4e648dbcfccc30", "extmetadata": {"DateTime": {"value": "2020-11-08 08:55:01", "source": "mediawiki-metadata", "hidden": ""}, "ObjectName": {"value": "Eindhoven Gestel St Lambertusstr 17-25 Woonhuizen", "source": "mediawiki-metadata"}, "CommonsMetadataExtension": {"value": 1.2, "source": "extension", "hidden": ""}, "Categories": {"value": "Gemeentelijke monumenten in Eindhoven|Self-published work|Gemeentelijke monumenten with known IDs|Uploaded via Campaign:wlm-nl-gemeente", "source": "commons-categories", "hidden": ""}, "Assessments": {"value": "", "source": "commons-categories", "hidden": ""}, "ImageDescription": {"value": "This is an image of a municipal monument in Eindhoven with number", "source": "commons-desc-page"}, "DateTimeOriginal": {"value": "2020-11-05 16:43:53", "source": "commons-desc-page"}, "Credit": {"value": "&lt;span class=\"int-own-work\" lang=\"en\"&gt;Own work&lt;/span&gt;", "source": "commons-desc-page"}, "Artist": {"value": "&lt;a href=\"//commons.wikimedia.org/w/index.php?title=User:AcroniusZ&amp;amp;action=edit&amp;amp;redlink=1\" class=\"new\" title=\"User:AcroniusZ (page does not exist)\"&gt;AcroniusZ&lt;/a&gt;",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"https://thumb.wikimedia.org/wikipedia/commons/thumb/0/08/Eindhoven_Gestel_St_Lambertusstr_17-25_Woonhuizen.jpg/1280px-Eindhoven_Gestel_St_Lambertusstr_17-25_Woonhuizen.jpg"}, "retrieved_on": "2026-10-23"}</t>
        </is>
      </c>
    </row>
    <row r="126" ht="54" customHeight="1">
      <c r="A126" s="29" t="inlineStr">
        <is>
          <t>eindhoven:evidence:gestel-bolgesi-03</t>
        </is>
      </c>
      <c r="B126" s="29" t="inlineStr">
        <is>
          <t>eindhoven</t>
        </is>
      </c>
      <c r="C126" s="29" t="inlineStr">
        <is>
          <t>eindhoven:photo:gestel-bolgesi-03</t>
        </is>
      </c>
      <c r="D126" s="29" t="inlineStr">
        <is>
          <t>https://commons.wikimedia.org/wiki/File:Eindhoven_Gestel_St_Martinusstr_15-17_Woonhuizen.jpg</t>
        </is>
      </c>
      <c r="E126" s="29" t="inlineStr">
        <is>
          <t>File:Eindhoven Gestel St Martinusstr 15-17 Woonhuizen.jpg</t>
        </is>
      </c>
      <c r="F126" s="29" t="inlineStr">
        <is>
          <t>AcroniusZ</t>
        </is>
      </c>
      <c r="G126" s="29" t="inlineStr">
        <is>
          <t>CC BY-SA 4.0</t>
        </is>
      </c>
      <c r="H126" s="29" t="inlineStr">
        <is>
          <t>https://creativecommons.org/licenses/by-sa/4.0/</t>
        </is>
      </c>
      <c r="I126" s="29" t="inlineStr">
        <is>
          <t>Creative Commons Attribution-Share Alike 4.0</t>
        </is>
      </c>
      <c r="J126" s="29" t="inlineStr">
        <is>
          <t>AcroniusZ · CC BY-SA 4.0 · Wikimedia Commons</t>
        </is>
      </c>
      <c r="K126" s="29" t="n"/>
      <c r="L126" s="49" t="n">
        <v>46317</v>
      </c>
      <c r="M126" s="29" t="inlineStr">
        <is>
          <t>Bekliyor</t>
        </is>
      </c>
      <c r="N126" s="29" t="inlineStr">
        <is>
          <t>Bekliyor</t>
        </is>
      </c>
      <c r="O126" s="29" t="inlineStr">
        <is>
          <t>Fotoğraflar/eindhoven_gestel-bolgesi_03.jpg</t>
        </is>
      </c>
      <c r="P126" s="29" t="inlineStr">
        <is>
          <t>Süslü tuğla bantlı, sivri alınlıklı bitişik tuğla evler</t>
        </is>
      </c>
      <c r="Q126" s="29" t="inlineStr">
        <is>
          <t>Bekliyor</t>
        </is>
      </c>
      <c r="R126" s="29" t="inlineStr">
        <is>
          <t>Wikimedia Commons dosya sayfasındaki lisans: CC BY-SA 4.0</t>
        </is>
      </c>
      <c r="S126" s="29" t="n"/>
      <c r="T126" s="29" t="n"/>
      <c r="U126" s="29" t="n"/>
      <c r="V126" s="29" t="n"/>
      <c r="W126" s="29" t="inlineStr">
        <is>
          <t>{"source_url": "https://commons.wikimedia.org/wiki/File:Eindhoven_Gestel_St_Martinusstr_15-17_Woonhuizen.jpg", "author": "AcroniusZ", "license": "CC BY-SA 4.0", "license_url": "https://creativecommons.org/licenses/by-sa/4.0/", "original_api_record": {"size": 5058140, "width": 4000, "height": 3000, "thumburl": "https://thumb.wikimedia.org/wikipedia/commons/thumb/e/ea/Eindhoven_Gestel_St_Martinusstr_15-17_Woonhuizen.jpg/1920px-Eindhoven_Gestel_St_Martinusstr_15-17_Woonhuizen.jpg?utm_source=commons.wikimedia.org&amp;utm_campaign=imageinfo&amp;utm_content=thumbnail", "thumbwidth": 1600, "thumbheight": 1200, "responsiveUrls": {"2": "https://thumb.wikimedia.org/wikipedia/commons/thumb/e/ea/Eindhoven_Gestel_St_Martinusstr_15-17_Woonhuizen.jpg/3840px-Eindhoven_Gestel_St_Martinusstr_15-17_Woonhuizen.jpg?utm_source=commons.wikimedia.org&amp;utm_campaign=imageinfo&amp;utm_content=thumbnail"}, "thumbattribs": {"src": "https://thumb.wikimedia.org/wikipedia/commons/thumb/e/ea/Eindhoven_Gestel_St_Martinusstr_15-17_Woonhuizen.jpg/1920px-Eindhoven_Gestel_St_Martinusstr_15-17_Woonhuizen.jpg?utm_source=commons.wikimedia.org&amp;utm_campaign=imageinfo&amp;utm_content=thumbnail", "decoding": "async", "loading": "lazy", "width": 1600, "height": 1200, "srcset": "https://thumb.wikimedia.org/wikipedia/commons/thumb/e/ea/Eindhoven_Gestel_St_Martinusstr_15-17_Woonhuizen.jpg/3840px-Eindhoven_Gestel_St_Martinusstr_15-17_Woonhuizen.jpg?utm_source=commons.wikimedia.org&amp;utm_campaign=imageinfo&amp;utm_content=thumbnail 2x"}, "url": "https://upload.wikimedia.org/wikipedia/commons/e/ea/Eindhoven_Gestel_St_Martinusstr_15-17_Woonhuizen.jpg?utm_source=commons.wikimedia.org&amp;utm_campaign=imageinfo&amp;utm_content=original", "descriptionurl": "https://commons.wikimedia.org/wiki/File:Eindhoven_Gestel_St_Martinusstr_15-17_Woonhuizen.jpg", "descriptionshorturl": "https://commons.wikimedia.org/w/index.php?curid=95913402", "sha1": "26070d0829d048869a1db2bc00ca5c487057081e", "extmetadata": {"DateTime": {"value": "2020-11-08 08:55:02", "source": "mediawiki-metadata", "hidden": ""}, "ObjectName": {"value": "Eindhoven Gestel St Martinusstr 15-17 Woonhuizen", "source": "mediawiki-metadata"}, "CommonsMetadataExtension": {"value": 1.2, "source": "extension", "hidden": ""}, "Categories": {"value": "Gemeentelijke monumenten in Eindhoven|Self-published work|Gemeentelijke monumenten with known IDs|Uploaded via Campaign:wlm-nl-gemeente", "source": "commons-categories", "hidden": ""}, "Assessments": {"value": "", "source": "commons-categories", "hidden": ""}, "ImageDescription": {"value": "This is an image of a municipal monument in Eindhoven with number", "source": "commons-desc-page"}, "DateTimeOriginal": {"value": "2020-11-05 16:45:57", "source": "commons-desc-page"}, "Credit": {"value": "&lt;span class=\"int-own-work\" lang=\"en\"&gt;Own work&lt;/span&gt;", "source": "commons-desc-page"}, "Artist": {"value": "&lt;a href=\"//commons.wikimedia.org/w/index.php?title=User:AcroniusZ&amp;amp;action=edit&amp;amp;redlink=1\" class=\"new\" title=\"User:AcroniusZ (page does not exist)\"&gt;AcroniusZ&lt;/a&gt;",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"https://thumb.wikimedia.org/wikipedia/commons/thumb/e/ea/Eindhoven_Gestel_St_Martinusstr_15-17_Woonhuizen.jpg/1280px-Eindhoven_Gestel_St_Martinusstr_15-17_Woonhuizen.jpg"}, "retrieved_on": "2026-10-23"}</t>
        </is>
      </c>
    </row>
    <row r="127" ht="54" customHeight="1">
      <c r="A127" s="29" t="inlineStr">
        <is>
          <t>eindhoven:evidence:tongelre-bolgesi-01</t>
        </is>
      </c>
      <c r="B127" s="29" t="inlineStr">
        <is>
          <t>eindhoven</t>
        </is>
      </c>
      <c r="C127" s="29" t="inlineStr">
        <is>
          <t>eindhoven:photo:tongelre-bolgesi-01</t>
        </is>
      </c>
      <c r="D127" s="29" t="inlineStr">
        <is>
          <t>https://commons.wikimedia.org/wiki/File:Doolstraat_2,_Eindhoven_(2).jpg</t>
        </is>
      </c>
      <c r="E127" s="29" t="inlineStr">
        <is>
          <t>File:Doolstraat 2, Eindhoven (2).jpg</t>
        </is>
      </c>
      <c r="F127" s="29" t="inlineStr">
        <is>
          <t>Rosemoon</t>
        </is>
      </c>
      <c r="G127" s="29" t="inlineStr">
        <is>
          <t>CC BY-SA 4.0</t>
        </is>
      </c>
      <c r="H127" s="29" t="inlineStr">
        <is>
          <t>https://creativecommons.org/licenses/by-sa/4.0/</t>
        </is>
      </c>
      <c r="I127" s="29" t="inlineStr">
        <is>
          <t>Creative Commons Attribution-Share Alike 4.0</t>
        </is>
      </c>
      <c r="J127" s="29" t="inlineStr">
        <is>
          <t>Rosemoon · CC BY-SA 4.0 · Wikimedia Commons</t>
        </is>
      </c>
      <c r="K127" s="29" t="n"/>
      <c r="L127" s="49" t="n">
        <v>46317</v>
      </c>
      <c r="M127" s="29" t="inlineStr">
        <is>
          <t>Bekliyor</t>
        </is>
      </c>
      <c r="N127" s="29" t="inlineStr">
        <is>
          <t>Bekliyor</t>
        </is>
      </c>
      <c r="O127" s="29" t="inlineStr">
        <is>
          <t>Fotoğraflar/eindhoven_tongelre-bolgesi_01.jpg</t>
        </is>
      </c>
      <c r="P127" s="29" t="inlineStr">
        <is>
          <t>Budanmış ağaçların ardında uzun alçak tuğla çiftlik evi, yol</t>
        </is>
      </c>
      <c r="Q127" s="29" t="inlineStr">
        <is>
          <t>Bekliyor</t>
        </is>
      </c>
      <c r="R127" s="29" t="inlineStr">
        <is>
          <t>Wikimedia Commons dosya sayfasındaki lisans: CC BY-SA 4.0</t>
        </is>
      </c>
      <c r="S127" s="29" t="n"/>
      <c r="T127" s="29" t="n"/>
      <c r="U127" s="29" t="n"/>
      <c r="V127" s="29" t="n"/>
      <c r="W127" s="29" t="inlineStr">
        <is>
          <t>{"source_url": "https://commons.wikimedia.org/wiki/File:Doolstraat_2,_Eindhoven_(2).jpg", "author": "Rosemoon", "license": "CC BY-SA 4.0", "license_url": "https://creativecommons.org/licenses/by-sa/4.0/", "original_api_record": {"size": 6941924, "width": 6000, "height": 4000, "thumburl": "https://thumb.wikimedia.org/wikipedia/commons/thumb/5/59/Doolstraat_2%2C_Eindhoven_%282%29.jpg/1920px-Doolstraat_2%2C_Eindhoven_%282%29.jpg?utm_source=commons.wikimedia.org&amp;utm_campaign=imageinfo&amp;utm_content=thumbnail", "thumbwidth": 1600, "thumbheight": 1067, "responsiveUrls": {"2": "https://thumb.wikimedia.org/wikipedia/commons/thumb/5/59/Doolstraat_2%2C_Eindhoven_%282%29.jpg/3840px-Doolstraat_2%2C_Eindhoven_%282%29.jpg?utm_source=commons.wikimedia.org&amp;utm_campaign=imageinfo&amp;utm_content=thumbnail"}, "thumbattribs": {"src": "https://thumb.wikimedia.org/wikipedia/commons/thumb/5/59/Doolstraat_2%2C_Eindhoven_%282%29.jpg/1920px-Doolstraat_2%2C_Eindhoven_%282%29.jpg?utm_source=commons.wikimedia.org&amp;utm_campaign=imageinfo&amp;utm_content=thumbnail", "decoding": "async", "loading": "lazy", "width": 1600, "height": 1067, "srcset": "https://thumb.wikimedia.org/wikipedia/commons/thumb/5/59/Doolstraat_2%2C_Eindhoven_%282%29.jpg/3840px-Doolstraat_2%2C_Eindhoven_%282%29.jpg?utm_source=commons.wikimedia.org&amp;utm_campaign=imageinfo&amp;utm_content=thumbnail 2x"}, "url": "https://upload.wikimedia.org/wikipedia/commons/5/59/Doolstraat_2%2C_Eindhoven_%282%29.jpg?utm_source=commons.wikimedia.org&amp;utm_campaign=imageinfo&amp;utm_content=original", "descriptionurl": "https://commons.wikimedia.org/wiki/File:Doolstraat_2,_Eindhoven_(2).jpg", "descriptionshorturl": "https://commons.wikimedia.org/w/index.php?curid=88734381", "sha1": "e81a722f8525e4d754d22ffe71f8c8edfd666a96", "extmetadata": {"DateTime": {"value": "2020-03-29 11:02:57", "source": "mediawiki-metadata", "hidden": ""}, "ObjectName": {"value": "Doolstraat 2, Eindhoven (2)", "source": "mediawiki-metadata"}, "CommonsMetadataExtension": {"value": 1.2, "source": "extension", "hidden": ""}, "Categories": {"value": "Tongelre|Gemeentelijke monumenten in Eindhoven|Self-published work|Gemeentelijke monumenten with known IDs|Uploaded via Campaign:wlm-nl-gemeente|Netherlands photographs taken on 2020-03-28", "source": "commons-categories", "hidden": ""}, "Assessments": {"value": "", "source": "commons-categories", "hidden": ""}, "GPSLatitude": {"value": "51.436702", "source": "commons-desc-page"}, "GPSLongitude": {"value": "5.533448", "source": "commons-desc-page"}, "GPSMapDatum": {"value": "WGS-84", "source": "commons-desc-page", "hidden": ""}, "ImageDescription": {"value": "This is an image of a municipal monument in Eindhoven with number", "source": "commons-desc-page"}, "DateTimeOriginal": {"value": "2020-03-28 12:32:18", "source": "commons-desc-page"}, "Credit": {"value": "&lt;span class=\"int-own-work\" lang=\"en\"&gt;Own work&lt;/span&gt;", "source": "commons-desc-page"}, "Artist": {"value": "&lt;a rel=\"mw:WikiLink\" href=\"https://commons.wikimedia.org/wiki/User:Rosemoon\"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"https://thumb.wikimedia.org/wikipedia/commons/thumb/5/59/Doolstraat_2%2C_Eindhoven_%282%29.jpg/1280px-Doolstraat_2%2C_Eindhoven_%282%29.jpg"}, "retrieved_on": "2026-10-23"}</t>
        </is>
      </c>
    </row>
    <row r="128" ht="54" customHeight="1">
      <c r="A128" s="29" t="inlineStr">
        <is>
          <t>eindhoven:evidence:tongelre-bolgesi-02</t>
        </is>
      </c>
      <c r="B128" s="29" t="inlineStr">
        <is>
          <t>eindhoven</t>
        </is>
      </c>
      <c r="C128" s="29" t="inlineStr">
        <is>
          <t>eindhoven:photo:tongelre-bolgesi-02</t>
        </is>
      </c>
      <c r="D128" s="29" t="inlineStr">
        <is>
          <t>https://commons.wikimedia.org/wiki/File:Eindhoven_St._Martinuskerk,_Tongelre.jpg</t>
        </is>
      </c>
      <c r="E128" s="29" t="inlineStr">
        <is>
          <t>File:Eindhoven St. Martinuskerk, Tongelre.jpg</t>
        </is>
      </c>
      <c r="F128" s="29" t="inlineStr">
        <is>
          <t>Machiel Lock</t>
        </is>
      </c>
      <c r="G128" s="29" t="inlineStr">
        <is>
          <t>CC BY-SA 4.0</t>
        </is>
      </c>
      <c r="H128" s="29" t="inlineStr">
        <is>
          <t>https://creativecommons.org/licenses/by-sa/4.0/</t>
        </is>
      </c>
      <c r="I128" s="29" t="inlineStr">
        <is>
          <t>Creative Commons Attribution-Share Alike 4.0</t>
        </is>
      </c>
      <c r="J128" s="29" t="inlineStr">
        <is>
          <t>Machiel Lock · CC BY-SA 4.0 · Wikimedia Commons</t>
        </is>
      </c>
      <c r="K128" s="29" t="n"/>
      <c r="L128" s="49" t="n">
        <v>46317</v>
      </c>
      <c r="M128" s="29" t="inlineStr">
        <is>
          <t>Bekliyor</t>
        </is>
      </c>
      <c r="N128" s="29" t="inlineStr">
        <is>
          <t>Bekliyor</t>
        </is>
      </c>
      <c r="O128" s="29" t="inlineStr">
        <is>
          <t>Fotoğraflar/eindhoven_tongelre-bolgesi_02.jpg</t>
        </is>
      </c>
      <c r="P128" s="29" t="inlineStr">
        <is>
          <t>İki kuleli, gül pencereli neogotik tuğla kilise cephesi</t>
        </is>
      </c>
      <c r="Q128" s="29" t="inlineStr">
        <is>
          <t>Bekliyor</t>
        </is>
      </c>
      <c r="R128" s="29" t="inlineStr">
        <is>
          <t>Wikimedia Commons dosya sayfasındaki lisans: CC BY-SA 4.0</t>
        </is>
      </c>
      <c r="S128" s="29" t="n"/>
      <c r="T128" s="29" t="n"/>
      <c r="U128" s="29" t="n"/>
      <c r="V128" s="29" t="n"/>
      <c r="W128" s="29" t="inlineStr">
        <is>
          <t>{"source_url": "https://commons.wikimedia.org/wiki/File:Eindhoven_St._Martinuskerk,_Tongelre.jpg", "author": "Machiel Lock", "license": "CC BY-SA 4.0", "license_url": "https://creativecommons.org/licenses/by-sa/4.0/", "original_api_record": {"size": 2649463, "width": 2448, "height": 3264, "thumburl": "https://thumb.wikimedia.org/wikipedia/commons/thumb/2/2a/Eindhoven_St._Martinuskerk%2C_Tongelre.jpg/1920px-Eindhoven_St._Martinuskerk%2C_Tongelre.jpg?utm_source=commons.wikimedia.org&amp;utm_campaign=imageinfo&amp;utm_content=thumbnail", "thumbwidth": 1600, "thumbheight": 2133, "responsiveUrls": {"2": "https://upload.wikimedia.org/wikipedia/commons/2/2a/Eindhoven_St._Martinuskerk%2C_Tongelre.jpg?utm_source=commons.wikimedia.org&amp;utm_campaign=imageinfo&amp;utm_content=thumbnail_unscaled"}, "thumbattribs": {"src": "https://thumb.wikimedia.org/wikipedia/commons/thumb/2/2a/Eindhoven_St._Martinuskerk%2C_Tongelre.jpg/1920px-Eindhoven_St._Martinuskerk%2C_Tongelre.jpg?utm_source=commons.wikimedia.org&amp;utm_campaign=imageinfo&amp;utm_content=thumbnail", "decoding": "async", "loading": "lazy", "width": 1600, "height": 2133, "srcset": "https://upload.wikimedia.org/wikipedia/commons/2/2a/Eindhoven_St._Martinuskerk%2C_Tongelre.jpg?utm_source=commons.wikimedia.org&amp;utm_campaign=imageinfo&amp;utm_content=thumbnail_unscaled 2x"}, "url": "https://upload.wikimedia.org/wikipedia/commons/2/2a/Eindhoven_St._Martinuskerk%2C_Tongelre.jpg?utm_source=commons.wikimedia.org&amp;utm_campaign=imageinfo&amp;utm_content=original", "descriptionurl": "https://commons.wikimedia.org/wiki/File:Eindhoven_St._Martinuskerk,_Tongelre.jpg", "descriptionshorturl": "https://commons.wikimedia.org/w/index.php?curid=64459208", "sha1": "2ebc957bf067eef15504a05c8c0d9e9021caff00", "extmetadata": {"DateTime": {"value": "2017-11-29 21:33:41", "source": "mediawiki-metadata", "hidden": ""}, "ObjectName": {"value": "Eindhoven St. Martinuskerk, Tongelre", "source": "mediawiki-metadata"}, "CommonsMetadataExtension": {"value": 1.2, "source": "extension", "hidden": ""}, "Categories": {"value": "Sint Martinuskerk, Eindhoven|Self-published work|Images from Open Kerken Brabant 2017|Uploaded via Campaign:open-kerken", "source": "commons-categories", "hidden": ""}, "Assessments": {"value": "", "source": "commons-categories", "hidden": ""}, "ImageDescription": {"value": "St. Martinuskerk te Tongerle (Eindhoven), t Hofke 1, Eindhoven", "source": "commons-desc-page"}, "DateTimeOriginal": {"value": "2008-08-02 15:06:23", "source": "commons-desc-page"}, "Credit": {"value": "&lt;span class=\"int-own-work\" lang=\"en\"&gt;Own work&lt;/span&gt;", "source": "commons-desc-page"}, "Artist": {"value": "&lt;a href=\"//commons.wikimedia.org/w/index.php?title=User:Machiel_Lock&amp;amp;action=edit&amp;amp;redlink=1\" class=\"new\" title=\"User:Machiel Lock (page does not exist)\"&gt;Machiel Lock&lt;/a&gt;",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"https://thumb.wikimedia.org/wikipedia/commons/thumb/2/2a/Eindhoven_St._Martinuskerk%2C_Tongelre.jpg/1280px-Eindhoven_St._Martinuskerk%2C_Tongelre.jpg"}, "retrieved_on": "2026-10-23"}</t>
        </is>
      </c>
    </row>
    <row r="129" ht="54" customHeight="1">
      <c r="A129" s="29" t="inlineStr">
        <is>
          <t>eindhoven:evidence:tongelre-bolgesi-03</t>
        </is>
      </c>
      <c r="B129" s="29" t="inlineStr">
        <is>
          <t>eindhoven</t>
        </is>
      </c>
      <c r="C129" s="29" t="inlineStr">
        <is>
          <t>eindhoven:photo:tongelre-bolgesi-03</t>
        </is>
      </c>
      <c r="D129" s="29" t="inlineStr">
        <is>
          <t>https://commons.wikimedia.org/wiki/File:RM518788_Bosboomstraat_36-38,_Eindhoven.jpg</t>
        </is>
      </c>
      <c r="E129" s="29" t="inlineStr">
        <is>
          <t>File:RM518788 Bosboomstraat 36-38, Eindhoven.jpg</t>
        </is>
      </c>
      <c r="F129" s="29" t="inlineStr">
        <is>
          <t>Rosemoon</t>
        </is>
      </c>
      <c r="G129" s="29" t="inlineStr">
        <is>
          <t>CC BY-SA 4.0</t>
        </is>
      </c>
      <c r="H129" s="29" t="inlineStr">
        <is>
          <t>https://creativecommons.org/licenses/by-sa/4.0/</t>
        </is>
      </c>
      <c r="I129" s="29" t="inlineStr">
        <is>
          <t>Creative Commons Attribution-Share Alike 4.0</t>
        </is>
      </c>
      <c r="J129" s="29" t="inlineStr">
        <is>
          <t>Rosemoon · CC BY-SA 4.0 · Wikimedia Commons</t>
        </is>
      </c>
      <c r="K129" s="29" t="n"/>
      <c r="L129" s="49" t="n">
        <v>46317</v>
      </c>
      <c r="M129" s="29" t="inlineStr">
        <is>
          <t>Bekliyor</t>
        </is>
      </c>
      <c r="N129" s="29" t="inlineStr">
        <is>
          <t>Bekliyor</t>
        </is>
      </c>
      <c r="O129" s="29" t="inlineStr">
        <is>
          <t>Fotoğraflar/eindhoven_tongelre-bolgesi_03.jpg</t>
        </is>
      </c>
      <c r="P129" s="29" t="inlineStr">
        <is>
          <t>Kırmızı kiremit çatılı simetrik büyük tuğla bina, fenerli taş döşeli meydan</t>
        </is>
      </c>
      <c r="Q129" s="29" t="inlineStr">
        <is>
          <t>Bekliyor</t>
        </is>
      </c>
      <c r="R129" s="29" t="inlineStr">
        <is>
          <t>Wikimedia Commons dosya sayfasındaki lisans: CC BY-SA 4.0</t>
        </is>
      </c>
      <c r="S129" s="29" t="n"/>
      <c r="T129" s="29" t="n"/>
      <c r="U129" s="29" t="n"/>
      <c r="V129" s="29" t="n"/>
      <c r="W129" s="29" t="inlineStr">
        <is>
          <t>{"source_url": "https://commons.wikimedia.org/wiki/File:RM518788_Bosboomstraat_36-38,_Eindhoven.jpg", "author": "Rosemoon", "license": "CC BY-SA 4.0", "license_url": "https://creativecommons.org/licenses/by-sa/4.0/", "original_api_record": {"size": 7713342, "width": 6000, "height": 4000, "thumburl": "https://thumb.wikimedia.org/wikipedia/commons/thumb/8/81/RM518788_Bosboomstraat_36-38%2C_Eindhoven.jpg/1920px-RM518788_Bosboomstraat_36-38%2C_Eindhoven.jpg?utm_source=commons.wikimedia.org&amp;utm_campaign=imageinfo&amp;utm_content=thumbnail", "thumbwidth": 1600, "thumbheight": 1067, "responsiveUrls": {"2": "https://thumb.wikimedia.org/wikipedia/commons/thumb/8/81/RM518788_Bosboomstraat_36-38%2C_Eindhoven.jpg/3840px-RM518788_Bosboomstraat_36-38%2C_Eindhoven.jpg?utm_source=commons.wikimedia.org&amp;utm_campaign=imageinfo&amp;utm_content=thumbnail"}, "thumbattribs": {"src": "https://thumb.wikimedia.org/wikipedia/commons/thumb/8/81/RM518788_Bosboomstraat_36-38%2C_Eindhoven.jpg/1920px-RM518788_Bosboomstraat_36-38%2C_Eindhoven.jpg?utm_source=commons.wikimedia.org&amp;utm_campaign=imageinfo&amp;utm_content=thumbnail", "decoding": "async", "loading": "lazy", "width": 1600, "height": 1067, "srcset": "https://thumb.wikimedia.org/wikipedia/commons/thumb/8/81/RM518788_Bosboomstraat_36-38%2C_Eindhoven.jpg/3840px-RM518788_Bosboomstraat_36-38%2C_Eindhoven.jpg?utm_source=commons.wikimedia.org&amp;utm_campaign=imageinfo&amp;utm_content=thumbnail 2x"}, "url": "https://upload.wikimedia.org/wikipedia/commons/8/81/RM518788_Bosboomstraat_36-38%2C_Eindhoven.jpg?utm_source=commons.wikimedia.org&amp;utm_campaign=imageinfo&amp;utm_content=original", "descriptionurl": "https://commons.wikimedia.org/wiki/File:RM518788_Bosboomstraat_36-38,_Eindhoven.jpg", "descriptionshorturl": "https://commons.wikimedia.org/w/index.php?curid=88877101", "sha1": "0b6a06f64dc2ed24e5ffb90afff890efc74ebdc5", "extmetadata": {"DateTime": {"value": "2020-04-03 13:19:58", "source": "mediawiki-metadata", "hidden": ""}, "ObjectName": {"value": "RM518788 Bosboomstraat 36-38, Eindhoven", "source": "mediawiki-metadata"}, "CommonsMetadataExtension": {"value": 1.2, "source": "extension", "hidden": ""}, "Categories": {"value": "Tongelre|Louis Kooken|Rijksmonumenten in Eindhoven|Self-published work|Rijksmonumenten with known IDs", "source": "commons-categories", "hidden": ""}, "Assessments": {"value": "", "source": "commons-categories", "hidden": ""}, "GPSLatitude": {"value": "51.440343", "source": "commons-desc-page"}, "GPSLongitude": {"value": "5.499307", "source": "commons-desc-page"}, "GPSMapDatum": {"value": "WGS-84", "source": "commons-desc-page", "hidden": ""}, "ImageDescription": {"value": "Bosboomstraat 36-38, Eindhoven", "source": "commons-desc-page"}, "DateTimeOriginal": {"value": "2020-03-21 14:02:03",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"https://thumb.wikimedia.org/wikipedia/commons/thumb/8/81/RM518788_Bosboomstraat_36-38%2C_Eindhoven.jpg/1280px-RM518788_Bosboomstraat_36-38%2C_Eindhoven.jpg"}, "retrieved_on": "2026-10-23"}</t>
        </is>
      </c>
    </row>
    <row r="130" ht="54" customHeight="1">
      <c r="A130" s="29" t="inlineStr">
        <is>
          <t>eindhoven:evidence:lakerlopen-mahallesi-01</t>
        </is>
      </c>
      <c r="B130" s="29" t="inlineStr">
        <is>
          <t>eindhoven</t>
        </is>
      </c>
      <c r="C130" s="29" t="inlineStr">
        <is>
          <t>eindhoven:photo:lakerlopen-mahallesi-01</t>
        </is>
      </c>
      <c r="D130" s="29" t="inlineStr">
        <is>
          <t>https://commons.wikimedia.org/wiki/File:Lakerlopen,_5613_Eindhoven,_Netherlands_-_panoramio_(2).jpg</t>
        </is>
      </c>
      <c r="E130" s="29" t="inlineStr">
        <is>
          <t>File:Lakerlopen, 5613 Eindhoven, Netherlands - panoramio (2).jpg</t>
        </is>
      </c>
      <c r="F130" s="29" t="inlineStr">
        <is>
          <t>Ben Bender</t>
        </is>
      </c>
      <c r="G130" s="29" t="inlineStr">
        <is>
          <t>CC BY-SA 3.0</t>
        </is>
      </c>
      <c r="H130" s="29" t="inlineStr">
        <is>
          <t>https://creativecommons.org/licenses/by-sa/3.0/</t>
        </is>
      </c>
      <c r="I130" s="29" t="inlineStr">
        <is>
          <t>Creative Commons Attribution-Share Alike 3.0</t>
        </is>
      </c>
      <c r="J130" s="29" t="inlineStr">
        <is>
          <t>Ben Bender · CC BY-SA 3.0 · Wikimedia Commons</t>
        </is>
      </c>
      <c r="K130" s="29" t="n"/>
      <c r="L130" s="49" t="n">
        <v>46317</v>
      </c>
      <c r="M130" s="29" t="inlineStr">
        <is>
          <t>Bekliyor</t>
        </is>
      </c>
      <c r="N130" s="29" t="inlineStr">
        <is>
          <t>Bekliyor</t>
        </is>
      </c>
      <c r="O130" s="29" t="inlineStr">
        <is>
          <t>Fotoğraflar/eindhoven_lakerlopen-mahallesi_01.jpg</t>
        </is>
      </c>
      <c r="P130" s="29" t="inlineStr">
        <is>
          <t>Ağaçlı düz kanalda kürek çeken tekne, sol kıyıda tuğla apartmanlar</t>
        </is>
      </c>
      <c r="Q130" s="29" t="inlineStr">
        <is>
          <t>Bekliyor</t>
        </is>
      </c>
      <c r="R130" s="29" t="inlineStr">
        <is>
          <t>Wikimedia Commons dosya sayfasındaki lisans: CC BY-SA 3.0</t>
        </is>
      </c>
      <c r="S130" s="29" t="n"/>
      <c r="T130" s="29" t="n"/>
      <c r="U130" s="29" t="n"/>
      <c r="V130" s="29" t="n"/>
      <c r="W130" s="29" t="inlineStr">
        <is>
          <t>{"source_url": "https://commons.wikimedia.org/wiki/File:Lakerlopen,_5613_Eindhoven,_Netherlands_-_panoramio_(2).jpg", "author": "Ben Bender", "license": "CC BY-SA 3.0", "license_url": "https://creativecommons.org/licenses/by-sa/3.0/", "original_api_record": {"size": 471423, "width": 2048, "height": 1148, "thumburl": "https://thumb.wikimedia.org/wikipedia/commons/thumb/c/cd/Lakerlopen%2C_5613_Eindhoven%2C_Netherlands_-_panoramio_%282%29.jpg/1920px-Lakerlopen%2C_5613_Eindhoven%2C_Netherlands_-_panoramio_%282%29.jpg?utm_source=commons.wikimedia.org&amp;utm_campaign=imageinfo&amp;utm_content=thumbnail", "thumbwidth": 1600, "thumbheight": 897, "responsiveUrls": {"2": "https://upload.wikimedia.org/wikipedia/commons/c/cd/Lakerlopen%2C_5613_Eindhoven%2C_Netherlands_-_panoramio_%282%29.jpg?utm_source=commons.wikimedia.org&amp;utm_campaign=imageinfo&amp;utm_content=thumbnail_unscaled"}, "thumbattribs": {"src": "https://thumb.wikimedia.org/wikipedia/commons/thumb/c/cd/Lakerlopen%2C_5613_Eindhoven%2C_Netherlands_-_panoramio_%282%29.jpg/1920px-Lakerlopen%2C_5613_Eindhoven%2C_Netherlands_-_panoramio_%282%29.jpg?utm_source=commons.wikimedia.org&amp;utm_campaign=imageinfo&amp;utm_content=thumbnail", "decoding": "async", "loading": "lazy", "width": 1600, "height": 897, "srcset": "https://upload.wikimedia.org/wikipedia/commons/c/cd/Lakerlopen%2C_5613_Eindhoven%2C_Netherlands_-_panoramio_%282%29.jpg?utm_source=commons.wikimedia.org&amp;utm_campaign=imageinfo&amp;utm_content=thumbnail_unscaled 2x"}, "url": "https://upload.wikimedia.org/wikipedia/commons/c/cd/Lakerlopen%2C_5613_Eindhoven%2C_Netherlands_-_panoramio_%282%29.jpg?utm_source=commons.wikimedia.org&amp;utm_campaign=imageinfo&amp;utm_content=original", "descriptionurl": "https://commons.wikimedia.org/wiki/File:Lakerlopen,_5613_Eindhoven,_Netherlands_-_panoramio_(2).jpg", "descriptionshorturl": "https://commons.wikimedia.org/w/index.php?curid=57025747", "sha1": "82f597c49250d9682090a1b5cfcd19626fdf3272", "extmetadata": {"DateTime": {"value": "2017-03-12 08:23:29", "source": "mediawiki-metadata", "hidden": ""}, "ObjectName": {"value": "Lakerlopen, 5613 Eindhoven, Netherlands - panoramio (2)", "source": "mediawiki-metadata"}, "CommonsMetadataExtension": {"value": 1.2, "source": "extension", "hidden": ""}, "Categories": {"value": "Sports in Eindhoven|Panoramio files uploaded by Panoramio upload bot|Panoramio images reviewed by trusted users|Photos from Panoramio|Files with coordinates missing SDC location of creation (51° N, 5° E)|Eindhovensch Kanaal|Kadebrug|Photographs by Ben Bender", "source": "commons-categories", "hidden": ""}, "Assessments": {"value": "", "source": "commons-categories", "hidden": ""}, "GPSLatitude": {"value": "51.437145", "source": "commons-desc-page"}, "GPSLongitude": {"value": "5.490776", "source": "commons-desc-page"}, "GPSMapDatum": {"value": "WGS-84", "source": "commons-desc-page", "hidden": ""}, "ImageDescription": {"value": "Lakerlopen, 5613 Eindhoven, Netherlands", "source": "commons-desc-page"}, "DateTimeOriginal": {"value": "4 January 2014 (original upload date)", "source": "commons-desc-page"}, "Credit": {"value": "&lt;a rel=\"nofollow\" class=\"external free\" href=\"https://web.archive.org/web/20161030042105/http://www.panoramio.com/photo/101355653\"&gt;https://web.archive.org/web/20161030042105/http://www.panoramio.com/photo/101355653&lt;/a&gt;", "source": "commons-desc-page"}, "Artist": {"value": "&lt;a rel=\"nofollow\" class=\"external text\" href=\"https://web.archive.org/web/20161030041958/http://www.panoramio.com/user/4678999?with_photo_id=101355653\"&gt;Ben Bender&lt;/a&gt;",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class=\"licensetpl_attr\"&gt;Ben Bender&lt;/div&gt;&lt;/div&gt;&lt;div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12 March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"Ben Bender",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"https://thumb.wikimedia.org/wikipedia/commons/thumb/c/cd/Lakerlopen%2C_5613_Eindhoven%2C_Netherlands_-_panoramio_%282%29.jpg/1280px-Lakerlopen%2C_5613_Eindhoven%2C_Netherlands_-_panoramio_%282%29.jpg"}, "retrieved_on": "2026-10-23"}</t>
        </is>
      </c>
    </row>
    <row r="131" ht="54" customHeight="1">
      <c r="A131" s="29" t="inlineStr">
        <is>
          <t>eindhoven:evidence:lakerlopen-mahallesi-02</t>
        </is>
      </c>
      <c r="B131" s="29" t="inlineStr">
        <is>
          <t>eindhoven</t>
        </is>
      </c>
      <c r="C131" s="29" t="inlineStr">
        <is>
          <t>eindhoven:photo:lakerlopen-mahallesi-02</t>
        </is>
      </c>
      <c r="D131" s="29" t="inlineStr">
        <is>
          <t>https://commons.wikimedia.org/wiki/File:Lakerlopen01.jpg</t>
        </is>
      </c>
      <c r="E131" s="29" t="inlineStr">
        <is>
          <t>File:Lakerlopen01.jpg</t>
        </is>
      </c>
      <c r="F131" s="29" t="inlineStr">
        <is>
          <t>Lempkesfabriek</t>
        </is>
      </c>
      <c r="G131" s="29" t="inlineStr">
        <is>
          <t>CC BY 3.0</t>
        </is>
      </c>
      <c r="H131" s="29" t="inlineStr">
        <is>
          <t>https://creativecommons.org/licenses/by/3.0/</t>
        </is>
      </c>
      <c r="I131" s="29" t="inlineStr">
        <is>
          <t>Creative Commons Attribution 3.0</t>
        </is>
      </c>
      <c r="J131" s="29" t="inlineStr">
        <is>
          <t>Lempkesfabriek · CC BY 3.0 · Wikimedia Commons</t>
        </is>
      </c>
      <c r="K131" s="29" t="n"/>
      <c r="L131" s="49" t="n">
        <v>46317</v>
      </c>
      <c r="M131" s="29" t="inlineStr">
        <is>
          <t>Bekliyor</t>
        </is>
      </c>
      <c r="N131" s="29" t="inlineStr">
        <is>
          <t>Bekliyor</t>
        </is>
      </c>
      <c r="O131" s="29" t="inlineStr">
        <is>
          <t>Fotoğraflar/eindhoven_lakerlopen-mahallesi_02.jpg</t>
        </is>
      </c>
      <c r="P131" s="29" t="inlineStr">
        <is>
          <t>Kırmızı çatılı tuğla sıra evler, çitli çocuk oyun alanı, sokak</t>
        </is>
      </c>
      <c r="Q131" s="29" t="inlineStr">
        <is>
          <t>Bekliyor</t>
        </is>
      </c>
      <c r="R131" s="29" t="inlineStr">
        <is>
          <t>Wikimedia Commons dosya sayfasındaki lisans: CC BY 3.0</t>
        </is>
      </c>
      <c r="S131" s="29" t="n"/>
      <c r="T131" s="29" t="n"/>
      <c r="U131" s="29" t="n"/>
      <c r="V131" s="29" t="n"/>
      <c r="W131" s="29" t="inlineStr">
        <is>
          <t>{"source_url": "https://commons.wikimedia.org/wiki/File:Lakerlopen01.jpg", "author": "Lempkesfabriek", "license": "CC BY 3.0", "license_url": "https://creativecommons.org/licenses/by/3.0/", "original_api_record": {"size": 191539, "width": 1235, "height": 861, "thumburl": "https://upload.wikimedia.org/wikipedia/commons/e/ed/Lakerlopen01.jpg?utm_source=commons.wikimedia.org&amp;utm_campaign=imageinfo&amp;utm_content=thumbnail_unscaled", "thumbwidth": 1600, "thumbheight": 1115, "thumbattribs": {"src": "https://upload.wikimedia.org/wikipedia/commons/e/ed/Lakerlopen01.jpg?utm_source=commons.wikimedia.org&amp;utm_campaign=imageinfo&amp;utm_content=thumbnail_unscaled", "decoding": "async", "loading": "lazy", "width": 1600, "height": 1115}, "url": "https://upload.wikimedia.org/wikipedia/commons/e/ed/Lakerlopen01.jpg?utm_source=commons.wikimedia.org&amp;utm_campaign=imageinfo&amp;utm_content=original", "descriptionurl": "https://commons.wikimedia.org/wiki/File:Lakerlopen01.jpg", "descriptionshorturl": "https://commons.wikimedia.org/w/index.php?curid=4380338", "sha1": "7a9aa562365382300716691ba66a27c0cf23446a", "extmetadata": {"DateTime": {"value": "2008-07-14 22:15:44", "source": "mediawiki-metadata", "hidden": ""}, "ObjectName": {"value": "Lakerlopen01", "source": "mediawiki-metadata"}, "CommonsMetadataExtension": {"value": 1.2, "source": "extension", "hidden": ""}, "Categories": {"value": "Tongelre|Self-published work", "source": "commons-categories", "hidden": ""}, "Assessments": {"value": "", "source": "commons-categories", "hidden": ""}, "ImageDescription": {"value": "Straat in de wijk Lakerlopen in Eindhoven (Tongelre, De Laak)",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"https://upload.wikimedia.org/wikipedia/commons/e/ed/Lakerlopen01.jpg"}, "retrieved_on": "2026-10-23"}</t>
        </is>
      </c>
    </row>
    <row r="132" ht="54" customHeight="1">
      <c r="A132" s="29" t="inlineStr">
        <is>
          <t>eindhoven:evidence:karpen-mahallesi-01</t>
        </is>
      </c>
      <c r="B132" s="29" t="inlineStr">
        <is>
          <t>eindhoven</t>
        </is>
      </c>
      <c r="C132" s="29" t="inlineStr">
        <is>
          <t>eindhoven:photo:karpen-mahallesi-01</t>
        </is>
      </c>
      <c r="D132" s="29" t="inlineStr">
        <is>
          <t>https://commons.wikimedia.org/wiki/File:Karpen,_5631_Eindhoven,_Netherlands_-_panoramio_(1).jpg</t>
        </is>
      </c>
      <c r="E132" s="29" t="inlineStr">
        <is>
          <t>File:Karpen, 5631 Eindhoven, Netherlands - panoramio (1).jpg</t>
        </is>
      </c>
      <c r="F132" s="29" t="inlineStr">
        <is>
          <t>Maaike Hage</t>
        </is>
      </c>
      <c r="G132" s="29" t="inlineStr">
        <is>
          <t>CC BY-SA 3.0</t>
        </is>
      </c>
      <c r="H132" s="29" t="inlineStr">
        <is>
          <t>https://creativecommons.org/licenses/by-sa/3.0/</t>
        </is>
      </c>
      <c r="I132" s="29" t="inlineStr">
        <is>
          <t>Creative Commons Attribution-Share Alike 3.0</t>
        </is>
      </c>
      <c r="J132" s="29" t="inlineStr">
        <is>
          <t>Maaike Hage · CC BY-SA 3.0 · Wikimedia Commons</t>
        </is>
      </c>
      <c r="K132" s="29" t="n"/>
      <c r="L132" s="49" t="n">
        <v>46317</v>
      </c>
      <c r="M132" s="29" t="inlineStr">
        <is>
          <t>Bekliyor</t>
        </is>
      </c>
      <c r="N132" s="29" t="inlineStr">
        <is>
          <t>Bekliyor</t>
        </is>
      </c>
      <c r="O132" s="29" t="inlineStr">
        <is>
          <t>Fotoğraflar/eindhoven_karpen-mahallesi_01.jpg</t>
        </is>
      </c>
      <c r="P132" s="29" t="inlineStr">
        <is>
          <t>Ağaçlıklarla çevrili durgun gölet, suda beyaz kuğular</t>
        </is>
      </c>
      <c r="Q132" s="29" t="inlineStr">
        <is>
          <t>Bekliyor</t>
        </is>
      </c>
      <c r="R132" s="29" t="inlineStr">
        <is>
          <t>Wikimedia Commons dosya sayfasındaki lisans: CC BY-SA 3.0</t>
        </is>
      </c>
      <c r="S132" s="29" t="n"/>
      <c r="T132" s="29" t="n"/>
      <c r="U132" s="29" t="n"/>
      <c r="V132" s="29" t="n"/>
      <c r="W132" s="29" t="inlineStr">
        <is>
          <t>{"source_url": "https://commons.wikimedia.org/wiki/File:Karpen,_5631_Eindhoven,_Netherlands_-_panoramio_(1).jpg", "author": "Maaike Hage", "license": "CC BY-SA 3.0", "license_url": "https://creativecommons.org/licenses/by-sa/3.0/", "original_api_record": {"size": 2096690, "width": 2985, "height": 3483, "thumburl": "https://thumb.wikimedia.org/wikipedia/commons/thumb/6/6c/Karpen%2C_5631_Eindhoven%2C_Netherlands_-_panoramio_%281%29.jpg/1920px-Karpen%2C_5631_Eindhoven%2C_Netherlands_-_panoramio_%281%29.jpg?utm_source=commons.wikimedia.org&amp;utm_campaign=imageinfo&amp;utm_content=thumbnail", "thumbwidth": 1600, "thumbheight": 1867, "responsiveUrls": {"2": "https://upload.wikimedia.org/wikipedia/commons/6/6c/Karpen%2C_5631_Eindhoven%2C_Netherlands_-_panoramio_%281%29.jpg?utm_source=commons.wikimedia.org&amp;utm_campaign=imageinfo&amp;utm_content=thumbnail_unscaled"}, "thumbattribs": {"src": "https://thumb.wikimedia.org/wikipedia/commons/thumb/6/6c/Karpen%2C_5631_Eindhoven%2C_Netherlands_-_panoramio_%281%29.jpg/1920px-Karpen%2C_5631_Eindhoven%2C_Netherlands_-_panoramio_%281%29.jpg?utm_source=commons.wikimedia.org&amp;utm_campaign=imageinfo&amp;utm_content=thumbnail", "decoding": "async", "loading": "lazy", "width": 1600, "height": 1867, "srcset": "https://upload.wikimedia.org/wikipedia/commons/6/6c/Karpen%2C_5631_Eindhoven%2C_Netherlands_-_panoramio_%281%29.jpg?utm_source=commons.wikimedia.org&amp;utm_campaign=imageinfo&amp;utm_content=thumbnail_unscaled 2x"}, "url": "https://upload.wikimedia.org/wikipedia/commons/6/6c/Karpen%2C_5631_Eindhoven%2C_Netherlands_-_panoramio_%281%29.jpg?utm_source=commons.wikimedia.org&amp;utm_campaign=imageinfo&amp;utm_content=original", "descriptionurl": "https://commons.wikimedia.org/wiki/File:Karpen,_5631_Eindhoven,_Netherlands_-_panoramio_(1).jpg", "descriptionshorturl": "https://commons.wikimedia.org/w/index.php?curid=59534347", "sha1": "b81ed16644c494ebabc8b6a39d3c95ceaf64d8d0", "extmetadata": {"DateTime": {"value": "2017-06-02 15:13:06", "source": "mediawiki-metadata", "hidden": ""}, "ObjectName": {"value": "Karpen, 5631 Eindhoven, Netherlands - panoramio (1)", "source": "mediawiki-metadata"}, "CommonsMetadataExtension": {"value": 1.2, "source": "extension", "hidden": ""}, "Categories": {"value": "Panoramio files uploaded by Panoramio upload bot|Panoramio images reviewed by trusted users|Photos from Panoramio|Netherlands photographs taken on 2015-07-19|Files with coordinates missing SDC location of creation (51° N, 5° E)|Countryside around Eindhoven|Photos from Panoramio ID 8556168", "source": "commons-categories", "hidden": ""}, "Assessments": {"value": "", "source": "commons-categories", "hidden": ""}, "GPSLatitude": {"value": "51.452598", "source": "commons-desc-page"}, "GPSLongitude": {"value": "5.500387", "source": "commons-desc-page"}, "GPSMapDatum": {"value": "WGS-84", "source": "commons-desc-page", "hidden": ""}, "ImageDescription": {"value": "Karpen, 5631 Eindhoven, Netherlands", "source": "commons-desc-page"}, "DateTimeOriginal": {"value": "Taken on 19 July 2015", "source": "commons-desc-page"}, "Credit": {"value": "&lt;a rel=\"nofollow\" class=\"external free\" href=\"https://web.archive.org/web/20161102131209/http://www.panoramio.com/photo/121937759\"&gt;https://web.archive.org/web/20161102131209/http://www.panoramio.com/photo/121937759&lt;/a&gt;", "source": "commons-desc-page"}, "Artist": {"value": "&lt;a rel=\"nofollow\" class=\"external text\" href=\"https://web.archive.org/web/20161102131136/http://www.panoramio.com/user/8556168?with_photo_id=121937759\"&gt;Maaike Hage&lt;/a&gt;",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class=\"licensetpl_attr\"&gt;Maaike Hage&lt;/div&gt;&lt;/div&gt;&lt;div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2 June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"Maaike Hage",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"https://thumb.wikimedia.org/wikipedia/commons/thumb/6/6c/Karpen%2C_5631_Eindhoven%2C_Netherlands_-_panoramio_%281%29.jpg/1280px-Karpen%2C_5631_Eindhoven%2C_Netherlands_-_panoramio_%281%29.jpg"}, "retrieved_on": "2026-10-23"}</t>
        </is>
      </c>
    </row>
    <row r="133" ht="54" customHeight="1">
      <c r="A133" s="29" t="inlineStr">
        <is>
          <t>eindhoven:evidence:karpen-mahallesi-02</t>
        </is>
      </c>
      <c r="B133" s="29" t="inlineStr">
        <is>
          <t>eindhoven</t>
        </is>
      </c>
      <c r="C133" s="29" t="inlineStr">
        <is>
          <t>eindhoven:photo:karpen-mahallesi-02</t>
        </is>
      </c>
      <c r="D133" s="29" t="inlineStr">
        <is>
          <t>https://commons.wikimedia.org/wiki/File:Karpen01.jpg</t>
        </is>
      </c>
      <c r="E133" s="29" t="inlineStr">
        <is>
          <t>File:Karpen01.jpg</t>
        </is>
      </c>
      <c r="F133" s="29" t="inlineStr">
        <is>
          <t>Lempkesfabriek</t>
        </is>
      </c>
      <c r="G133" s="29" t="inlineStr">
        <is>
          <t>CC BY-SA 3.0</t>
        </is>
      </c>
      <c r="H133" s="29" t="inlineStr">
        <is>
          <t>https://creativecommons.org/licenses/by-sa/3.0/</t>
        </is>
      </c>
      <c r="I133" s="29" t="inlineStr">
        <is>
          <t>Creative Commons Attribution-Share Alike 3.0</t>
        </is>
      </c>
      <c r="J133" s="29" t="inlineStr">
        <is>
          <t>Lempkesfabriek · CC BY-SA 3.0 · Wikimedia Commons</t>
        </is>
      </c>
      <c r="K133" s="29" t="n"/>
      <c r="L133" s="49" t="n">
        <v>46317</v>
      </c>
      <c r="M133" s="29" t="inlineStr">
        <is>
          <t>Bekliyor</t>
        </is>
      </c>
      <c r="N133" s="29" t="inlineStr">
        <is>
          <t>Bekliyor</t>
        </is>
      </c>
      <c r="O133" s="29" t="inlineStr">
        <is>
          <t>Fotoğraflar/eindhoven_karpen-mahallesi_02.jpg</t>
        </is>
      </c>
      <c r="P133" s="29" t="inlineStr">
        <is>
          <t>Yüksek ağaçlar ve çitlerle çevrili konut sokağı, park etmiş araba</t>
        </is>
      </c>
      <c r="Q133" s="29" t="inlineStr">
        <is>
          <t>Bekliyor</t>
        </is>
      </c>
      <c r="R133" s="29" t="inlineStr">
        <is>
          <t>Wikimedia Commons dosya sayfasındaki lisans: CC BY-SA 3.0</t>
        </is>
      </c>
      <c r="S133" s="29" t="n"/>
      <c r="T133" s="29" t="n"/>
      <c r="U133" s="29" t="n"/>
      <c r="V133" s="29" t="n"/>
      <c r="W133" s="29" t="inlineStr">
        <is>
          <t>{"source_url": "https://commons.wikimedia.org/wiki/File:Karpen01.jpg", "author": "Lempkesfabriek", "license": "CC BY-SA 3.0", "license_url": "https://creativecommons.org/licenses/by-sa/3.0/", "original_api_record": {"size": 240431, "width": 991, "height": 745, "thumburl": "https://upload.wikimedia.org/wikipedia/commons/7/7e/Karpen01.jpg?utm_source=commons.wikimedia.org&amp;utm_campaign=imageinfo&amp;utm_content=thumbnail_unscaled", "thumbwidth": 1600, "thumbheight": 1203, "thumbattribs": {"src": "https://upload.wikimedia.org/wikipedia/commons/7/7e/Karpen01.jpg?utm_source=commons.wikimedia.org&amp;utm_campaign=imageinfo&amp;utm_content=thumbnail_unscaled", "decoding": "async", "loading": "lazy", "width": 1600, "height": 1203}, "url": "https://upload.wikimedia.org/wikipedia/commons/7/7e/Karpen01.jpg?utm_source=commons.wikimedia.org&amp;utm_campaign=imageinfo&amp;utm_content=original", "descriptionurl": "https://commons.wikimedia.org/wiki/File:Karpen01.jpg", "descriptionshorturl": "https://commons.wikimedia.org/w/index.php?curid=4468232", "sha1": "3735e875504703462cb7c340c2ce074b0b5ba98b", "extmetadata": {"DateTime": {"value": "2008-07-29 21:39:39", "source": "mediawiki-metadata", "hidden": ""}, "ObjectName": {"value": "Karpen01", "source": "mediawiki-metadata"}, "CommonsMetadataExtension": {"value": 1.2, "source": "extension", "hidden": ""}, "Categories": {"value": "Tongelre|Self-published work", "source": "commons-categories", "hidden": ""}, "Assessments": {"value": "", "source": "commons-categories", "hidden": ""}, "ImageDescription": {"value": "In de wijk Karpen in Eindhoven (Tongelre)",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"https://upload.wikimedia.org/wikipedia/commons/7/7e/Karpen01.jpg"}, "retrieved_on": "2026-10-23"}</t>
        </is>
      </c>
    </row>
    <row r="134" ht="54" customHeight="1">
      <c r="A134" s="29" t="inlineStr">
        <is>
          <t>eindhoven:evidence:karpen-mahallesi-03</t>
        </is>
      </c>
      <c r="B134" s="29" t="inlineStr">
        <is>
          <t>eindhoven</t>
        </is>
      </c>
      <c r="C134" s="29" t="inlineStr">
        <is>
          <t>eindhoven:photo:karpen-mahallesi-03</t>
        </is>
      </c>
      <c r="D134" s="29" t="inlineStr">
        <is>
          <t>https://commons.wikimedia.org/wiki/File:Karpen02.jpg</t>
        </is>
      </c>
      <c r="E134" s="29" t="inlineStr">
        <is>
          <t>File:Karpen02.jpg</t>
        </is>
      </c>
      <c r="F134" s="29" t="inlineStr">
        <is>
          <t>Lempkesfabriek</t>
        </is>
      </c>
      <c r="G134" s="29" t="inlineStr">
        <is>
          <t>CC BY-SA 3.0</t>
        </is>
      </c>
      <c r="H134" s="29" t="inlineStr">
        <is>
          <t>https://creativecommons.org/licenses/by-sa/3.0/</t>
        </is>
      </c>
      <c r="I134" s="29" t="inlineStr">
        <is>
          <t>Creative Commons Attribution-Share Alike 3.0</t>
        </is>
      </c>
      <c r="J134" s="29" t="inlineStr">
        <is>
          <t>Lempkesfabriek · CC BY-SA 3.0 · Wikimedia Commons</t>
        </is>
      </c>
      <c r="K134" s="29" t="n"/>
      <c r="L134" s="49" t="n">
        <v>46317</v>
      </c>
      <c r="M134" s="29" t="inlineStr">
        <is>
          <t>Bekliyor</t>
        </is>
      </c>
      <c r="N134" s="29" t="inlineStr">
        <is>
          <t>Bekliyor</t>
        </is>
      </c>
      <c r="O134" s="29" t="inlineStr">
        <is>
          <t>Fotoğraflar/eindhoven_karpen-mahallesi_03.jpg</t>
        </is>
      </c>
      <c r="P134" s="29" t="inlineStr">
        <is>
          <t>Çitlerin ardında alçak evler, ağaçlar ve sokak lambalı geniş yol</t>
        </is>
      </c>
      <c r="Q134" s="29" t="inlineStr">
        <is>
          <t>Bekliyor</t>
        </is>
      </c>
      <c r="R134" s="29" t="inlineStr">
        <is>
          <t>Wikimedia Commons dosya sayfasındaki lisans: CC BY-SA 3.0</t>
        </is>
      </c>
      <c r="S134" s="29" t="n"/>
      <c r="T134" s="29" t="n"/>
      <c r="U134" s="29" t="n"/>
      <c r="V134" s="29" t="n"/>
      <c r="W134" s="29" t="inlineStr">
        <is>
          <t>{"source_url": "https://commons.wikimedia.org/wiki/File:Karpen02.jpg", "author": "Lempkesfabriek", "license": "CC BY-SA 3.0", "license_url": "https://creativecommons.org/licenses/by-sa/3.0/", "original_api_record": {"size": 134852, "width": 884, "height": 663, "thumburl": "https://upload.wikimedia.org/wikipedia/commons/c/cc/Karpen02.jpg?utm_source=commons.wikimedia.org&amp;utm_campaign=imageinfo&amp;utm_content=thumbnail_unscaled", "thumbwidth": 1600, "thumbheight": 1200, "thumbattribs": {"src": "https://upload.wikimedia.org/wikipedia/commons/c/cc/Karpen02.jpg?utm_source=commons.wikimedia.org&amp;utm_campaign=imageinfo&amp;utm_content=thumbnail_unscaled", "decoding": "async", "loading": "lazy", "width": 1600, "height": 1200}, "url": "https://upload.wikimedia.org/wikipedia/commons/c/cc/Karpen02.jpg?utm_source=commons.wikimedia.org&amp;utm_campaign=imageinfo&amp;utm_content=original", "descriptionurl": "https://commons.wikimedia.org/wiki/File:Karpen02.jpg", "descriptionshorturl": "https://commons.wikimedia.org/w/index.php?curid=4468235", "sha1": "813fd7b3cd17c586263503f2196c2330c3b93527", "extmetadata": {"DateTime": {"value": "2008-07-29 21:46:30", "source": "mediawiki-metadata", "hidden": ""}, "ObjectName": {"value": "Karpen02", "source": "mediawiki-metadata"}, "CommonsMetadataExtension": {"value": 1.2, "source": "extension", "hidden": ""}, "Categories": {"value": "Tongelre|Self-published work", "source": "commons-categories", "hidden": ""}, "Assessments": {"value": "", "source": "commons-categories", "hidden": ""}, "ImageDescription": {"value": "In de wijk Karpen in Eindhoven (Tongelre)",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"https://upload.wikimedia.org/wikipedia/commons/c/cc/Karpen02.jpg"}, "retrieved_on": "2026-10-23"}</t>
        </is>
      </c>
    </row>
    <row r="135" ht="54" customHeight="1">
      <c r="A135" s="29" t="inlineStr">
        <is>
          <t>eindhoven:evidence:daf-museum-03</t>
        </is>
      </c>
      <c r="B135" s="29" t="inlineStr">
        <is>
          <t>eindhoven</t>
        </is>
      </c>
      <c r="C135" s="29" t="inlineStr">
        <is>
          <t>eindhoven:photo:daf-museum-03</t>
        </is>
      </c>
      <c r="D135" s="29" t="inlineStr">
        <is>
          <t>https://commons.wikimedia.org/wiki/File:DAF_Museum,_Eindhoven_(16061771014).jpg</t>
        </is>
      </c>
      <c r="E135" s="29" t="inlineStr">
        <is>
          <t>File:DAF Museum, Eindhoven (16061771014).jpg</t>
        </is>
      </c>
      <c r="F135" s="29" t="inlineStr">
        <is>
          <t>Ronald van der Graaf from Leiden, The Netherlands</t>
        </is>
      </c>
      <c r="G135" s="29" t="inlineStr">
        <is>
          <t>CC BY 2.0</t>
        </is>
      </c>
      <c r="H135" s="29" t="inlineStr">
        <is>
          <t>https://creativecommons.org/licenses/by/2.0/</t>
        </is>
      </c>
      <c r="I135" s="29" t="inlineStr">
        <is>
          <t>Creative Commons Attribution 2.0</t>
        </is>
      </c>
      <c r="J135" s="29" t="inlineStr">
        <is>
          <t>Ronald van der Graaf from Leiden, The Netherlands · CC BY 2.0 · Wikimedia Commons</t>
        </is>
      </c>
      <c r="K135" s="29" t="n"/>
      <c r="L135" s="49" t="n">
        <v>46317</v>
      </c>
      <c r="M135" s="29" t="inlineStr">
        <is>
          <t>Bekliyor</t>
        </is>
      </c>
      <c r="N135" s="29" t="inlineStr">
        <is>
          <t>Bekliyor</t>
        </is>
      </c>
      <c r="O135" s="29" t="inlineStr">
        <is>
          <t>Fotoğraflar/eindhoven_daf-museum_03.jpg</t>
        </is>
      </c>
      <c r="P135" s="29" t="inlineStr">
        <is>
          <t>Müze salonunda vinçli, altı tekerlekli yeşil askerî kamyon, önünde bilgi panosu; arkada başka kamyonlar ve çelik çatı kirişleri</t>
        </is>
      </c>
      <c r="Q135" s="29" t="inlineStr">
        <is>
          <t>Bekliyor</t>
        </is>
      </c>
      <c r="R135" s="29" t="inlineStr">
        <is>
          <t>Wikimedia Commons dosya sayfasındaki lisans: CC BY 2.0</t>
        </is>
      </c>
      <c r="S135" s="29" t="n"/>
      <c r="T135" s="29" t="n"/>
      <c r="U135" s="29" t="n"/>
      <c r="V135" s="29" t="n"/>
      <c r="W135" s="29" t="inlineStr">
        <is>
          <t>{"source_url": "https://commons.wikimedia.org/wiki/File:DAF_Museum,_Eindhoven_(16061771014).jpg", "author": "Ronald van der Graaf from Leiden, The Netherlands", "license": "CC BY 2.0", "license_url": "https://creativecommons.org/licenses/by/2.0/", "original_api_record": {"size": 5898240, "width": 6000, "height": 4000, "thumburl": "https://thumb.wikimedia.org/wikipedia/commons/thumb/8/80/DAF_Museum%2C_Eindhoven_%2816061771014%29.jpg/1920px-DAF_Museum%2C_Eindhoven_%2816061771014%29.jpg?utm_source=commons.wikimedia.org&amp;utm_campaign=imageinfo&amp;utm_content=thumbnail", "thumbwidth": 1600, "thumbheight": 1067, "responsiveUrls": {"2": "https://thumb.wikimedia.org/wikipedia/commons/thumb/8/80/DAF_Museum%2C_Eindhoven_%2816061771014%29.jpg/3840px-DAF_Museum%2C_Eindhoven_%2816061771014%29.jpg?utm_source=commons.wikimedia.org&amp;utm_campaign=imageinfo&amp;utm_content=thumbnail"}, "thumbattribs": {"src": "https://thumb.wikimedia.org/wikipedia/commons/thumb/8/80/DAF_Museum%2C_Eindhoven_%2816061771014%29.jpg/1920px-DAF_Museum%2C_Eindhoven_%2816061771014%29.jpg?utm_source=commons.wikimedia.org&amp;utm_campaign=imageinfo&amp;utm_content=thumbnail", "decoding": "async", "loading": "lazy", "width": 1600, "height": 1067, "srcset": "https://thumb.wikimedia.org/wikipedia/commons/thumb/8/80/DAF_Museum%2C_Eindhoven_%2816061771014%29.jpg/3840px-DAF_Museum%2C_Eindhoven_%2816061771014%29.jpg?utm_source=commons.wikimedia.org&amp;utm_campaign=imageinfo&amp;utm_content=thumbnail 2x"}, "url": "https://upload.wikimedia.org/wikipedia/commons/8/80/DAF_Museum%2C_Eindhoven_%2816061771014%29.jpg?utm_source=commons.wikimedia.org&amp;utm_campaign=imageinfo&amp;utm_content=original", "descriptionurl": "https://commons.wikimedia.org/wiki/File:DAF_Museum,_Eindhoven_(16061771014).jpg", "descriptionshorturl": "https://commons.wikimedia.org/w/index.php?curid=63518772", "sha1": "bd53c7235c99448dd0576d7fe60e5683c931822a", "extmetadata": {"DateTime": {"value": "2017-10-22 08:17:41", "source": "mediawiki-metadata", "hidden": ""}, "ObjectName": {"value": "DAF Museum, Eindhoven (16061771014)", "source": "mediawiki-metadata"}, "CommonsMetadataExtension": {"value": 1.2, "source": "extension", "hidden": ""}, "Categories": {"value": "Flickr images reviewed by FlickreviewR|Green DAF trucks|DAF YA-616|Trucks in the DAF Museum|Photographs by Ronald van der Graaf", "source": "commons-categories", "hidden": ""}, "Assessments": {"value": "", "source": "commons-categories", "hidden": ""}, "ImageDescription": {"value": "DAF Musem, Eindhoven", "source": "commons-desc-page"}, "DateTimeOriginal": {"value": "2015-02-28 12:32", "source": "commons-desc-page"}, "Credit": {"value": "&lt;a rel=\"nofollow\" class=\"external text\" href=\"https://www.flickr.com/photos/ronaldc5/16061771014/\"&gt;DAF Musem, Eindhoven&lt;/a&gt;", "source": "commons-desc-page"}, "Artist": {"value": "&lt;a rel=\"nofollow\" class=\"external text\" href=\"https://www.flickr.com/people/91830216@N03\"&gt;Ronald van der Graaf&lt;/a&gt; from Leiden, The Netherlands",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"https://thumb.wikimedia.org/wikipedia/commons/thumb/8/80/DAF_Museum%2C_Eindhoven_%2816061771014%29.jpg/1280px-DAF_Museum%2C_Eindhoven_%2816061771014%29.jpg"}, "retrieved_on": "2026-10-23"}</t>
        </is>
      </c>
    </row>
    <row r="136" ht="54" customHeight="1">
      <c r="A136" s="29" t="inlineStr">
        <is>
          <t>eindhoven:evidence:erfgoedhuis-eindhoven-02</t>
        </is>
      </c>
      <c r="B136" s="29" t="inlineStr">
        <is>
          <t>eindhoven</t>
        </is>
      </c>
      <c r="C136" s="29" t="inlineStr">
        <is>
          <t>eindhoven:photo:erfgoedhuis-eindhoven-02</t>
        </is>
      </c>
      <c r="D136" s="29" t="inlineStr">
        <is>
          <t>https://commons.wikimedia.org/wiki/File:Erfgoedhuis_Eindhoven,_voorwerpen_prehistorie_en_oudheid.jpg</t>
        </is>
      </c>
      <c r="E136" s="29" t="inlineStr">
        <is>
          <t>File:Erfgoedhuis Eindhoven, voorwerpen prehistorie en oudheid.jpg</t>
        </is>
      </c>
      <c r="F136" s="29" t="inlineStr">
        <is>
          <t>S. Perquin</t>
        </is>
      </c>
      <c r="G136" s="29" t="inlineStr">
        <is>
          <t>CC BY-SA 4.0</t>
        </is>
      </c>
      <c r="H136" s="29" t="inlineStr">
        <is>
          <t>https://creativecommons.org/licenses/by-sa/4.0/</t>
        </is>
      </c>
      <c r="I136" s="29" t="inlineStr">
        <is>
          <t>Creative Commons Attribution-Share Alike 4.0</t>
        </is>
      </c>
      <c r="J136" s="29" t="inlineStr">
        <is>
          <t>S. Perquin · CC BY-SA 4.0 · Wikimedia Commons</t>
        </is>
      </c>
      <c r="K136" s="29" t="n"/>
      <c r="L136" s="49" t="n">
        <v>46317</v>
      </c>
      <c r="M136" s="29" t="inlineStr">
        <is>
          <t>Bekliyor</t>
        </is>
      </c>
      <c r="N136" s="29" t="inlineStr">
        <is>
          <t>Bekliyor</t>
        </is>
      </c>
      <c r="O136" s="29" t="inlineStr">
        <is>
          <t>Fotoğraflar/eindhoven_erfgoedhuis-eindhoven_02.jpg</t>
        </is>
      </c>
      <c r="P136" s="29" t="inlineStr">
        <is>
          <t>Dönem etiketli cam vitrinlerde çömlek ve taş aletler, üstte hayvan iskeletleri, önde mikroskoplu çalışma masası</t>
        </is>
      </c>
      <c r="Q136" s="29" t="inlineStr">
        <is>
          <t>Bekliyor</t>
        </is>
      </c>
      <c r="R136" s="29" t="inlineStr">
        <is>
          <t>Wikimedia Commons dosya sayfasındaki lisans: CC BY-SA 4.0</t>
        </is>
      </c>
      <c r="S136" s="29" t="n"/>
      <c r="T136" s="29" t="n"/>
      <c r="U136" s="29" t="n"/>
      <c r="V136" s="29" t="n"/>
      <c r="W136" s="29" t="inlineStr">
        <is>
          <t>{"source_url": "https://commons.wikimedia.org/wiki/File:Erfgoedhuis_Eindhoven,_voorwerpen_prehistorie_en_oudheid.jpg", "author": "S. Perquin", "license": "CC BY-SA 4.0", "license_url": "https://creativecommons.org/licenses/by-sa/4.0/", "original_api_record": {"size": 6820530, "width": 6000, "height": 4000, "thumburl": "https://thumb.wikimedia.org/wikipedia/commons/thumb/c/c1/Erfgoedhuis_Eindhoven%2C_voorwerpen_prehistorie_en_oudheid.jpg/1920px-Erfgoedhuis_Eindhoven%2C_voorwerpen_prehistorie_en_oudheid.jpg?utm_source=commons.wikimedia.org&amp;utm_campaign=imageinfo&amp;utm_content=thumbnail", "thumbwidth": 1600, "thumbheight": 1067, "responsiveUrls": {"2": "https://thumb.wikimedia.org/wikipedia/commons/thumb/c/c1/Erfgoedhuis_Eindhoven%2C_voorwerpen_prehistorie_en_oudheid.jpg/3840px-Erfgoedhuis_Eindhoven%2C_voorwerpen_prehistorie_en_oudheid.jpg?utm_source=commons.wikimedia.org&amp;utm_campaign=imageinfo&amp;utm_content=thumbnail"}, "thumbattribs": {"src": "https://thumb.wikimedia.org/wikipedia/commons/thumb/c/c1/Erfgoedhuis_Eindhoven%2C_voorwerpen_prehistorie_en_oudheid.jpg/1920px-Erfgoedhuis_Eindhoven%2C_voorwerpen_prehistorie_en_oudheid.jpg?utm_source=commons.wikimedia.org&amp;utm_campaign=imageinfo&amp;utm_content=thumbnail", "decoding": "async", "loading": "lazy", "width": 1600, "height": 1067, "srcset": "https://thumb.wikimedia.org/wikipedia/commons/thumb/c/c1/Erfgoedhuis_Eindhoven%2C_voorwerpen_prehistorie_en_oudheid.jpg/3840px-Erfgoedhuis_Eindhoven%2C_voorwerpen_prehistorie_en_oudheid.jpg?utm_source=commons.wikimedia.org&amp;utm_campaign=imageinfo&amp;utm_content=thumbnail 2x"}, "url": "https://upload.wikimedia.org/wikipedia/commons/c/c1/Erfgoedhuis_Eindhoven%2C_voorwerpen_prehistorie_en_oudheid.jpg?utm_source=commons.wikimedia.org&amp;utm_campaign=imageinfo&amp;utm_content=original", "descriptionurl": "https://commons.wikimedia.org/wiki/File:Erfgoedhuis_Eindhoven,_voorwerpen_prehistorie_en_oudheid.jpg", "descriptionshorturl": "https://commons.wikimedia.org/w/index.php?curid=145633563", "sha1": "82ac2e511eae95d9f46d90101b39ce85ab343302", "extmetadata": {"DateTime": {"value": "2024-02-21 14:14:25", "source": "mediawiki-metadata", "hidden": ""}, "ObjectName": {"value": "Erfgoedhuis Eindhoven, voorwerpen prehistorie en oudheid", "source": "mediawiki-metadata"}, "CommonsMetadataExtension": {"value": 1.2, "source": "extension", "hidden": ""}, "Categories": {"value": "History of Eindhoven|Self-published work|Erfgoedhuis Eindhoven|Photographs by S. Perquin|2024 photographs by S. Perquin|Photographs by S. Perquin in Eindhoven", "source": "commons-categories", "hidden": ""}, "Assessments": {"value": "", "source": "commons-categories", "hidden": ""}, "ImageDescription": {"value": "Diverse voorwerpen, zoals potten, vazen en schedels, uit de prehistorie en Romeinse oudheid in het Erfgoedhuis te Eindhoven.", "source": "commons-desc-page"}, "DateTimeOriginal": {"value": "2024-02-21 14:48:40",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"https://thumb.wikimedia.org/wikipedia/commons/thumb/c/c1/Erfgoedhuis_Eindhoven%2C_voorwerpen_prehistorie_en_oudheid.jpg/1280px-Erfgoedhuis_Eindhoven%2C_voorwerpen_prehistorie_en_oudheid.jpg"}, "retrieved_on": "2026-10-23"}</t>
        </is>
      </c>
    </row>
    <row r="137" ht="54" customHeight="1">
      <c r="A137" s="29" t="inlineStr">
        <is>
          <t>eindhoven:evidence:erfgoedhuis-eindhoven-03</t>
        </is>
      </c>
      <c r="B137" s="29" t="inlineStr">
        <is>
          <t>eindhoven</t>
        </is>
      </c>
      <c r="C137" s="29" t="inlineStr">
        <is>
          <t>eindhoven:photo:erfgoedhuis-eindhoven-03</t>
        </is>
      </c>
      <c r="D137" s="29" t="inlineStr">
        <is>
          <t>https://commons.wikimedia.org/wiki/File:Erfgoedhuis_Eindhoven.jpg</t>
        </is>
      </c>
      <c r="E137" s="29" t="inlineStr">
        <is>
          <t>File:Erfgoedhuis Eindhoven.jpg</t>
        </is>
      </c>
      <c r="F137" s="29" t="inlineStr">
        <is>
          <t>S. Perquin</t>
        </is>
      </c>
      <c r="G137" s="29" t="inlineStr">
        <is>
          <t>CC BY-SA 4.0</t>
        </is>
      </c>
      <c r="H137" s="29" t="inlineStr">
        <is>
          <t>https://creativecommons.org/licenses/by-sa/4.0/</t>
        </is>
      </c>
      <c r="I137" s="29" t="inlineStr">
        <is>
          <t>Creative Commons Attribution-Share Alike 4.0</t>
        </is>
      </c>
      <c r="J137" s="29" t="inlineStr">
        <is>
          <t>S. Perquin · CC BY-SA 4.0 · Wikimedia Commons</t>
        </is>
      </c>
      <c r="K137" s="29" t="n"/>
      <c r="L137" s="49" t="n">
        <v>46317</v>
      </c>
      <c r="M137" s="29" t="inlineStr">
        <is>
          <t>Bekliyor</t>
        </is>
      </c>
      <c r="N137" s="29" t="inlineStr">
        <is>
          <t>Bekliyor</t>
        </is>
      </c>
      <c r="O137" s="29" t="inlineStr">
        <is>
          <t>Fotoğraflar/eindhoven_erfgoedhuis-eindhoven_03.jpg</t>
        </is>
      </c>
      <c r="P137" s="29" t="inlineStr">
        <is>
          <t>'ERFGOEDHUIS' tabelalı mavi kapılı iki katlı bina, solda desenli boyalı küçük yapı, önde iki park etmiş araba</t>
        </is>
      </c>
      <c r="Q137" s="29" t="inlineStr">
        <is>
          <t>Bekliyor</t>
        </is>
      </c>
      <c r="R137" s="29" t="inlineStr">
        <is>
          <t>Wikimedia Commons dosya sayfasındaki lisans: CC BY-SA 4.0</t>
        </is>
      </c>
      <c r="S137" s="29" t="n"/>
      <c r="T137" s="29" t="n"/>
      <c r="U137" s="29" t="n"/>
      <c r="V137" s="29" t="n"/>
      <c r="W137" s="29" t="inlineStr">
        <is>
          <t>{"source_url": "https://commons.wikimedia.org/wiki/File:Erfgoedhuis_Eindhoven.jpg", "author": "S. Perquin", "license": "CC BY-SA 4.0", "license_url": "https://creativecommons.org/licenses/by-sa/4.0/", "original_api_record": {"size": 6215962, "width": 6000, "height": 4000, "thumburl": "https://thumb.wikimedia.org/wikipedia/commons/thumb/a/ae/Erfgoedhuis_Eindhoven.jpg/1920px-Erfgoedhuis_Eindhoven.jpg?utm_source=commons.wikimedia.org&amp;utm_campaign=imageinfo&amp;utm_content=thumbnail", "thumbwidth": 1600, "thumbheight": 1067, "responsiveUrls": {"2": "https://thumb.wikimedia.org/wikipedia/commons/thumb/a/ae/Erfgoedhuis_Eindhoven.jpg/3840px-Erfgoedhuis_Eindhoven.jpg?utm_source=commons.wikimedia.org&amp;utm_campaign=imageinfo&amp;utm_content=thumbnail"}, "thumbattribs": {"src": "https://thumb.wikimedia.org/wikipedia/commons/thumb/a/ae/Erfgoedhuis_Eindhoven.jpg/1920px-Erfgoedhuis_Eindhoven.jpg?utm_source=commons.wikimedia.org&amp;utm_campaign=imageinfo&amp;utm_content=thumbnail", "decoding": "async", "loading": "lazy", "width": 1600, "height": 1067, "srcset": "https://thumb.wikimedia.org/wikipedia/commons/thumb/a/ae/Erfgoedhuis_Eindhoven.jpg/3840px-Erfgoedhuis_Eindhoven.jpg?utm_source=commons.wikimedia.org&amp;utm_campaign=imageinfo&amp;utm_content=thumbnail 2x"}, "url": "https://upload.wikimedia.org/wikipedia/commons/a/ae/Erfgoedhuis_Eindhoven.jpg?utm_source=commons.wikimedia.org&amp;utm_campaign=imageinfo&amp;utm_content=original", "descriptionurl": "https://commons.wikimedia.org/wiki/File:Erfgoedhuis_Eindhoven.jpg", "descriptionshorturl": "https://commons.wikimedia.org/w/index.php?curid=145447157", "sha1": "2c02897f3d3fcdeae695e46407d20d9ba1993cab", "extmetadata": {"DateTime": {"value": "2024-02-17 12:10:36", "source": "mediawiki-metadata", "hidden": ""}, "ObjectName": {"value": "Erfgoedhuis Eindhoven", "source": "mediawiki-metadata"}, "CommonsMetadataExtension": {"value": 1.2, "source": "extension", "hidden": ""}, "Categories": {"value": "Self-published work|Erfgoedhuis Eindhoven|Photographs by S. Perquin|2024 photographs by S. Perquin|Photographs by S. Perquin in Eindhoven", "source": "commons-categories", "hidden": ""}, "Assessments": {"value": "", "source": "commons-categories", "hidden": ""}, "ImageDescription": {"value": "Het Erfgoedhuis aan de Gasfabriek in Eindhoven", "source": "commons-desc-page"}, "DateTimeOriginal": {"value": "2024-02-17 13:50:35",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"https://thumb.wikimedia.org/wikipedia/commons/thumb/a/ae/Erfgoedhuis_Eindhoven.jpg/1280px-Erfgoedhuis_Eindhoven.jpg"}, "retrieved_on": "2026-10-23"}</t>
        </is>
      </c>
    </row>
    <row r="138" ht="54" customHeight="1">
      <c r="A138" s="29" t="inlineStr">
        <is>
          <t>eindhoven:evidence:parktheater-eindhoven-03</t>
        </is>
      </c>
      <c r="B138" s="29" t="inlineStr">
        <is>
          <t>eindhoven</t>
        </is>
      </c>
      <c r="C138" s="29" t="inlineStr">
        <is>
          <t>eindhoven:photo:parktheater-eindhoven-03</t>
        </is>
      </c>
      <c r="D138" s="29" t="inlineStr">
        <is>
          <t>https://commons.wikimedia.org/wiki/File:Parktheater_Eindhoven,_grote_zaal_en_coulissen_1.jpg</t>
        </is>
      </c>
      <c r="E138" s="29" t="inlineStr">
        <is>
          <t>File:Parktheater Eindhoven, grote zaal en coulissen 1.jpg</t>
        </is>
      </c>
      <c r="F138" s="29" t="inlineStr">
        <is>
          <t>Alex P. Kok</t>
        </is>
      </c>
      <c r="G138" s="29" t="inlineStr">
        <is>
          <t>CC BY-SA 4.0</t>
        </is>
      </c>
      <c r="H138" s="29" t="inlineStr">
        <is>
          <t>https://creativecommons.org/licenses/by-sa/4.0/</t>
        </is>
      </c>
      <c r="I138" s="29" t="inlineStr">
        <is>
          <t>Creative Commons Attribution-Share Alike 4.0</t>
        </is>
      </c>
      <c r="J138" s="29" t="inlineStr">
        <is>
          <t>Alex P. Kok · CC BY-SA 4.0 · Wikimedia Commons</t>
        </is>
      </c>
      <c r="K138" s="29" t="n"/>
      <c r="L138" s="49" t="n">
        <v>46317</v>
      </c>
      <c r="M138" s="29" t="inlineStr">
        <is>
          <t>Bekliyor</t>
        </is>
      </c>
      <c r="N138" s="29" t="inlineStr">
        <is>
          <t>Bekliyor</t>
        </is>
      </c>
      <c r="O138" s="29" t="inlineStr">
        <is>
          <t>Fotoğraflar/eindhoven_parktheater-eindhoven_03.jpg</t>
        </is>
      </c>
      <c r="P138" s="29" t="inlineStr">
        <is>
          <t>Kulisten büyük salonun kırmızı koltuk sıraları ve balkonu, solda dekor askı sistemi ve ışık köprüleri</t>
        </is>
      </c>
      <c r="Q138" s="29" t="inlineStr">
        <is>
          <t>Bekliyor</t>
        </is>
      </c>
      <c r="R138" s="29" t="inlineStr">
        <is>
          <t>Wikimedia Commons dosya sayfasındaki lisans: CC BY-SA 4.0</t>
        </is>
      </c>
      <c r="S138" s="29" t="n"/>
      <c r="T138" s="29" t="n"/>
      <c r="U138" s="29" t="n"/>
      <c r="V138" s="29" t="n"/>
      <c r="W138" s="29" t="inlineStr">
        <is>
          <t>{"source_url": "https://commons.wikimedia.org/wiki/File:Parktheater_Eindhoven,_grote_zaal_en_coulissen_1.jpg", "author": "Alex P. Kok", "license": "CC BY-SA 4.0", "license_url": "https://creativecommons.org/licenses/by-sa/4.0/", "original_api_record": {"size": 5871497, "width": 5568, "height": 3712, "thumburl": "https://thumb.wikimedia.org/wikipedia/commons/thumb/9/9b/Parktheater_Eindhoven%2C_grote_zaal_en_coulissen_1.jpg/1920px-Parktheater_Eindhoven%2C_grote_zaal_en_coulissen_1.jpg?utm_source=commons.wikimedia.org&amp;utm_campaign=imageinfo&amp;utm_content=thumbnail", "thumbwidth": 1600, "thumbheight": 1067, "responsiveUrls": {"2": "https://thumb.wikimedia.org/wikipedia/commons/thumb/9/9b/Parktheater_Eindhoven%2C_grote_zaal_en_coulissen_1.jpg/3840px-Parktheater_Eindhoven%2C_grote_zaal_en_coulissen_1.jpg?utm_source=commons.wikimedia.org&amp;utm_campaign=imageinfo&amp;utm_content=thumbnail"}, "thumbattribs": {"src": "https://thumb.wikimedia.org/wikipedia/commons/thumb/9/9b/Parktheater_Eindhoven%2C_grote_zaal_en_coulissen_1.jpg/1920px-Parktheater_Eindhoven%2C_grote_zaal_en_coulissen_1.jpg?utm_source=commons.wikimedia.org&amp;utm_campaign=imageinfo&amp;utm_content=thumbnail", "decoding": "async", "loading": "lazy", "width": 1600, "height": 1067, "srcset": "https://thumb.wikimedia.org/wikipedia/commons/thumb/9/9b/Parktheater_Eindhoven%2C_grote_zaal_en_coulissen_1.jpg/3840px-Parktheater_Eindhoven%2C_grote_zaal_en_coulissen_1.jpg?utm_source=commons.wikimedia.org&amp;utm_campaign=imageinfo&amp;utm_content=thumbnail 2x"}, "url": "https://upload.wikimedia.org/wikipedia/commons/9/9b/Parktheater_Eindhoven%2C_grote_zaal_en_coulissen_1.jpg?utm_source=commons.wikimedia.org&amp;utm_campaign=imageinfo&amp;utm_content=original", "descriptionurl": "https://commons.wikimedia.org/wiki/File:Parktheater_Eindhoven,_grote_zaal_en_coulissen_1.jpg", "descriptionshorturl": "https://commons.wikimedia.org/w/index.php?curid=110756241", "sha1": "acf9079bf646d85a9a69f98407b571db78ee5ab0", "extmetadata": {"DateTime": {"value": "2021-10-05 19:51:41", "source": "mediawiki-metadata", "hidden": ""}, "ObjectName": {"value": "Parktheater Eindhoven, grote zaal en coulissen 1", "source": "mediawiki-metadata"}, "CommonsMetadataExtension": {"value": 1.2, "source": "extension", "hidden": ""}, "Categories": {"value": "Parktheater Eindhoven|Self-published work|Photographs by Alex P. Kok", "source": "commons-categories", "hidden": ""}, "Assessments": {"value": "", "source": "commons-categories", "hidden": ""}, "ImageDescription": {"value": "Parktheater Eindhoven, grote zaal en coulissen", "source": "commons-desc-page"}, "DateTimeOriginal": {"value": "2019-09-15",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"https://thumb.wikimedia.org/wikipedia/commons/thumb/9/9b/Parktheater_Eindhoven%2C_grote_zaal_en_coulissen_1.jpg/1280px-Parktheater_Eindhoven%2C_grote_zaal_en_coulissen_1.jpg"}, "retrieved_on": "2026-10-23"}</t>
        </is>
      </c>
    </row>
    <row r="139" ht="54" customHeight="1">
      <c r="A139" s="29" t="inlineStr">
        <is>
          <t>eindhoven:evidence:natlab-03</t>
        </is>
      </c>
      <c r="B139" s="29" t="inlineStr">
        <is>
          <t>eindhoven</t>
        </is>
      </c>
      <c r="C139" s="29" t="inlineStr">
        <is>
          <t>eindhoven:photo:natlab-03</t>
        </is>
      </c>
      <c r="D139" s="29" t="inlineStr">
        <is>
          <t>https://commons.wikimedia.org/wiki/File:NatLab_Strijp_S_Eindhoven.JPG</t>
        </is>
      </c>
      <c r="E139" s="29" t="inlineStr">
        <is>
          <t>File:NatLab Strijp S Eindhoven.JPG</t>
        </is>
      </c>
      <c r="F139" s="29" t="inlineStr">
        <is>
          <t>Rosemoon</t>
        </is>
      </c>
      <c r="G139" s="29" t="inlineStr">
        <is>
          <t>CC BY-SA 3.0</t>
        </is>
      </c>
      <c r="H139" s="29" t="inlineStr">
        <is>
          <t>https://creativecommons.org/licenses/by-sa/3.0/</t>
        </is>
      </c>
      <c r="I139" s="29" t="inlineStr">
        <is>
          <t>Creative Commons Attribution-Share Alike 3.0</t>
        </is>
      </c>
      <c r="J139" s="29" t="inlineStr">
        <is>
          <t>Rosemoon · CC BY-SA 3.0 · Wikimedia Commons</t>
        </is>
      </c>
      <c r="K139" s="29" t="n"/>
      <c r="L139" s="49" t="n">
        <v>46317</v>
      </c>
      <c r="M139" s="29" t="inlineStr">
        <is>
          <t>Bekliyor</t>
        </is>
      </c>
      <c r="N139" s="29" t="inlineStr">
        <is>
          <t>Bekliyor</t>
        </is>
      </c>
      <c r="O139" s="29" t="inlineStr">
        <is>
          <t>Fotoğraflar/eindhoven_natlab_03.jpg</t>
        </is>
      </c>
      <c r="P139" s="29" t="inlineStr">
        <is>
          <t>Uzun tuğla bina ve sütunlar üstünde öne taşan dikey şeritli giriş bölümü; önde yol, çim şerit, solda küçük moloz yığını</t>
        </is>
      </c>
      <c r="Q139" s="29" t="inlineStr">
        <is>
          <t>Bekliyor</t>
        </is>
      </c>
      <c r="R139" s="29" t="inlineStr">
        <is>
          <t>Wikimedia Commons dosya sayfasındaki lisans: CC BY-SA 3.0</t>
        </is>
      </c>
      <c r="S139" s="29" t="n"/>
      <c r="T139" s="29" t="n"/>
      <c r="U139" s="29" t="n"/>
      <c r="V139" s="29" t="n"/>
      <c r="W139" s="29" t="inlineStr">
        <is>
          <t>{"source_url": "https://commons.wikimedia.org/wiki/File:NatLab_Strijp_S_Eindhoven.JPG", "author": "Rosemoon", "license": "CC BY-SA 3.0", "license_url": "https://creativecommons.org/licenses/by-sa/3.0/", "original_api_record": {"size": 5825536, "width": 4320, "height": 3240, "thumburl": "https://thumb.wikimedia.org/wikipedia/commons/thumb/f/f9/NatLab_Strijp_S_Eindhoven.JPG/1920px-NatLab_Strijp_S_Eindhoven.JPG?utm_source=commons.wikimedia.org&amp;utm_campaign=imageinfo&amp;utm_content=thumbnail", "thumbwidth": 1600, "thumbheight": 1200, "responsiveUrls": {"2": "https://thumb.wikimedia.org/wikipedia/commons/thumb/f/f9/NatLab_Strijp_S_Eindhoven.JPG/3840px-NatLab_Strijp_S_Eindhoven.JPG?utm_source=commons.wikimedia.org&amp;utm_campaign=imageinfo&amp;utm_content=thumbnail"}, "thumbattribs": {"src": "https://thumb.wikimedia.org/wikipedia/commons/thumb/f/f9/NatLab_Strijp_S_Eindhoven.JPG/1920px-NatLab_Strijp_S_Eindhoven.JPG?utm_source=commons.wikimedia.org&amp;utm_campaign=imageinfo&amp;utm_content=thumbnail", "decoding": "async", "loading": "lazy", "width": 1600, "height": 1200, "srcset": "https://thumb.wikimedia.org/wikipedia/commons/thumb/f/f9/NatLab_Strijp_S_Eindhoven.JPG/3840px-NatLab_Strijp_S_Eindhoven.JPG?utm_source=commons.wikimedia.org&amp;utm_campaign=imageinfo&amp;utm_content=thumbnail 2x"}, "url": "https://upload.wikimedia.org/wikipedia/commons/f/f9/NatLab_Strijp_S_Eindhoven.JPG?utm_source=commons.wikimedia.org&amp;utm_campaign=imageinfo&amp;utm_content=original", "descriptionurl": "https://commons.wikimedia.org/wiki/File:NatLab_Strijp_S_Eindhoven.JPG", "descriptionshorturl": "https://commons.wikimedia.org/w/index.php?curid=21726740", "sha1": "09a126f7a6bb1c00de64f2f5db0f5babab6cd4ba", "extmetadata": {"DateTime": {"value": "2012-09-28 20:43:01", "source": "mediawiki-metadata", "hidden": ""}, "ObjectName": {"value": "NatLab Strijp S Eindhoven", "source": "mediawiki-metadata"}, "CommonsMetadataExtension": {"value": 1.2, "source": "extension", "hidden": ""}, "Categories": {"value": "Taken with Panasonic Lumix DMC-TZ20|Self-published work|2012 in Eindhoven|Netherlands photographs taken on 2012-08-18|Files with coordinates missing SDC location of creation (51° N, 5° E)|NatLab Strijp S", "source": "commons-categories", "hidden": ""}, "Assessments": {"value": "", "source": "commons-categories", "hidden": ""}, "GPSLatitude": {"value": "51.445850", "source": "commons-desc-page"}, "GPSLongitude": {"value": "5.454054", "source": "commons-desc-page"}, "GPSMapDatum": {"value": "WGS-84", "source": "commons-desc-page", "hidden": ""}, "ImageDescription": {"value": "NatLab Strijp S Eindhoven", "source": "commons-desc-page"}, "DateTimeOriginal": {"value": "2012-08-18 11:49:10",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"https://thumb.wikimedia.org/wikipedia/commons/thumb/f/f9/NatLab_Strijp_S_Eindhoven.JPG/1280px-NatLab_Strijp_S_Eindhoven.JPG"}, "retrieved_on": "2026-10-23"}</t>
        </is>
      </c>
    </row>
    <row r="140" ht="54" customHeight="1">
      <c r="A140" s="29" t="inlineStr">
        <is>
          <t>eindhoven:evidence:dynamo-03</t>
        </is>
      </c>
      <c r="B140" s="29" t="inlineStr">
        <is>
          <t>eindhoven</t>
        </is>
      </c>
      <c r="C140" s="29" t="inlineStr">
        <is>
          <t>eindhoven:photo:dynamo-03</t>
        </is>
      </c>
      <c r="D140" s="29" t="inlineStr">
        <is>
          <t>https://commons.wikimedia.org/wiki/File:Inferum,_live_at_Dynamo_Eindhoven.jpg</t>
        </is>
      </c>
      <c r="E140" s="29" t="inlineStr">
        <is>
          <t>File:Inferum, live at Dynamo Eindhoven.jpg</t>
        </is>
      </c>
      <c r="F140" s="29" t="inlineStr">
        <is>
          <t>Lendskaip</t>
        </is>
      </c>
      <c r="G140" s="29" t="inlineStr">
        <is>
          <t>CC0 1.0</t>
        </is>
      </c>
      <c r="H140" s="29" t="inlineStr">
        <is>
          <t>https://creativecommons.org/publicdomain/zero/1.0/</t>
        </is>
      </c>
      <c r="I140" s="29" t="inlineStr">
        <is>
          <t>Creative Commons Zero, Public Domain Dedication</t>
        </is>
      </c>
      <c r="J140" s="29" t="inlineStr">
        <is>
          <t>Lendskaip · CC0 1.0 · Wikimedia Commons</t>
        </is>
      </c>
      <c r="K140" s="29" t="n"/>
      <c r="L140" s="49" t="n">
        <v>46317</v>
      </c>
      <c r="M140" s="29" t="inlineStr">
        <is>
          <t>Bekliyor</t>
        </is>
      </c>
      <c r="N140" s="29" t="inlineStr">
        <is>
          <t>Bekliyor</t>
        </is>
      </c>
      <c r="O140" s="29" t="inlineStr">
        <is>
          <t>Fotoğraflar/eindhoven_dynamo_03.jpg</t>
        </is>
      </c>
      <c r="P140" s="29" t="inlineStr">
        <is>
          <t>Konserde sahne: spot ışık huzmeleri, davul seti, gitarlı müzisyenler, önde seyirci siluetleri</t>
        </is>
      </c>
      <c r="Q140" s="29" t="inlineStr">
        <is>
          <t>Bekliyor</t>
        </is>
      </c>
      <c r="R140" s="29" t="inlineStr">
        <is>
          <t>Wikimedia Commons dosya sayfasındaki lisans: CC0 1.0</t>
        </is>
      </c>
      <c r="S140" s="29" t="n"/>
      <c r="T140" s="29" t="n"/>
      <c r="U140" s="29" t="n"/>
      <c r="V140" s="29" t="n"/>
      <c r="W140" s="29" t="inlineStr">
        <is>
          <t>{"source_url": "https://commons.wikimedia.org/wiki/File:Inferum,_live_at_Dynamo_Eindhoven.jpg", "author": "Lendskaip", "license": "CC0 1.0", "license_url": "https://creativecommons.org/publicdomain/zero/1.0/", "original_api_record": {"size": 3608000, "width": 3329, "height": 2241, "thumburl": "https://thumb.wikimedia.org/wikipedia/commons/thumb/8/8b/Inferum%2C_live_at_Dynamo_Eindhoven.jpg/1920px-Inferum%2C_live_at_Dynamo_Eindhoven.jpg?utm_source=commons.wikimedia.org&amp;utm_campaign=imageinfo&amp;utm_content=thumbnail", "thumbwidth": 1600, "thumbheight": 1077, "responsiveUrls": {"2": "https://upload.wikimedia.org/wikipedia/commons/8/8b/Inferum%2C_live_at_Dynamo_Eindhoven.jpg?utm_source=commons.wikimedia.org&amp;utm_campaign=imageinfo&amp;utm_content=thumbnail_unscaled"}, "thumbattribs": {"src": "https://thumb.wikimedia.org/wikipedia/commons/thumb/8/8b/Inferum%2C_live_at_Dynamo_Eindhoven.jpg/1920px-Inferum%2C_live_at_Dynamo_Eindhoven.jpg?utm_source=commons.wikimedia.org&amp;utm_campaign=imageinfo&amp;utm_content=thumbnail", "decoding": "async", "loading": "lazy", "width": 1600, "height": 1077, "srcset": "https://upload.wikimedia.org/wikipedia/commons/8/8b/Inferum%2C_live_at_Dynamo_Eindhoven.jpg?utm_source=commons.wikimedia.org&amp;utm_campaign=imageinfo&amp;utm_content=thumbnail_unscaled 2x"}, "url": "https://upload.wikimedia.org/wikipedia/commons/8/8b/Inferum%2C_live_at_Dynamo_Eindhoven.jpg?utm_source=commons.wikimedia.org&amp;utm_campaign=imageinfo&amp;utm_content=original", "descriptionurl": "https://commons.wikimedia.org/wiki/File:Inferum,_live_at_Dynamo_Eindhoven.jpg", "descriptionshorturl": "https://commons.wikimedia.org/w/index.php?curid=176602285", "sha1": "8fb161a39163e695bdeaac6e9f7bcba69001f448", "extmetadata": {"DateTime": {"value": "2025-10-12 15:12:58", "source": "mediawiki-metadata", "hidden": ""}, "ObjectName": {"value": "Inferum, live at Dynamo Eindhoven", "source": "mediawiki-metadata"}, "CommonsMetadataExtension": {"value": 1.2, "source": "extension", "hidden": ""}, "Categories": {"value": "Wouter Macare|CC-Zero|Inferum|Self-published work|Rock concerts in the Netherlands|Files with coordinates missing SDC location of creation (51° N, 5° E)", "source": "commons-categories", "hidden": ""}, "Assessments": {"value": "", "source": "commons-categories", "hidden": ""}, "GPSLatitude": {"value": "51.437653", "source": "commons-desc-page"}, "GPSLongitude": {"value": "5.480772", "source": "commons-desc-page"}, "GPSMapDatum": {"value": "WGS-84", "source": "commons-desc-page", "hidden": ""}, "ImageDescription": {"value": "De Nederlandse metalband &lt;a href=\"https://nl.wikipedia.org/wiki/Inferum\" class=\"extiw\" title=\"nl:Inferum\"&gt;Inferum&lt;/a&gt; tijdens een concert in Dynamo Eindhoven (2025).", "source": "commons-desc-page"}, "DateTimeOriginal": {"value": "2025-09-20 21:59:27", "source": "commons-desc-page"}, "Credit": {"value": "&lt;span class=\"int-own-work\" lang=\"en\"&gt;Own work&lt;/span&gt;", "source": "commons-desc-page"}, "Artist": {"value": "&lt;a href=\"//commons.wikimedia.org/wiki/User:Lendskaip\" title=\"User:Lendskaip\"&gt;Lendskaip&lt;/a&gt;",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"https://thumb.wikimedia.org/wikipedia/commons/thumb/8/8b/Inferum%2C_live_at_Dynamo_Eindhoven.jpg/1280px-Inferum%2C_live_at_Dynamo_Eindhoven.jpg"}, "retrieved_on": "2026-10-23"}</t>
        </is>
      </c>
    </row>
    <row r="141" ht="54" customHeight="1">
      <c r="A141" s="29" t="inlineStr">
        <is>
          <t>eindhoven:evidence:philips-stadion-psv-03</t>
        </is>
      </c>
      <c r="B141" s="29" t="inlineStr">
        <is>
          <t>eindhoven</t>
        </is>
      </c>
      <c r="C141" s="29" t="inlineStr">
        <is>
          <t>eindhoven:photo:philips-stadion-psv-03</t>
        </is>
      </c>
      <c r="D141" s="29" t="inlineStr">
        <is>
          <t>https://commons.wikimedia.org/wiki/File:13-06-29-eindhoven-50mm-65.jpg</t>
        </is>
      </c>
      <c r="E141" s="29" t="inlineStr">
        <is>
          <t>File:13-06-29-eindhoven-50mm-65.jpg</t>
        </is>
      </c>
      <c r="F141" s="29" t="inlineStr">
        <is>
          <t>Ralf Roletschek</t>
        </is>
      </c>
      <c r="G141" s="29" t="inlineStr">
        <is>
          <t>CC BY 3.0</t>
        </is>
      </c>
      <c r="H141" s="29" t="inlineStr">
        <is>
          <t>https://creativecommons.org/licenses/by/3.0/</t>
        </is>
      </c>
      <c r="I141" s="29" t="inlineStr">
        <is>
          <t>Creative Commons Attribution 3.0</t>
        </is>
      </c>
      <c r="J141" s="29" t="inlineStr">
        <is>
          <t>Ralf Roletschek · CC BY 3.0 · Wikimedia Commons</t>
        </is>
      </c>
      <c r="K141" s="29" t="n"/>
      <c r="L141" s="49" t="n">
        <v>46317</v>
      </c>
      <c r="M141" s="29" t="inlineStr">
        <is>
          <t>Bekliyor</t>
        </is>
      </c>
      <c r="N141" s="29" t="inlineStr">
        <is>
          <t>Bekliyor</t>
        </is>
      </c>
      <c r="O141" s="29" t="inlineStr">
        <is>
          <t>Fotoğraflar/eindhoven_philips-stadion-psv_03.jpg</t>
        </is>
      </c>
      <c r="P141" s="29" t="inlineStr">
        <is>
          <t>Taş döşeli alanın ardında "Philips Stadion" yazılı ana cephe, iki köşede beyaz çelik pilonlar</t>
        </is>
      </c>
      <c r="Q141" s="29" t="inlineStr">
        <is>
          <t>Bekliyor</t>
        </is>
      </c>
      <c r="R141" s="29" t="inlineStr">
        <is>
          <t>Wikimedia Commons dosya sayfasındaki lisans: CC BY 3.0</t>
        </is>
      </c>
      <c r="S141" s="29" t="n"/>
      <c r="T141" s="29" t="n"/>
      <c r="U141" s="29" t="n"/>
      <c r="V141" s="29" t="n"/>
      <c r="W141" s="29" t="inlineStr">
        <is>
          <t>{"source_url": "https://commons.wikimedia.org/wiki/File:13-06-29-eindhoven-50mm-65.jpg", "author": "Ralf Roletschek", "license": "CC BY 3.0", "license_url": "https://creativecommons.org/licenses/by/3.0/", "original_api_record": {"size": 7780630, "width": 4288, "height": 2848, "thumburl": "https://thumb.wikimedia.org/wikipedia/commons/thumb/9/95/13-06-29-eindhoven-50mm-65.jpg/1920px-13-06-29-eindhoven-50mm-65.jpg?utm_source=commons.wikimedia.org&amp;utm_campaign=imageinfo&amp;utm_content=thumbnail", "thumbwidth": 1600, "thumbheight": 1063, "responsiveUrls": {"2": "https://thumb.wikimedia.org/wikipedia/commons/thumb/9/95/13-06-29-eindhoven-50mm-65.jpg/3840px-13-06-29-eindhoven-50mm-65.jpg?utm_source=commons.wikimedia.org&amp;utm_campaign=imageinfo&amp;utm_content=thumbnail"}, "thumbattribs": {"src": "https://thumb.wikimedia.org/wikipedia/commons/thumb/9/95/13-06-29-eindhoven-50mm-65.jpg/1920px-13-06-29-eindhoven-50mm-65.jpg?utm_source=commons.wikimedia.org&amp;utm_campaign=imageinfo&amp;utm_content=thumbnail", "decoding": "async", "loading": "lazy", "width": 1600, "height": 1063, "srcset": "https://thumb.wikimedia.org/wikipedia/commons/thumb/9/95/13-06-29-eindhoven-50mm-65.jpg/3840px-13-06-29-eindhoven-50mm-65.jpg?utm_source=commons.wikimedia.org&amp;utm_campaign=imageinfo&amp;utm_content=thumbnail 2x"}, "url": "https://upload.wikimedia.org/wikipedia/commons/9/95/13-06-29-eindhoven-50mm-65.jpg?utm_source=commons.wikimedia.org&amp;utm_campaign=imageinfo&amp;utm_content=original", "descriptionurl": "https://commons.wikimedia.org/wiki/File:13-06-29-eindhoven-50mm-65.jpg", "descriptionshorturl": "https://commons.wikimedia.org/w/index.php?curid=26960147", "sha1": "c365d43c7a99220e53edb032059ebb0a5d2fdd04", "extmetadata": {"DateTime": {"value": "2013-06-29 21:31:41", "source": "mediawiki-metadata", "hidden": ""}, "ObjectName": {"value": "13-06-29-eindhoven-50mm-65", "source": "mediawiki-metadata"}, "CommonsMetadataExtension": {"value": 1.2, "source": "extension", "hidden": ""}, "Categories": {"value": "GFDL|Taken with Nikon D300s|Philips Stadion|License migration redundant|Self-published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"51.440827", "source": "commons-desc-page"}, "GPSLongitude": {"value": "5.469252", "source": "commons-desc-page"}, "GPSMapDatum": {"value": "WGS-84", "source": "commons-desc-page", "hidden": ""}, "ImageDescription": {"value": "Eindhoven, Niederlande, 2013", "source": "commons-desc-page"}, "DateTimeOriginal": {"value": "2013-06-29 17:20:01", "source": "commons-desc-page"}, "Credit": {"value": "&lt;span class=\"int-own-work\" lang=\"en\"&gt;Own work&lt;/span&gt;", "source": "commons-desc-page"}, "Artist": {"value": "&lt;bdi&gt;&lt;a rel=\"mw:WikiLink/Interwiki\" href=\"https://www.wikidata.org/wiki/Q15080600\" title=\"d:Q15080600\" class=\"extiw\"&gt;&lt;span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"https://thumb.wikimedia.org/wikipedia/commons/thumb/9/95/13-06-29-eindhoven-50mm-65.jpg/1280px-13-06-29-eindhoven-50mm-65.jpg"}, "retrieved_on": "2026-10-23"}</t>
        </is>
      </c>
    </row>
    <row r="142" ht="54" customHeight="1">
      <c r="A142" s="29" t="inlineStr">
        <is>
          <t>eindhoven:evidence:nationaal-zwemcentrum-de-tongelreep-02</t>
        </is>
      </c>
      <c r="B142" s="29" t="inlineStr">
        <is>
          <t>eindhoven</t>
        </is>
      </c>
      <c r="C142" s="29" t="inlineStr">
        <is>
          <t>eindhoven:photo:nationaal-zwemcentrum-de-tongelreep-02</t>
        </is>
      </c>
      <c r="D142" s="29" t="inlineStr">
        <is>
          <t>https://commons.wikimedia.org/wiki/File:FINA_Swimming_World_Cup_Venue_Eindhoven.jpg</t>
        </is>
      </c>
      <c r="E142" s="29" t="inlineStr">
        <is>
          <t>File:FINA Swimming World Cup Venue Eindhoven.jpg</t>
        </is>
      </c>
      <c r="F142" s="29" t="inlineStr">
        <is>
          <t>Joopjr</t>
        </is>
      </c>
      <c r="G142" s="29" t="inlineStr">
        <is>
          <t>CC BY-SA 4.0</t>
        </is>
      </c>
      <c r="H142" s="29" t="inlineStr">
        <is>
          <t>https://creativecommons.org/licenses/by-sa/4.0/</t>
        </is>
      </c>
      <c r="I142" s="29" t="inlineStr">
        <is>
          <t>Creative Commons Attribution-Share Alike 4.0</t>
        </is>
      </c>
      <c r="J142" s="29" t="inlineStr">
        <is>
          <t>Joopjr · CC BY-SA 4.0 · Wikimedia Commons</t>
        </is>
      </c>
      <c r="K142" s="29" t="n"/>
      <c r="L142" s="49" t="n">
        <v>46317</v>
      </c>
      <c r="M142" s="29" t="inlineStr">
        <is>
          <t>Bekliyor</t>
        </is>
      </c>
      <c r="N142" s="29" t="inlineStr">
        <is>
          <t>Bekliyor</t>
        </is>
      </c>
      <c r="O142" s="29" t="inlineStr">
        <is>
          <t>Fotoğraflar/eindhoven_nationaal-zwemcentrum-de-tongelreep_02.jpg</t>
        </is>
      </c>
      <c r="P142" s="29" t="inlineStr">
        <is>
          <t>Yüzücüsüz yarış havuzu: renkli kulvar ipleri, yeşil ışıklı su, başlangıç blokları, "Fina Swimming World Cup Eindhoven 2018" ekranı, tribün</t>
        </is>
      </c>
      <c r="Q142" s="29" t="inlineStr">
        <is>
          <t>Bekliyor</t>
        </is>
      </c>
      <c r="R142" s="29" t="inlineStr">
        <is>
          <t>Wikimedia Commons dosya sayfasındaki lisans: CC BY-SA 4.0</t>
        </is>
      </c>
      <c r="S142" s="29" t="n"/>
      <c r="T142" s="29" t="n"/>
      <c r="U142" s="29" t="n"/>
      <c r="V142" s="29" t="n"/>
      <c r="W142" s="29" t="inlineStr">
        <is>
          <t>{"source_url": "https://commons.wikimedia.org/wiki/File:FINA_Swimming_World_Cup_Venue_Eindhoven.jpg", "author": "Joopjr", "license": "CC BY-SA 4.0", "license_url": "https://creativecommons.org/licenses/by-sa/4.0/", "original_api_record": {"size": 242662, "width": 1600, "height": 1200, "thumburl": "https://upload.wikimedia.org/wikipedia/commons/4/47/FINA_Swimming_World_Cup_Venue_Eindhoven.jpg?utm_source=commons.wikimedia.org&amp;utm_campaign=imageinfo&amp;utm_content=thumbnail_unscaled", "thumbwidth": 1600, "thumbheight": 1200, "thumbattribs": {"src": "https://upload.wikimedia.org/wikipedia/commons/4/47/FINA_Swimming_World_Cup_Venue_Eindhoven.jpg?utm_source=commons.wikimedia.org&amp;utm_campaign=imageinfo&amp;utm_content=thumbnail_unscaled", "decoding": "async", "loading": "lazy", "width": 1600, "height": 1200}, "url": "https://upload.wikimedia.org/wikipedia/commons/4/47/FINA_Swimming_World_Cup_Venue_Eindhoven.jpg?utm_source=commons.wikimedia.org&amp;utm_campaign=imageinfo&amp;utm_content=original", "descriptionurl": "https://commons.wikimedia.org/wiki/File:FINA_Swimming_World_Cup_Venue_Eindhoven.jpg", "descriptionshorturl": "https://commons.wikimedia.org/w/index.php?curid=73348918", "sha1": "8a1229896978c5ca5b31f789dc95585a15ac53a8", "extmetadata": {"DateTime": {"value": "2018-10-03 13:12:01", "source": "mediawiki-metadata", "hidden": ""}, "ObjectName": {"value": "FINA Swimming World Cup Venue Eindhoven", "source": "mediawiki-metadata"}, "CommonsMetadataExtension": {"value": 1.2, "source": "extension", "hidden": ""}, "Categories": {"value": "FINA Swimming World Cup|National Swimming Centre Tongelreep|Self-published work", "source": "commons-categories", "hidden": ""}, "Assessments": {"value": "", "source": "commons-categories", "hidden": ""}, "ImageDescription": {"value": "The venue for the FINA Swimming World Cup in Eindhoven before start of the event.", "source": "commons-desc-page"}, "DateTimeOriginal": {"value": "2018-09-30", "source": "commons-desc-page"}, "Credit": {"value": "&lt;span class=\"int-own-work\" lang=\"en\"&gt;Own work&lt;/span&gt;", "source": "commons-desc-page"}, "Artist": {"value": "&lt;a href=\"//commons.wikimedia.org/wiki/User:Joopjr\" title=\"User:Joopjr\"&gt;Joopjr&lt;/a&gt;",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"https://upload.wikimedia.org/wikipedia/commons/4/47/FINA_Swimming_World_Cup_Venue_Eindhoven.jpg"}, "retrieved_on": "2026-10-23"}</t>
        </is>
      </c>
    </row>
    <row r="143" ht="54" customHeight="1">
      <c r="A143" s="29" t="inlineStr">
        <is>
          <t>eindhoven:evidence:henri-dunantpark-02</t>
        </is>
      </c>
      <c r="B143" s="29" t="inlineStr">
        <is>
          <t>eindhoven</t>
        </is>
      </c>
      <c r="C143" s="29" t="inlineStr">
        <is>
          <t>eindhoven:photo:henri-dunantpark-02</t>
        </is>
      </c>
      <c r="D143" s="29" t="inlineStr">
        <is>
          <t>https://commons.wikimedia.org/wiki/File:Speelpark_De_Splinter_(2025)_(28).jpg</t>
        </is>
      </c>
      <c r="E143" s="29" t="inlineStr">
        <is>
          <t>File:Speelpark De Splinter (2025) (28).jpg</t>
        </is>
      </c>
      <c r="F143" s="29" t="inlineStr">
        <is>
          <t>S. Perquin</t>
        </is>
      </c>
      <c r="G143" s="29" t="inlineStr">
        <is>
          <t>CC BY-SA 4.0</t>
        </is>
      </c>
      <c r="H143" s="29" t="inlineStr">
        <is>
          <t>https://creativecommons.org/licenses/by-sa/4.0/</t>
        </is>
      </c>
      <c r="I143" s="29" t="inlineStr">
        <is>
          <t>Creative Commons Attribution-Share Alike 4.0</t>
        </is>
      </c>
      <c r="J143" s="29" t="inlineStr">
        <is>
          <t>S. Perquin · CC BY-SA 4.0 · Wikimedia Commons</t>
        </is>
      </c>
      <c r="K143" s="29" t="n"/>
      <c r="L143" s="49" t="n">
        <v>46317</v>
      </c>
      <c r="M143" s="29" t="inlineStr">
        <is>
          <t>Bekliyor</t>
        </is>
      </c>
      <c r="N143" s="29" t="inlineStr">
        <is>
          <t>Bekliyor</t>
        </is>
      </c>
      <c r="O143" s="29" t="inlineStr">
        <is>
          <t>Fotoğraflar/eindhoven_henri-dunantpark_02.jpg</t>
        </is>
      </c>
      <c r="P143" s="29" t="inlineStr">
        <is>
          <t>Güneşli çimenlik, büyük ağaçların gölgeleri, piknik masaları, arkada ahşap yapılar</t>
        </is>
      </c>
      <c r="Q143" s="29" t="inlineStr">
        <is>
          <t>Bekliyor</t>
        </is>
      </c>
      <c r="R143" s="29" t="inlineStr">
        <is>
          <t>Wikimedia Commons dosya sayfasındaki lisans: CC BY-SA 4.0</t>
        </is>
      </c>
      <c r="S143" s="29" t="n"/>
      <c r="T143" s="29" t="n"/>
      <c r="U143" s="29" t="n"/>
      <c r="V143" s="29" t="n"/>
      <c r="W143" s="29" t="inlineStr">
        <is>
          <t>{"source_url": "https://commons.wikimedia.org/wiki/File:Speelpark_De_Splinter_(2025)_(28).jpg", "author": "S. Perquin", "license": "CC BY-SA 4.0", "license_url": "https://creativecommons.org/licenses/by-sa/4.0/", "original_api_record": {"size": 7160375, "width": 6000, "height": 4000, "thumburl": "https://thumb.wikimedia.org/wikipedia/commons/thumb/f/f7/Speelpark_De_Splinter_%282025%29_%2828%29.jpg/1920px-Speelpark_De_Splinter_%282025%29_%2828%29.jpg?utm_source=commons.wikimedia.org&amp;utm_campaign=imageinfo&amp;utm_content=thumbnail", "thumbwidth": 1600, "thumbheight": 1067, "responsiveUrls": {"2": "https://thumb.wikimedia.org/wikipedia/commons/thumb/f/f7/Speelpark_De_Splinter_%282025%29_%2828%29.jpg/3840px-Speelpark_De_Splinter_%282025%29_%2828%29.jpg?utm_source=commons.wikimedia.org&amp;utm_campaign=imageinfo&amp;utm_content=thumbnail"}, "thumbattribs": {"src": "https://thumb.wikimedia.org/wikipedia/commons/thumb/f/f7/Speelpark_De_Splinter_%282025%29_%2828%29.jpg/1920px-Speelpark_De_Splinter_%282025%29_%2828%29.jpg?utm_source=commons.wikimedia.org&amp;utm_campaign=imageinfo&amp;utm_content=thumbnail", "decoding": "async", "loading": "lazy", "width": 1600, "height": 1067, "srcset": "https://thumb.wikimedia.org/wikipedia/commons/thumb/f/f7/Speelpark_De_Splinter_%282025%29_%2828%29.jpg/3840px-Speelpark_De_Splinter_%282025%29_%2828%29.jpg?utm_source=commons.wikimedia.org&amp;utm_campaign=imageinfo&amp;utm_content=thumbnail 2x"}, "url": "https://upload.wikimedia.org/wikipedia/commons/f/f7/Speelpark_De_Splinter_%282025%29_%2828%29.jpg?utm_source=commons.wikimedia.org&amp;utm_campaign=imageinfo&amp;utm_content=original", "descriptionurl": "https://commons.wikimedia.org/wiki/File:Speelpark_De_Splinter_(2025)_(28).jpg", "descriptionshorturl": "https://commons.wikimedia.org/w/index.php?curid=165374165", "sha1": "1d0c006d574deb599204ddbc0b834abe37ff3b78", "extmetadata": {"DateTime": {"value": "2025-05-16 10:10:05", "source": "mediawiki-metadata", "hidden": ""}, "ObjectName": {"value": "Speelpark De Splinter (2025) (28)",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10:29:59",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"https://thumb.wikimedia.org/wikipedia/commons/thumb/f/f7/Speelpark_De_Splinter_%282025%29_%2828%29.jpg/1280px-Speelpark_De_Splinter_%282025%29_%2828%29.jpg"}, "retrieved_on": "2026-10-23"}</t>
        </is>
      </c>
    </row>
    <row r="144" ht="54" customHeight="1">
      <c r="A144" s="29" t="inlineStr">
        <is>
          <t>eindhoven:evidence:henri-dunantpark-03</t>
        </is>
      </c>
      <c r="B144" s="29" t="inlineStr">
        <is>
          <t>eindhoven</t>
        </is>
      </c>
      <c r="C144" s="29" t="inlineStr">
        <is>
          <t>eindhoven:photo:henri-dunantpark-03</t>
        </is>
      </c>
      <c r="D144" s="29" t="inlineStr">
        <is>
          <t>https://commons.wikimedia.org/wiki/File:Speelpark_De_Splinter_(2025)_(35).jpg</t>
        </is>
      </c>
      <c r="E144" s="29" t="inlineStr">
        <is>
          <t>File:Speelpark De Splinter (2025) (35).jpg</t>
        </is>
      </c>
      <c r="F144" s="29" t="inlineStr">
        <is>
          <t>S. Perquin</t>
        </is>
      </c>
      <c r="G144" s="29" t="inlineStr">
        <is>
          <t>CC BY-SA 4.0</t>
        </is>
      </c>
      <c r="H144" s="29" t="inlineStr">
        <is>
          <t>https://creativecommons.org/licenses/by-sa/4.0/</t>
        </is>
      </c>
      <c r="I144" s="29" t="inlineStr">
        <is>
          <t>Creative Commons Attribution-Share Alike 4.0</t>
        </is>
      </c>
      <c r="J144" s="29" t="inlineStr">
        <is>
          <t>S. Perquin · CC BY-SA 4.0 · Wikimedia Commons</t>
        </is>
      </c>
      <c r="K144" s="29" t="n"/>
      <c r="L144" s="49" t="n">
        <v>46317</v>
      </c>
      <c r="M144" s="29" t="inlineStr">
        <is>
          <t>Bekliyor</t>
        </is>
      </c>
      <c r="N144" s="29" t="inlineStr">
        <is>
          <t>Bekliyor</t>
        </is>
      </c>
      <c r="O144" s="29" t="inlineStr">
        <is>
          <t>Fotoğraflar/eindhoven_henri-dunantpark_03.jpg</t>
        </is>
      </c>
      <c r="P144" s="29" t="inlineStr">
        <is>
          <t>Çimende otlayan benekli keçi, arkada koyu ahşap ahır ve çitli bölme, yüksek ağaçlar</t>
        </is>
      </c>
      <c r="Q144" s="29" t="inlineStr">
        <is>
          <t>Bekliyor</t>
        </is>
      </c>
      <c r="R144" s="29" t="inlineStr">
        <is>
          <t>Wikimedia Commons dosya sayfasındaki lisans: CC BY-SA 4.0</t>
        </is>
      </c>
      <c r="S144" s="29" t="n"/>
      <c r="T144" s="29" t="n"/>
      <c r="U144" s="29" t="n"/>
      <c r="V144" s="29" t="n"/>
      <c r="W144" s="29" t="inlineStr">
        <is>
          <t>{"source_url": "https://commons.wikimedia.org/wiki/File:Speelpark_De_Splinter_(2025)_(35).jpg", "author": "S. Perquin", "license": "CC BY-SA 4.0", "license_url": "https://creativecommons.org/licenses/by-sa/4.0/", "original_api_record": {"size": 7193055, "width": 6000, "height": 4000, "thumburl": "https://thumb.wikimedia.org/wikipedia/commons/thumb/1/12/Speelpark_De_Splinter_%282025%29_%2835%29.jpg/1920px-Speelpark_De_Splinter_%282025%29_%2835%29.jpg?utm_source=commons.wikimedia.org&amp;utm_campaign=imageinfo&amp;utm_content=thumbnail", "thumbwidth": 1600, "thumbheight": 1067, "responsiveUrls": {"2": "https://thumb.wikimedia.org/wikipedia/commons/thumb/1/12/Speelpark_De_Splinter_%282025%29_%2835%29.jpg/3840px-Speelpark_De_Splinter_%282025%29_%2835%29.jpg?utm_source=commons.wikimedia.org&amp;utm_campaign=imageinfo&amp;utm_content=thumbnail"}, "thumbattribs": {"src": "https://thumb.wikimedia.org/wikipedia/commons/thumb/1/12/Speelpark_De_Splinter_%282025%29_%2835%29.jpg/1920px-Speelpark_De_Splinter_%282025%29_%2835%29.jpg?utm_source=commons.wikimedia.org&amp;utm_campaign=imageinfo&amp;utm_content=thumbnail", "decoding": "async", "loading": "lazy", "width": 1600, "height": 1067, "srcset": "https://thumb.wikimedia.org/wikipedia/commons/thumb/1/12/Speelpark_De_Splinter_%282025%29_%2835%29.jpg/3840px-Speelpark_De_Splinter_%282025%29_%2835%29.jpg?utm_source=commons.wikimedia.org&amp;utm_campaign=imageinfo&amp;utm_content=thumbnail 2x"}, "url": "https://upload.wikimedia.org/wikipedia/commons/1/12/Speelpark_De_Splinter_%282025%29_%2835%29.jpg?utm_source=commons.wikimedia.org&amp;utm_campaign=imageinfo&amp;utm_content=original", "descriptionurl": "https://commons.wikimedia.org/wiki/File:Speelpark_De_Splinter_(2025)_(35).jpg", "descriptionshorturl": "https://commons.wikimedia.org/w/index.php?curid=165374188", "sha1": "efc1f6e6a913c1cee9150b8c46969f0da755a16c", "extmetadata": {"DateTime": {"value": "2025-05-16 10:10:34", "source": "mediawiki-metadata", "hidden": ""}, "ObjectName": {"value": "Speelpark De Splinter (2025) (35)",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10:35:24",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"https://thumb.wikimedia.org/wikipedia/commons/thumb/1/12/Speelpark_De_Splinter_%282025%29_%2835%29.jpg/1280px-Speelpark_De_Splinter_%282025%29_%2835%29.jpg"}, "retrieved_on": "2026-10-23"}</t>
        </is>
      </c>
    </row>
    <row r="145" ht="54" customHeight="1">
      <c r="A145" s="29" t="inlineStr">
        <is>
          <t>eindhoven:evidence:landgoed-de-wielewaal-02</t>
        </is>
      </c>
      <c r="B145" s="29" t="inlineStr">
        <is>
          <t>eindhoven</t>
        </is>
      </c>
      <c r="C145" s="29" t="inlineStr">
        <is>
          <t>eindhoven:photo:landgoed-de-wielewaal-02</t>
        </is>
      </c>
      <c r="D145" s="29" t="inlineStr">
        <is>
          <t>https://commons.wikimedia.org/wiki/File:Lichtbos_Eindhoven_januari_2026_13.jpg</t>
        </is>
      </c>
      <c r="E145" s="29" t="inlineStr">
        <is>
          <t>File:Lichtbos Eindhoven januari 2026 13.jpg</t>
        </is>
      </c>
      <c r="F145" s="29" t="inlineStr">
        <is>
          <t>Chescargot</t>
        </is>
      </c>
      <c r="G145" s="29" t="inlineStr">
        <is>
          <t>CC BY 4.0</t>
        </is>
      </c>
      <c r="H145" s="29" t="inlineStr">
        <is>
          <t>https://creativecommons.org/licenses/by/4.0/</t>
        </is>
      </c>
      <c r="I145" s="29" t="inlineStr">
        <is>
          <t>Creative Commons Attribution 4.0</t>
        </is>
      </c>
      <c r="J145" s="29" t="inlineStr">
        <is>
          <t>Chescargot · CC BY 4.0 · Wikimedia Commons</t>
        </is>
      </c>
      <c r="K145" s="29" t="n"/>
      <c r="L145" s="49" t="n">
        <v>46317</v>
      </c>
      <c r="M145" s="29" t="inlineStr">
        <is>
          <t>Bekliyor</t>
        </is>
      </c>
      <c r="N145" s="29" t="inlineStr">
        <is>
          <t>Bekliyor</t>
        </is>
      </c>
      <c r="O145" s="29" t="inlineStr">
        <is>
          <t>Fotoğraflar/eindhoven_landgoed-de-wielewaal_02.jpg</t>
        </is>
      </c>
      <c r="P145" s="29" t="inlineStr">
        <is>
          <t>Kuru yapraklı ön plan, geniş çimenlik, ağaçlar, uzakta kiremit çatılı ev</t>
        </is>
      </c>
      <c r="Q145" s="29" t="inlineStr">
        <is>
          <t>Bekliyor</t>
        </is>
      </c>
      <c r="R145" s="29" t="inlineStr">
        <is>
          <t>Wikimedia Commons dosya sayfasındaki lisans: CC BY 4.0</t>
        </is>
      </c>
      <c r="S145" s="29" t="n"/>
      <c r="T145" s="29" t="n"/>
      <c r="U145" s="29" t="n"/>
      <c r="V145" s="29" t="n"/>
      <c r="W145" s="29" t="inlineStr">
        <is>
          <t>{"source_url": "https://commons.wikimedia.org/wiki/File:Lichtbos_Eindhoven_januari_2026_13.jpg", "author": "Chescargot", "license": "CC BY 4.0", "license_url": "https://creativecommons.org/licenses/by/4.0/", "original_api_record": {"size": 5280193, "width": 3060, "height": 4080, "thumburl": "https://thumb.wikimedia.org/wikipedia/commons/thumb/8/87/Lichtbos_Eindhoven_januari_2026_13.jpg/1920px-Lichtbos_Eindhoven_januari_2026_13.jpg?utm_source=commons.wikimedia.org&amp;utm_campaign=imageinfo&amp;utm_content=thumbnail", "thumbwidth": 1600, "thumbheight": 2133, "thumbattribs": {"src": "https://thumb.wikimedia.org/wikipedia/commons/thumb/8/87/Lichtbos_Eindhoven_januari_2026_13.jpg/1920px-Lichtbos_Eindhoven_januari_2026_13.jpg?utm_source=commons.wikimedia.org&amp;utm_campaign=imageinfo&amp;utm_content=thumbnail", "decoding": "async", "loading": "lazy", "width": 1600, "height": 2133}, "url": "https://upload.wikimedia.org/wikipedia/commons/8/87/Lichtbos_Eindhoven_januari_2026_13.jpg?utm_source=commons.wikimedia.org&amp;utm_campaign=imageinfo&amp;utm_content=original", "descriptionurl": "https://commons.wikimedia.org/wiki/File:Lichtbos_Eindhoven_januari_2026_13.jpg", "descriptionshorturl": "https://commons.wikimedia.org/w/index.php?curid=182124116", "sha1": "5174d44b1429c5df9506bdd09b4be70337d31f56", "extmetadata": {"DateTime": {"value": "2026-01-20 13:36:09", "source": "mediawiki-metadata", "hidden": ""}, "ObjectName": {"value": "Lichtbos Eindhoven januari 2026 13", "source": "mediawiki-metadata"}, "CommonsMetadataExtension": {"value": 1.2, "source": "extension", "hidden": ""}, "Categories": {"value": "Self-published work|Files with coordinates missing SDC location of creation (51° N, 5° E)|Lichtbos Eindhoven|Lichtbos Ehv", "source": "commons-categories", "hidden": ""}, "Assessments": {"value": "", "source": "commons-categories", "hidden": ""}, "GPSLatitude": {"value": "51.453983", "source": "commons-desc-page"}, "GPSLongitude": {"value": "5.435993", "source": "commons-desc-page"}, "GPSMapDatum": {"value": "WGS-84", "source": "commons-desc-page", "hidden": ""}, "ImageDescription": {"value": "Lichtbos Eindhoven januari 2026", "source": "commons-desc-page"}, "DateTimeOriginal": {"value": "2026-01-18 10:51:30", "source": "commons-desc-page"}, "Credit": {"value": "&lt;span class=\"int-own-work\" lang=\"en\"&gt;Own work&lt;/span&gt;", "source": "commons-desc-page"}, "Artist": {"value": "&lt;a href=\"//commons.wikimedia.org/wiki/User:Chescargot\" title=\"User:Chescargot\"&gt;Chescargot&lt;/a&gt;",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"https://thumb.wikimedia.org/wikipedia/commons/thumb/8/87/Lichtbos_Eindhoven_januari_2026_13.jpg/1280px-Lichtbos_Eindhoven_januari_2026_13.jpg"}, "retrieved_on": "2026-10-23"}</t>
        </is>
      </c>
    </row>
    <row r="146" ht="54" customHeight="1">
      <c r="A146" s="29" t="inlineStr">
        <is>
          <t>eindhoven:evidence:sint-catharinakerk-02</t>
        </is>
      </c>
      <c r="B146" s="29" t="inlineStr">
        <is>
          <t>eindhoven</t>
        </is>
      </c>
      <c r="C146" s="29" t="inlineStr">
        <is>
          <t>eindhoven:photo:sint-catharinakerk-02</t>
        </is>
      </c>
      <c r="D146" s="29" t="inlineStr">
        <is>
          <t>https://commons.wikimedia.org/wiki/File:Eindhoven,_santa_caterina,_02.jpg</t>
        </is>
      </c>
      <c r="E146" s="29" t="inlineStr">
        <is>
          <t>File:Eindhoven, santa caterina, 02.jpg</t>
        </is>
      </c>
      <c r="F146" s="29" t="inlineStr">
        <is>
          <t>Sailko</t>
        </is>
      </c>
      <c r="G146" s="29" t="inlineStr">
        <is>
          <t>CC BY 3.0</t>
        </is>
      </c>
      <c r="H146" s="29" t="inlineStr">
        <is>
          <t>https://creativecommons.org/licenses/by/3.0/</t>
        </is>
      </c>
      <c r="I146" s="29" t="inlineStr">
        <is>
          <t>Creative Commons Attribution 3.0</t>
        </is>
      </c>
      <c r="J146" s="29" t="inlineStr">
        <is>
          <t>Sailko · CC BY 3.0 · Wikimedia Commons</t>
        </is>
      </c>
      <c r="K146" s="29" t="n"/>
      <c r="L146" s="49" t="n">
        <v>46317</v>
      </c>
      <c r="M146" s="29" t="inlineStr">
        <is>
          <t>Bekliyor</t>
        </is>
      </c>
      <c r="N146" s="29" t="inlineStr">
        <is>
          <t>Bekliyor</t>
        </is>
      </c>
      <c r="O146" s="29" t="inlineStr">
        <is>
          <t>Fotoğraflar/eindhoven_sint-catharinakerk_02.jpg</t>
        </is>
      </c>
      <c r="P146" s="29" t="inlineStr">
        <is>
          <t>Mavi gökyüzü, iki sivri kuleli tuğla kilise ve uzun gövdesi, yapraksız ağaçlar, bisikletler, meydan</t>
        </is>
      </c>
      <c r="Q146" s="29" t="inlineStr">
        <is>
          <t>Bekliyor</t>
        </is>
      </c>
      <c r="R146" s="29" t="inlineStr">
        <is>
          <t>Wikimedia Commons dosya sayfasındaki lisans: CC BY 3.0</t>
        </is>
      </c>
      <c r="S146" s="29" t="n"/>
      <c r="T146" s="29" t="n"/>
      <c r="U146" s="29" t="n"/>
      <c r="V146" s="29" t="n"/>
      <c r="W146" s="29" t="inlineStr">
        <is>
          <t>{"source_url": "https://commons.wikimedia.org/wiki/File:Eindhoven,_santa_caterina,_02.jpg", "author": "Sailko", "license": "CC BY 3.0", "license_url": "https://creativecommons.org/licenses/by/3.0/", "original_api_record": {"size": 4636598, "width": 2304, "height": 3456, "thumburl": "https://thumb.wikimedia.org/wikipedia/commons/thumb/7/74/Eindhoven%2C_santa_caterina%2C_02.jpg/1920px-Eindhoven%2C_santa_caterina%2C_02.jpg?utm_source=commons.wikimedia.org&amp;utm_campaign=imageinfo&amp;utm_content=thumbnail", "thumbwidth": 1600, "thumbheight": 2400, "responsiveUrls": {"2": "https://upload.wikimedia.org/wikipedia/commons/7/74/Eindhoven%2C_santa_caterina%2C_02.jpg?utm_source=commons.wikimedia.org&amp;utm_campaign=imageinfo&amp;utm_content=thumbnail_unscaled"}, "thumbattribs": {"src": "https://thumb.wikimedia.org/wikipedia/commons/thumb/7/74/Eindhoven%2C_santa_caterina%2C_02.jpg/1920px-Eindhoven%2C_santa_caterina%2C_02.jpg?utm_source=commons.wikimedia.org&amp;utm_campaign=imageinfo&amp;utm_content=thumbnail", "decoding": "async", "loading": "lazy", "width": 1600, "height": 2400, "srcset": "https://upload.wikimedia.org/wikipedia/commons/7/74/Eindhoven%2C_santa_caterina%2C_02.jpg?utm_source=commons.wikimedia.org&amp;utm_campaign=imageinfo&amp;utm_content=thumbnail_unscaled 2x"}, "url": "https://upload.wikimedia.org/wikipedia/commons/7/74/Eindhoven%2C_santa_caterina%2C_02.jpg?utm_source=commons.wikimedia.org&amp;utm_campaign=imageinfo&amp;utm_content=original", "descriptionurl": "https://commons.wikimedia.org/wiki/File:Eindhoven,_santa_caterina,_02.jpg", "descriptionshorturl": "https://commons.wikimedia.org/w/index.php?curid=49456756", "sha1": "ed907fdacc02d7b6dc7d2a93d9945a932c3fd8d9", "extmetadata": {"DateTime": {"value": "2016-06-14 18:23:37", "source": "mediawiki-metadata", "hidden": ""}, "ObjectName": {"value": "Eindhoven, santa caterina, 02", "source": "mediawiki-metadata"}, "CommonsMetadataExtension": {"value": 1.2, "source": "extension", "hidden": ""}, "Categories": {"value": "Sint-Catharinakerk (Eindhoven)|Self-published work|Photographs by User:Sailko|Gothic Revival church towers in the Netherlands|All media supported by Wikimedia CH|Images by Sailko - Supported by Wikimedia CH", "source": "commons-categories", "hidden": ""}, "Assessments": {"value": "", "source": "commons-categories", "hidden": ""}, "ImageDescription": {"value": "Sint-Catharinakerk (Eindhoven)", "source": "commons-desc-page"}, "DateTimeOriginal": {"value": "2016-03-12 10:55:44", "source": "commons-desc-page"}, "Credit": {"value": "&lt;span class=\"int-own-work\" lang=\"en\"&gt;Own work&lt;/span&gt;", "source": "commons-desc-page"}, "Artist": {"value": "&lt;a href=\"//commons.wikimedia.org/wiki/User:Sailko\" title=\"User:Sailko\"&gt;Sailko&lt;/a&gt;",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"https://thumb.wikimedia.org/wikipedia/commons/thumb/7/74/Eindhoven%2C_santa_caterina%2C_02.jpg/1280px-Eindhoven%2C_santa_caterina%2C_02.jpg"}, "retrieved_on": "2026-10-23"}</t>
        </is>
      </c>
    </row>
    <row r="147" ht="54" customHeight="1">
      <c r="A147" s="29" t="inlineStr">
        <is>
          <t>eindhoven:evidence:sint-catharinakerk-03</t>
        </is>
      </c>
      <c r="B147" s="29" t="inlineStr">
        <is>
          <t>eindhoven</t>
        </is>
      </c>
      <c r="C147" s="29" t="inlineStr">
        <is>
          <t>eindhoven:photo:sint-catharinakerk-03</t>
        </is>
      </c>
      <c r="D147" s="29" t="inlineStr">
        <is>
          <t>https://commons.wikimedia.org/wiki/File:Binnenstad,_5611_Eindhoven,_Netherlands_-_panoramio_(2).jpg</t>
        </is>
      </c>
      <c r="E147" s="29" t="inlineStr">
        <is>
          <t>File:Binnenstad, 5611 Eindhoven, Netherlands - panoramio (2).jpg</t>
        </is>
      </c>
      <c r="F147" s="29" t="inlineStr">
        <is>
          <t>Ben Bender</t>
        </is>
      </c>
      <c r="G147" s="29" t="inlineStr">
        <is>
          <t>CC BY-SA 3.0</t>
        </is>
      </c>
      <c r="H147" s="29" t="inlineStr">
        <is>
          <t>https://creativecommons.org/licenses/by-sa/3.0/</t>
        </is>
      </c>
      <c r="I147" s="29" t="inlineStr">
        <is>
          <t>Creative Commons Attribution-Share Alike 3.0</t>
        </is>
      </c>
      <c r="J147" s="29" t="inlineStr">
        <is>
          <t>Ben Bender · CC BY-SA 3.0 · Wikimedia Commons</t>
        </is>
      </c>
      <c r="K147" s="29" t="n"/>
      <c r="L147" s="49" t="n">
        <v>46317</v>
      </c>
      <c r="M147" s="29" t="inlineStr">
        <is>
          <t>Bekliyor</t>
        </is>
      </c>
      <c r="N147" s="29" t="inlineStr">
        <is>
          <t>Bekliyor</t>
        </is>
      </c>
      <c r="O147" s="29" t="inlineStr">
        <is>
          <t>Fotoğraflar/eindhoven_sint-catharinakerk_03.jpg</t>
        </is>
      </c>
      <c r="P147" s="29" t="inlineStr">
        <is>
          <t>Masmavi gökyüzü önünde gül pencereli, üç sivri kemer kapılı kilise cephesi ve iki sivri kule</t>
        </is>
      </c>
      <c r="Q147" s="29" t="inlineStr">
        <is>
          <t>Bekliyor</t>
        </is>
      </c>
      <c r="R147" s="29" t="inlineStr">
        <is>
          <t>Wikimedia Commons dosya sayfasındaki lisans: CC BY-SA 3.0</t>
        </is>
      </c>
      <c r="S147" s="29" t="n"/>
      <c r="T147" s="29" t="n"/>
      <c r="U147" s="29" t="n"/>
      <c r="V147" s="29" t="n"/>
      <c r="W147" s="29" t="inlineStr">
        <is>
          <t>{"source_url": "https://commons.wikimedia.org/wiki/File:Binnenstad,_5611_Eindhoven,_Netherlands_-_panoramio_(2).jpg", "author": "Ben Bender", "license": "CC BY-SA 3.0", "license_url": "https://creativecommons.org/licenses/by-sa/3.0/", "original_api_record": {"size": 493361, "width": 1375, "height": 2048, "thumburl": "https://upload.wikimedia.org/wikipedia/commons/d/d2/Binnenstad%2C_5611_Eindhoven%2C_Netherlands_-_panoramio_%282%29.jpg?utm_source=commons.wikimedia.org&amp;utm_campaign=imageinfo&amp;utm_content=thumbnail_unscaled", "thumbwidth": 1600, "thumbheight": 2383, "thumbattribs": {"src": "https://upload.wikimedia.org/wikipedia/commons/d/d2/Binnenstad%2C_5611_Eindhoven%2C_Netherlands_-_panoramio_%282%29.jpg?utm_source=commons.wikimedia.org&amp;utm_campaign=imageinfo&amp;utm_content=thumbnail_unscaled", "decoding": "async", "loading": "lazy", "width": 1600, "height": 2383}, "url": "https://upload.wikimedia.org/wikipedia/commons/d/d2/Binnenstad%2C_5611_Eindhoven%2C_Netherlands_-_panoramio_%282%29.jpg?utm_source=commons.wikimedia.org&amp;utm_campaign=imageinfo&amp;utm_content=original", "descriptionurl": "https://commons.wikimedia.org/wiki/File:Binnenstad,_5611_Eindhoven,_Netherlands_-_panoramio_(2).jpg", "descriptionshorturl": "https://commons.wikimedia.org/w/index.php?curid=56776781", "sha1": "a3dc203cb47e2e4968a2bee1c33318f1c757e170", "extmetadata": {"DateTime": {"value": "2017-03-03 15:02:54", "source": "mediawiki-metadata", "hidden": ""}, "ObjectName": {"value": "Binnenstad, 5611 Eindhoven, Netherlands - panoramio (2)", "source": "mediawiki-metadata"}, "CommonsMetadataExtension": {"value": 1.2, "source": "extension", "hidden": ""}, "Categories": {"value": "Sint-Catharinakerk (Eindhoven)|Panoramio files uploaded by Panoramio upload bot|Panoramio images reviewed by trusted users|Photos from Panoramio|Files with coordinates missing SDC location of creation (51° N, 5° E)|Photographs by Ben Bender", "source": "commons-categories", "hidden": ""}, "Assessments": {"value": "", "source": "commons-categories", "hidden": ""}, "GPSLatitude": {"value": "51.436976", "source": "commons-desc-page"}, "GPSLongitude": {"value": "5.479904", "source": "commons-desc-page"}, "GPSMapDatum": {"value": "WGS-84", "source": "commons-desc-page", "hidden": ""}, "ImageDescription": {"value": "Binnenstad, 5611 Eindhoven, Netherlands", "source": "commons-desc-page"}, "DateTimeOriginal": {"value": "2 August 2013 (original upload date)", "source": "commons-desc-page"}, "Credit": {"value": "&lt;a rel=\"nofollow\" class=\"external free\" href=\"https://web.archive.org/web/20161028083015/http://www.panoramio.com/photo/94062255\"&gt;https://web.archive.org/web/20161028083015/http://www.panoramio.com/photo/94062255&lt;/a&gt;", "source": "commons-desc-page"}, "Artist": {"value": "&lt;a rel=\"nofollow\" class=\"external text\" href=\"https://web.archive.org/web/20161028082902/http://www.panoramio.com/user/4678999?with_photo_id=94062255\"&gt;Ben Bender&lt;/a&gt;",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class=\"licensetpl_attr\"&gt;Ben Bender&lt;/div&gt;&lt;/div&gt;&lt;div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3 March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"Ben Bender",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"https://upload.wikimedia.org/wikipedia/commons/d/d2/Binnenstad%2C_5611_Eindhoven%2C_Netherlands_-_panoramio_%282%29.jpg"}, "retrieved_on": "2026-10-23"}</t>
        </is>
      </c>
    </row>
    <row r="148" ht="54" customHeight="1">
      <c r="A148" s="29" t="inlineStr">
        <is>
          <t>eindhoven:evidence:strijp-s-02</t>
        </is>
      </c>
      <c r="B148" s="29" t="inlineStr">
        <is>
          <t>eindhoven</t>
        </is>
      </c>
      <c r="C148" s="29" t="inlineStr">
        <is>
          <t>eindhoven:photo:strijp-s-02</t>
        </is>
      </c>
      <c r="D148" s="29" t="inlineStr">
        <is>
          <t>https://commons.wikimedia.org/wiki/File:Glasgebouw_Eindhoven.jpg</t>
        </is>
      </c>
      <c r="E148" s="29" t="inlineStr">
        <is>
          <t>File:Glasgebouw Eindhoven.jpg</t>
        </is>
      </c>
      <c r="F148" s="29" t="inlineStr">
        <is>
          <t>Steven Lek</t>
        </is>
      </c>
      <c r="G148" s="29" t="inlineStr">
        <is>
          <t>CC BY-SA 4.0</t>
        </is>
      </c>
      <c r="H148" s="29" t="inlineStr">
        <is>
          <t>https://creativecommons.org/licenses/by-sa/4.0/</t>
        </is>
      </c>
      <c r="I148" s="29" t="inlineStr">
        <is>
          <t>Creative Commons Attribution-Share Alike 4.0</t>
        </is>
      </c>
      <c r="J148" s="29" t="inlineStr">
        <is>
          <t>Steven Lek · CC BY-SA 4.0 · Wikimedia Commons</t>
        </is>
      </c>
      <c r="K148" s="29" t="n"/>
      <c r="L148" s="49" t="n">
        <v>46317</v>
      </c>
      <c r="M148" s="29" t="inlineStr">
        <is>
          <t>Bekliyor</t>
        </is>
      </c>
      <c r="N148" s="29" t="inlineStr">
        <is>
          <t>Bekliyor</t>
        </is>
      </c>
      <c r="O148" s="29" t="inlineStr">
        <is>
          <t>Fotoğraflar/eindhoven_strijp-s_02.jpg</t>
        </is>
      </c>
      <c r="P148" s="29" t="inlineStr">
        <is>
          <t>Dikey 'GLASGEBOUW' yazılı tuğla kule bina, genç ağaçlar, önde istiflenmiş levhalar</t>
        </is>
      </c>
      <c r="Q148" s="29" t="inlineStr">
        <is>
          <t>Bekliyor</t>
        </is>
      </c>
      <c r="R148" s="29" t="inlineStr">
        <is>
          <t>Wikimedia Commons dosya sayfasındaki lisans: CC BY-SA 4.0</t>
        </is>
      </c>
      <c r="S148" s="29" t="n"/>
      <c r="T148" s="29" t="n"/>
      <c r="U148" s="29" t="n"/>
      <c r="V148" s="29" t="n"/>
      <c r="W148" s="29" t="inlineStr">
        <is>
          <t>{"source_url": "https://commons.wikimedia.org/wiki/File:Glasgebouw_Eindhoven.jpg", "author": "Steven Lek", "license": "CC BY-SA 4.0", "license_url": "https://creativecommons.org/licenses/by-sa/4.0/", "original_api_record": {"size": 8031686, "width": 3264, "height": 4928, "thumburl": "https://thumb.wikimedia.org/wikipedia/commons/thumb/d/dc/Glasgebouw_Eindhoven.jpg/1920px-Glasgebouw_Eindhoven.jpg?utm_source=commons.wikimedia.org&amp;utm_campaign=imageinfo&amp;utm_content=thumbnail", "thumbwidth": 1600, "thumbheight": 2416, "thumbattribs": {"src": "https://thumb.wikimedia.org/wikipedia/commons/thumb/d/dc/Glasgebouw_Eindhoven.jpg/1920px-Glasgebouw_Eindhoven.jpg?utm_source=commons.wikimedia.org&amp;utm_campaign=imageinfo&amp;utm_content=thumbnail", "decoding": "async", "loading": "lazy", "width": 1600, "height": 2416}, "url": "https://upload.wikimedia.org/wikipedia/commons/d/dc/Glasgebouw_Eindhoven.jpg?utm_source=commons.wikimedia.org&amp;utm_campaign=imageinfo&amp;utm_content=original", "descriptionurl": "https://commons.wikimedia.org/wiki/File:Glasgebouw_Eindhoven.jpg", "descriptionshorturl": "https://commons.wikimedia.org/w/index.php?curid=71373234", "sha1": "9023e8f0cf29c56f6ea37c7b0b87746e350edb45", "extmetadata": {"DateTime": {"value": "2018-08-05 15:59:11", "source": "mediawiki-metadata", "hidden": ""}, "ObjectName": {"value": "Glasgebouw Eindhoven", "source": "mediawiki-metadata"}, "CommonsMetadataExtension": {"value": 1.2, "source": "extension", "hidden": ""}, "Categories": {"value": "Buildings in Eindhoven|Strijp-S|Self-published work|2018 in Eindhoven|Netherlands photographs taken on 2018-07-31", "source": "commons-categories", "hidden": ""}, "Assessments": {"value": "", "source": "commons-categories", "hidden": ""}, "ImageDescription": {"value": "Het Glasgebouw in de Eindhovense wijk Strijp-S.", "source": "commons-desc-page"}, "DateTimeOriginal": {"value": "2018-07-31 18:20:26",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"https://thumb.wikimedia.org/wikipedia/commons/thumb/d/dc/Glasgebouw_Eindhoven.jpg/1280px-Glasgebouw_Eindhoven.jpg"}, "retrieved_on": "2026-10-23"}</t>
        </is>
      </c>
    </row>
    <row r="149" ht="54" customHeight="1">
      <c r="A149" s="29" t="inlineStr">
        <is>
          <t>eindhoven:evidence:strijp-s-03</t>
        </is>
      </c>
      <c r="B149" s="29" t="inlineStr">
        <is>
          <t>eindhoven</t>
        </is>
      </c>
      <c r="C149" s="29" t="inlineStr">
        <is>
          <t>eindhoven:photo:strijp-s-03</t>
        </is>
      </c>
      <c r="D149" s="29" t="inlineStr">
        <is>
          <t>https://commons.wikimedia.org/wiki/File:Haasje-2021.jpg</t>
        </is>
      </c>
      <c r="E149" s="29" t="inlineStr">
        <is>
          <t>File:Haasje-2021.jpg</t>
        </is>
      </c>
      <c r="F149" s="29" t="inlineStr">
        <is>
          <t>KatVanHuis</t>
        </is>
      </c>
      <c r="G149" s="29" t="inlineStr">
        <is>
          <t>CC BY-SA 4.0</t>
        </is>
      </c>
      <c r="H149" s="29" t="inlineStr">
        <is>
          <t>https://creativecommons.org/licenses/by-sa/4.0/</t>
        </is>
      </c>
      <c r="I149" s="29" t="inlineStr">
        <is>
          <t>Creative Commons Attribution-Share Alike 4.0</t>
        </is>
      </c>
      <c r="J149" s="29" t="inlineStr">
        <is>
          <t>KatVanHuis · CC BY-SA 4.0 · Wikimedia Commons</t>
        </is>
      </c>
      <c r="K149" s="29" t="n"/>
      <c r="L149" s="49" t="n">
        <v>46317</v>
      </c>
      <c r="M149" s="29" t="inlineStr">
        <is>
          <t>Bekliyor</t>
        </is>
      </c>
      <c r="N149" s="29" t="inlineStr">
        <is>
          <t>Bekliyor</t>
        </is>
      </c>
      <c r="O149" s="29" t="inlineStr">
        <is>
          <t>Fotoğraflar/eindhoven_strijp-s_03.jpg</t>
        </is>
      </c>
      <c r="P149" s="29" t="inlineStr">
        <is>
          <t>Beyaz eski fabrika binaları, borular, kırmızı konut kulesi, iki baca, şemsiyeli meydan</t>
        </is>
      </c>
      <c r="Q149" s="29" t="inlineStr">
        <is>
          <t>Bekliyor</t>
        </is>
      </c>
      <c r="R149" s="29" t="inlineStr">
        <is>
          <t>Wikimedia Commons dosya sayfasındaki lisans: CC BY-SA 4.0</t>
        </is>
      </c>
      <c r="S149" s="29" t="n"/>
      <c r="T149" s="29" t="n"/>
      <c r="U149" s="29" t="n"/>
      <c r="V149" s="29" t="n"/>
      <c r="W149" s="29" t="inlineStr">
        <is>
          <t>{"source_url": "https://commons.wikimedia.org/wiki/File:Haasje-2021.jpg", "author": "KatVanHuis", "license": "CC BY-SA 4.0", "license_url": "https://creativecommons.org/licenses/by-sa/4.0/", "original_api_record": {"size": 3722695, "width": 4032, "height": 3024, "thumburl": "https://thumb.wikimedia.org/wikipedia/commons/thumb/3/3b/Haasje-2021.jpg/1920px-Haasje-2021.jpg?utm_source=commons.wikimedia.org&amp;utm_campaign=imageinfo&amp;utm_content=thumbnail", "thumbwidth": 1600, "thumbheight": 1200, "responsiveUrls": {"2": "https://thumb.wikimedia.org/wikipedia/commons/thumb/3/3b/Haasje-2021.jpg/3840px-Haasje-2021.jpg?utm_source=commons.wikimedia.org&amp;utm_campaign=imageinfo&amp;utm_content=thumbnail"}, "thumbattribs": {"src": "https://thumb.wikimedia.org/wikipedia/commons/thumb/3/3b/Haasje-2021.jpg/1920px-Haasje-2021.jpg?utm_source=commons.wikimedia.org&amp;utm_campaign=imageinfo&amp;utm_content=thumbnail", "decoding": "async", "loading": "lazy", "width": 1600, "height": 1200, "srcset": "https://thumb.wikimedia.org/wikipedia/commons/thumb/3/3b/Haasje-2021.jpg/3840px-Haasje-2021.jpg?utm_source=commons.wikimedia.org&amp;utm_campaign=imageinfo&amp;utm_content=thumbnail 2x"}, "url": "https://upload.wikimedia.org/wikipedia/commons/3/3b/Haasje-2021.jpg?utm_source=commons.wikimedia.org&amp;utm_campaign=imageinfo&amp;utm_content=original", "descriptionurl": "https://commons.wikimedia.org/wiki/File:Haasje-2021.jpg", "descriptionshorturl": "https://commons.wikimedia.org/w/index.php?curid=106614447", "sha1": "1d87574639d4be31c6b36a307abd47fd0886ff44", "extmetadata": {"DateTime": {"value": "2021-06-15 18:31:18", "source": "mediawiki-metadata", "hidden": ""}, "ObjectName": {"value": "Haasje-2021", "source": "mediawiki-metadata"}, "CommonsMetadataExtension": {"value": 1.2, "source": "extension", "hidden": ""}, "Categories": {"value": "Buildings in Eindhoven|Strijp-S|Self-published work", "source": "commons-categories", "hidden": ""}, "Assessments": {"value": "", "source": "commons-categories", "hidden": ""}, "ImageDescription": {"value": "Woontoren in naast oude fabriek", "source": "commons-desc-page"}, "DateTimeOriginal": {"value": "2021-06-08", "source": "commons-desc-page"}, "Credit": {"value": "&lt;span class=\"int-own-work\" lang=\"en\"&gt;Own work&lt;/span&gt;", "source": "commons-desc-page"}, "Artist": {"value": "&lt;a href=\"//commons.wikimedia.org/w/index.php?title=User:KatVanHuis&amp;amp;action=edit&amp;amp;redlink=1\" class=\"new\" title=\"User:KatVanHuis (page does not exist)\"&gt;KatVanHuis&lt;/a&gt;",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"https://thumb.wikimedia.org/wikipedia/commons/thumb/3/3b/Haasje-2021.jpg/1280px-Haasje-2021.jpg"}, "retrieved_on": "2026-10-23"}</t>
        </is>
      </c>
    </row>
    <row r="150" ht="54" customHeight="1">
      <c r="A150" s="29" t="inlineStr">
        <is>
          <t>eindhoven:evidence:catharinakerkhof-03</t>
        </is>
      </c>
      <c r="B150" s="29" t="inlineStr">
        <is>
          <t>eindhoven</t>
        </is>
      </c>
      <c r="C150" s="29" t="inlineStr">
        <is>
          <t>eindhoven:photo:catharinakerkhof-03</t>
        </is>
      </c>
      <c r="D150" s="29" t="inlineStr">
        <is>
          <t>https://commons.wikimedia.org/wiki/File:Grafkapel_familie_Smits_van_Oyen;_aan_de_voorzijde_is_een_houten_paneeldeur_in_een_hardstenen_omlijsting_geplaatst_-_Eindhoven_-_20410846_-_RCE.jpg</t>
        </is>
      </c>
      <c r="E150" s="29" t="inlineStr">
        <is>
          <t>File:Grafkapel familie Smits van Oyen; aan de voorzijde is een houten paneeldeur in een hardstenen omlijsting geplaatst - Eindhoven - 20410846 - RCE.jpg</t>
        </is>
      </c>
      <c r="F150" s="29" t="inlineStr">
        <is>
          <t>Sergé Technau</t>
        </is>
      </c>
      <c r="G150" s="29" t="inlineStr">
        <is>
          <t>CC BY-SA 4.0</t>
        </is>
      </c>
      <c r="H150" s="29" t="inlineStr">
        <is>
          <t>https://creativecommons.org/licenses/by-sa/4.0/</t>
        </is>
      </c>
      <c r="I150" s="29" t="inlineStr">
        <is>
          <t>Creative Commons Attribution-Share Alike 4.0</t>
        </is>
      </c>
      <c r="J150" s="29" t="inlineStr">
        <is>
          <t>Sergé Technau · CC BY-SA 4.0 · Wikimedia Commons</t>
        </is>
      </c>
      <c r="K150" s="29" t="n"/>
      <c r="L150" s="49" t="n">
        <v>46317</v>
      </c>
      <c r="M150" s="29" t="inlineStr">
        <is>
          <t>Bekliyor</t>
        </is>
      </c>
      <c r="N150" s="29" t="inlineStr">
        <is>
          <t>Bekliyor</t>
        </is>
      </c>
      <c r="O150" s="29" t="inlineStr">
        <is>
          <t>Fotoğraflar/eindhoven_catharinakerkhof_03.jpg</t>
        </is>
      </c>
      <c r="P150" s="29" t="inlineStr">
        <is>
          <t>Haçlı kırmızı tuğla mezar şapeli, önde taş mezarlar, demir parmaklıklar, çıplak ağaçlar</t>
        </is>
      </c>
      <c r="Q150" s="29" t="inlineStr">
        <is>
          <t>Bekliyor</t>
        </is>
      </c>
      <c r="R150" s="29" t="inlineStr">
        <is>
          <t>Wikimedia Commons dosya sayfasındaki lisans: CC BY-SA 4.0</t>
        </is>
      </c>
      <c r="S150" s="29" t="n"/>
      <c r="T150" s="29" t="n"/>
      <c r="U150" s="29" t="n"/>
      <c r="V150" s="29" t="n"/>
      <c r="W150" s="29" t="inlineStr">
        <is>
          <t>{"source_url": "https://commons.wikimedia.org/wiki/File:Grafkapel_familie_Smits_van_Oyen;_aan_de_voorzijde_is_een_houten_paneeldeur_in_een_hardstenen_omlijsting_geplaatst_-_Eindhoven_-_20410846_-_RCE.jpg", "author": "Sergé Technau", "license": "CC BY-SA 4.0", "license_url": "https://creativecommons.org/licenses/by-sa/4.0/", "original_api_record": {"size": 2299663, "width": 2362, "height": 3543, "thumburl": "https://thumb.wikimedia.org/wikipedia/commons/thumb/1/12/Grafkapel_familie_Smits_van_Oyen%3B_aan_de_voorzijde_is_een_houten_paneeldeur_in_een_hardstenen_omlijsting_geplaatst_-_Eindhoven_-_20410846_-_RCE.jpg/1920px-Grafkapel_familie_Smits_van_Oyen%3B_aan_de_voorzijde_is_een_houten_paneeldeur_in_een_hardstenen_omlijsting_geplaatst_-_Eindhoven_-_20410846_-_RCE.jpg?utm_source=commons.wikimedia.org&amp;utm_campaign=imageinfo&amp;utm_content=thumbnail", "thumbwidth": 1600, "thumbheight": 2400, "responsiveUrls": {"2": "https://upload.wikimedia.org/wikipedia/commons/1/12/Grafkapel_familie_Smits_van_Oyen%3B_aan_de_voorzijde_is_een_houten_paneeldeur_in_een_hardstenen_omlijsting_geplaatst_-_Eindhoven_-_20410846_-_RCE.jpg?utm_source=commons.wikimedia.org&amp;utm_campaign=imageinfo&amp;utm_content=thumbnail_unscaled"}, "thumbattribs": {"src": "https://thumb.wikimedia.org/wikipedia/commons/thumb/1/12/Grafkapel_familie_Smits_van_Oyen%3B_aan_de_voorzijde_is_een_houten_paneeldeur_in_een_hardstenen_omlijsting_geplaatst_-_Eindhoven_-_20410846_-_RCE.jpg/1920px-Grafkapel_familie_Smits_van_Oyen%3B_aan_de_voorzijde_is_een_houten_paneeldeur_in_een_hardstenen_omlijsting_geplaatst_-_Eindhoven_-_20410846_-_RCE.jpg?utm_source=commons.wikimedia.org&amp;utm_campaign=imageinfo&amp;utm_content=thumbnail", "decoding": "async", "loading": "lazy", "width": 1600, "height": 2400, "srcset": "https://upload.wikimedia.org/wikipedia/commons/1/12/Grafkapel_familie_Smits_van_Oyen%3B_aan_de_voorzijde_is_een_houten_paneeldeur_in_een_hardstenen_omlijsting_geplaatst_-_Eindhoven_-_20410846_-_RCE.jpg?utm_source=commons.wikimedia.org&amp;utm_campaign=imageinfo&amp;utm_content=thumbnail_unscaled 2x"}, "url": "https://upload.wikimedia.org/wikipedia/commons/1/12/Grafkapel_familie_Smits_van_Oyen%3B_aan_de_voorzijde_is_een_houten_paneeldeur_in_een_hardstenen_omlijsting_geplaatst_-_Eindhoven_-_20410846_-_RCE.jpg?utm_source=commons.wikimedia.org&amp;utm_campaign=imageinfo&amp;utm_content=original", "descriptionurl": "https://commons.wikimedia.org/wiki/File:Grafkapel_familie_Smits_van_Oyen;_aan_de_voorzijde_is_een_houten_paneeldeur_in_een_hardstenen_omlijsting_geplaatst_-_Eindhoven_-_20410846_-_RCE.jpg", "descriptionshorturl": "https://commons.wikimedia.org/w/index.php?curid=24114908", "sha1": "a2c2b86cbfb097ce2b9e10512ee08482d885074e", "extmetadata": {"DateTime": {"value": "2024-12-02 09:07:36", "source": "mediawiki-metadata", "hidden": ""}, "ObjectName": {"value": "Grafkapel familie Smits van Oyen; aan de voorzijde is een houten paneeldeur in een hardstenen omlijsting geplaatst - Eindhoven - 20410846 - RCE", "source": "mediawiki-metadata"}, "CommonsMetadataExtension": {"value": 1.2, "source": "extension", "hidden": ""}, "Categories": {"value": "Images from the Rijksdienst voor het Cultureel Erfgoed|Begraafplaats Catharinakerk (Eindhoven)|Rijksmonumenten with known IDs|Buildings with addresses|2008 in Eindhoven|Rijksmonumentcomplexen with known IDs|Netherlands photographs taken on 2008-01-04|Photographs by Sergé Technau", "source": "commons-categories", "hidden": ""}, "Assessments": {"value": "", "source": "commons-categories", "hidden": ""}, "ImageDescription": {"value": "This is an image of &lt;a href=\"https://en.wikipedia.org/wiki/Rijksmonument\" class=\"extiw\" title=\"en:Rijksmonument\"&gt;rijksmonumentcomplex&lt;/a&gt; number", "source": "commons-desc-page"}, "DateTimeOriginal": {"value": "2008-01-04", "source": "commons-desc-page"}, "Credit": {"value": "&lt;a rel=\"nofollow\" class=\"external text\" href=\"http://beeldbank.cultureelerfgoed.nl/alle-afbeeldingen/?mode=gallery&amp;amp;view=horizontal&amp;amp;q=20410846\"&gt;Rijksdienst voor het Cultureel Erfgoed&lt;/a&gt;", "source": "commons-desc-page"}, "Artist": {"value": "&lt;bdi&gt;&lt;a href=\"https://www.wikidata.org/wiki/Q100423837\" class=\"extiw\" title=\"d:Q100423837\"&gt;&lt;span title=\"Dutch photographer\"&gt;Sergé Technau&lt;/span&gt;&lt;/a&gt;&lt;/bdi&gt;",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12/Grafkapel_familie_Smits_van_Oyen%3B_aan_de_voorzijde_is_een_houten_paneeldeur_in_een_hardstenen_omlijsting_geplaatst_-_Eindhoven_-_20410846_-_RCE.jpg/1280px-Grafkapel_familie_Smits_van_Oyen%3B_aan_de_voorzijde_is_een_houten_paneeldeur_in_een_hardstenen_omlijsting_geplaatst_-_Eindhoven_-_20410846_-_RCE.jpg"}, "retrieved_on": "2026-10-23"}</t>
        </is>
      </c>
    </row>
    <row r="151" ht="54" customHeight="1">
      <c r="A151" s="29" t="inlineStr">
        <is>
          <t>eindhoven:evidence:huize-de-laak-03</t>
        </is>
      </c>
      <c r="B151" s="29" t="inlineStr">
        <is>
          <t>eindhoven</t>
        </is>
      </c>
      <c r="C151" s="29" t="inlineStr">
        <is>
          <t>eindhoven:photo:huize-de-laak-03</t>
        </is>
      </c>
      <c r="D151" s="29" t="inlineStr">
        <is>
          <t>https://commons.wikimedia.org/wiki/File:Fabrikantenvilla_Huize_De_Laak_(2026)_(1).jpg</t>
        </is>
      </c>
      <c r="E151" s="29" t="inlineStr">
        <is>
          <t>File:Fabrikantenvilla Huize De Laak (2026) (1).jpg</t>
        </is>
      </c>
      <c r="F151" s="29" t="inlineStr">
        <is>
          <t>Perquirius</t>
        </is>
      </c>
      <c r="G151" s="29" t="inlineStr">
        <is>
          <t>CC BY-SA 4.0</t>
        </is>
      </c>
      <c r="H151" s="29" t="inlineStr">
        <is>
          <t>https://creativecommons.org/licenses/by-sa/4.0/</t>
        </is>
      </c>
      <c r="I151" s="29" t="inlineStr">
        <is>
          <t>Creative Commons Attribution-Share Alike 4.0</t>
        </is>
      </c>
      <c r="J151" s="29" t="inlineStr">
        <is>
          <t>Perquirius · CC BY-SA 4.0 · Wikimedia Commons</t>
        </is>
      </c>
      <c r="K151" s="29" t="n"/>
      <c r="L151" s="49" t="n">
        <v>46317</v>
      </c>
      <c r="M151" s="29" t="inlineStr">
        <is>
          <t>Bekliyor</t>
        </is>
      </c>
      <c r="N151" s="29" t="inlineStr">
        <is>
          <t>Bekliyor</t>
        </is>
      </c>
      <c r="O151" s="29" t="inlineStr">
        <is>
          <t>Fotoğraflar/eindhoven_huize-de-laak_03.jpg</t>
        </is>
      </c>
      <c r="P151" s="29" t="inlineStr">
        <is>
          <t>Önde su, geniş çimenlik, iki bacalı simetrik tuğla villa, bayrak direği, çalılar</t>
        </is>
      </c>
      <c r="Q151" s="29" t="inlineStr">
        <is>
          <t>Bekliyor</t>
        </is>
      </c>
      <c r="R151" s="29" t="inlineStr">
        <is>
          <t>Wikimedia Commons dosya sayfasındaki lisans: CC BY-SA 4.0</t>
        </is>
      </c>
      <c r="S151" s="29" t="n"/>
      <c r="T151" s="29" t="n"/>
      <c r="U151" s="29" t="n"/>
      <c r="V151" s="29" t="n"/>
      <c r="W151" s="29" t="inlineStr">
        <is>
          <t>{"source_url": "https://commons.wikimedia.org/wiki/File:Fabrikantenvilla_Huize_De_Laak_(2026)_(1).jpg", "author": "Perquirius", "license": "CC BY-SA 4.0", "license_url": "https://creativecommons.org/licenses/by-sa/4.0/", "original_api_record": {"size": 6189277, "width": 6000, "height": 4000, "thumburl": "https://thumb.wikimedia.org/wikipedia/commons/thumb/a/a8/Fabrikantenvilla_Huize_De_Laak_%282026%29_%281%29.jpg/1920px-Fabrikantenvilla_Huize_De_Laak_%282026%29_%281%29.jpg?utm_source=commons.wikimedia.org&amp;utm_campaign=imageinfo&amp;utm_content=thumbnail", "thumbwidth": 1600, "thumbheight": 1067, "responsiveUrls": {"2": "https://thumb.wikimedia.org/wikipedia/commons/thumb/a/a8/Fabrikantenvilla_Huize_De_Laak_%282026%29_%281%29.jpg/3840px-Fabrikantenvilla_Huize_De_Laak_%282026%29_%281%29.jpg?utm_source=commons.wikimedia.org&amp;utm_campaign=imageinfo&amp;utm_content=thumbnail"}, "thumbattribs": {"src": "https://thumb.wikimedia.org/wikipedia/commons/thumb/a/a8/Fabrikantenvilla_Huize_De_Laak_%282026%29_%281%29.jpg/1920px-Fabrikantenvilla_Huize_De_Laak_%282026%29_%281%29.jpg?utm_source=commons.wikimedia.org&amp;utm_campaign=imageinfo&amp;utm_content=thumbnail", "decoding": "async", "loading": "lazy", "width": 1600, "height": 1067, "srcset": "https://thumb.wikimedia.org/wikipedia/commons/thumb/a/a8/Fabrikantenvilla_Huize_De_Laak_%282026%29_%281%29.jpg/3840px-Fabrikantenvilla_Huize_De_Laak_%282026%29_%281%29.jpg?utm_source=commons.wikimedia.org&amp;utm_campaign=imageinfo&amp;utm_content=thumbnail 2x"}, "url": "https://upload.wikimedia.org/wikipedia/commons/a/a8/Fabrikantenvilla_Huize_De_Laak_%282026%29_%281%29.jpg?utm_source=commons.wikimedia.org&amp;utm_campaign=imageinfo&amp;utm_content=original", "descriptionurl": "https://commons.wikimedia.org/wiki/File:Fabrikantenvilla_Huize_De_Laak_(2026)_(1).jpg", "descriptionshorturl": "https://commons.wikimedia.org/w/index.php?curid=182967592", "sha1": "a9170255efe56e7f0a1c505ec6f50d393baa307d", "extmetadata": {"DateTime": {"value": "2026-02-02 20:02:30", "source": "mediawiki-metadata", "hidden": ""}, "ObjectName": {"value": "Fabrikantenvilla Huize De Laak (2026) (1)", "source": "mediawiki-metadata"}, "CommonsMetadataExtension": {"value": 1.2, "source": "extension", "hidden": ""}, "Categories": {"value": "Self-published work|2026 in Eindhoven|Photographs by S. Perquin|2026 photographs by S. Perquin|Photographs by S. Perquin in Eindhoven|Huize De Laak, manufacturer's villa|North Brabant photographs taken on 2026-02-02", "source": "commons-categories", "hidden": ""}, "Assessments": {"value": "", "source": "commons-categories", "hidden": ""}, "ImageDescription": {"value": "De fabrikantenvilla van Huize De Laak te Eindhoven.", "source": "commons-desc-page"}, "DateTimeOriginal": {"value": "2026-02-02 13:21:53", "source": "commons-desc-page"}, "Credit": {"value": "&lt;span class=\"int-own-work\" lang=\"en\"&gt;Own work&lt;/span&gt;", "source": "commons-desc-page"}, "Artist": {"value": "&lt;a href=\"//commons.wikimedia.org/wiki/User:Perquirius\" title=\"User:Perquirius\"&gt;Perquirius&lt;/a&gt;",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"https://thumb.wikimedia.org/wikipedia/commons/thumb/a/a8/Fabrikantenvilla_Huize_De_Laak_%282026%29_%281%29.jpg/1280px-Fabrikantenvilla_Huize_De_Laak_%282026%29_%281%29.jpg"}, "retrieved_on": "2026-10-23"}</t>
        </is>
      </c>
    </row>
    <row r="152" ht="54" customHeight="1">
      <c r="A152" s="29" t="inlineStr">
        <is>
          <t>eindhoven:evidence:philipsdorp-03</t>
        </is>
      </c>
      <c r="B152" s="29" t="inlineStr">
        <is>
          <t>eindhoven</t>
        </is>
      </c>
      <c r="C152" s="29" t="inlineStr">
        <is>
          <t>eindhoven:photo:philipsdorp-03</t>
        </is>
      </c>
      <c r="D152" s="29" t="inlineStr">
        <is>
          <t>https://commons.wikimedia.org/wiki/File:Annastraat_Eindhoven-_Philipsdorp_1509-119.jpg</t>
        </is>
      </c>
      <c r="E152" s="29" t="inlineStr">
        <is>
          <t>File:Annastraat Eindhoven- Philipsdorp 1509-119.jpg</t>
        </is>
      </c>
      <c r="F152" s="29" t="inlineStr">
        <is>
          <t>Jan Geerling</t>
        </is>
      </c>
      <c r="G152" s="29" t="inlineStr">
        <is>
          <t>CC BY-SA 4.0</t>
        </is>
      </c>
      <c r="H152" s="29" t="inlineStr">
        <is>
          <t>https://creativecommons.org/licenses/by-sa/4.0/</t>
        </is>
      </c>
      <c r="I152" s="29" t="inlineStr">
        <is>
          <t>Creative Commons Attribution-Share Alike 4.0</t>
        </is>
      </c>
      <c r="J152" s="29" t="inlineStr">
        <is>
          <t>Jan Geerling · CC BY-SA 4.0 · Wikimedia Commons</t>
        </is>
      </c>
      <c r="K152" s="29" t="n"/>
      <c r="L152" s="49" t="n">
        <v>46317</v>
      </c>
      <c r="M152" s="29" t="inlineStr">
        <is>
          <t>Bekliyor</t>
        </is>
      </c>
      <c r="N152" s="29" t="inlineStr">
        <is>
          <t>Bekliyor</t>
        </is>
      </c>
      <c r="O152" s="29" t="inlineStr">
        <is>
          <t>Fotoğraflar/eindhoven_philipsdorp_03.jpg</t>
        </is>
      </c>
      <c r="P152" s="29" t="inlineStr">
        <is>
          <t>Beyaz sıvalı, kırmızı kapılı, tuğla kemer pencereli sıra evler; önde park etmiş iki araba, sağda iskeleli evler ve yeşil konteyner, arkada cam cepheli yüksek bina</t>
        </is>
      </c>
      <c r="Q152" s="29" t="inlineStr">
        <is>
          <t>Bekliyor</t>
        </is>
      </c>
      <c r="R152" s="29" t="inlineStr">
        <is>
          <t>Wikimedia Commons dosya sayfasındaki lisans: CC BY-SA 4.0</t>
        </is>
      </c>
      <c r="S152" s="29" t="n"/>
      <c r="T152" s="29" t="n"/>
      <c r="U152" s="29" t="n"/>
      <c r="V152" s="29" t="n"/>
      <c r="W152" s="29" t="inlineStr">
        <is>
          <t>{"source_url": "https://commons.wikimedia.org/wiki/File:Annastraat_Eindhoven-_Philipsdorp_1509-119.jpg", "author": "Jan Geerling", "license": "CC BY-SA 4.0", "license_url": "https://creativecommons.org/licenses/by-sa/4.0/", "original_api_record": {"size": 1699363, "width": 5070, "height": 3188, "thumburl": "https://thumb.wikimedia.org/wikipedia/commons/thumb/c/c3/Annastraat_Eindhoven-_Philipsdorp_1509-119.jpg/1920px-Annastraat_Eindhoven-_Philipsdorp_1509-119.jpg?utm_source=commons.wikimedia.org&amp;utm_campaign=imageinfo&amp;utm_content=thumbnail", "thumbwidth": 1600, "thumbheight": 1006, "responsiveUrls": {"2": "https://thumb.wikimedia.org/wikipedia/commons/thumb/c/c3/Annastraat_Eindhoven-_Philipsdorp_1509-119.jpg/3840px-Annastraat_Eindhoven-_Philipsdorp_1509-119.jpg?utm_source=commons.wikimedia.org&amp;utm_campaign=imageinfo&amp;utm_content=thumbnail"}, "thumbattribs": {"src": "https://thumb.wikimedia.org/wikipedia/commons/thumb/c/c3/Annastraat_Eindhoven-_Philipsdorp_1509-119.jpg/1920px-Annastraat_Eindhoven-_Philipsdorp_1509-119.jpg?utm_source=commons.wikimedia.org&amp;utm_campaign=imageinfo&amp;utm_content=thumbnail", "decoding": "async", "loading": "lazy", "width": 1600, "height": 1006, "srcset": "https://thumb.wikimedia.org/wikipedia/commons/thumb/c/c3/Annastraat_Eindhoven-_Philipsdorp_1509-119.jpg/3840px-Annastraat_Eindhoven-_Philipsdorp_1509-119.jpg?utm_source=commons.wikimedia.org&amp;utm_campaign=imageinfo&amp;utm_content=thumbnail 2x"}, "url": "https://upload.wikimedia.org/wikipedia/commons/c/c3/Annastraat_Eindhoven-_Philipsdorp_1509-119.jpg?utm_source=commons.wikimedia.org&amp;utm_campaign=imageinfo&amp;utm_content=original", "descriptionurl": "https://commons.wikimedia.org/wiki/File:Annastraat_Eindhoven-_Philipsdorp_1509-119.jpg", "descriptionshorturl": "https://commons.wikimedia.org/w/index.php?curid=102299779", "sha1": "0093acba37f69f22aa0f8a5faf957b0755061cbc", "extmetadata": {"DateTime": {"value": "2021-03-25 14:10:15", "source": "mediawiki-metadata", "hidden": ""}, "ObjectName": {"value": "Annastraat Eindhoven- Philipsdorp 1509-119", "source": "mediawiki-metadata"}, "CommonsMetadataExtension": {"value": 1.2, "source": "extension", "hidden": ""}, "Categories": {"value": "Uploaded with pattypan|Philipsdorp, Eindhoven|Annastraat (Eindhoven)|Files with coordinates missing SDC location of creation (51° N, 5° E)|Photographs by Jan Geerling contributed in 2021|Photographs by Jan Geerling in Eindhoven", "source": "commons-categories", "hidden": ""}, "Assessments": {"value": "", "source": "commons-categories", "hidden": ""}, "GPSLatitude": {"value": "51.442120", "source": "commons-desc-page"}, "GPSLongitude": {"value": "5.462576", "source": "commons-desc-page"}, "GPSMapDatum": {"value": "WGS-84", "source": "commons-desc-page", "hidden": ""}, "Artist": {"value": "&lt;bdi&gt;&lt;a href=\"https://www.wikidata.org/wiki/Q88378993\" class=\"extiw\" title=\"d:Q88378993\"&gt;&lt;span title=\"Dutch photographer\"&gt;Jan Geerling&lt;/span&gt;&lt;/a&gt;&lt;/bdi&gt;", "source": "commons-desc-page"}, "ImageDescription": {"value": "woningen, gedeeltelijk in renovatie", "source": "commons-desc-page"}, "DateTimeOriginal": {"value": "29 September 2015, 13:34",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"https://thumb.wikimedia.org/wikipedia/commons/thumb/c/c3/Annastraat_Eindhoven-_Philipsdorp_1509-119.jpg/1280px-Annastraat_Eindhoven-_Philipsdorp_1509-119.jpg"}, "retrieved_on": "2026-10-23"}</t>
        </is>
      </c>
    </row>
    <row r="153" ht="54" customHeight="1">
      <c r="A153" s="29" t="inlineStr">
        <is>
          <t>eindhoven:evidence:stadhuis-van-eindhoven-02</t>
        </is>
      </c>
      <c r="B153" s="29" t="inlineStr">
        <is>
          <t>eindhoven</t>
        </is>
      </c>
      <c r="C153" s="29" t="inlineStr">
        <is>
          <t>eindhoven:photo:stadhuis-van-eindhoven-02</t>
        </is>
      </c>
      <c r="D153" s="29" t="inlineStr">
        <is>
          <t>https://commons.wikimedia.org/wiki/File:Overzicht_stadhuis_met_Stadhuisplein,_gezien_vanaf_de_Wal_-_Eindhoven_-_20413333_-_RCE.jpg</t>
        </is>
      </c>
      <c r="E153" s="29" t="inlineStr">
        <is>
          <t>File:Overzicht stadhuis met Stadhuisplein, gezien vanaf de Wal - Eindhoven - 20413333 - RCE.jpg</t>
        </is>
      </c>
      <c r="F153" s="29" t="inlineStr">
        <is>
          <t>Kris Roderburg</t>
        </is>
      </c>
      <c r="G153" s="29" t="inlineStr">
        <is>
          <t>CC BY-SA 4.0</t>
        </is>
      </c>
      <c r="H153" s="29" t="inlineStr">
        <is>
          <t>https://creativecommons.org/licenses/by-sa/4.0/</t>
        </is>
      </c>
      <c r="I153" s="29" t="inlineStr">
        <is>
          <t>Creative Commons Attribution-Share Alike 4.0</t>
        </is>
      </c>
      <c r="J153" s="29" t="inlineStr">
        <is>
          <t>Kris Roderburg · CC BY-SA 4.0 · Wikimedia Commons</t>
        </is>
      </c>
      <c r="K153" s="29" t="n"/>
      <c r="L153" s="49" t="n">
        <v>46317</v>
      </c>
      <c r="M153" s="29" t="inlineStr">
        <is>
          <t>Bekliyor</t>
        </is>
      </c>
      <c r="N153" s="29" t="inlineStr">
        <is>
          <t>Bekliyor</t>
        </is>
      </c>
      <c r="O153" s="29" t="inlineStr">
        <is>
          <t>Fotoğraflar/eindhoven_stadhuis-van-eindhoven_02.jpg</t>
        </is>
      </c>
      <c r="P153" s="29" t="inlineStr">
        <is>
          <t>Yukarıdan belediye binası kompleksi: yüksek beton blok, alçak geniş kanat, sağda dikdörtgen kule; solda çizgi desenli meydan, bayrak direkleri ve ağaçlar</t>
        </is>
      </c>
      <c r="Q153" s="29" t="inlineStr">
        <is>
          <t>Bekliyor</t>
        </is>
      </c>
      <c r="R153" s="29" t="inlineStr">
        <is>
          <t>Wikimedia Commons dosya sayfasındaki lisans: CC BY-SA 4.0</t>
        </is>
      </c>
      <c r="S153" s="29" t="n"/>
      <c r="T153" s="29" t="n"/>
      <c r="U153" s="29" t="n"/>
      <c r="V153" s="29" t="n"/>
      <c r="W153" s="29" t="inlineStr">
        <is>
          <t>{"source_url": "https://commons.wikimedia.org/wiki/File:Overzicht_stadhuis_met_Stadhuisplein,_gezien_vanaf_de_Wal_-_Eindhoven_-_20413333_-_RCE.jpg", "author": "Kris Roderburg", "license": "CC BY-SA 4.0", "license_url": "https://creativecommons.org/licenses/by-sa/4.0/", "original_api_record": {"size": 1371836, "width": 2943, "height": 2422, "thumburl": "https://thumb.wikimedia.org/wikipedia/commons/thumb/8/88/Overzicht_stadhuis_met_Stadhuisplein%2C_gezien_vanaf_de_Wal_-_Eindhoven_-_20413333_-_RCE.jpg/1920px-Overzicht_stadhuis_met_Stadhuisplein%2C_gezien_vanaf_de_Wal_-_Eindhoven_-_20413333_-_RCE.jpg?utm_source=commons.wikimedia.org&amp;utm_campaign=imageinfo&amp;utm_content=thumbnail", "thumbwidth": 1600, "thumbheight": 1317, "responsiveUrls": {"2": "https://upload.wikimedia.org/wikipedia/commons/8/88/Overzicht_stadhuis_met_Stadhuisplein%2C_gezien_vanaf_de_Wal_-_Eindhoven_-_20413333_-_RCE.jpg?utm_source=commons.wikimedia.org&amp;utm_campaign=imageinfo&amp;utm_content=thumbnail_unscaled"}, "thumbattribs": {"src": "https://thumb.wikimedia.org/wikipedia/commons/thumb/8/88/Overzicht_stadhuis_met_Stadhuisplein%2C_gezien_vanaf_de_Wal_-_Eindhoven_-_20413333_-_RCE.jpg/1920px-Overzicht_stadhuis_met_Stadhuisplein%2C_gezien_vanaf_de_Wal_-_Eindhoven_-_20413333_-_RCE.jpg?utm_source=commons.wikimedia.org&amp;utm_campaign=imageinfo&amp;utm_content=thumbnail", "decoding": "async", "loading": "lazy", "width": 1600, "height": 1317, "srcset": "https://upload.wikimedia.org/wikipedia/commons/8/88/Overzicht_stadhuis_met_Stadhuisplein%2C_gezien_vanaf_de_Wal_-_Eindhoven_-_20413333_-_RCE.jpg?utm_source=commons.wikimedia.org&amp;utm_campaign=imageinfo&amp;utm_content=thumbnail_unscaled 2x"}, "url": "https://upload.wikimedia.org/wikipedia/commons/8/88/Overzicht_stadhuis_met_Stadhuisplein%2C_gezien_vanaf_de_Wal_-_Eindhoven_-_20413333_-_RCE.jpg?utm_source=commons.wikimedia.org&amp;utm_campaign=imageinfo&amp;utm_content=original", "descriptionurl": "https://commons.wikimedia.org/wiki/File:Overzicht_stadhuis_met_Stadhuisplein,_gezien_vanaf_de_Wal_-_Eindhoven_-_20413333_-_RCE.jpg", "descriptionshorturl": "https://commons.wikimedia.org/w/index.php?curid=24120103", "sha1": "a7cd4a74c70e384bc8d828b9ec7d08dc86bad3a3", "extmetadata": {"DateTime": {"value": "2024-11-07 16:28:44", "source": "mediawiki-metadata", "hidden": ""}, "ObjectName": {"value": "Overzicht stadhuis met Stadhuisplein, gezien vanaf de Wal - Eindhoven - 20413333 - RCE", "source": "mediawiki-metadata"}, "CommonsMetadataExtension": {"value": 1.2, "source": "extension", "hidden": ""}, "Categories": {"value": "Images from the Rijksdienst voor het Cultureel Erfgoed|Buildings with addresses|2007 in Eindhoven|Photographs by Kris Roderburg|Eindhoven City Hall|Stadhuisplein (Eindhoven)", "source": "commons-categories", "hidden": ""}, "Assessments": {"value": "", "source": "commons-categories", "hidden": ""}, "ImageDescription": {"value": "Stadhuis: Overzicht stadhuis met Stadhuisplein, gezien vanaf de Wal", "source": "commons-desc-page"}, "DateTimeOriginal": {"value": "2007-05", "source": "commons-desc-page"}, "Credit": {"value": "&lt;a rel=\"nofollow\" class=\"external text\" href=\"http://beeldbank.cultureelerfgoed.nl/alle-afbeeldingen/?mode=gallery&amp;amp;view=horizontal&amp;amp;q=20413333\"&gt;Rijksdienst voor het Cultureel Erfgoed&lt;/a&gt;", "source": "commons-desc-page"}, "Artist": {"value": "&lt;bdi&gt;&lt;a href=\"https://www.wikidata.org/wiki/Q59248002\" class=\"extiw\" title=\"d:Q59248002\"&gt;&lt;span title=\"Dutch photographer\"&gt;Kris Roderburg&lt;/span&gt;&lt;/a&gt;&lt;/bdi&gt;",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"https://thumb.wikimedia.org/wikipedia/commons/thumb/8/88/Overzicht_stadhuis_met_Stadhuisplein%2C_gezien_vanaf_de_Wal_-_Eindhoven_-_20413333_-_RCE.jpg/1280px-Overzicht_stadhuis_met_Stadhuisplein%2C_gezien_vanaf_de_Wal_-_Eindhoven_-_20413333_-_RCE.jpg"}, "retrieved_on": "2026-10-23"}</t>
        </is>
      </c>
    </row>
    <row r="154" ht="54" customHeight="1">
      <c r="A154" s="29" t="inlineStr">
        <is>
          <t>eindhoven:evidence:stadhuis-van-eindhoven-03</t>
        </is>
      </c>
      <c r="B154" s="29" t="inlineStr">
        <is>
          <t>eindhoven</t>
        </is>
      </c>
      <c r="C154" s="29" t="inlineStr">
        <is>
          <t>eindhoven:photo:stadhuis-van-eindhoven-03</t>
        </is>
      </c>
      <c r="D154" s="29" t="inlineStr">
        <is>
          <t>https://commons.wikimedia.org/wiki/File:Stadhuis_Eindhoven_(2025).jpg</t>
        </is>
      </c>
      <c r="E154" s="29" t="inlineStr">
        <is>
          <t>File:Stadhuis Eindhoven (2025).jpg</t>
        </is>
      </c>
      <c r="F154" s="29" t="inlineStr">
        <is>
          <t>S. Perquin</t>
        </is>
      </c>
      <c r="G154" s="29" t="inlineStr">
        <is>
          <t>CC BY-SA 4.0</t>
        </is>
      </c>
      <c r="H154" s="29" t="inlineStr">
        <is>
          <t>https://creativecommons.org/licenses/by-sa/4.0/</t>
        </is>
      </c>
      <c r="I154" s="29" t="inlineStr">
        <is>
          <t>Creative Commons Attribution-Share Alike 4.0</t>
        </is>
      </c>
      <c r="J154" s="29" t="inlineStr">
        <is>
          <t>S. Perquin · CC BY-SA 4.0 · Wikimedia Commons</t>
        </is>
      </c>
      <c r="K154" s="29" t="n"/>
      <c r="L154" s="49" t="n">
        <v>46317</v>
      </c>
      <c r="M154" s="29" t="inlineStr">
        <is>
          <t>Bekliyor</t>
        </is>
      </c>
      <c r="N154" s="29" t="inlineStr">
        <is>
          <t>Bekliyor</t>
        </is>
      </c>
      <c r="O154" s="29" t="inlineStr">
        <is>
          <t>Fotoğraflar/eindhoven_stadhuis-van-eindhoven_03.jpg</t>
        </is>
      </c>
      <c r="P154" s="29" t="inlineStr">
        <is>
          <t>Meydandan belediye binası: solda yatay pencere şeritli yüksek blok, 'Stadhuis' yazılı alçak geniş kanat ve cephesinde siyah metal heykel; önde kahverengi şeritli geniş meydan, bisikletler</t>
        </is>
      </c>
      <c r="Q154" s="29" t="inlineStr">
        <is>
          <t>Bekliyor</t>
        </is>
      </c>
      <c r="R154" s="29" t="inlineStr">
        <is>
          <t>Wikimedia Commons dosya sayfasındaki lisans: CC BY-SA 4.0</t>
        </is>
      </c>
      <c r="S154" s="29" t="n"/>
      <c r="T154" s="29" t="n"/>
      <c r="U154" s="29" t="n"/>
      <c r="V154" s="29" t="n"/>
      <c r="W154" s="29" t="inlineStr">
        <is>
          <t>{"source_url": "https://commons.wikimedia.org/wiki/File:Stadhuis_Eindhoven_(2025).jpg", "author": "S. Perquin", "license": "CC BY-SA 4.0", "license_url": "https://creativecommons.org/licenses/by-sa/4.0/", "original_api_record": {"size": 12180355, "width": 6000, "height": 4000, "thumburl": "https://thumb.wikimedia.org/wikipedia/commons/thumb/2/28/Stadhuis_Eindhoven_%282025%29.jpg/1920px-Stadhuis_Eindhoven_%282025%29.jpg?utm_source=commons.wikimedia.org&amp;utm_campaign=imageinfo&amp;utm_content=thumbnail", "thumbwidth": 1600, "thumbheight": 1067, "responsiveUrls": {"2": "https://thumb.wikimedia.org/wikipedia/commons/thumb/2/28/Stadhuis_Eindhoven_%282025%29.jpg/3840px-Stadhuis_Eindhoven_%282025%29.jpg?utm_source=commons.wikimedia.org&amp;utm_campaign=imageinfo&amp;utm_content=thumbnail"}, "thumbattribs": {"src": "https://thumb.wikimedia.org/wikipedia/commons/thumb/2/28/Stadhuis_Eindhoven_%282025%29.jpg/1920px-Stadhuis_Eindhoven_%282025%29.jpg?utm_source=commons.wikimedia.org&amp;utm_campaign=imageinfo&amp;utm_content=thumbnail", "decoding": "async", "loading": "lazy", "width": 1600, "height": 1067, "srcset": "https://thumb.wikimedia.org/wikipedia/commons/thumb/2/28/Stadhuis_Eindhoven_%282025%29.jpg/3840px-Stadhuis_Eindhoven_%282025%29.jpg?utm_source=commons.wikimedia.org&amp;utm_campaign=imageinfo&amp;utm_content=thumbnail 2x"}, "url": "https://upload.wikimedia.org/wikipedia/commons/2/28/Stadhuis_Eindhoven_%282025%29.jpg?utm_source=commons.wikimedia.org&amp;utm_campaign=imageinfo&amp;utm_content=original", "descriptionurl": "https://commons.wikimedia.org/wiki/File:Stadhuis_Eindhoven_(2025).jpg", "descriptionshorturl": "https://commons.wikimedia.org/w/index.php?curid=175295283", "sha1": "1d86d7467ea8ac6669d6ac53e3d7f89e6faebad8", "extmetadata": {"DateTime": {"value": "2025-09-20 10:00:35", "source": "mediawiki-metadata", "hidden": ""}, "ObjectName": {"value": "Stadhuis Eindhoven (2025)", "source": "mediawiki-metadata"}, "CommonsMetadataExtension": {"value": 1.2, "source": "extension", "hidden": ""}, "Categories": {"value": "Self-published work|Photographs by S. Perquin|2025 photographs by S. Perquin|Photographs by S. Perquin in Eindhoven|Eindhoven City Hall", "source": "commons-categories", "hidden": ""}, "Assessments": {"value": "", "source": "commons-categories", "hidden": ""}, "ImageDescription": {"value": "Het stadhuis in Eindhoven aan het Stadhuisplein.", "source": "commons-desc-page"}, "DateTimeOriginal": {"value": "2025-09-19 16:05:00",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"https://thumb.wikimedia.org/wikipedia/commons/thumb/2/28/Stadhuis_Eindhoven_%282025%29.jpg/1280px-Stadhuis_Eindhoven_%282025%29.jpg"}, "retrieved_on": "2026-10-23"}</t>
        </is>
      </c>
    </row>
    <row r="155" ht="54" customHeight="1">
      <c r="A155" s="29" t="inlineStr">
        <is>
          <t>eindhoven:evidence:centrum-bolgesi-03</t>
        </is>
      </c>
      <c r="B155" s="29" t="inlineStr">
        <is>
          <t>eindhoven</t>
        </is>
      </c>
      <c r="C155" s="29" t="inlineStr">
        <is>
          <t>eindhoven:photo:centrum-bolgesi-03</t>
        </is>
      </c>
      <c r="D155" s="29" t="inlineStr">
        <is>
          <t>https://commons.wikimedia.org/wiki/File:Eindhoven_Centrum_014.JPG</t>
        </is>
      </c>
      <c r="E155" s="29" t="inlineStr">
        <is>
          <t>File:Eindhoven Centrum 014.JPG</t>
        </is>
      </c>
      <c r="F155" s="29" t="inlineStr">
        <is>
          <t>G.Lanting</t>
        </is>
      </c>
      <c r="G155" s="29" t="inlineStr">
        <is>
          <t>CC BY-SA 3.0</t>
        </is>
      </c>
      <c r="H155" s="29" t="inlineStr">
        <is>
          <t>https://creativecommons.org/licenses/by-sa/3.0/</t>
        </is>
      </c>
      <c r="I155" s="29" t="inlineStr">
        <is>
          <t>Creative Commons Attribution-Share Alike 3.0</t>
        </is>
      </c>
      <c r="J155" s="29" t="inlineStr">
        <is>
          <t>G.Lanting · CC BY-SA 3.0 · Wikimedia Commons</t>
        </is>
      </c>
      <c r="K155" s="29" t="n"/>
      <c r="L155" s="49" t="n">
        <v>46317</v>
      </c>
      <c r="M155" s="29" t="inlineStr">
        <is>
          <t>Bekliyor</t>
        </is>
      </c>
      <c r="N155" s="29" t="inlineStr">
        <is>
          <t>Bekliyor</t>
        </is>
      </c>
      <c r="O155" s="29" t="inlineStr">
        <is>
          <t>Fotoğraflar/eindhoven_centrum-bolgesi_03.jpg</t>
        </is>
      </c>
      <c r="P155" s="29" t="inlineStr">
        <is>
          <t>Taş döşeli yaya alışveriş caddesi: iki yanda mağazalı tuğla binalar, tellere asılı lamba, 'Demer' sokak tabelası, uzakta yürüyen insanlar ve cam cepheli ofis binası; bulutlu</t>
        </is>
      </c>
      <c r="Q155" s="29" t="inlineStr">
        <is>
          <t>Bekliyor</t>
        </is>
      </c>
      <c r="R155" s="29" t="inlineStr">
        <is>
          <t>Wikimedia Commons dosya sayfasındaki lisans: CC BY-SA 3.0</t>
        </is>
      </c>
      <c r="S155" s="29" t="n"/>
      <c r="T155" s="29" t="n"/>
      <c r="U155" s="29" t="n"/>
      <c r="V155" s="29" t="n"/>
      <c r="W155" s="29" t="inlineStr">
        <is>
          <t>{"source_url": "https://commons.wikimedia.org/wiki/File:Eindhoven_Centrum_014.JPG", "author": "G.Lanting", "license": "CC BY-SA 3.0", "license_url": "https://creativecommons.org/licenses/by-sa/3.0/", "original_api_record": {"size": 4708138, "width": 4000, "height": 3000, "thumburl": "https://thumb.wikimedia.org/wikipedia/commons/thumb/b/b7/Eindhoven_Centrum_014.JPG/1920px-Eindhoven_Centrum_014.JPG?utm_source=commons.wikimedia.org&amp;utm_campaign=imageinfo&amp;utm_content=thumbnail", "thumbwidth": 1600, "thumbheight": 1200, "responsiveUrls": {"2": "https://thumb.wikimedia.org/wikipedia/commons/thumb/b/b7/Eindhoven_Centrum_014.JPG/3840px-Eindhoven_Centrum_014.JPG?utm_source=commons.wikimedia.org&amp;utm_campaign=imageinfo&amp;utm_content=thumbnail"}, "thumbattribs": {"src": "https://thumb.wikimedia.org/wikipedia/commons/thumb/b/b7/Eindhoven_Centrum_014.JPG/1920px-Eindhoven_Centrum_014.JPG?utm_source=commons.wikimedia.org&amp;utm_campaign=imageinfo&amp;utm_content=thumbnail", "decoding": "async", "loading": "lazy", "width": 1600, "height": 1200, "srcset": "https://thumb.wikimedia.org/wikipedia/commons/thumb/b/b7/Eindhoven_Centrum_014.JPG/3840px-Eindhoven_Centrum_014.JPG?utm_source=commons.wikimedia.org&amp;utm_campaign=imageinfo&amp;utm_content=thumbnail 2x"}, "url": "https://upload.wikimedia.org/wikipedia/commons/b/b7/Eindhoven_Centrum_014.JPG?utm_source=commons.wikimedia.org&amp;utm_campaign=imageinfo&amp;utm_content=original", "descriptionurl": "https://commons.wikimedia.org/wiki/File:Eindhoven_Centrum_014.JPG", "descriptionshorturl": "https://commons.wikimedia.org/w/index.php?curid=30580132", "sha1": "e10827576a74b92ec3b714fb3a0b96f8e57b2e1f", "extmetadata": {"DateTime": {"value": "2014-01-11 20:25:50", "source": "mediawiki-metadata", "hidden": ""}, "ObjectName": {"value": "Eindhoven Centrum 014", "source": "mediawiki-metadata"}, "CommonsMetadataExtension": {"value": 1.2, "source": "extension", "hidden": ""}, "Categories": {"value": "Taken with Fujifilm X10|Eindhoven Centrum|Self-published work|2011 in Eindhoven|Netherlands photographs taken on 2011-05-09", "source": "commons-categories", "hidden": ""}, "Assessments": {"value": "", "source": "commons-categories", "hidden": ""}, "ImageDescription": {"value": "Eindhoven Centrum", "source": "commons-desc-page"}, "DateTimeOriginal": {"value": "2011-05-09 15:58:27", "source": "commons-desc-page"}, "Credit": {"value": "&lt;span class=\"int-own-work\" lang=\"en\"&gt;Own work&lt;/span&gt;", "source": "commons-desc-page"}, "Artist": {"value": "&lt;a href=\"//commons.wikimedia.org/wiki/User:G.Lanting\" title=\"User:G.Lanting\"&gt;G.Lanting&lt;/a&gt;",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"https://thumb.wikimedia.org/wikipedia/commons/thumb/b/b7/Eindhoven_Centrum_014.JPG/1280px-Eindhoven_Centrum_014.JPG"}, "retrieved_on": "2026-10-23"}</t>
        </is>
      </c>
    </row>
    <row r="156" ht="54" customHeight="1">
      <c r="A156" s="29" t="inlineStr">
        <is>
          <t>eindhoven:evidence:de-bergen-mahallesi-02</t>
        </is>
      </c>
      <c r="B156" s="29" t="inlineStr">
        <is>
          <t>eindhoven</t>
        </is>
      </c>
      <c r="C156" s="29" t="inlineStr">
        <is>
          <t>eindhoven:photo:de-bergen-mahallesi-02</t>
        </is>
      </c>
      <c r="D156" s="29" t="inlineStr">
        <is>
          <t>https://commons.wikimedia.org/wiki/File:De_Bergen05.jpg</t>
        </is>
      </c>
      <c r="E156" s="29" t="inlineStr">
        <is>
          <t>File:De Bergen05.jpg</t>
        </is>
      </c>
      <c r="F156" s="29" t="inlineStr">
        <is>
          <t>Lempkesfabriek</t>
        </is>
      </c>
      <c r="G156" s="29" t="inlineStr">
        <is>
          <t>CC BY-SA 3.0</t>
        </is>
      </c>
      <c r="H156" s="29" t="inlineStr">
        <is>
          <t>https://creativecommons.org/licenses/by-sa/3.0/</t>
        </is>
      </c>
      <c r="I156" s="29" t="inlineStr">
        <is>
          <t>Creative Commons Attribution-Share Alike 3.0</t>
        </is>
      </c>
      <c r="J156" s="29" t="inlineStr">
        <is>
          <t>Lempkesfabriek · CC BY-SA 3.0 · Wikimedia Commons</t>
        </is>
      </c>
      <c r="K156" s="29" t="n"/>
      <c r="L156" s="49" t="n">
        <v>46317</v>
      </c>
      <c r="M156" s="29" t="inlineStr">
        <is>
          <t>Bekliyor</t>
        </is>
      </c>
      <c r="N156" s="29" t="inlineStr">
        <is>
          <t>Bekliyor</t>
        </is>
      </c>
      <c r="O156" s="29" t="inlineStr">
        <is>
          <t>Fotoğraflar/eindhoven_de-bergen-mahallesi_02.jpg</t>
        </is>
      </c>
      <c r="P156" s="29" t="inlineStr">
        <is>
          <t>Kırmızı kiremit çatılı, beyaz çerçeveli büyük pencereli uzun tuğla bina; çatıda havalandırma kuleleri, önde demir çit, yuvarlak taçlı ağaçlar ve sokak</t>
        </is>
      </c>
      <c r="Q156" s="29" t="inlineStr">
        <is>
          <t>Bekliyor</t>
        </is>
      </c>
      <c r="R156" s="29" t="inlineStr">
        <is>
          <t>Wikimedia Commons dosya sayfasındaki lisans: CC BY-SA 3.0</t>
        </is>
      </c>
      <c r="S156" s="29" t="n"/>
      <c r="T156" s="29" t="n"/>
      <c r="U156" s="29" t="n"/>
      <c r="V156" s="29" t="n"/>
      <c r="W156" s="29" t="inlineStr">
        <is>
          <t>{"source_url": "https://commons.wikimedia.org/wiki/File:De_Bergen05.jpg", "author": "Lempkesfabriek", "license": "CC BY-SA 3.0", "license_url": "https://creativecommons.org/licenses/by-sa/3.0/", "original_api_record": {"size": 135359, "width": 876, "height": 720, "thumburl": "https://upload.wikimedia.org/wikipedia/commons/9/9b/De_Bergen05.jpg?utm_source=commons.wikimedia.org&amp;utm_campaign=imageinfo&amp;utm_content=thumbnail_unscaled", "thumbwidth": 1600, "thumbheight": 1315, "thumbattribs": {"src": "https://upload.wikimedia.org/wikipedia/commons/9/9b/De_Bergen05.jpg?utm_source=commons.wikimedia.org&amp;utm_campaign=imageinfo&amp;utm_content=thumbnail_unscaled", "decoding": "async", "loading": "lazy", "width": 1600, "height": 1315}, "url": "https://upload.wikimedia.org/wikipedia/commons/9/9b/De_Bergen05.jpg?utm_source=commons.wikimedia.org&amp;utm_campaign=imageinfo&amp;utm_content=original", "descriptionurl": "https://commons.wikimedia.org/wiki/File:De_Bergen05.jpg", "descriptionshorturl": "https://commons.wikimedia.org/w/index.php?curid=4385513", "sha1": "9147e7ddb46a964f78e8f08e91c0e56922cb8a1a", "extmetadata": {"DateTime": {"value": "2008-07-15 19:49:10", "source": "mediawiki-metadata", "hidden": ""}, "ObjectName": {"value": "De Bergen05", "source": "mediawiki-metadata"}, "CommonsMetadataExtension": {"value": 1.2, "source": "extension", "hidden": ""}, "Categories": {"value": "Gemeentelijke HBS (Eindhoven)|Self-published work|Rijksmonumenten with known IDs", "source": "commons-categories", "hidden": ""}, "Assessments": {"value": "", "source": "commons-categories", "hidden": ""}, "ImageDescription": {"value": "De (voormalige) Julianaschool in Eindhoven Centrum, in de wijk de Bergen",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"https://upload.wikimedia.org/wikipedia/commons/9/9b/De_Bergen05.jpg"}, "retrieved_on": "2026-10-23"}</t>
        </is>
      </c>
    </row>
    <row r="157" ht="54" customHeight="1">
      <c r="A157" s="29" t="inlineStr">
        <is>
          <t>eindhoven:evidence:de-bergen-mahallesi-03</t>
        </is>
      </c>
      <c r="B157" s="29" t="inlineStr">
        <is>
          <t>eindhoven</t>
        </is>
      </c>
      <c r="C157" s="29" t="inlineStr">
        <is>
          <t>eindhoven:photo:de-bergen-mahallesi-03</t>
        </is>
      </c>
      <c r="D157" s="29" t="inlineStr">
        <is>
          <t>https://commons.wikimedia.org/wiki/File:De_Bergen08_-_Wilhelminaplein_Eindhoven.jpg</t>
        </is>
      </c>
      <c r="E157" s="29" t="inlineStr">
        <is>
          <t>File:De Bergen08 - Wilhelminaplein Eindhoven.jpg</t>
        </is>
      </c>
      <c r="F157" s="29" t="inlineStr">
        <is>
          <t>Lempkesfabriek</t>
        </is>
      </c>
      <c r="G157" s="29" t="inlineStr">
        <is>
          <t>CC BY-SA 3.0</t>
        </is>
      </c>
      <c r="H157" s="29" t="inlineStr">
        <is>
          <t>https://creativecommons.org/licenses/by-sa/3.0/</t>
        </is>
      </c>
      <c r="I157" s="29" t="inlineStr">
        <is>
          <t>Creative Commons Attribution-Share Alike 3.0</t>
        </is>
      </c>
      <c r="J157" s="29" t="inlineStr">
        <is>
          <t>Lempkesfabriek · CC BY-SA 3.0 · Wikimedia Commons</t>
        </is>
      </c>
      <c r="K157" s="29" t="n"/>
      <c r="L157" s="49" t="n">
        <v>46317</v>
      </c>
      <c r="M157" s="29" t="inlineStr">
        <is>
          <t>Bekliyor</t>
        </is>
      </c>
      <c r="N157" s="29" t="inlineStr">
        <is>
          <t>Bekliyor</t>
        </is>
      </c>
      <c r="O157" s="29" t="inlineStr">
        <is>
          <t>Fotoğraflar/eindhoven_de-bergen-mahallesi_03.jpg</t>
        </is>
      </c>
      <c r="P157" s="29" t="inlineStr">
        <is>
          <t>Meydanda kafe terasları: beyaz şemsiyeler altında oturan insanlar, tenteli eski cepheler, dikey 'Kaffee De Groot' tabelası, Hollanda bayrağı; arkada yüksek kule bina</t>
        </is>
      </c>
      <c r="Q157" s="29" t="inlineStr">
        <is>
          <t>Bekliyor</t>
        </is>
      </c>
      <c r="R157" s="29" t="inlineStr">
        <is>
          <t>Wikimedia Commons dosya sayfasındaki lisans: CC BY-SA 3.0</t>
        </is>
      </c>
      <c r="S157" s="29" t="n"/>
      <c r="T157" s="29" t="n"/>
      <c r="U157" s="29" t="n"/>
      <c r="V157" s="29" t="n"/>
      <c r="W157" s="29" t="inlineStr">
        <is>
          <t>{"source_url": "https://commons.wikimedia.org/wiki/File:De_Bergen08_-_Wilhelminaplein_Eindhoven.jpg", "author": "Lempkesfabriek", "license": "CC BY-SA 3.0", "license_url": "https://creativecommons.org/licenses/by-sa/3.0/", "original_api_record": {"size": 91296, "width": 601, "height": 651, "thumburl": "https://upload.wikimedia.org/wikipedia/commons/3/3b/De_Bergen08_-_Wilhelminaplein_Eindhoven.jpg?utm_source=commons.wikimedia.org&amp;utm_campaign=imageinfo&amp;utm_content=thumbnail_unscaled", "thumbwidth": 1600, "thumbheight": 1733, "thumbattribs": {"src": "https://upload.wikimedia.org/wikipedia/commons/3/3b/De_Bergen08_-_Wilhelminaplein_Eindhoven.jpg?utm_source=commons.wikimedia.org&amp;utm_campaign=imageinfo&amp;utm_content=thumbnail_unscaled", "decoding": "async", "loading": "lazy", "width": 1600, "height": 1733}, "url": "https://upload.wikimedia.org/wikipedia/commons/3/3b/De_Bergen08_-_Wilhelminaplein_Eindhoven.jpg?utm_source=commons.wikimedia.org&amp;utm_campaign=imageinfo&amp;utm_content=original", "descriptionurl": "https://commons.wikimedia.org/wiki/File:De_Bergen08_-_Wilhelminaplein_Eindhoven.jpg", "descriptionshorturl": "https://commons.wikimedia.org/w/index.php?curid=4385537", "sha1": "145f44e06f9dfdfa3601c92d1b25c76e0d08374a", "extmetadata": {"DateTime": {"value": "2008-07-15 19:51:28", "source": "mediawiki-metadata", "hidden": ""}, "ObjectName": {"value": "De Bergen08 - Wilhelminaplein Eindhoven", "source": "mediawiki-metadata"}, "CommonsMetadataExtension": {"value": 1.2, "source": "extension", "hidden": ""}, "Categories": {"value": "Wilhelminaplein (Eindhoven)|Self-published work|Cafés in Eindhoven", "source": "commons-categories", "hidden": ""}, "Assessments": {"value": "", "source": "commons-categories", "hidden": ""}, "ImageDescription": {"value": "Het Wilhelminaplein in Eindhoven Centrum, in de wijk de Bergen",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"https://upload.wikimedia.org/wikipedia/commons/3/3b/De_Bergen08_-_Wilhelminaplein_Eindhoven.jpg"}, "retrieved_on": "2026-10-23"}</t>
        </is>
      </c>
    </row>
    <row r="158" ht="54" customHeight="1">
      <c r="A158" s="29" t="inlineStr">
        <is>
          <t>eindhoven:evidence:strijp-s-mahallesi-02</t>
        </is>
      </c>
      <c r="B158" s="29" t="inlineStr">
        <is>
          <t>eindhoven</t>
        </is>
      </c>
      <c r="C158" s="29" t="inlineStr">
        <is>
          <t>eindhoven:photo:strijp-s-mahallesi-02</t>
        </is>
      </c>
      <c r="D158" s="29" t="inlineStr">
        <is>
          <t>https://commons.wikimedia.org/wiki/File:Station_Eindhoven_Strijp-S_(2024)-5.jpg</t>
        </is>
      </c>
      <c r="E158" s="29" t="inlineStr">
        <is>
          <t>File:Station Eindhoven Strijp-S (2024)-5.jpg</t>
        </is>
      </c>
      <c r="F158" s="29" t="inlineStr">
        <is>
          <t>Sneeuwvlakte</t>
        </is>
      </c>
      <c r="G158" s="29" t="inlineStr">
        <is>
          <t>CC BY-SA 4.0</t>
        </is>
      </c>
      <c r="H158" s="29" t="inlineStr">
        <is>
          <t>https://creativecommons.org/licenses/by-sa/4.0/</t>
        </is>
      </c>
      <c r="I158" s="29" t="inlineStr">
        <is>
          <t>Creative Commons Attribution-Share Alike 4.0</t>
        </is>
      </c>
      <c r="J158" s="29" t="inlineStr">
        <is>
          <t>Sneeuwvlakte · CC BY-SA 4.0 · Wikimedia Commons</t>
        </is>
      </c>
      <c r="K158" s="29" t="n"/>
      <c r="L158" s="49" t="n">
        <v>46317</v>
      </c>
      <c r="M158" s="29" t="inlineStr">
        <is>
          <t>Bekliyor</t>
        </is>
      </c>
      <c r="N158" s="29" t="inlineStr">
        <is>
          <t>Bekliyor</t>
        </is>
      </c>
      <c r="O158" s="29" t="inlineStr">
        <is>
          <t>Fotoğraflar/eindhoven_strijp-s-mahallesi_02.jpg</t>
        </is>
      </c>
      <c r="P158" s="29" t="inlineStr">
        <is>
          <t>Tren peronunda mavi saçaklı merdiven çıkışı, iki yanda raylar ve katener telleri, sağda demir çit, arkada yüksek modern binalar ve ağaçlar</t>
        </is>
      </c>
      <c r="Q158" s="29" t="inlineStr">
        <is>
          <t>Bekliyor</t>
        </is>
      </c>
      <c r="R158" s="29" t="inlineStr">
        <is>
          <t>Wikimedia Commons dosya sayfasındaki lisans: CC BY-SA 4.0</t>
        </is>
      </c>
      <c r="S158" s="29" t="n"/>
      <c r="T158" s="29" t="n"/>
      <c r="U158" s="29" t="n"/>
      <c r="V158" s="29" t="n"/>
      <c r="W158" s="29" t="inlineStr">
        <is>
          <t>{"source_url": "https://commons.wikimedia.org/wiki/File:Station_Eindhoven_Strijp-S_(2024)-5.jpg", "author": "Sneeuwvlakte", "license": "CC BY-SA 4.0", "license_url": "https://creativecommons.org/licenses/by-sa/4.0/", "original_api_record": {"size": 4674427, "width": 4608, "height": 3456, "thumburl": "https://thumb.wikimedia.org/wikipedia/commons/thumb/3/36/Station_Eindhoven_Strijp-S_%282024%29-5.jpg/1920px-Station_Eindhoven_Strijp-S_%282024%29-5.jpg?utm_source=commons.wikimedia.org&amp;utm_campaign=imageinfo&amp;utm_content=thumbnail", "thumbwidth": 1600, "thumbheight": 1200, "responsiveUrls": {"2": "https://thumb.wikimedia.org/wikipedia/commons/thumb/3/36/Station_Eindhoven_Strijp-S_%282024%29-5.jpg/3840px-Station_Eindhoven_Strijp-S_%282024%29-5.jpg?utm_source=commons.wikimedia.org&amp;utm_campaign=imageinfo&amp;utm_content=thumbnail"}, "thumbattribs": {"src": "https://thumb.wikimedia.org/wikipedia/commons/thumb/3/36/Station_Eindhoven_Strijp-S_%282024%29-5.jpg/1920px-Station_Eindhoven_Strijp-S_%282024%29-5.jpg?utm_source=commons.wikimedia.org&amp;utm_campaign=imageinfo&amp;utm_content=thumbnail", "decoding": "async", "loading": "lazy", "width": 1600, "height": 1200, "srcset": "https://thumb.wikimedia.org/wikipedia/commons/thumb/3/36/Station_Eindhoven_Strijp-S_%282024%29-5.jpg/3840px-Station_Eindhoven_Strijp-S_%282024%29-5.jpg?utm_source=commons.wikimedia.org&amp;utm_campaign=imageinfo&amp;utm_content=thumbnail 2x"}, "url": "https://upload.wikimedia.org/wikipedia/commons/3/36/Station_Eindhoven_Strijp-S_%282024%29-5.jpg?utm_source=commons.wikimedia.org&amp;utm_campaign=imageinfo&amp;utm_content=original", "descriptionurl": "https://commons.wikimedia.org/wiki/File:Station_Eindhoven_Strijp-S_(2024)-5.jpg", "descriptionshorturl": "https://commons.wikimedia.org/w/index.php?curid=151183645", "sha1": "deaef651ba998061d3a1eb78f380cebb0d2da83c", "extmetadata": {"DateTime": {"value": "2024-08-05 08:15:55", "source": "mediawiki-metadata", "hidden": ""}, "ObjectName": {"value": "Station Eindhoven Strijp-S (2024)-5", "source": "mediawiki-metadata"}, "CommonsMetadataExtension": {"value": 1.2, "source": "extension", "hidden": ""}, "Categories": {"value": "Eindhoven Strijp-S train station|Self-published work|Train station stairs in the Netherlands|2024 in Eindhoven|Train stations in the Netherlands photographed in 2024|August 2024 in rail transport in the Netherlands|Railway photographs taken on 2024-08-02|North Brabant photographs taken on 2024-08-02", "source": "commons-categories", "hidden": ""}, "Assessments": {"value": "", "source": "commons-categories", "hidden": ""}, "ImageDescription": {"value": "Exit of the stairs to the middle platform of Eindhoven Strijp-S train station.", "source": "commons-desc-page"}, "DateTimeOriginal": {"value": "2024-08-02 13:29:03", "source": "commons-desc-page"}, "Credit": {"value": "&lt;span class=\"int-own-work\" lang=\"en\"&gt;Own work&lt;/span&gt;", "source": "commons-desc-page"}, "Artist": {"value": "&lt;a href=\"//commons.wikimedia.org/wiki/User:Sneeuwvlakte\" title=\"User:Sneeuwvlakte\"&gt;Sneeuwvlakte&lt;/a&gt;",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"https://thumb.wikimedia.org/wikipedia/commons/thumb/3/36/Station_Eindhoven_Strijp-S_%282024%29-5.jpg/1280px-Station_Eindhoven_Strijp-S_%282024%29-5.jpg"}, "retrieved_on": "2026-10-23"}</t>
        </is>
      </c>
    </row>
    <row r="159" ht="54" customHeight="1">
      <c r="A159" s="29" t="inlineStr">
        <is>
          <t>eindhoven:evidence:philipsdorp-mahallesi-02</t>
        </is>
      </c>
      <c r="B159" s="29" t="inlineStr">
        <is>
          <t>eindhoven</t>
        </is>
      </c>
      <c r="C159" s="29" t="inlineStr">
        <is>
          <t>eindhoven:photo:philipsdorp-mahallesi-02</t>
        </is>
      </c>
      <c r="D159" s="29" t="inlineStr">
        <is>
          <t>https://commons.wikimedia.org/wiki/File:PSV_stadion_Eindhoven-_Philipsdorp_1509-30.jpg</t>
        </is>
      </c>
      <c r="E159" s="29" t="inlineStr">
        <is>
          <t>File:PSV stadion Eindhoven- Philipsdorp 1509-30.jpg</t>
        </is>
      </c>
      <c r="F159" s="29" t="inlineStr">
        <is>
          <t>Jan Geerling</t>
        </is>
      </c>
      <c r="G159" s="29" t="inlineStr">
        <is>
          <t>CC BY-SA 4.0</t>
        </is>
      </c>
      <c r="H159" s="29" t="inlineStr">
        <is>
          <t>https://creativecommons.org/licenses/by-sa/4.0/</t>
        </is>
      </c>
      <c r="I159" s="29" t="inlineStr">
        <is>
          <t>Creative Commons Attribution-Share Alike 4.0</t>
        </is>
      </c>
      <c r="J159" s="29" t="inlineStr">
        <is>
          <t>Jan Geerling · CC BY-SA 4.0 · Wikimedia Commons</t>
        </is>
      </c>
      <c r="K159" s="29" t="n"/>
      <c r="L159" s="49" t="n">
        <v>46317</v>
      </c>
      <c r="M159" s="29" t="inlineStr">
        <is>
          <t>Bekliyor</t>
        </is>
      </c>
      <c r="N159" s="29" t="inlineStr">
        <is>
          <t>Bekliyor</t>
        </is>
      </c>
      <c r="O159" s="29" t="inlineStr">
        <is>
          <t>Fotoğraflar/eindhoven_philipsdorp-mahallesi_02.jpg</t>
        </is>
      </c>
      <c r="P159" s="29" t="inlineStr">
        <is>
          <t>Dükkânlı geniş cadde: solda çok katlı binalar ve mağazalar, bisikletli ve yayalar, önde kırmızı ve mavi arabalar, sağda stadyumun beyaz cephesi ve çelik direği</t>
        </is>
      </c>
      <c r="Q159" s="29" t="inlineStr">
        <is>
          <t>Bekliyor</t>
        </is>
      </c>
      <c r="R159" s="29" t="inlineStr">
        <is>
          <t>Wikimedia Commons dosya sayfasındaki lisans: CC BY-SA 4.0</t>
        </is>
      </c>
      <c r="S159" s="29" t="n"/>
      <c r="T159" s="29" t="n"/>
      <c r="U159" s="29" t="n"/>
      <c r="V159" s="29" t="n"/>
      <c r="W159" s="29" t="inlineStr">
        <is>
          <t>{"source_url": "https://commons.wikimedia.org/wiki/File:PSV_stadion_Eindhoven-_Philipsdorp_1509-30.jpg", "author": "Jan Geerling", "license": "CC BY-SA 4.0", "license_url": "https://creativecommons.org/licenses/by-sa/4.0/", "original_api_record": {"size": 1708645, "width": 5472, "height": 3648, "thumburl": "https://thumb.wikimedia.org/wikipedia/commons/thumb/7/7e/PSV_stadion_Eindhoven-_Philipsdorp_1509-30.jpg/1920px-PSV_stadion_Eindhoven-_Philipsdorp_1509-30.jpg?utm_source=commons.wikimedia.org&amp;utm_campaign=imageinfo&amp;utm_content=thumbnail", "thumbwidth": 1600, "thumbheight": 1067, "responsiveUrls": {"2": "https://thumb.wikimedia.org/wikipedia/commons/thumb/7/7e/PSV_stadion_Eindhoven-_Philipsdorp_1509-30.jpg/3840px-PSV_stadion_Eindhoven-_Philipsdorp_1509-30.jpg?utm_source=commons.wikimedia.org&amp;utm_campaign=imageinfo&amp;utm_content=thumbnail"}, "thumbattribs": {"src": "https://thumb.wikimedia.org/wikipedia/commons/thumb/7/7e/PSV_stadion_Eindhoven-_Philipsdorp_1509-30.jpg/1920px-PSV_stadion_Eindhoven-_Philipsdorp_1509-30.jpg?utm_source=commons.wikimedia.org&amp;utm_campaign=imageinfo&amp;utm_content=thumbnail", "decoding": "async", "loading": "lazy", "width": 1600, "height": 1067, "srcset": "https://thumb.wikimedia.org/wikipedia/commons/thumb/7/7e/PSV_stadion_Eindhoven-_Philipsdorp_1509-30.jpg/3840px-PSV_stadion_Eindhoven-_Philipsdorp_1509-30.jpg?utm_source=commons.wikimedia.org&amp;utm_campaign=imageinfo&amp;utm_content=thumbnail 2x"}, "url": "https://upload.wikimedia.org/wikipedia/commons/7/7e/PSV_stadion_Eindhoven-_Philipsdorp_1509-30.jpg?utm_source=commons.wikimedia.org&amp;utm_campaign=imageinfo&amp;utm_content=original", "descriptionurl": "https://commons.wikimedia.org/wiki/File:PSV_stadion_Eindhoven-_Philipsdorp_1509-30.jpg", "descriptionshorturl": "https://commons.wikimedia.org/w/index.php?curid=102299046", "sha1": "87211f1ca34282f416e3ec716a9a99b9c08bb64b", "extmetadata": {"DateTime": {"value": "2021-03-25 13:55:57", "source": "mediawiki-metadata", "hidden": ""}, "ObjectName": {"value": "PSV stadion Eindhoven- Philipsdorp 1509-30", "source": "mediawiki-metadata"}, "CommonsMetadataExtension": {"value": 1.2, "source": "extension", "hidden": ""}, "Categories": {"value": "Uploaded with pattypan|Philipsdorp, Eindhoven|Frederiklaan (Eindhoven)|Files with coordinates missing SDC location of creation (51° N, 5° E)|Photographs by Jan Geerling contributed in 2021|Photographs by Jan Geerling in Eindhoven", "source": "commons-categories", "hidden": ""}, "Assessments": {"value": "", "source": "commons-categories", "hidden": ""}, "GPSLatitude": {"value": "51.440006", "source": "commons-desc-page"}, "GPSLongitude": {"value": "5.467847", "source": "commons-desc-page"}, "GPSMapDatum": {"value": "WGS-84", "source": "commons-desc-page", "hidden": ""}, "Artist": {"value": "&lt;bdi&gt;&lt;a href=\"https://www.wikidata.org/wiki/Q88378993\" class=\"extiw\" title=\"d:Q88378993\"&gt;&lt;span title=\"Dutch photographer\"&gt;Jan Geerling&lt;/span&gt;&lt;/a&gt;&lt;/bdi&gt;", "source": "commons-desc-page"}, "ImageDescription": {"value": "PSV stadion", "source": "commons-desc-page"}, "DateTimeOriginal": {"value": "29 September 2015, 13:00",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"https://thumb.wikimedia.org/wikipedia/commons/thumb/7/7e/PSV_stadion_Eindhoven-_Philipsdorp_1509-30.jpg/1280px-PSV_stadion_Eindhoven-_Philipsdorp_1509-30.jpg"}, "retrieved_on": "2026-10-23"}</t>
        </is>
      </c>
    </row>
    <row r="160" ht="54" customHeight="1">
      <c r="A160" s="29" t="inlineStr">
        <is>
          <t>eindhoven:evidence:den-elzent-mahallesi-01</t>
        </is>
      </c>
      <c r="B160" s="29" t="inlineStr">
        <is>
          <t>eindhoven</t>
        </is>
      </c>
      <c r="C160" s="29" t="inlineStr">
        <is>
          <t>eindhoven:photo:den-elzent-mahallesi-01</t>
        </is>
      </c>
      <c r="D160" s="29" t="inlineStr">
        <is>
          <t>https://commons.wikimedia.org/wiki/File:Den_Elzent01.jpg</t>
        </is>
      </c>
      <c r="E160" s="29" t="inlineStr">
        <is>
          <t>File:Den Elzent01.jpg</t>
        </is>
      </c>
      <c r="F160" s="29" t="inlineStr">
        <is>
          <t>Lempkesfabriek</t>
        </is>
      </c>
      <c r="G160" s="29" t="inlineStr">
        <is>
          <t>CC BY-SA 3.0</t>
        </is>
      </c>
      <c r="H160" s="29" t="inlineStr">
        <is>
          <t>https://creativecommons.org/licenses/by-sa/3.0/</t>
        </is>
      </c>
      <c r="I160" s="29" t="inlineStr">
        <is>
          <t>Creative Commons Attribution-Share Alike 3.0</t>
        </is>
      </c>
      <c r="J160" s="29" t="inlineStr">
        <is>
          <t>Lempkesfabriek · CC BY-SA 3.0 · Wikimedia Commons</t>
        </is>
      </c>
      <c r="K160" s="29" t="n"/>
      <c r="L160" s="49" t="n">
        <v>46317</v>
      </c>
      <c r="M160" s="29" t="inlineStr">
        <is>
          <t>Bekliyor</t>
        </is>
      </c>
      <c r="N160" s="29" t="inlineStr">
        <is>
          <t>Bekliyor</t>
        </is>
      </c>
      <c r="O160" s="29" t="inlineStr">
        <is>
          <t>Fotoğraflar/eindhoven_den-elzent-mahallesi_01.jpg</t>
        </is>
      </c>
      <c r="P160" s="29" t="inlineStr">
        <is>
          <t>Kırmızı kiremit çatılı, beyaz çatı pencereli büyük tuğla bina; sütunlu giriş, önde geniş çimenlik ve genç ağaç sırası</t>
        </is>
      </c>
      <c r="Q160" s="29" t="inlineStr">
        <is>
          <t>Bekliyor</t>
        </is>
      </c>
      <c r="R160" s="29" t="inlineStr">
        <is>
          <t>Wikimedia Commons dosya sayfasındaki lisans: CC BY-SA 3.0</t>
        </is>
      </c>
      <c r="S160" s="29" t="n"/>
      <c r="T160" s="29" t="n"/>
      <c r="U160" s="29" t="n"/>
      <c r="V160" s="29" t="n"/>
      <c r="W160" s="29" t="inlineStr">
        <is>
          <t>{"source_url": "https://commons.wikimedia.org/wiki/File:Den_Elzent01.jpg", "author": "Lempkesfabriek", "license": "CC BY-SA 3.0", "license_url": "https://creativecommons.org/licenses/by-sa/3.0/", "original_api_record": {"size": 138896, "width": 1109, "height": 667, "thumburl": "https://upload.wikimedia.org/wikipedia/commons/b/b0/Den_Elzent01.jpg?utm_source=commons.wikimedia.org&amp;utm_campaign=imageinfo&amp;utm_content=thumbnail_unscaled", "thumbwidth": 1600, "thumbheight": 962, "thumbattribs": {"src": "https://upload.wikimedia.org/wikipedia/commons/b/b0/Den_Elzent01.jpg?utm_source=commons.wikimedia.org&amp;utm_campaign=imageinfo&amp;utm_content=thumbnail_unscaled", "decoding": "async", "loading": "lazy", "width": 1600, "height": 962}, "url": "https://upload.wikimedia.org/wikipedia/commons/b/b0/Den_Elzent01.jpg?utm_source=commons.wikimedia.org&amp;utm_campaign=imageinfo&amp;utm_content=original", "descriptionurl": "https://commons.wikimedia.org/wiki/File:Den_Elzent01.jpg", "descriptionshorturl": "https://commons.wikimedia.org/w/index.php?curid=4382400", "sha1": "a0345a2542a6a7ff89e20be34d7d878235cede5c", "extmetadata": {"DateTime": {"value": "2008-07-15 09:13:25", "source": "mediawiki-metadata", "hidden": ""}, "ObjectName": {"value": "Den Elzent01", "source": "mediawiki-metadata"}, "CommonsMetadataExtension": {"value": 1.2, "source": "extension", "hidden": ""}, "Categories": {"value": "Stratum|Elzent|Self-published work", "source": "commons-categories", "hidden": ""}, "Assessments": {"value": "", "source": "commons-categories", "hidden": ""}, "ImageDescription": {"value": "Gebouw Den Elzent, aan de Elzentlaan in Eindhoven",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"https://upload.wikimedia.org/wikipedia/commons/b/b0/Den_Elzent01.jpg"}, "retrieved_on": "2026-10-23"}</t>
        </is>
      </c>
    </row>
    <row r="161" ht="54" customHeight="1">
      <c r="A161" s="29" t="inlineStr">
        <is>
          <t>eindhoven:evidence:den-elzent-mahallesi-02</t>
        </is>
      </c>
      <c r="B161" s="29" t="inlineStr">
        <is>
          <t>eindhoven</t>
        </is>
      </c>
      <c r="C161" s="29" t="inlineStr">
        <is>
          <t>eindhoven:photo:den-elzent-mahallesi-02</t>
        </is>
      </c>
      <c r="D161" s="29" t="inlineStr">
        <is>
          <t>https://commons.wikimedia.org/wiki/File:DenElzentNoord.jpg</t>
        </is>
      </c>
      <c r="E161" s="29" t="inlineStr">
        <is>
          <t>File:DenElzentNoord.jpg</t>
        </is>
      </c>
      <c r="F161" s="29" t="inlineStr">
        <is>
          <t>Lempkesfabriek</t>
        </is>
      </c>
      <c r="G161" s="29" t="inlineStr">
        <is>
          <t>CC BY-SA 3.0</t>
        </is>
      </c>
      <c r="H161" s="29" t="inlineStr">
        <is>
          <t>https://creativecommons.org/licenses/by-sa/3.0/</t>
        </is>
      </c>
      <c r="I161" s="29" t="inlineStr">
        <is>
          <t>Creative Commons Attribution-Share Alike 3.0</t>
        </is>
      </c>
      <c r="J161" s="29" t="inlineStr">
        <is>
          <t>Lempkesfabriek · CC BY-SA 3.0 · Wikimedia Commons</t>
        </is>
      </c>
      <c r="K161" s="29" t="n"/>
      <c r="L161" s="49" t="n">
        <v>46317</v>
      </c>
      <c r="M161" s="29" t="inlineStr">
        <is>
          <t>Bekliyor</t>
        </is>
      </c>
      <c r="N161" s="29" t="inlineStr">
        <is>
          <t>Bekliyor</t>
        </is>
      </c>
      <c r="O161" s="29" t="inlineStr">
        <is>
          <t>Fotoğraflar/eindhoven_den-elzent-mahallesi_02.jpg</t>
        </is>
      </c>
      <c r="P161" s="29" t="inlineStr">
        <is>
          <t>Beyaz ızgara çerçeveli, gri baklava desenli kaplamalı modern apartman; cam korkuluklu balkonlar, şemsiyeler, önde genç ağaçlar</t>
        </is>
      </c>
      <c r="Q161" s="29" t="inlineStr">
        <is>
          <t>Bekliyor</t>
        </is>
      </c>
      <c r="R161" s="29" t="inlineStr">
        <is>
          <t>Wikimedia Commons dosya sayfasındaki lisans: CC BY-SA 3.0</t>
        </is>
      </c>
      <c r="S161" s="29" t="n"/>
      <c r="T161" s="29" t="n"/>
      <c r="U161" s="29" t="n"/>
      <c r="V161" s="29" t="n"/>
      <c r="W161" s="29" t="inlineStr">
        <is>
          <t>{"source_url": "https://commons.wikimedia.org/wiki/File:DenElzentNoord.jpg", "author": "Lempkesfabriek", "license": "CC BY-SA 3.0", "license_url": "https://creativecommons.org/licenses/by-sa/3.0/", "original_api_record": {"size": 190256, "width": 991, "height": 745, "thumburl": "https://upload.wikimedia.org/wikipedia/commons/9/93/DenElzentNoord.jpg?utm_source=commons.wikimedia.org&amp;utm_campaign=imageinfo&amp;utm_content=thumbnail_unscaled", "thumbwidth": 1600, "thumbheight": 1203, "thumbattribs": {"src": "https://upload.wikimedia.org/wikipedia/commons/9/93/DenElzentNoord.jpg?utm_source=commons.wikimedia.org&amp;utm_campaign=imageinfo&amp;utm_content=thumbnail_unscaled", "decoding": "async", "loading": "lazy", "width": 1600, "height": 1203}, "url": "https://upload.wikimedia.org/wikipedia/commons/9/93/DenElzentNoord.jpg?utm_source=commons.wikimedia.org&amp;utm_campaign=imageinfo&amp;utm_content=original", "descriptionurl": "https://commons.wikimedia.org/wiki/File:DenElzentNoord.jpg", "descriptionshorturl": "https://commons.wikimedia.org/w/index.php?curid=4443459", "sha1": "467289315a1d679649f32fa0ff6e9eea3752c685", "extmetadata": {"DateTime": {"value": "2008-07-25 19:39:41", "source": "mediawiki-metadata", "hidden": ""}, "ObjectName": {"value": "DenElzentNoord", "source": "mediawiki-metadata"}, "CommonsMetadataExtension": {"value": 1.2, "source": "extension", "hidden": ""}, "Categories": {"value": "Stratum|Elzent|Self-published work", "source": "commons-categories", "hidden": ""}, "Assessments": {"value": "", "source": "commons-categories", "hidden": ""}, "ImageDescription": {"value": "In Den Elzent in Eindhoven",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"https://upload.wikimedia.org/wikipedia/commons/9/93/DenElzentNoord.jpg"}, "retrieved_on": "2026-10-23"}</t>
        </is>
      </c>
    </row>
    <row r="162" ht="54" customHeight="1">
      <c r="A162" s="29" t="inlineStr">
        <is>
          <t>eindhoven:evidence:den-elzent-mahallesi-03</t>
        </is>
      </c>
      <c r="B162" s="29" t="inlineStr">
        <is>
          <t>eindhoven</t>
        </is>
      </c>
      <c r="C162" s="29" t="inlineStr">
        <is>
          <t>eindhoven:photo:den-elzent-mahallesi-03</t>
        </is>
      </c>
      <c r="D162" s="29" t="inlineStr">
        <is>
          <t>https://commons.wikimedia.org/wiki/File:Rijksmonument518795.jpg</t>
        </is>
      </c>
      <c r="E162" s="29" t="inlineStr">
        <is>
          <t>File:Rijksmonument518795.jpg</t>
        </is>
      </c>
      <c r="F162" s="29" t="inlineStr">
        <is>
          <t>Mark Bergsma</t>
        </is>
      </c>
      <c r="G162" s="29" t="inlineStr">
        <is>
          <t>CC BY-SA 3.0</t>
        </is>
      </c>
      <c r="H162" s="29" t="inlineStr">
        <is>
          <t>https://creativecommons.org/licenses/by-sa/3.0/</t>
        </is>
      </c>
      <c r="I162" s="29" t="inlineStr">
        <is>
          <t>Creative Commons Attribution-Share Alike 3.0</t>
        </is>
      </c>
      <c r="J162" s="29" t="inlineStr">
        <is>
          <t>Mark Bergsma · CC BY-SA 3.0 · Wikimedia Commons</t>
        </is>
      </c>
      <c r="K162" s="29" t="n"/>
      <c r="L162" s="49" t="n">
        <v>46317</v>
      </c>
      <c r="M162" s="29" t="inlineStr">
        <is>
          <t>Bekliyor</t>
        </is>
      </c>
      <c r="N162" s="29" t="inlineStr">
        <is>
          <t>Bekliyor</t>
        </is>
      </c>
      <c r="O162" s="29" t="inlineStr">
        <is>
          <t>Fotoğraflar/eindhoven_den-elzent-mahallesi_03.jpg</t>
        </is>
      </c>
      <c r="P162" s="29" t="inlineStr">
        <is>
          <t>Ağaçlar altında kırmızı tuğla villa: üst katta beyaz sütunlu balkon, kırmızı tenteli pencereler, önde budanmış çitler ve konik süs ağacı; sağda 29 numaralı tabela</t>
        </is>
      </c>
      <c r="Q162" s="29" t="inlineStr">
        <is>
          <t>Bekliyor</t>
        </is>
      </c>
      <c r="R162" s="29" t="inlineStr">
        <is>
          <t>Wikimedia Commons dosya sayfasındaki lisans: CC BY-SA 3.0</t>
        </is>
      </c>
      <c r="S162" s="29" t="n"/>
      <c r="T162" s="29" t="n"/>
      <c r="U162" s="29" t="n"/>
      <c r="V162" s="29" t="n"/>
      <c r="W162" s="29" t="inlineStr">
        <is>
          <t>{"source_url": "https://commons.wikimedia.org/wiki/File:Rijksmonument518795.jpg", "author": "Mark Bergsma", "license": "CC BY-SA 3.0", "license_url": "https://creativecommons.org/licenses/by-sa/3.0/", "original_api_record": {"size": 3268091, "width": 3325, "height": 2483, "thumburl": "https://thumb.wikimedia.org/wikipedia/commons/thumb/8/87/Rijksmonument518795.jpg/1920px-Rijksmonument518795.jpg?utm_source=commons.wikimedia.org&amp;utm_campaign=imageinfo&amp;utm_content=thumbnail", "thumbwidth": 1600, "thumbheight": 1195, "responsiveUrls": {"2": "https://upload.wikimedia.org/wikipedia/commons/8/87/Rijksmonument518795.jpg?utm_source=commons.wikimedia.org&amp;utm_campaign=imageinfo&amp;utm_content=thumbnail_unscaled"}, "thumbattribs": {"src": "https://thumb.wikimedia.org/wikipedia/commons/thumb/8/87/Rijksmonument518795.jpg/1920px-Rijksmonument518795.jpg?utm_source=commons.wikimedia.org&amp;utm_campaign=imageinfo&amp;utm_content=thumbnail", "decoding": "async", "loading": "lazy", "width": 1600, "height": 1195, "srcset": "https://upload.wikimedia.org/wikipedia/commons/8/87/Rijksmonument518795.jpg?utm_source=commons.wikimedia.org&amp;utm_campaign=imageinfo&amp;utm_content=thumbnail_unscaled 2x"}, "url": "https://upload.wikimedia.org/wikipedia/commons/8/87/Rijksmonument518795.jpg?utm_source=commons.wikimedia.org&amp;utm_campaign=imageinfo&amp;utm_content=original", "descriptionurl": "https://commons.wikimedia.org/wiki/File:Rijksmonument518795.jpg", "descriptionshorturl": "https://commons.wikimedia.org/w/index.php?curid=7888760", "sha1": "9d9ed515630aa1b68d34bd3227608db21ae50040", "extmetadata": {"DateTime": {"value": "2009-09-24 21:35:30", "source": "mediawiki-metadata", "hidden": ""}, "ObjectName": {"value": "Rijksmonument518795", "source": "mediawiki-metadata"}, "CommonsMetadataExtension": {"value": 1.2, "source": "extension", "hidden": ""}, "Categories": {"value": "GFDL|Taken with Panasonic Lumix DMC-LX3|License migration redundant|Rijksmonumenten in Eindhoven|Self-published work|Rijksmonumenten with known IDs", "source": "commons-categories", "hidden": ""}, "Assessments": {"value": "", "source": "commons-categories", "hidden": ""}, "GPSLatitude": {"value": "51.430303", "source": "commons-desc-page"}, "GPSLongitude": {"value": "5.483228", "source": "commons-desc-page"}, "GPSMapDatum": {"value": "WGS-84", "source": "commons-desc-page", "hidden": ""}, "ImageDescription": {"value": "Elzentlaan 29 in Eindhoven, Nederlands rijksmonument nr. 518795", "source": "commons-desc-page"}, "DateTimeOriginal": {"value": "2009-09-24",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"https://thumb.wikimedia.org/wikipedia/commons/thumb/8/87/Rijksmonument518795.jpg/1280px-Rijksmonument518795.jpg"}, "retrieved_on": "2026-10-23"}</t>
        </is>
      </c>
    </row>
    <row r="163" ht="54" customHeight="1">
      <c r="A163" s="29" t="inlineStr">
        <is>
          <t>eindhoven:evidence:lakerlopen-mahallesi-03</t>
        </is>
      </c>
      <c r="B163" s="29" t="inlineStr">
        <is>
          <t>eindhoven</t>
        </is>
      </c>
      <c r="C163" s="29" t="inlineStr">
        <is>
          <t>eindhoven:photo:lakerlopen-mahallesi-03</t>
        </is>
      </c>
      <c r="D163" s="29" t="inlineStr">
        <is>
          <t>https://commons.wikimedia.org/wiki/File:Lakerlopen02.jpg</t>
        </is>
      </c>
      <c r="E163" s="29" t="inlineStr">
        <is>
          <t>File:Lakerlopen02.jpg</t>
        </is>
      </c>
      <c r="F163" s="29" t="inlineStr">
        <is>
          <t>Lempkesfabriek</t>
        </is>
      </c>
      <c r="G163" s="29" t="inlineStr">
        <is>
          <t>CC BY-SA 3.0</t>
        </is>
      </c>
      <c r="H163" s="29" t="inlineStr">
        <is>
          <t>https://creativecommons.org/licenses/by-sa/3.0/</t>
        </is>
      </c>
      <c r="I163" s="29" t="inlineStr">
        <is>
          <t>Creative Commons Attribution-Share Alike 3.0</t>
        </is>
      </c>
      <c r="J163" s="29" t="inlineStr">
        <is>
          <t>Lempkesfabriek · CC BY-SA 3.0 · Wikimedia Commons</t>
        </is>
      </c>
      <c r="K163" s="29" t="n"/>
      <c r="L163" s="49" t="n">
        <v>46317</v>
      </c>
      <c r="M163" s="29" t="inlineStr">
        <is>
          <t>Bekliyor</t>
        </is>
      </c>
      <c r="N163" s="29" t="inlineStr">
        <is>
          <t>Bekliyor</t>
        </is>
      </c>
      <c r="O163" s="29" t="inlineStr">
        <is>
          <t>Fotoğraflar/eindhoven_lakerlopen-mahallesi_03.jpg</t>
        </is>
      </c>
      <c r="P163" s="29" t="inlineStr">
        <is>
          <t>Akşam ışığında tuğla sıra evler, kapı önlerinde tuğla basamaklar ve tırabzanlar, geniş kaldırım, park etmiş araba ve römork</t>
        </is>
      </c>
      <c r="Q163" s="29" t="inlineStr">
        <is>
          <t>Bekliyor</t>
        </is>
      </c>
      <c r="R163" s="29" t="inlineStr">
        <is>
          <t>Wikimedia Commons dosya sayfasındaki lisans: CC BY-SA 3.0</t>
        </is>
      </c>
      <c r="S163" s="29" t="n"/>
      <c r="T163" s="29" t="n"/>
      <c r="U163" s="29" t="n"/>
      <c r="V163" s="29" t="n"/>
      <c r="W163" s="29" t="inlineStr">
        <is>
          <t>{"source_url": "https://commons.wikimedia.org/wiki/File:Lakerlopen02.jpg", "author": "Lempkesfabriek", "license": "CC BY-SA 3.0", "license_url": "https://creativecommons.org/licenses/by-sa/3.0/", "original_api_record": {"size": 136105, "width": 850, "height": 638, "thumburl": "https://upload.wikimedia.org/wikipedia/commons/4/40/Lakerlopen02.jpg?utm_source=commons.wikimedia.org&amp;utm_campaign=imageinfo&amp;utm_content=thumbnail_unscaled", "thumbwidth": 1600, "thumbheight": 1201, "thumbattribs": {"src": "https://upload.wikimedia.org/wikipedia/commons/4/40/Lakerlopen02.jpg?utm_source=commons.wikimedia.org&amp;utm_campaign=imageinfo&amp;utm_content=thumbnail_unscaled", "decoding": "async", "loading": "lazy", "width": 1600, "height": 1201}, "url": "https://upload.wikimedia.org/wikipedia/commons/4/40/Lakerlopen02.jpg?utm_source=commons.wikimedia.org&amp;utm_campaign=imageinfo&amp;utm_content=original", "descriptionurl": "https://commons.wikimedia.org/wiki/File:Lakerlopen02.jpg", "descriptionshorturl": "https://commons.wikimedia.org/w/index.php?curid=4380341", "sha1": "8fddd0e42c48cb128d38594a7eeea9294bfcd086", "extmetadata": {"DateTime": {"value": "2008-07-14 21:53:50", "source": "mediawiki-metadata", "hidden": ""}, "ObjectName": {"value": "Lakerlopen02", "source": "mediawiki-metadata"}, "CommonsMetadataExtension": {"value": 1.2, "source": "extension", "hidden": ""}, "Categories": {"value": "Tongelre|Self-published work", "source": "commons-categories", "hidden": ""}, "Assessments": {"value": "", "source": "commons-categories", "hidden": ""}, "ImageDescription": {"value": "Straat in de wijk Lakerlopen in Eindhoven (Tongelre, De Laak)",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"https://upload.wikimedia.org/wikipedia/commons/4/40/Lakerlopen02.jpg"}, "retrieved_on": "2026-10-23"}</t>
        </is>
      </c>
    </row>
    <row r="164" ht="54" customHeight="1">
      <c r="A164" s="29" t="inlineStr">
        <is>
          <t>eindhoven:evidence:18-septemberplein-04</t>
        </is>
      </c>
      <c r="B164" s="29" t="inlineStr">
        <is>
          <t>eindhoven</t>
        </is>
      </c>
      <c r="C164" s="29" t="inlineStr">
        <is>
          <t>eindhoven:photo:18-septemberplein-04</t>
        </is>
      </c>
      <c r="D164" s="29" t="inlineStr">
        <is>
          <t>https://commons.wikimedia.org/wiki/File:13-06-28-eindhoven-by-RalfR-17.jpg</t>
        </is>
      </c>
      <c r="E164" s="29" t="inlineStr">
        <is>
          <t>File:13-06-28-eindhoven-by-RalfR-17.jpg</t>
        </is>
      </c>
      <c r="F164" s="29" t="inlineStr">
        <is>
          <t>Ralf Roletschek</t>
        </is>
      </c>
      <c r="G164" s="29" t="inlineStr">
        <is>
          <t>CC BY 3.0</t>
        </is>
      </c>
      <c r="H164" s="29" t="inlineStr">
        <is>
          <t>https://creativecommons.org/licenses/by/3.0/</t>
        </is>
      </c>
      <c r="I164" s="29" t="inlineStr">
        <is>
          <t>Creative Commons Attribution 3.0</t>
        </is>
      </c>
      <c r="J164" s="29" t="inlineStr">
        <is>
          <t>Ralf Roletschek · CC BY 3.0 · Wikimedia Commons</t>
        </is>
      </c>
      <c r="K164" s="29" t="n"/>
      <c r="L164" s="49" t="n">
        <v>46317</v>
      </c>
      <c r="M164" s="29" t="inlineStr">
        <is>
          <t>Bekliyor</t>
        </is>
      </c>
      <c r="N164" s="29" t="inlineStr">
        <is>
          <t>Bekliyor</t>
        </is>
      </c>
      <c r="O164" s="29" t="inlineStr">
        <is>
          <t>Fotoğraflar/eindhoven_18-septemberplein_04.jpg</t>
        </is>
      </c>
      <c r="P164" s="29" t="inlineStr">
        <is>
          <t>Meydan kenarında yeşillikli kırmızı taş saksılar, önlerinde bisikletler, kırmızı kaide üstünde koyu heykel; solda sırtı dönük yaya, arkada cadde, arabalar, ağaçlar ve yüksek ofis kulesi</t>
        </is>
      </c>
      <c r="Q164" s="29" t="inlineStr">
        <is>
          <t>Bekliyor</t>
        </is>
      </c>
      <c r="R164" s="29" t="inlineStr">
        <is>
          <t>Wikimedia Commons dosya sayfasındaki lisans: CC BY 3.0</t>
        </is>
      </c>
      <c r="S164" s="29" t="n"/>
      <c r="T164" s="29" t="n"/>
      <c r="U164" s="29" t="n"/>
      <c r="V164" s="29" t="n"/>
      <c r="W164" s="29" t="inlineStr">
        <is>
          <t>{"source_url": "https://commons.wikimedia.org/wiki/File:13-06-28-eindhoven-by-RalfR-17.jpg", "author": "Ralf Roletschek", "license": "CC BY 3.0", "license_url": "https://creativecommons.org/licenses/by/3.0/", "original_api_record": {"size": 8253300, "width": 4288, "height": 2848, "thumburl": "https://thumb.wikimedia.org/wikipedia/commons/thumb/4/46/13-06-28-eindhoven-by-RalfR-17.jpg/1920px-13-06-28-eindhoven-by-RalfR-17.jpg?utm_source=commons.wikimedia.org&amp;utm_campaign=imageinfo&amp;utm_content=thumbnail", "thumbwidth": 1600, "thumbheight": 1063, "responsiveUrls": {"2": "https://thumb.wikimedia.org/wikipedia/commons/thumb/4/46/13-06-28-eindhoven-by-RalfR-17.jpg/3840px-13-06-28-eindhoven-by-RalfR-17.jpg?utm_source=commons.wikimedia.org&amp;utm_campaign=imageinfo&amp;utm_content=thumbnail"}, "thumbattribs": {"src": "https://thumb.wikimedia.org/wikipedia/commons/thumb/4/46/13-06-28-eindhoven-by-RalfR-17.jpg/1920px-13-06-28-eindhoven-by-RalfR-17.jpg?utm_source=commons.wikimedia.org&amp;utm_campaign=imageinfo&amp;utm_content=thumbnail", "decoding": "async", "loading": "lazy", "width": 1600, "height": 1063, "srcset": "https://thumb.wikimedia.org/wikipedia/commons/thumb/4/46/13-06-28-eindhoven-by-RalfR-17.jpg/3840px-13-06-28-eindhoven-by-RalfR-17.jpg?utm_source=commons.wikimedia.org&amp;utm_campaign=imageinfo&amp;utm_content=thumbnail 2x"}, "url": "https://upload.wikimedia.org/wikipedia/commons/4/46/13-06-28-eindhoven-by-RalfR-17.jpg?utm_source=commons.wikimedia.org&amp;utm_campaign=imageinfo&amp;utm_content=original", "descriptionurl": "https://commons.wikimedia.org/wiki/File:13-06-28-eindhoven-by-RalfR-17.jpg", "descriptionshorturl": "https://commons.wikimedia.org/w/index.php?curid=26941462", "sha1": "312d0c31146a1ba39cfe21017d310c526bedf4ef", "extmetadata": {"DateTime": {"value": "2013-06-28 20:32:48", "source": "mediawiki-metadata", "hidden": ""}, "ObjectName": {"value": "13-06-28-eindhoven-by-RalfR-17", "source": "mediawiki-metadata"}, "CommonsMetadataExtension": {"value": 1.2, "source": "extension", "hidden": ""}, "Categories": {"value": "GFDL|Taken with Nikon D300s|License migration redundant|18 Septemberplein (Eindhoven)|Self-published work|Supported by Wikimedia Deutschland|Supported by Wikimedia Österreich|Images by Ralf Roletschek/x|2013 in Eindhoven|Netherlands photographs taken on 2013-06-28|Files with coordinates missing SDC location of creation (51° N, 5° E)|Fotoaktion Robocup 2013", "source": "commons-categories", "hidden": ""}, "Assessments": {"value": "", "source": "commons-categories", "hidden": ""}, "GPSLatitude": {"value": "51.441053", "source": "commons-desc-page"}, "GPSLongitude": {"value": "5.477902", "source": "commons-desc-page"}, "GPSMapDatum": {"value": "WGS-84", "source": "commons-desc-page", "hidden": ""}, "ImageDescription": {"value": "Eindhoven, Niederlande, Stadtzentrum", "source": "commons-desc-page"}, "DateTimeOriginal": {"value": "2013-06-28 15:19:34",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"https://thumb.wikimedia.org/wikipedia/commons/thumb/4/46/13-06-28-eindhoven-by-RalfR-17.jpg/1280px-13-06-28-eindhoven-by-RalfR-17.jpg"}, "retrieved_on": "2026-10-23"}</t>
        </is>
      </c>
    </row>
    <row r="165" ht="54" customHeight="1">
      <c r="A165" s="29" t="inlineStr">
        <is>
          <t>eindhoven:evidence:daf-museum-04</t>
        </is>
      </c>
      <c r="B165" s="29" t="inlineStr">
        <is>
          <t>eindhoven</t>
        </is>
      </c>
      <c r="C165" s="29" t="inlineStr">
        <is>
          <t>eindhoven:photo:daf-museum-04</t>
        </is>
      </c>
      <c r="D165" s="29" t="inlineStr">
        <is>
          <t>https://commons.wikimedia.org/wiki/File:DAF_Museum,_Eindhoven_(16064093033).jpg</t>
        </is>
      </c>
      <c r="E165" s="29" t="inlineStr">
        <is>
          <t>File:DAF Museum, Eindhoven (16064093033).jpg</t>
        </is>
      </c>
      <c r="F165" s="29" t="inlineStr">
        <is>
          <t>Ronald van der Graaf from Leiden, The Netherlands</t>
        </is>
      </c>
      <c r="G165" s="29" t="inlineStr">
        <is>
          <t>CC BY 2.0</t>
        </is>
      </c>
      <c r="H165" s="29" t="inlineStr">
        <is>
          <t>https://creativecommons.org/licenses/by/2.0/</t>
        </is>
      </c>
      <c r="I165" s="29" t="inlineStr">
        <is>
          <t>Creative Commons Attribution 2.0</t>
        </is>
      </c>
      <c r="J165" s="29" t="inlineStr">
        <is>
          <t>Ronald van der Graaf from Leiden, The Netherlands · CC BY 2.0 · Wikimedia Commons</t>
        </is>
      </c>
      <c r="K165" s="29" t="n"/>
      <c r="L165" s="49" t="n">
        <v>46317</v>
      </c>
      <c r="M165" s="29" t="inlineStr">
        <is>
          <t>Bekliyor</t>
        </is>
      </c>
      <c r="N165" s="29" t="inlineStr">
        <is>
          <t>Bekliyor</t>
        </is>
      </c>
      <c r="O165" s="29" t="inlineStr">
        <is>
          <t>Fotoğraflar/eindhoven_daf-museum_04.jpg</t>
        </is>
      </c>
      <c r="P165" s="29" t="inlineStr">
        <is>
          <t>Müze salonunda açık gri kabinli eski kamyon, kasasında 'NS' ve 'NEDERLAND' yazılı gri konteyner; duvarda mavi DAF amblemi levhası, solda ahşap platformlu römork</t>
        </is>
      </c>
      <c r="Q165" s="29" t="inlineStr">
        <is>
          <t>Bekliyor</t>
        </is>
      </c>
      <c r="R165" s="29" t="inlineStr">
        <is>
          <t>Wikimedia Commons dosya sayfasındaki lisans: CC BY 2.0</t>
        </is>
      </c>
      <c r="S165" s="29" t="n"/>
      <c r="T165" s="29" t="n"/>
      <c r="U165" s="29" t="n"/>
      <c r="V165" s="29" t="n"/>
      <c r="W165" s="29" t="inlineStr">
        <is>
          <t>{"source_url": "https://commons.wikimedia.org/wiki/File:DAF_Museum,_Eindhoven_(16064093033).jpg", "author": "Ronald van der Graaf from Leiden, The Netherlands", "license": "CC BY 2.0", "license_url": "https://creativecommons.org/licenses/by/2.0/", "original_api_record": {"size": 5275648, "width": 6000, "height": 4000, "thumburl": "https://thumb.wikimedia.org/wikipedia/commons/thumb/8/87/DAF_Museum%2C_Eindhoven_%2816064093033%29.jpg/1920px-DAF_Museum%2C_Eindhoven_%2816064093033%29.jpg?utm_source=commons.wikimedia.org&amp;utm_campaign=imageinfo&amp;utm_content=thumbnail", "thumbwidth": 1600, "thumbheight": 1067, "responsiveUrls": {"2": "https://thumb.wikimedia.org/wikipedia/commons/thumb/8/87/DAF_Museum%2C_Eindhoven_%2816064093033%29.jpg/3840px-DAF_Museum%2C_Eindhoven_%2816064093033%29.jpg?utm_source=commons.wikimedia.org&amp;utm_campaign=imageinfo&amp;utm_content=thumbnail"}, "thumbattribs": {"src": "https://thumb.wikimedia.org/wikipedia/commons/thumb/8/87/DAF_Museum%2C_Eindhoven_%2816064093033%29.jpg/1920px-DAF_Museum%2C_Eindhoven_%2816064093033%29.jpg?utm_source=commons.wikimedia.org&amp;utm_campaign=imageinfo&amp;utm_content=thumbnail", "decoding": "async", "loading": "lazy", "width": 1600, "height": 1067, "srcset": "https://thumb.wikimedia.org/wikipedia/commons/thumb/8/87/DAF_Museum%2C_Eindhoven_%2816064093033%29.jpg/3840px-DAF_Museum%2C_Eindhoven_%2816064093033%29.jpg?utm_source=commons.wikimedia.org&amp;utm_campaign=imageinfo&amp;utm_content=thumbnail 2x"}, "url": "https://upload.wikimedia.org/wikipedia/commons/8/87/DAF_Museum%2C_Eindhoven_%2816064093033%29.jpg?utm_source=commons.wikimedia.org&amp;utm_campaign=imageinfo&amp;utm_content=original", "descriptionurl": "https://commons.wikimedia.org/wiki/File:DAF_Museum,_Eindhoven_(16064093033).jpg", "descriptionshorturl": "https://commons.wikimedia.org/w/index.php?curid=63518782", "sha1": "79d059c797de1852c5af6a256e99477e55f7e7d8", "extmetadata": {"DateTime": {"value": "2017-10-22 08:17:59", "source": "mediawiki-metadata", "hidden": ""}, "ObjectName": {"value": "DAF Museum, Eindhoven (16064093033)", "source": "mediawiki-metadata"}, "CommonsMetadataExtension": {"value": 1.2, "source": "extension", "hidden": ""}, "Categories": {"value": "DAF Losser|Flickr images reviewed by FlickreviewR|White DAF trucks|Six-wheeled articulated trucks|Flatbed step frame semi-trailer trucks|DAF semi-trailer tractors|Trucks in the DAF Museum|Photographs by Ronald van der Graaf", "source": "commons-categories", "hidden": ""}, "Assessments": {"value": "", "source": "commons-categories", "hidden": ""}, "ImageDescription": {"value": "DAF Musem, Eindhoven", "source": "commons-desc-page"}, "DateTimeOriginal": {"value": "2015-02-28 12:34", "source": "commons-desc-page"}, "Credit": {"value": "&lt;a rel=\"nofollow\" class=\"external text\" href=\"https://www.flickr.com/photos/ronaldc5/16064093033/\"&gt;DAF Musem, Eindhoven&lt;/a&gt;", "source": "commons-desc-page"}, "Artist": {"value": "&lt;a rel=\"nofollow\" class=\"external text\" href=\"https://www.flickr.com/people/91830216@N03\"&gt;Ronald van der Graaf&lt;/a&gt; from Leiden, The Netherlands",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"https://thumb.wikimedia.org/wikipedia/commons/thumb/8/87/DAF_Museum%2C_Eindhoven_%2816064093033%29.jpg/1280px-DAF_Museum%2C_Eindhoven_%2816064093033%29.jpg"}, "retrieved_on": "2026-10-23"}</t>
        </is>
      </c>
    </row>
    <row r="166" ht="54" customHeight="1">
      <c r="A166" s="29" t="inlineStr">
        <is>
          <t>eindhoven:evidence:daf-museum-05</t>
        </is>
      </c>
      <c r="B166" s="29" t="inlineStr">
        <is>
          <t>eindhoven</t>
        </is>
      </c>
      <c r="C166" s="29" t="inlineStr">
        <is>
          <t>eindhoven:photo:daf-museum-05</t>
        </is>
      </c>
      <c r="D166" s="29" t="inlineStr">
        <is>
          <t>https://commons.wikimedia.org/wiki/File:DAF_Museum,_Eindhoven_(16476776987).jpg</t>
        </is>
      </c>
      <c r="E166" s="29" t="inlineStr">
        <is>
          <t>File:DAF Museum, Eindhoven (16476776987).jpg</t>
        </is>
      </c>
      <c r="F166" s="29" t="inlineStr">
        <is>
          <t>Ronald van der Graaf from Leiden, The Netherlands</t>
        </is>
      </c>
      <c r="G166" s="29" t="inlineStr">
        <is>
          <t>CC BY 2.0</t>
        </is>
      </c>
      <c r="H166" s="29" t="inlineStr">
        <is>
          <t>https://creativecommons.org/licenses/by/2.0/</t>
        </is>
      </c>
      <c r="I166" s="29" t="inlineStr">
        <is>
          <t>Creative Commons Attribution 2.0</t>
        </is>
      </c>
      <c r="J166" s="29" t="inlineStr">
        <is>
          <t>Ronald van der Graaf from Leiden, The Netherlands · CC BY 2.0 · Wikimedia Commons</t>
        </is>
      </c>
      <c r="K166" s="29" t="n"/>
      <c r="L166" s="49" t="n">
        <v>46317</v>
      </c>
      <c r="M166" s="29" t="inlineStr">
        <is>
          <t>Bekliyor</t>
        </is>
      </c>
      <c r="N166" s="29" t="inlineStr">
        <is>
          <t>Bekliyor</t>
        </is>
      </c>
      <c r="O166" s="29" t="inlineStr">
        <is>
          <t>Fotoğraflar/eindhoven_daf-museum_05.jpg</t>
        </is>
      </c>
      <c r="P166" s="29" t="inlineStr">
        <is>
          <t>Sergi salonunda yandan turuncu iki kapılı eski sedan otomobil; tavanda çelik makas kirişler, arkada korkuluklu platform ve ışıklı sergi panoları</t>
        </is>
      </c>
      <c r="Q166" s="29" t="inlineStr">
        <is>
          <t>Bekliyor</t>
        </is>
      </c>
      <c r="R166" s="29" t="inlineStr">
        <is>
          <t>Wikimedia Commons dosya sayfasındaki lisans: CC BY 2.0</t>
        </is>
      </c>
      <c r="S166" s="29" t="n"/>
      <c r="T166" s="29" t="n"/>
      <c r="U166" s="29" t="n"/>
      <c r="V166" s="29" t="n"/>
      <c r="W166" s="29" t="inlineStr">
        <is>
          <t>{"source_url": "https://commons.wikimedia.org/wiki/File:DAF_Museum,_Eindhoven_(16476776987).jpg", "author": "Ronald van der Graaf from Leiden, The Netherlands", "license": "CC BY 2.0", "license_url": "https://creativecommons.org/licenses/by/2.0/", "original_api_record": {"size": 5636096, "width": 6000, "height": 4000, "thumburl": "https://thumb.wikimedia.org/wikipedia/commons/thumb/b/ba/DAF_Museum%2C_Eindhoven_%2816476776987%29.jpg/1920px-DAF_Museum%2C_Eindhoven_%2816476776987%29.jpg?utm_source=commons.wikimedia.org&amp;utm_campaign=imageinfo&amp;utm_content=thumbnail", "thumbwidth": 1600, "thumbheight": 1067, "responsiveUrls": {"2": "https://thumb.wikimedia.org/wikipedia/commons/thumb/b/ba/DAF_Museum%2C_Eindhoven_%2816476776987%29.jpg/3840px-DAF_Museum%2C_Eindhoven_%2816476776987%29.jpg?utm_source=commons.wikimedia.org&amp;utm_campaign=imageinfo&amp;utm_content=thumbnail"}, "thumbattribs": {"src": "https://thumb.wikimedia.org/wikipedia/commons/thumb/b/ba/DAF_Museum%2C_Eindhoven_%2816476776987%29.jpg/1920px-DAF_Museum%2C_Eindhoven_%2816476776987%29.jpg?utm_source=commons.wikimedia.org&amp;utm_campaign=imageinfo&amp;utm_content=thumbnail", "decoding": "async", "loading": "lazy", "width": 1600, "height": 1067, "srcset": "https://thumb.wikimedia.org/wikipedia/commons/thumb/b/ba/DAF_Museum%2C_Eindhoven_%2816476776987%29.jpg/3840px-DAF_Museum%2C_Eindhoven_%2816476776987%29.jpg?utm_source=commons.wikimedia.org&amp;utm_campaign=imageinfo&amp;utm_content=thumbnail 2x"}, "url": "https://upload.wikimedia.org/wikipedia/commons/b/ba/DAF_Museum%2C_Eindhoven_%2816476776987%29.jpg?utm_source=commons.wikimedia.org&amp;utm_campaign=imageinfo&amp;utm_content=original", "descriptionurl": "https://commons.wikimedia.org/wiki/File:DAF_Museum,_Eindhoven_(16476776987).jpg", "descriptionshorturl": "https://commons.wikimedia.org/w/index.php?curid=63518814", "sha1": "93216a5b8ed7315575d829288df9990da2725738", "extmetadata": {"DateTime": {"value": "2017-10-22 08:19:09", "source": "mediawiki-metadata", "hidden": ""}, "ObjectName": {"value": "DAF Museum, Eindhoven (16476776987)", "source": "mediawiki-metadata"}, "CommonsMetadataExtension": {"value": 1.2, "source": "extension", "hidden": ""}, "Categories": {"value": "Flickr images reviewed by FlickreviewR|Automobiles in the DAF Museum|Photographs by Ronald van der Graaf", "source": "commons-categories", "hidden": ""}, "Assessments": {"value": "", "source": "commons-categories", "hidden": ""}, "ImageDescription": {"value": "DAF Musem, Eindhoven", "source": "commons-desc-page"}, "DateTimeOriginal": {"value": "2015-02-28 15:39", "source": "commons-desc-page"}, "Credit": {"value": "&lt;a rel=\"nofollow\" class=\"external text\" href=\"https://www.flickr.com/photos/ronaldc5/16476776987/\"&gt;DAF Musem, Eindhoven&lt;/a&gt;", "source": "commons-desc-page"}, "Artist": {"value": "&lt;a rel=\"nofollow\" class=\"external text\" href=\"https://www.flickr.com/people/91830216@N03\"&gt;Ronald van der Graaf&lt;/a&gt; from Leiden, The Netherlands",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"https://thumb.wikimedia.org/wikipedia/commons/thumb/b/ba/DAF_Museum%2C_Eindhoven_%2816476776987%29.jpg/1280px-DAF_Museum%2C_Eindhoven_%2816476776987%29.jpg"}, "retrieved_on": "2026-10-23"}</t>
        </is>
      </c>
    </row>
    <row r="167" ht="54" customHeight="1">
      <c r="A167" s="29" t="inlineStr">
        <is>
          <t>eindhoven:evidence:henri-dunantpark-04</t>
        </is>
      </c>
      <c r="B167" s="29" t="inlineStr">
        <is>
          <t>eindhoven</t>
        </is>
      </c>
      <c r="C167" s="29" t="inlineStr">
        <is>
          <t>eindhoven:photo:henri-dunantpark-04</t>
        </is>
      </c>
      <c r="D167" s="29" t="inlineStr">
        <is>
          <t>https://commons.wikimedia.org/wiki/File:Speelpark_De_Splinter_(2025)_(3).jpg</t>
        </is>
      </c>
      <c r="E167" s="29" t="inlineStr">
        <is>
          <t>File:Speelpark De Splinter (2025) (3).jpg</t>
        </is>
      </c>
      <c r="F167" s="29" t="inlineStr">
        <is>
          <t>S. Perquin</t>
        </is>
      </c>
      <c r="G167" s="29" t="inlineStr">
        <is>
          <t>CC BY-SA 4.0</t>
        </is>
      </c>
      <c r="H167" s="29" t="inlineStr">
        <is>
          <t>https://creativecommons.org/licenses/by-sa/4.0/</t>
        </is>
      </c>
      <c r="I167" s="29" t="inlineStr">
        <is>
          <t>Creative Commons Attribution-Share Alike 4.0</t>
        </is>
      </c>
      <c r="J167" s="29" t="inlineStr">
        <is>
          <t>S. Perquin · CC BY-SA 4.0 · Wikimedia Commons</t>
        </is>
      </c>
      <c r="K167" s="29" t="n"/>
      <c r="L167" s="49" t="n">
        <v>46317</v>
      </c>
      <c r="M167" s="29" t="inlineStr">
        <is>
          <t>Bekliyor</t>
        </is>
      </c>
      <c r="N167" s="29" t="inlineStr">
        <is>
          <t>Bekliyor</t>
        </is>
      </c>
      <c r="O167" s="29" t="inlineStr">
        <is>
          <t>Fotoğraflar/eindhoven_henri-dunantpark_04.jpg</t>
        </is>
      </c>
      <c r="P167" s="29" t="inlineStr">
        <is>
          <t>Suyu boşaltılmış su oyun alanı: mor ahtapot biçimli kaydıraklar, mavi oyun öğesi, sarı korkuluk; önde taş döşeli zemin, arkada ağaçlar</t>
        </is>
      </c>
      <c r="Q167" s="29" t="inlineStr">
        <is>
          <t>Bekliyor</t>
        </is>
      </c>
      <c r="R167" s="29" t="inlineStr">
        <is>
          <t>Wikimedia Commons dosya sayfasındaki lisans: CC BY-SA 4.0</t>
        </is>
      </c>
      <c r="S167" s="29" t="n"/>
      <c r="T167" s="29" t="n"/>
      <c r="U167" s="29" t="n"/>
      <c r="V167" s="29" t="n"/>
      <c r="W167" s="29" t="inlineStr">
        <is>
          <t>{"source_url": "https://commons.wikimedia.org/wiki/File:Speelpark_De_Splinter_(2025)_(3).jpg", "author": "S. Perquin", "license": "CC BY-SA 4.0", "license_url": "https://creativecommons.org/licenses/by-sa/4.0/", "original_api_record": {"size": 6420116, "width": 6000, "height": 4000, "thumburl": "https://thumb.wikimedia.org/wikipedia/commons/thumb/a/a2/Speelpark_De_Splinter_%282025%29_%283%29.jpg/1920px-Speelpark_De_Splinter_%282025%29_%283%29.jpg?utm_source=commons.wikimedia.org&amp;utm_campaign=imageinfo&amp;utm_content=thumbnail", "thumbwidth": 1600, "thumbheight": 1067, "responsiveUrls": {"2": "https://thumb.wikimedia.org/wikipedia/commons/thumb/a/a2/Speelpark_De_Splinter_%282025%29_%283%29.jpg/3840px-Speelpark_De_Splinter_%282025%29_%283%29.jpg?utm_source=commons.wikimedia.org&amp;utm_campaign=imageinfo&amp;utm_content=thumbnail"}, "thumbattribs": {"src": "https://thumb.wikimedia.org/wikipedia/commons/thumb/a/a2/Speelpark_De_Splinter_%282025%29_%283%29.jpg/1920px-Speelpark_De_Splinter_%282025%29_%283%29.jpg?utm_source=commons.wikimedia.org&amp;utm_campaign=imageinfo&amp;utm_content=thumbnail", "decoding": "async", "loading": "lazy", "width": 1600, "height": 1067, "srcset": "https://thumb.wikimedia.org/wikipedia/commons/thumb/a/a2/Speelpark_De_Splinter_%282025%29_%283%29.jpg/3840px-Speelpark_De_Splinter_%282025%29_%283%29.jpg?utm_source=commons.wikimedia.org&amp;utm_campaign=imageinfo&amp;utm_content=thumbnail 2x"}, "url": "https://upload.wikimedia.org/wikipedia/commons/a/a2/Speelpark_De_Splinter_%282025%29_%283%29.jpg?utm_source=commons.wikimedia.org&amp;utm_campaign=imageinfo&amp;utm_content=original", "descriptionurl": "https://commons.wikimedia.org/wiki/File:Speelpark_De_Splinter_(2025)_(3).jpg", "descriptionshorturl": "https://commons.wikimedia.org/w/index.php?curid=165373521", "sha1": "9fe18d5093546d15a53179dd23184c77f0504c57", "extmetadata": {"DateTime": {"value": "2025-05-16 09:59:16", "source": "mediawiki-metadata", "hidden": ""}, "ObjectName": {"value": "Speelpark De Splinter (2025) (3)",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10:12:33",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"https://thumb.wikimedia.org/wikipedia/commons/thumb/a/a2/Speelpark_De_Splinter_%282025%29_%283%29.jpg/1280px-Speelpark_De_Splinter_%282025%29_%283%29.jpg"}, "retrieved_on": "2026-10-23"}</t>
        </is>
      </c>
    </row>
    <row r="168" ht="54" customHeight="1">
      <c r="A168" s="29" t="inlineStr">
        <is>
          <t>eindhoven:evidence:catharinakerkhof-04</t>
        </is>
      </c>
      <c r="B168" s="29" t="inlineStr">
        <is>
          <t>eindhoven</t>
        </is>
      </c>
      <c r="C168" s="29" t="inlineStr">
        <is>
          <t>eindhoven:photo:catharinakerkhof-04</t>
        </is>
      </c>
      <c r="D168" s="29" t="inlineStr">
        <is>
          <t>https://commons.wikimedia.org/wiki/File:Gedeelte_van_de_ommuring_van_de_begraafplaats_-_Eindhoven_-_20410901_-_RCE.jpg</t>
        </is>
      </c>
      <c r="E168" s="29" t="inlineStr">
        <is>
          <t>File:Gedeelte van de ommuring van de begraafplaats - Eindhoven - 20410901 - RCE.jpg</t>
        </is>
      </c>
      <c r="F168" s="29" t="inlineStr">
        <is>
          <t>Sergé Technau</t>
        </is>
      </c>
      <c r="G168" s="29" t="inlineStr">
        <is>
          <t>CC BY-SA 4.0</t>
        </is>
      </c>
      <c r="H168" s="29" t="inlineStr">
        <is>
          <t>https://creativecommons.org/licenses/by-sa/4.0/</t>
        </is>
      </c>
      <c r="I168" s="29" t="inlineStr">
        <is>
          <t>Creative Commons Attribution-Share Alike 4.0</t>
        </is>
      </c>
      <c r="J168" s="29" t="inlineStr">
        <is>
          <t>Sergé Technau · CC BY-SA 4.0 · Wikimedia Commons</t>
        </is>
      </c>
      <c r="K168" s="29" t="n"/>
      <c r="L168" s="49" t="n">
        <v>46317</v>
      </c>
      <c r="M168" s="29" t="inlineStr">
        <is>
          <t>Bekliyor</t>
        </is>
      </c>
      <c r="N168" s="29" t="inlineStr">
        <is>
          <t>Bekliyor</t>
        </is>
      </c>
      <c r="O168" s="29" t="inlineStr">
        <is>
          <t>Fotoğraflar/eindhoven_catharinakerkhof_04.jpg</t>
        </is>
      </c>
      <c r="P168" s="29" t="inlineStr">
        <is>
          <t>Mezarlığın dış tuğla duvarı, sağda fener başlıklı tuğla köşe ayağı, solda sivri kemer kapılı küçük tuğla yapılar; önde zincir bariyer, taş döşeli yol, çıplak ağaçlar</t>
        </is>
      </c>
      <c r="Q168" s="29" t="inlineStr">
        <is>
          <t>Bekliyor</t>
        </is>
      </c>
      <c r="R168" s="29" t="inlineStr">
        <is>
          <t>Wikimedia Commons dosya sayfasındaki lisans: CC BY-SA 4.0</t>
        </is>
      </c>
      <c r="S168" s="29" t="n"/>
      <c r="T168" s="29" t="n"/>
      <c r="U168" s="29" t="n"/>
      <c r="V168" s="29" t="n"/>
      <c r="W168" s="29" t="inlineStr">
        <is>
          <t>{"source_url": "https://commons.wikimedia.org/wiki/File:Gedeelte_van_de_ommuring_van_de_begraafplaats_-_Eindhoven_-_20410901_-_RCE.jpg", "author": "Sergé Technau", "license": "CC BY-SA 4.0", "license_url": "https://creativecommons.org/licenses/by-sa/4.0/", "original_api_record": {"size": 2065821, "width": 3543, "height": 2362, "thumburl": "https://thumb.wikimedia.org/wikipedia/commons/thumb/7/7e/Gedeelte_van_de_ommuring_van_de_begraafplaats_-_Eindhoven_-_20410901_-_RCE.jpg/1920px-Gedeelte_van_de_ommuring_van_de_begraafplaats_-_Eindhoven_-_20410901_-_RCE.jpg?utm_source=commons.wikimedia.org&amp;utm_campaign=imageinfo&amp;utm_content=thumbnail", "thumbwidth": 1600, "thumbheight": 1067, "responsiveUrls": {"2": "https://upload.wikimedia.org/wikipedia/commons/7/7e/Gedeelte_van_de_ommuring_van_de_begraafplaats_-_Eindhoven_-_20410901_-_RCE.jpg?utm_source=commons.wikimedia.org&amp;utm_campaign=imageinfo&amp;utm_content=thumbnail_unscaled"}, "thumbattribs": {"src": "https://thumb.wikimedia.org/wikipedia/commons/thumb/7/7e/Gedeelte_van_de_ommuring_van_de_begraafplaats_-_Eindhoven_-_20410901_-_RCE.jpg/1920px-Gedeelte_van_de_ommuring_van_de_begraafplaats_-_Eindhoven_-_20410901_-_RCE.jpg?utm_source=commons.wikimedia.org&amp;utm_campaign=imageinfo&amp;utm_content=thumbnail", "decoding": "async", "loading": "lazy", "width": 1600, "height": 1067, "srcset": "https://upload.wikimedia.org/wikipedia/commons/7/7e/Gedeelte_van_de_ommuring_van_de_begraafplaats_-_Eindhoven_-_20410901_-_RCE.jpg?utm_source=commons.wikimedia.org&amp;utm_campaign=imageinfo&amp;utm_content=thumbnail_unscaled 2x"}, "url": "https://upload.wikimedia.org/wikipedia/commons/7/7e/Gedeelte_van_de_ommuring_van_de_begraafplaats_-_Eindhoven_-_20410901_-_RCE.jpg?utm_source=commons.wikimedia.org&amp;utm_campaign=imageinfo&amp;utm_content=original", "descriptionurl": "https://commons.wikimedia.org/wiki/File:Gedeelte_van_de_ommuring_van_de_begraafplaats_-_Eindhoven_-_20410901_-_RCE.jpg", "descriptionshorturl": "https://commons.wikimedia.org/w/index.php?curid=24115003", "sha1": "4630b0d4a42eae1b87b6be45da984e34e7aadd8b", "extmetadata": {"DateTime": {"value": "2024-11-30 12:38:02", "source": "mediawiki-metadata", "hidden": ""}, "ObjectName": {"value": "Gedeelte van de ommuring van de begraafplaats - Eindhoven - 20410901 - RCE", "source": "mediawiki-metadata"}, "CommonsMetadataExtension": {"value": 1.2, "source": "extension", "hidden": ""}, "Categories": {"value": "Images from the Rijksdienst voor het Cultureel Erfgoed|Begraafplaats Catharinakerk (Eindhoven)|Rijksmonumenten with known IDs|Buildings with addresses|2008 in Eindhoven|Rijksmonumentcomplexen with known IDs|Netherlands photographs taken on 2008-01-04|Photographs by Sergé Technau", "source": "commons-categories", "hidden": ""}, "Assessments": {"value": "", "source": "commons-categories", "hidden": ""}, "ImageDescription": {"value": "This is an image of &lt;a href=\"https://en.wikipedia.org/wiki/Rijksmonument\" class=\"extiw\" title=\"en:Rijksmonument\"&gt;rijksmonumentcomplex&lt;/a&gt; number", "source": "commons-desc-page"}, "DateTimeOriginal": {"value": "2008-01-04", "source": "commons-desc-page"}, "Credit": {"value": "&lt;a rel=\"nofollow\" class=\"external text\" href=\"http://beeldbank.cultureelerfgoed.nl/alle-afbeeldingen/?mode=gallery&amp;amp;view=horizontal&amp;amp;q=20410901\"&gt;Rijksdienst voor het Cultureel Erfgoed&lt;/a&gt;", "source": "commons-desc-page"}, "Artist": {"value": "&lt;bdi&gt;&lt;a href=\"https://www.wikidata.org/wiki/Q100423837\" class=\"extiw\" title=\"d:Q100423837\"&gt;&lt;span title=\"Dutch photographer\"&gt;Sergé Technau&lt;/span&gt;&lt;/a&gt;&lt;/bdi&gt;",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"https://thumb.wikimedia.org/wikipedia/commons/thumb/7/7e/Gedeelte_van_de_ommuring_van_de_begraafplaats_-_Eindhoven_-_20410901_-_RCE.jpg/1280px-Gedeelte_van_de_ommuring_van_de_begraafplaats_-_Eindhoven_-_20410901_-_RCE.jpg"}, "retrieved_on": "2026-10-23"}</t>
        </is>
      </c>
    </row>
    <row r="169" ht="54" customHeight="1">
      <c r="A169" s="29" t="inlineStr">
        <is>
          <t>eindhoven:evidence:huize-de-laak-04</t>
        </is>
      </c>
      <c r="B169" s="29" t="inlineStr">
        <is>
          <t>eindhoven</t>
        </is>
      </c>
      <c r="C169" s="29" t="inlineStr">
        <is>
          <t>eindhoven:photo:huize-de-laak-04</t>
        </is>
      </c>
      <c r="D169" s="29" t="inlineStr">
        <is>
          <t>https://commons.wikimedia.org/wiki/File:Dubbele_dienstwoning_Huize_De_Laak_(2026).jpg</t>
        </is>
      </c>
      <c r="E169" s="29" t="inlineStr">
        <is>
          <t>File:Dubbele dienstwoning Huize De Laak (2026).jpg</t>
        </is>
      </c>
      <c r="F169" s="29" t="inlineStr">
        <is>
          <t>Perquirius</t>
        </is>
      </c>
      <c r="G169" s="29" t="inlineStr">
        <is>
          <t>CC BY-SA 4.0</t>
        </is>
      </c>
      <c r="H169" s="29" t="inlineStr">
        <is>
          <t>https://creativecommons.org/licenses/by-sa/4.0/</t>
        </is>
      </c>
      <c r="I169" s="29" t="inlineStr">
        <is>
          <t>Creative Commons Attribution-Share Alike 4.0</t>
        </is>
      </c>
      <c r="J169" s="29" t="inlineStr">
        <is>
          <t>Perquirius · CC BY-SA 4.0 · Wikimedia Commons</t>
        </is>
      </c>
      <c r="K169" s="29" t="n"/>
      <c r="L169" s="49" t="n">
        <v>46317</v>
      </c>
      <c r="M169" s="29" t="inlineStr">
        <is>
          <t>Bekliyor</t>
        </is>
      </c>
      <c r="N169" s="29" t="inlineStr">
        <is>
          <t>Bekliyor</t>
        </is>
      </c>
      <c r="O169" s="29" t="inlineStr">
        <is>
          <t>Fotoğraflar/eindhoven_huize-de-laak_04.jpg</t>
        </is>
      </c>
      <c r="P169" s="29" t="inlineStr">
        <is>
          <t>Gri dik çatılı, çatı pencereli ve iki yüksek bacalı uzun tuğla çift konut; iki yeşil kapı, yeşil kepenkler, önde demir çit, kızıl yapraklı çit ve sokak lambası</t>
        </is>
      </c>
      <c r="Q169" s="29" t="inlineStr">
        <is>
          <t>Bekliyor</t>
        </is>
      </c>
      <c r="R169" s="29" t="inlineStr">
        <is>
          <t>Wikimedia Commons dosya sayfasındaki lisans: CC BY-SA 4.0</t>
        </is>
      </c>
      <c r="S169" s="29" t="n"/>
      <c r="T169" s="29" t="n"/>
      <c r="U169" s="29" t="n"/>
      <c r="V169" s="29" t="n"/>
      <c r="W169" s="29" t="inlineStr">
        <is>
          <t>{"source_url": "https://commons.wikimedia.org/wiki/File:Dubbele_dienstwoning_Huize_De_Laak_(2026).jpg", "author": "Perquirius", "license": "CC BY-SA 4.0", "license_url": "https://creativecommons.org/licenses/by-sa/4.0/", "original_api_record": {"size": 6171498, "width": 6000, "height": 4000, "thumburl": "https://thumb.wikimedia.org/wikipedia/commons/thumb/e/e7/Dubbele_dienstwoning_Huize_De_Laak_%282026%29.jpg/1920px-Dubbele_dienstwoning_Huize_De_Laak_%282026%29.jpg?utm_source=commons.wikimedia.org&amp;utm_campaign=imageinfo&amp;utm_content=thumbnail", "thumbwidth": 1600, "thumbheight": 1067, "responsiveUrls": {"2": "https://thumb.wikimedia.org/wikipedia/commons/thumb/e/e7/Dubbele_dienstwoning_Huize_De_Laak_%282026%29.jpg/3840px-Dubbele_dienstwoning_Huize_De_Laak_%282026%29.jpg?utm_source=commons.wikimedia.org&amp;utm_campaign=imageinfo&amp;utm_content=thumbnail"}, "thumbattribs": {"src": "https://thumb.wikimedia.org/wikipedia/commons/thumb/e/e7/Dubbele_dienstwoning_Huize_De_Laak_%282026%29.jpg/1920px-Dubbele_dienstwoning_Huize_De_Laak_%282026%29.jpg?utm_source=commons.wikimedia.org&amp;utm_campaign=imageinfo&amp;utm_content=thumbnail", "decoding": "async", "loading": "lazy", "width": 1600, "height": 1067, "srcset": "https://thumb.wikimedia.org/wikipedia/commons/thumb/e/e7/Dubbele_dienstwoning_Huize_De_Laak_%282026%29.jpg/3840px-Dubbele_dienstwoning_Huize_De_Laak_%282026%29.jpg?utm_source=commons.wikimedia.org&amp;utm_campaign=imageinfo&amp;utm_content=thumbnail 2x"}, "url": "https://upload.wikimedia.org/wikipedia/commons/e/e7/Dubbele_dienstwoning_Huize_De_Laak_%282026%29.jpg?utm_source=commons.wikimedia.org&amp;utm_campaign=imageinfo&amp;utm_content=original", "descriptionurl": "https://commons.wikimedia.org/wiki/File:Dubbele_dienstwoning_Huize_De_Laak_(2026).jpg", "descriptionshorturl": "https://commons.wikimedia.org/w/index.php?curid=182967612", "sha1": "f4f539132c8b9b25ede6a84bd630c7cdbcbf00de", "extmetadata": {"DateTime": {"value": "2026-02-02 20:02:36", "source": "mediawiki-metadata", "hidden": ""}, "ObjectName": {"value": "Dubbele dienstwoning Huize De Laak (2026)", "source": "mediawiki-metadata"}, "CommonsMetadataExtension": {"value": 1.2, "source": "extension", "hidden": ""}, "Categories": {"value": "Self-published work|2026 in Eindhoven|Photographs by S. Perquin|2026 photographs by S. Perquin|Photographs by S. Perquin in Eindhoven|Huize De Laak, staff residences|North Brabant photographs taken on 2026-02-02", "source": "commons-categories", "hidden": ""}, "Assessments": {"value": "", "source": "commons-categories", "hidden": ""}, "ImageDescription": {"value": "De dubbele dienstwoning van Huize De Laak te Eindhoven.", "source": "commons-desc-page"}, "DateTimeOriginal": {"value": "2026-02-02 13:31:01", "source": "commons-desc-page"}, "Credit": {"value": "&lt;span class=\"int-own-work\" lang=\"en\"&gt;Own work&lt;/span&gt;", "source": "commons-desc-page"}, "Artist": {"value": "&lt;a href=\"//commons.wikimedia.org/wiki/User:Perquirius\" title=\"User:Perquirius\"&gt;Perquirius&lt;/a&gt;",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"https://thumb.wikimedia.org/wikipedia/commons/thumb/e/e7/Dubbele_dienstwoning_Huize_De_Laak_%282026%29.jpg/1280px-Dubbele_dienstwoning_Huize_De_Laak_%282026%29.jpg"}, "retrieved_on": "2026-10-23"}</t>
        </is>
      </c>
    </row>
    <row r="170" ht="54" customHeight="1">
      <c r="A170" s="29" t="inlineStr">
        <is>
          <t>eindhoven:evidence:huize-de-laak-05</t>
        </is>
      </c>
      <c r="B170" s="29" t="inlineStr">
        <is>
          <t>eindhoven</t>
        </is>
      </c>
      <c r="C170" s="29" t="inlineStr">
        <is>
          <t>eindhoven:photo:huize-de-laak-05</t>
        </is>
      </c>
      <c r="D170" s="29" t="inlineStr">
        <is>
          <t>https://commons.wikimedia.org/wiki/File:Koetshuis_DeLaakEindhoven_Rijksmonument518760.jpg</t>
        </is>
      </c>
      <c r="E170" s="29" t="inlineStr">
        <is>
          <t>File:Koetshuis DeLaakEindhoven Rijksmonument518760.jpg</t>
        </is>
      </c>
      <c r="F170" s="29" t="inlineStr">
        <is>
          <t>Mark Bergsma</t>
        </is>
      </c>
      <c r="G170" s="29" t="inlineStr">
        <is>
          <t>CC BY-SA 3.0</t>
        </is>
      </c>
      <c r="H170" s="29" t="inlineStr">
        <is>
          <t>https://creativecommons.org/licenses/by-sa/3.0/</t>
        </is>
      </c>
      <c r="I170" s="29" t="inlineStr">
        <is>
          <t>Creative Commons Attribution-Share Alike 3.0</t>
        </is>
      </c>
      <c r="J170" s="29" t="inlineStr">
        <is>
          <t>Mark Bergsma · CC BY-SA 3.0 · Wikimedia Commons</t>
        </is>
      </c>
      <c r="K170" s="29" t="n"/>
      <c r="L170" s="49" t="n">
        <v>46317</v>
      </c>
      <c r="M170" s="29" t="inlineStr">
        <is>
          <t>Bekliyor</t>
        </is>
      </c>
      <c r="N170" s="29" t="inlineStr">
        <is>
          <t>Bekliyor</t>
        </is>
      </c>
      <c r="O170" s="29" t="inlineStr">
        <is>
          <t>Fotoğraflar/eindhoven_huize-de-laak_05.jpg</t>
        </is>
      </c>
      <c r="P170" s="29" t="inlineStr">
        <is>
          <t>Ferforje kapı ardında iki bacalı tuğla arabalık: ortada büyük kemerli koyu kapı, yanlarda oval pencereler, üstte yuvarlak pencereli alınlık; önde çalılar ve çiçekler</t>
        </is>
      </c>
      <c r="Q170" s="29" t="inlineStr">
        <is>
          <t>Bekliyor</t>
        </is>
      </c>
      <c r="R170" s="29" t="inlineStr">
        <is>
          <t>Wikimedia Commons dosya sayfasındaki lisans: CC BY-SA 3.0</t>
        </is>
      </c>
      <c r="S170" s="29" t="n"/>
      <c r="T170" s="29" t="n"/>
      <c r="U170" s="29" t="n"/>
      <c r="V170" s="29" t="n"/>
      <c r="W170" s="29" t="inlineStr">
        <is>
          <t>{"source_url": "https://commons.wikimedia.org/wiki/File:Koetshuis_DeLaakEindhoven_Rijksmonument518760.jpg", "author": "Mark Bergsma", "license": "CC BY-SA 3.0", "license_url": "https://creativecommons.org/licenses/by-sa/3.0/", "original_api_record": {"size": 4370028, "width": 3968, "height": 2232, "thumburl": "https://thumb.wikimedia.org/wikipedia/commons/thumb/1/13/Koetshuis_DeLaakEindhoven_Rijksmonument518760.jpg/1920px-Koetshuis_DeLaakEindhoven_Rijksmonument518760.jpg?utm_source=commons.wikimedia.org&amp;utm_campaign=imageinfo&amp;utm_content=thumbnail", "thumbwidth": 1600, "thumbheight": 900, "responsiveUrls": {"2": "https://thumb.wikimedia.org/wikipedia/commons/thumb/1/13/Koetshuis_DeLaakEindhoven_Rijksmonument518760.jpg/3840px-Koetshuis_DeLaakEindhoven_Rijksmonument518760.jpg?utm_source=commons.wikimedia.org&amp;utm_campaign=imageinfo&amp;utm_content=thumbnail"}, "thumbattribs": {"src": "https://thumb.wikimedia.org/wikipedia/commons/thumb/1/13/Koetshuis_DeLaakEindhoven_Rijksmonument518760.jpg/1920px-Koetshuis_DeLaakEindhoven_Rijksmonument518760.jpg?utm_source=commons.wikimedia.org&amp;utm_campaign=imageinfo&amp;utm_content=thumbnail", "decoding": "async", "loading": "lazy", "width": 1600, "height": 900, "srcset": "https://thumb.wikimedia.org/wikipedia/commons/thumb/1/13/Koetshuis_DeLaakEindhoven_Rijksmonument518760.jpg/3840px-Koetshuis_DeLaakEindhoven_Rijksmonument518760.jpg?utm_source=commons.wikimedia.org&amp;utm_campaign=imageinfo&amp;utm_content=thumbnail 2x"}, "url": "https://upload.wikimedia.org/wikipedia/commons/1/13/Koetshuis_DeLaakEindhoven_Rijksmonument518760.jpg?utm_source=commons.wikimedia.org&amp;utm_campaign=imageinfo&amp;utm_content=original", "descriptionurl": "https://commons.wikimedia.org/wiki/File:Koetshuis_DeLaakEindhoven_Rijksmonument518760.jpg", "descriptionshorturl": "https://commons.wikimedia.org/w/index.php?curid=7857731", "sha1": "f0176d0f26407487c943467e9915745307e44c92", "extmetadata": {"DateTime": {"value": "2009-09-20 19:44:00", "source": "mediawiki-metadata", "hidden": ""}, "ObjectName": {"value": "Koetshuis DeLaakEindhoven Rijksmonument518760", "source": "mediawiki-metadata"}, "CommonsMetadataExtension": {"value": 1.2, "source": "extension", "hidden": ""}, "Categories": {"value": "GFDL|Taken with Panasonic Lumix DMC-LX3|License migration redundant|Self-published work|Rijksmonumenten with known IDs|2009 in Eindhoven|Huize De Laak, carriage house", "source": "commons-categories", "hidden": ""}, "Assessments": {"value": "", "source": "commons-categories", "hidden": ""}, "GPSLatitude": {"value": "51.439926", "source": "commons-desc-page"}, "GPSLongitude": {"value": "5.487175", "source": "commons-desc-page"}, "GPSMapDatum": {"value": "WGS-84", "source": "commons-desc-page", "hidden": ""}, "ImageDescription": {"value": "Koetshuis bij Villa De Laak in Eindhoven, Nederlands rijksmonument nr 518760", "source": "commons-desc-page"}, "DateTimeOriginal": {"value": "2009-09-20",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"https://thumb.wikimedia.org/wikipedia/commons/thumb/1/13/Koetshuis_DeLaakEindhoven_Rijksmonument518760.jpg/1280px-Koetshuis_DeLaakEindhoven_Rijksmonument518760.jpg"}, "retrieved_on": "2026-10-23"}</t>
        </is>
      </c>
    </row>
    <row r="171" ht="54" customHeight="1">
      <c r="A171" s="29" t="inlineStr">
        <is>
          <t>eindhoven:evidence:centrum-bolgesi-04</t>
        </is>
      </c>
      <c r="B171" s="29" t="inlineStr">
        <is>
          <t>eindhoven</t>
        </is>
      </c>
      <c r="C171" s="29" t="inlineStr">
        <is>
          <t>eindhoven:photo:centrum-bolgesi-04</t>
        </is>
      </c>
      <c r="D171" s="29" t="inlineStr">
        <is>
          <t>https://commons.wikimedia.org/wiki/File:Eindhoven_Centrum_023.JPG</t>
        </is>
      </c>
      <c r="E171" s="29" t="inlineStr">
        <is>
          <t>File:Eindhoven Centrum 023.JPG</t>
        </is>
      </c>
      <c r="F171" s="29" t="inlineStr">
        <is>
          <t>G.Lanting</t>
        </is>
      </c>
      <c r="G171" s="29" t="inlineStr">
        <is>
          <t>CC BY-SA 3.0</t>
        </is>
      </c>
      <c r="H171" s="29" t="inlineStr">
        <is>
          <t>https://creativecommons.org/licenses/by-sa/3.0/</t>
        </is>
      </c>
      <c r="I171" s="29" t="inlineStr">
        <is>
          <t>Creative Commons Attribution-Share Alike 3.0</t>
        </is>
      </c>
      <c r="J171" s="29" t="inlineStr">
        <is>
          <t>G.Lanting · CC BY-SA 3.0 · Wikimedia Commons</t>
        </is>
      </c>
      <c r="K171" s="29" t="n"/>
      <c r="L171" s="49" t="n">
        <v>46317</v>
      </c>
      <c r="M171" s="29" t="inlineStr">
        <is>
          <t>Bekliyor</t>
        </is>
      </c>
      <c r="N171" s="29" t="inlineStr">
        <is>
          <t>Bekliyor</t>
        </is>
      </c>
      <c r="O171" s="29" t="inlineStr">
        <is>
          <t>Fotoğraflar/eindhoven_centrum-bolgesi_04.jpg</t>
        </is>
      </c>
      <c r="P171" s="29" t="inlineStr">
        <is>
          <t>Gümüş grisi üçgen desenli kaplamalı yuvarlak hatlı büyük bina; cephede iri oval cam açıklıklar, yeşil 'SALE' yazısı, önde sokak lambası ve yol; bulutlu hava</t>
        </is>
      </c>
      <c r="Q171" s="29" t="inlineStr">
        <is>
          <t>Bekliyor</t>
        </is>
      </c>
      <c r="R171" s="29" t="inlineStr">
        <is>
          <t>Wikimedia Commons dosya sayfasındaki lisans: CC BY-SA 3.0</t>
        </is>
      </c>
      <c r="S171" s="29" t="n"/>
      <c r="T171" s="29" t="n"/>
      <c r="U171" s="29" t="n"/>
      <c r="V171" s="29" t="n"/>
      <c r="W171" s="29" t="inlineStr">
        <is>
          <t>{"source_url": "https://commons.wikimedia.org/wiki/File:Eindhoven_Centrum_023.JPG", "author": "G.Lanting", "license": "CC BY-SA 3.0", "license_url": "https://creativecommons.org/licenses/by-sa/3.0/", "original_api_record": {"size": 3992653, "width": 3640, "height": 2762, "thumburl": "https://thumb.wikimedia.org/wikipedia/commons/thumb/8/83/Eindhoven_Centrum_023.JPG/1920px-Eindhoven_Centrum_023.JPG?utm_source=commons.wikimedia.org&amp;utm_campaign=imageinfo&amp;utm_content=thumbnail", "thumbwidth": 1600, "thumbheight": 1214, "responsiveUrls": {"2": "https://upload.wikimedia.org/wikipedia/commons/8/83/Eindhoven_Centrum_023.JPG?utm_source=commons.wikimedia.org&amp;utm_campaign=imageinfo&amp;utm_content=thumbnail_unscaled"}, "thumbattribs": {"src": "https://thumb.wikimedia.org/wikipedia/commons/thumb/8/83/Eindhoven_Centrum_023.JPG/1920px-Eindhoven_Centrum_023.JPG?utm_source=commons.wikimedia.org&amp;utm_campaign=imageinfo&amp;utm_content=thumbnail", "decoding": "async", "loading": "lazy", "width": 1600, "height": 1214, "srcset": "https://upload.wikimedia.org/wikipedia/commons/8/83/Eindhoven_Centrum_023.JPG?utm_source=commons.wikimedia.org&amp;utm_campaign=imageinfo&amp;utm_content=thumbnail_unscaled 2x"}, "url": "https://upload.wikimedia.org/wikipedia/commons/8/83/Eindhoven_Centrum_023.JPG?utm_source=commons.wikimedia.org&amp;utm_campaign=imageinfo&amp;utm_content=original", "descriptionurl": "https://commons.wikimedia.org/wiki/File:Eindhoven_Centrum_023.JPG", "descriptionshorturl": "https://commons.wikimedia.org/w/index.php?curid=30580502", "sha1": "38788ce2f304340e0d966ea3fce7a8873b46d382", "extmetadata": {"DateTime": {"value": "2014-01-11 20:54:45", "source": "mediawiki-metadata", "hidden": ""}, "ObjectName": {"value": "Eindhoven Centrum 023", "source": "mediawiki-metadata"}, "CommonsMetadataExtension": {"value": 1.2, "source": "extension", "hidden": ""}, "Categories": {"value": "Taken with Fujifilm X10|Eindhoven Centrum|Self-published work|2011 in Eindhoven|Netherlands photographs taken on 2011-05-09", "source": "commons-categories", "hidden": ""}, "Assessments": {"value": "", "source": "commons-categories", "hidden": ""}, "ImageDescription": {"value": "Eindhoven Centrum", "source": "commons-desc-page"}, "DateTimeOriginal": {"value": "2011-05-09 16:03:00", "source": "commons-desc-page"}, "Credit": {"value": "&lt;span class=\"int-own-work\" lang=\"en\"&gt;Own work&lt;/span&gt;", "source": "commons-desc-page"}, "Artist": {"value": "&lt;a href=\"//commons.wikimedia.org/wiki/User:G.Lanting\" title=\"User:G.Lanting\"&gt;G.Lanting&lt;/a&gt;",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"https://thumb.wikimedia.org/wikipedia/commons/thumb/8/83/Eindhoven_Centrum_023.JPG/1280px-Eindhoven_Centrum_023.JPG"}, "retrieved_on": "2026-10-23"}</t>
        </is>
      </c>
    </row>
    <row r="172" ht="54" customHeight="1">
      <c r="A172" s="29" t="inlineStr">
        <is>
          <t>eindhoven:evidence:stadswandelpark-04</t>
        </is>
      </c>
      <c r="B172" s="29" t="inlineStr">
        <is>
          <t>eindhoven</t>
        </is>
      </c>
      <c r="C172" s="29" t="inlineStr">
        <is>
          <t>eindhoven:photo:stadswandelpark-04</t>
        </is>
      </c>
      <c r="D172" s="29" t="inlineStr">
        <is>
          <t>https://commons.wikimedia.org/wiki/File:0772_WN011_Stadswandelpark_Eindhoven.jpg</t>
        </is>
      </c>
      <c r="E172" s="29" t="inlineStr">
        <is>
          <t>File:0772 WN011 Stadswandelpark Eindhoven.jpg</t>
        </is>
      </c>
      <c r="F172" s="29" t="inlineStr">
        <is>
          <t>Rosemoon</t>
        </is>
      </c>
      <c r="G172" s="29" t="inlineStr">
        <is>
          <t>CC BY-SA 4.0</t>
        </is>
      </c>
      <c r="H172" s="29" t="inlineStr">
        <is>
          <t>https://creativecommons.org/licenses/by-sa/4.0/</t>
        </is>
      </c>
      <c r="I172" s="29" t="inlineStr">
        <is>
          <t>Creative Commons Attribution-Share Alike 4.0</t>
        </is>
      </c>
      <c r="J172" s="29" t="inlineStr">
        <is>
          <t>Rosemoon · CC BY-SA 4.0 · Wikimedia Commons</t>
        </is>
      </c>
      <c r="K172" s="29" t="n"/>
      <c r="L172" s="49" t="n">
        <v>46317</v>
      </c>
      <c r="M172" s="29" t="inlineStr">
        <is>
          <t>Bekliyor</t>
        </is>
      </c>
      <c r="N172" s="29" t="inlineStr">
        <is>
          <t>Bekliyor</t>
        </is>
      </c>
      <c r="O172" s="29" t="inlineStr">
        <is>
          <t>Fotoğraflar/eindhoven_stadswandelpark_04.jpg</t>
        </is>
      </c>
      <c r="P172" s="29" t="inlineStr">
        <is>
          <t>Önde yosunlu kalın ağaç gövdesi, çimende beyaz bahar çiçekleri, uzun çıplak ağaçlar arasında kıvrılan asfalt yol; arkada çalılar ve alçak tuğla yapı; insan yok</t>
        </is>
      </c>
      <c r="Q172" s="29" t="inlineStr">
        <is>
          <t>Bekliyor</t>
        </is>
      </c>
      <c r="R172" s="29" t="inlineStr">
        <is>
          <t>Wikimedia Commons dosya sayfasındaki lisans: CC BY-SA 4.0</t>
        </is>
      </c>
      <c r="S172" s="29" t="n"/>
      <c r="T172" s="29" t="n"/>
      <c r="U172" s="29" t="n"/>
      <c r="V172" s="29" t="n"/>
      <c r="W172" s="29" t="inlineStr">
        <is>
          <t>{"source_url": "https://commons.wikimedia.org/wiki/File:0772_WN011_Stadswandelpark_Eindhoven.jpg", "author": "Rosemoon", "license": "CC BY-SA 4.0", "license_url": "https://creativecommons.org/licenses/by-sa/4.0/", "original_api_record": {"size": 5596556, "width": 6000, "height": 4000, "thumburl": "https://thumb.wikimedia.org/wikipedia/commons/thumb/3/3c/0772_WN011_Stadswandelpark_Eindhoven.jpg/1920px-0772_WN011_Stadswandelpark_Eindhoven.jpg?utm_source=commons.wikimedia.org&amp;utm_campaign=imageinfo&amp;utm_content=thumbnail", "thumbwidth": 1600, "thumbheight": 1067, "responsiveUrls": {"2": "https://thumb.wikimedia.org/wikipedia/commons/thumb/3/3c/0772_WN011_Stadswandelpark_Eindhoven.jpg/3840px-0772_WN011_Stadswandelpark_Eindhoven.jpg?utm_source=commons.wikimedia.org&amp;utm_campaign=imageinfo&amp;utm_content=thumbnail"}, "thumbattribs": {"src": "https://thumb.wikimedia.org/wikipedia/commons/thumb/3/3c/0772_WN011_Stadswandelpark_Eindhoven.jpg/1920px-0772_WN011_Stadswandelpark_Eindhoven.jpg?utm_source=commons.wikimedia.org&amp;utm_campaign=imageinfo&amp;utm_content=thumbnail", "decoding": "async", "loading": "lazy", "width": 1600, "height": 1067, "srcset": "https://thumb.wikimedia.org/wikipedia/commons/thumb/3/3c/0772_WN011_Stadswandelpark_Eindhoven.jpg/3840px-0772_WN011_Stadswandelpark_Eindhoven.jpg?utm_source=commons.wikimedia.org&amp;utm_campaign=imageinfo&amp;utm_content=thumbnail 2x"}, "url": "https://upload.wikimedia.org/wikipedia/commons/3/3c/0772_WN011_Stadswandelpark_Eindhoven.jpg?utm_source=commons.wikimedia.org&amp;utm_campaign=imageinfo&amp;utm_content=original", "descriptionurl": "https://commons.wikimedia.org/wiki/File:0772_WN011_Stadswandelpark_Eindhoven.jpg", "descriptionshorturl": "https://commons.wikimedia.org/w/index.php?curid=88205792", "sha1": "48b66d7fe73d51a8f30194520f65eb600a39be23", "extmetadata": {"DateTime": {"value": "2020-03-17 11:05:12", "source": "mediawiki-metadata", "hidden": ""}, "ObjectName": {"value": "0772 WN011 Stadswandelpark Eindhoven", "source": "mediawiki-metadata"}, "CommonsMetadataExtension": {"value": 1.2, "source": "extension", "hidden": ""}, "Categories": {"value": "Stadswandelpark, Eindhoven|Self-published work|Gemeentelijke monumenten with known IDs|Uploaded via Campaign:wlm-nl-gemeente", "source": "commons-categories", "hidden": ""}, "Assessments": {"value": "", "source": "commons-categories", "hidden": ""}, "GPSLatitude": {"value": "51.427500", "source": "commons-desc-page"}, "GPSLongitude": {"value": "5.483082", "source": "commons-desc-page"}, "GPSMapDatum": {"value": "WGS-84", "source": "commons-desc-page", "hidden": ""}, "ImageDescription": {"value": "This is an image of a municipal monument in Eindhoven with number", "source": "commons-desc-page"}, "DateTimeOriginal": {"value": "2020-03-16 08:29:04",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"https://thumb.wikimedia.org/wikipedia/commons/thumb/3/3c/0772_WN011_Stadswandelpark_Eindhoven.jpg/1280px-0772_WN011_Stadswandelpark_Eindhoven.jpg"}, "retrieved_on": "2026-10-23"}</t>
        </is>
      </c>
    </row>
    <row r="173" ht="54" customHeight="1">
      <c r="A173" s="29" t="inlineStr">
        <is>
          <t>eindhoven:evidence:speelpark-de-splinter-04</t>
        </is>
      </c>
      <c r="B173" s="29" t="inlineStr">
        <is>
          <t>eindhoven</t>
        </is>
      </c>
      <c r="C173" s="29" t="inlineStr">
        <is>
          <t>eindhoven:photo:speelpark-de-splinter-04</t>
        </is>
      </c>
      <c r="D173" s="29" t="inlineStr">
        <is>
          <t>https://commons.wikimedia.org/wiki/File:Speelpark_De_Splinter_(2025)_(1).jpg</t>
        </is>
      </c>
      <c r="E173" s="29" t="inlineStr">
        <is>
          <t>File:Speelpark De Splinter (2025) (1).jpg</t>
        </is>
      </c>
      <c r="F173" s="29" t="inlineStr">
        <is>
          <t>S. Perquin</t>
        </is>
      </c>
      <c r="G173" s="29" t="inlineStr">
        <is>
          <t>CC BY-SA 4.0</t>
        </is>
      </c>
      <c r="H173" s="29" t="inlineStr">
        <is>
          <t>https://creativecommons.org/licenses/by-sa/4.0/</t>
        </is>
      </c>
      <c r="I173" s="29" t="inlineStr">
        <is>
          <t>Creative Commons Attribution-Share Alike 4.0</t>
        </is>
      </c>
      <c r="J173" s="29" t="inlineStr">
        <is>
          <t>S. Perquin · CC BY-SA 4.0 · Wikimedia Commons</t>
        </is>
      </c>
      <c r="K173" s="29" t="n"/>
      <c r="L173" s="49" t="n">
        <v>46317</v>
      </c>
      <c r="M173" s="29" t="inlineStr">
        <is>
          <t>Bekliyor</t>
        </is>
      </c>
      <c r="N173" s="29" t="inlineStr">
        <is>
          <t>Bekliyor</t>
        </is>
      </c>
      <c r="O173" s="29" t="inlineStr">
        <is>
          <t>Fotoğraflar/eindhoven_speelpark-de-splinter_04.jpg</t>
        </is>
      </c>
      <c r="P173" s="29" t="inlineStr">
        <is>
          <t>Ağaçlar ve çimenli şevle çevrili boş asfalt top sahası, iki küçük kale, önde tuğla döşeli kenar; insan yok</t>
        </is>
      </c>
      <c r="Q173" s="29" t="inlineStr">
        <is>
          <t>Bekliyor</t>
        </is>
      </c>
      <c r="R173" s="29" t="inlineStr">
        <is>
          <t>Wikimedia Commons dosya sayfasındaki lisans: CC BY-SA 4.0</t>
        </is>
      </c>
      <c r="S173" s="29" t="n"/>
      <c r="T173" s="29" t="n"/>
      <c r="U173" s="29" t="n"/>
      <c r="V173" s="29" t="n"/>
      <c r="W173" s="29" t="inlineStr">
        <is>
          <t>{"source_url": "https://commons.wikimedia.org/wiki/File:Speelpark_De_Splinter_(2025)_(1).jpg", "author": "S. Perquin", "license": "CC BY-SA 4.0", "license_url": "https://creativecommons.org/licenses/by-sa/4.0/", "original_api_record": {"size": 6967907, "width": 6000, "height": 4000, "thumburl": "https://thumb.wikimedia.org/wikipedia/commons/thumb/f/f0/Speelpark_De_Splinter_%282025%29_%281%29.jpg/1920px-Speelpark_De_Splinter_%282025%29_%281%29.jpg?utm_source=commons.wikimedia.org&amp;utm_campaign=imageinfo&amp;utm_content=thumbnail", "thumbwidth": 1600, "thumbheight": 1067, "responsiveUrls": {"2": "https://thumb.wikimedia.org/wikipedia/commons/thumb/f/f0/Speelpark_De_Splinter_%282025%29_%281%29.jpg/3840px-Speelpark_De_Splinter_%282025%29_%281%29.jpg?utm_source=commons.wikimedia.org&amp;utm_campaign=imageinfo&amp;utm_content=thumbnail"}, "thumbattribs": {"src": "https://thumb.wikimedia.org/wikipedia/commons/thumb/f/f0/Speelpark_De_Splinter_%282025%29_%281%29.jpg/1920px-Speelpark_De_Splinter_%282025%29_%281%29.jpg?utm_source=commons.wikimedia.org&amp;utm_campaign=imageinfo&amp;utm_content=thumbnail", "decoding": "async", "loading": "lazy", "width": 1600, "height": 1067, "srcset": "https://thumb.wikimedia.org/wikipedia/commons/thumb/f/f0/Speelpark_De_Splinter_%282025%29_%281%29.jpg/3840px-Speelpark_De_Splinter_%282025%29_%281%29.jpg?utm_source=commons.wikimedia.org&amp;utm_campaign=imageinfo&amp;utm_content=thumbnail 2x"}, "url": "https://upload.wikimedia.org/wikipedia/commons/f/f0/Speelpark_De_Splinter_%282025%29_%281%29.jpg?utm_source=commons.wikimedia.org&amp;utm_campaign=imageinfo&amp;utm_content=original", "descriptionurl": "https://commons.wikimedia.org/wiki/File:Speelpark_De_Splinter_(2025)_(1).jpg", "descriptionshorturl": "https://commons.wikimedia.org/w/index.php?curid=165373522", "sha1": "43b58040c40271d80d9ee1efc1c7f4567bcdde2f", "extmetadata": {"DateTime": {"value": "2025-05-16 09:59:17", "source": "mediawiki-metadata", "hidden": ""}, "ObjectName": {"value": "Speelpark De Splinter (2025) (1)",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10:11:31",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"https://thumb.wikimedia.org/wikipedia/commons/thumb/f/f0/Speelpark_De_Splinter_%282025%29_%281%29.jpg/1280px-Speelpark_De_Splinter_%282025%29_%281%29.jpg"}, "retrieved_on": "2026-10-23"}</t>
        </is>
      </c>
    </row>
    <row r="174" ht="54" customHeight="1">
      <c r="A174" s="29" t="inlineStr">
        <is>
          <t>eindhoven:evidence:witte-dorp-mahallesi-04</t>
        </is>
      </c>
      <c r="B174" s="29" t="inlineStr">
        <is>
          <t>eindhoven</t>
        </is>
      </c>
      <c r="C174" s="29" t="inlineStr">
        <is>
          <t>eindhoven:photo:witte-dorp-mahallesi-04</t>
        </is>
      </c>
      <c r="D174" s="29" t="inlineStr">
        <is>
          <t>https://commons.wikimedia.org/wiki/File:Monument_518735,_Sint_Jorislaan_2_Eindhoven-2.jpg</t>
        </is>
      </c>
      <c r="E174" s="29" t="inlineStr">
        <is>
          <t>File:Monument 518735, Sint Jorislaan 2 Eindhoven-2.jpg</t>
        </is>
      </c>
      <c r="F174" s="29" t="inlineStr">
        <is>
          <t>Rosemoon</t>
        </is>
      </c>
      <c r="G174" s="29" t="inlineStr">
        <is>
          <t>CC BY-SA 3.0 nl</t>
        </is>
      </c>
      <c r="H174" s="29" t="inlineStr">
        <is>
          <t>https://creativecommons.org/licenses/by-sa/3.0/nl/deed.en/</t>
        </is>
      </c>
      <c r="I174" s="29" t="inlineStr">
        <is>
          <t>Creative Commons Attribution-Share Alike 3.0 nl</t>
        </is>
      </c>
      <c r="J174" s="29" t="inlineStr">
        <is>
          <t>Rosemoon · CC BY-SA 3.0 nl · Wikimedia Commons</t>
        </is>
      </c>
      <c r="K174" s="29" t="n"/>
      <c r="L174" s="49" t="n">
        <v>46317</v>
      </c>
      <c r="M174" s="29" t="inlineStr">
        <is>
          <t>Bekliyor</t>
        </is>
      </c>
      <c r="N174" s="29" t="inlineStr">
        <is>
          <t>Bekliyor</t>
        </is>
      </c>
      <c r="O174" s="29" t="inlineStr">
        <is>
          <t>Fotoğraflar/eindhoven_witte-dorp-mahallesi_04.jpg</t>
        </is>
      </c>
      <c r="P174" s="29" t="inlineStr">
        <is>
          <t>Kırmızı kiremit çatılı beyaz köşe binası; zemin katta 'Cafetaria Sint Joris' tabelalı camlı vitrin; solda beyaz sıra evler; önde trafik ışığı, levhalar ve kavşak; insan yok</t>
        </is>
      </c>
      <c r="Q174" s="29" t="inlineStr">
        <is>
          <t>Bekliyor</t>
        </is>
      </c>
      <c r="R174" s="29" t="inlineStr">
        <is>
          <t>Wikimedia Commons dosya sayfasındaki lisans: CC BY-SA 3.0 nl</t>
        </is>
      </c>
      <c r="S174" s="29" t="n"/>
      <c r="T174" s="29" t="n"/>
      <c r="U174" s="29" t="n"/>
      <c r="V174" s="29" t="n"/>
      <c r="W174" s="29" t="inlineStr">
        <is>
          <t>{"source_url": "https://commons.wikimedia.org/wiki/File:Monument_518735,_Sint_Jorislaan_2_Eindhoven-2.jpg", "author": "Rosemoon", "license": "CC BY-SA 3.0 nl", "license_url": "https://creativecommons.org/licenses/by-sa/3.0/nl/deed.en/", "original_api_record": {"size": 5690880, "width": 4320, "height": 3240, "thumburl": "https://thumb.wikimedia.org/wikipedia/commons/thumb/4/46/Monument_518735%2C_Sint_Jorislaan_2_Eindhoven-2.jpg/1920px-Monument_518735%2C_Sint_Jorislaan_2_Eindhoven-2.jpg?utm_source=commons.wikimedia.org&amp;utm_campaign=imageinfo&amp;utm_content=thumbnail", "thumbwidth": 1600, "thumbheight": 1200, "responsiveUrls": {"2": "https://thumb.wikimedia.org/wikipedia/commons/thumb/4/46/Monument_518735%2C_Sint_Jorislaan_2_Eindhoven-2.jpg/3840px-Monument_518735%2C_Sint_Jorislaan_2_Eindhoven-2.jpg?utm_source=commons.wikimedia.org&amp;utm_campaign=imageinfo&amp;utm_content=thumbnail"}, "thumbattribs": {"src": "https://thumb.wikimedia.org/wikipedia/commons/thumb/4/46/Monument_518735%2C_Sint_Jorislaan_2_Eindhoven-2.jpg/1920px-Monument_518735%2C_Sint_Jorislaan_2_Eindhoven-2.jpg?utm_source=commons.wikimedia.org&amp;utm_campaign=imageinfo&amp;utm_content=thumbnail", "decoding": "async", "loading": "lazy", "width": 1600, "height": 1200, "srcset": "https://thumb.wikimedia.org/wikipedia/commons/thumb/4/46/Monument_518735%2C_Sint_Jorislaan_2_Eindhoven-2.jpg/3840px-Monument_518735%2C_Sint_Jorislaan_2_Eindhoven-2.jpg?utm_source=commons.wikimedia.org&amp;utm_campaign=imageinfo&amp;utm_content=thumbnail 2x"}, "url": "https://upload.wikimedia.org/wikipedia/commons/4/46/Monument_518735%2C_Sint_Jorislaan_2_Eindhoven-2.jpg?utm_source=commons.wikimedia.org&amp;utm_campaign=imageinfo&amp;utm_content=original", "descriptionurl": "https://commons.wikimedia.org/wiki/File:Monument_518735,_Sint_Jorislaan_2_Eindhoven-2.jpg", "descriptionshorturl": "https://commons.wikimedia.org/w/index.php?curid=16677246", "sha1": "105eec33024d604b948868673447432d54e650e7", "extmetadata": {"DateTime": {"value": "2011-09-24 22:20:17", "source": "mediawiki-metadata", "hidden": ""}, "ObjectName": {"value": "Monument 518735, Sint Jorislaan 2 Eindhoven-2", "source": "mediawiki-metadata"}, "CommonsMetadataExtension": {"value": 1.2, "source": "extension", "hidden": ""}, "Categories": {"value": "Taken with Panasonic Lumix DMC-TZ20|Self-published work|Images from Wiki Loves Monuments 2011|Rijksmonumenten with known IDs|Images from Wiki Loves Monuments 2011 in the Netherlands|2011 in Eindhoven|Netherlands photographs taken on 2011-09-24|Witte Dorp, Eindhoven", "source": "commons-categories", "hidden": ""}, "Assessments": {"value": "", "source": "commons-categories", "hidden": ""}, "GPSLatitude": {"value": "51.432114", "source": "commons-desc-page"}, "GPSLongitude": {"value": "5.493544", "source": "commons-desc-page"}, "GPSMapDatum": {"value": "WGS-84", "source": "commons-desc-page", "hidden": ""}, "ImageDescription": {"value": "&lt;table role=\"presentation\" style=\"border-spacing:0; width:425px; text-align:left; background:var(--background-color-neutral,#eaecf0); color:var(--color-base,#202122); border:1px solid var(--border-color-base,#a2a9b1); margin:1px;\" class=\"layouttemplate\"&gt;&lt;tbody&gt;&lt;tr&gt;&lt;td style=\"width:26px; height:22px; vertical-align:middle\"&gt;&lt;span typeof=\"mw:File\"&gt;&lt;span&gt;&lt;img alt=\"\" src=\"https://thumb.wikimedia.org/wikipedia/commons/thumb/5/5e/Monumentenbordje_2014.svg/20px-Monumentenbordje_2014.svg.png?utm_source=commons.wikimedia.org&amp;amp;utm_campaign=parser&amp;amp;utm_content=thumbnail\" decoding=\"async\" loading=\"lazy\" width=\"20\" height=\"30\" class=\"mw-file-element\" srcset=\"https://thumb.wikimedia.org/wikipedia/commons/thumb/5/5e/Monumentenbordje_2014.svg/40px-Monumentenbordje_2014.svg.png?utm_source=commons.wikimedia.org&amp;amp;utm_campaign=parser&amp;amp;utm_content=thumbnail 2x\" data-file-width=\"430\" data-file-height=\"646\"&gt;&lt;/span&gt;&lt;/span&gt;&lt;/td&gt;&lt;td style=\"padding:1pt; line-height:1.1em;\"&gt;&lt;div lang=\"en\" dir=\"ltr\"&gt;This is an image of &lt;a href=\"https://en.wikipedia.org/wiki/Rijksmonument\" class=\"extiw\" title=\"en:Rijksmonument\"&gt;rijksmonument&lt;/a&gt; number &lt;a rel=\"nofollow\" class=\"external text\" href=\"https://monumentenregister.cultureelerfgoed.nl/monumenten/518735\"&gt;518735&lt;/a&gt;&lt;/div&gt;Information from &lt;a href=\"//commons.wikimedia.org/wiki/Commons:Structured_data\" title=\"Commons:Structured data\"&gt;structured data&lt;/a&gt;:\n&lt;ul&gt;&lt;li&gt;&lt;a href=\"https://www.wikidata.org/wiki/Special:EntityPage/P1071\" class=\"extiw\" title=\"d:Special:EntityPage/P1071\"&gt;location of creation&lt;/a&gt;: &lt;a href=\"https://en.wikipedia.org/wiki/en:Eindhoven\" class=\"extiw\" title=\"w:en:Eindhoven\"&gt;&lt;span title=\"city and municipality in North Brabant, Netherlands\"&gt;Eindhoven&lt;/span&gt;&lt;/a&gt;→&lt;a href=\"https://en.wikipedia.org/wiki/en:North_Brabant\" class=\"extiw\" title=\"w:en:North Brabant\"&gt;&lt;span title=\"province of the Netherlands\"&gt;North Brabant&lt;/span&gt;&lt;/a&gt;→&lt;a href=\"https://en.wikipedia.org/wiki/en:Netherlands\" class=\"extiw\" title=\"w:en:Netherlands\"&gt;&lt;span title=\"one of the four autonomous countries of the Kingdom of the Netherlands; with territories in the Caribbean\"&gt;Netherlands&lt;/span&gt;&lt;/a&gt;&lt;/li&gt;\n&lt;li&gt;&lt;a href=\"https://www.wikidata.org/wiki/Special:EntityPage/P180\" class=\"extiw\" title=\"d:Special:EntityPage/P180\"&gt;depicts&lt;/a&gt; &lt;a href=\"https://www.wikidata.org/wiki/Special:EntityPage/P31\" class=\"extiw\" title=\"d:Special:EntityPage/P31\"&gt;instance of&lt;/a&gt;: &lt;a href=\"https://www.wikidata.org/wiki/Q17595237\" class=\"extiw\" title=\"d:Q17595237\"&gt;&lt;span title=\"house in Eindhoven, Netherlands\"&gt;Q17595237&lt;/span&gt;&lt;/a&gt;→&lt;a href=\"https://en.wikipedia.org/wiki/en:House\" class=\"extiw\" title=\"w:en:House\"&gt;&lt;span title=\"building usually intended for living in\"&gt;house&lt;/span&gt;&lt;/a&gt;→&lt;a href=\"https://www.wikidata.org/wiki/Q811102\" class=\"extiw\" title=\"d:Q811102\"&gt;&lt;span title=\"Wikidata metaclass for building and architectural typology\"&gt;type of building&lt;/span&gt;&lt;/a&gt;→&lt;a href=\"https://en.wikipedia.org/wiki/en:Classification_scheme_(information_science)\" class=\"extiw\" title=\"w:en:Classification scheme (information science)\"&gt;&lt;span title=\"system of descriptive information for an arrangement or division of objects into groups based on characteristics, which the objects have in common\"&gt;classification scheme&lt;/span&gt;&lt;/a&gt;→&lt;a href=\"https://www.wikidata.org/wiki/Q23958852\" class=\"extiw\" title=\"d:Q23958852\"&gt;&lt;span title=\"abstract entity representing classes whose instances may be classes of different orders or even non-classes\"&gt;variable-order class&lt;/span&gt;&lt;/a&gt;&lt;/li&gt;&lt;/ul&gt;&lt;/td&gt;&lt;/tr&gt;&lt;/tbody&gt;&lt;/table&gt;", "source": "commons-desc-page"}, "DateTimeOriginal": {"value": "2011-09-24", "source": "commons-desc-page"}, "Credit": {"value": "&lt;span class=\"int-own-work\" lang=\"en\"&gt;Own work&lt;/span&gt;", "source": "commons-desc-page"}, "Artist": {"value": "&lt;a href=\"//commons.wikimedia.org/wiki/User:Rosemoon\" title=\"User:Rosemoon\"&gt;Rosemoon&lt;/a&gt;",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"https://thumb.wikimedia.org/wikipedia/commons/thumb/4/46/Monument_518735%2C_Sint_Jorislaan_2_Eindhoven-2.jpg/1280px-Monument_518735%2C_Sint_Jorislaan_2_Eindhoven-2.jpg"}, "retrieved_on": "2026-10-23"}</t>
        </is>
      </c>
    </row>
    <row r="175" ht="54" customHeight="1">
      <c r="A175" s="29" t="inlineStr">
        <is>
          <t>eindhoven:evidence:riel-mahallesi-04</t>
        </is>
      </c>
      <c r="B175" s="29" t="inlineStr">
        <is>
          <t>eindhoven</t>
        </is>
      </c>
      <c r="C175" s="29" t="inlineStr">
        <is>
          <t>eindhoven:photo:riel-mahallesi-04</t>
        </is>
      </c>
      <c r="D175" s="29" t="inlineStr">
        <is>
          <t>https://commons.wikimedia.org/wiki/File:Riel_8,_Eindhoven-3.jpg</t>
        </is>
      </c>
      <c r="E175" s="29" t="inlineStr">
        <is>
          <t>File:Riel 8, Eindhoven-3.jpg</t>
        </is>
      </c>
      <c r="F175" s="29" t="inlineStr">
        <is>
          <t>Rosemoon</t>
        </is>
      </c>
      <c r="G175" s="29" t="inlineStr">
        <is>
          <t>CC BY-SA 4.0</t>
        </is>
      </c>
      <c r="H175" s="29" t="inlineStr">
        <is>
          <t>https://creativecommons.org/licenses/by-sa/4.0/</t>
        </is>
      </c>
      <c r="I175" s="29" t="inlineStr">
        <is>
          <t>Creative Commons Attribution-Share Alike 4.0</t>
        </is>
      </c>
      <c r="J175" s="29" t="inlineStr">
        <is>
          <t>Rosemoon · CC BY-SA 4.0 · Wikimedia Commons</t>
        </is>
      </c>
      <c r="K175" s="29" t="n"/>
      <c r="L175" s="49" t="n">
        <v>46317</v>
      </c>
      <c r="M175" s="29" t="inlineStr">
        <is>
          <t>Bekliyor</t>
        </is>
      </c>
      <c r="N175" s="29" t="inlineStr">
        <is>
          <t>Bekliyor</t>
        </is>
      </c>
      <c r="O175" s="29" t="inlineStr">
        <is>
          <t>Fotoğraflar/eindhoven_riel-mahallesi_04.jpg</t>
        </is>
      </c>
      <c r="P175" s="29" t="inlineStr">
        <is>
          <t>Solda saz çatılı eski tuğla yapının kiremitli saçağı; arkada saz çatılı, bacalı, koyu yeşil panjurlu ve kemerli pencereli uzun çiftlik evi; çimende kutu biçimli budanmış üç ağaç; sağda kumlu yol; insan yok</t>
        </is>
      </c>
      <c r="Q175" s="29" t="inlineStr">
        <is>
          <t>Bekliyor</t>
        </is>
      </c>
      <c r="R175" s="29" t="inlineStr">
        <is>
          <t>Wikimedia Commons dosya sayfasındaki lisans: CC BY-SA 4.0</t>
        </is>
      </c>
      <c r="S175" s="29" t="n"/>
      <c r="T175" s="29" t="n"/>
      <c r="U175" s="29" t="n"/>
      <c r="V175" s="29" t="n"/>
      <c r="W175" s="29" t="inlineStr">
        <is>
          <t>{"source_url": "https://commons.wikimedia.org/wiki/File:Riel_8,_Eindhoven-3.jpg", "author": "Rosemoon", "license": "CC BY-SA 4.0", "license_url": "https://creativecommons.org/licenses/by-sa/4.0/", "original_api_record": {"size": 3344921, "width": 4032, "height": 3024, "thumburl": "https://thumb.wikimedia.org/wikipedia/commons/thumb/1/1c/Riel_8%2C_Eindhoven-3.jpg/1920px-Riel_8%2C_Eindhoven-3.jpg?utm_source=commons.wikimedia.org&amp;utm_campaign=imageinfo&amp;utm_content=thumbnail", "thumbwidth": 1600, "thumbheight": 1200, "responsiveUrls": {"2": "https://thumb.wikimedia.org/wikipedia/commons/thumb/1/1c/Riel_8%2C_Eindhoven-3.jpg/3840px-Riel_8%2C_Eindhoven-3.jpg?utm_source=commons.wikimedia.org&amp;utm_campaign=imageinfo&amp;utm_content=thumbnail"}, "thumbattribs": {"src": "https://thumb.wikimedia.org/wikipedia/commons/thumb/1/1c/Riel_8%2C_Eindhoven-3.jpg/1920px-Riel_8%2C_Eindhoven-3.jpg?utm_source=commons.wikimedia.org&amp;utm_campaign=imageinfo&amp;utm_content=thumbnail", "decoding": "async", "loading": "lazy", "width": 1600, "height": 1200, "srcset": "https://thumb.wikimedia.org/wikipedia/commons/thumb/1/1c/Riel_8%2C_Eindhoven-3.jpg/3840px-Riel_8%2C_Eindhoven-3.jpg?utm_source=commons.wikimedia.org&amp;utm_campaign=imageinfo&amp;utm_content=thumbnail 2x"}, "url": "https://upload.wikimedia.org/wikipedia/commons/1/1c/Riel_8%2C_Eindhoven-3.jpg?utm_source=commons.wikimedia.org&amp;utm_campaign=imageinfo&amp;utm_content=original", "descriptionurl": "https://commons.wikimedia.org/wiki/File:Riel_8,_Eindhoven-3.jpg", "descriptionshorturl": "https://commons.wikimedia.org/w/index.php?curid=105003961", "sha1": "ca9c6b9c17ce1a5c1e0264c24f8c20219304d244", "extmetadata": {"DateTime": {"value": "2021-05-07 16:43:22", "source": "mediawiki-metadata", "hidden": ""}, "ObjectName": {"value": "Riel 8, Eindhoven-3", "source": "mediawiki-metadata"}, "CommonsMetadataExtension": {"value": 1.2, "source": "extension", "hidden": ""}, "Categories": {"value": "Gemeentelijke monumenten in Eindhoven|Self-published work|Gemeentelijke monumenten with known IDs|Uploaded via Campaign:wlm-nl-gemeente", "source": "commons-categories", "hidden": ""}, "Assessments": {"value": "", "source": "commons-categories", "hidden": ""}, "GPSLatitude": {"value": "51.420606", "source": "commons-desc-page"}, "GPSLongitude": {"value": "5.523942", "source": "commons-desc-page"}, "GPSMapDatum": {"value": "WGS-84", "source": "commons-desc-page", "hidden": ""}, "ImageDescription": {"value": "This is an image of a municipal monument in Eindhoven with number", "source": "commons-desc-page"}, "DateTimeOriginal": {"value": "2020-05-09 11:26:24",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"https://thumb.wikimedia.org/wikipedia/commons/thumb/1/1c/Riel_8%2C_Eindhoven-3.jpg/1280px-Riel_8%2C_Eindhoven-3.jpg"}, "retrieved_on": "2026-10-23"}</t>
        </is>
      </c>
    </row>
    <row r="176" ht="54" customHeight="1">
      <c r="A176" s="29" t="inlineStr">
        <is>
          <t>eindhoven:evidence:tongelre-bolgesi-04</t>
        </is>
      </c>
      <c r="B176" s="29" t="inlineStr">
        <is>
          <t>eindhoven</t>
        </is>
      </c>
      <c r="C176" s="29" t="inlineStr">
        <is>
          <t>eindhoven:photo:tongelre-bolgesi-04</t>
        </is>
      </c>
      <c r="D176" s="29" t="inlineStr">
        <is>
          <t>https://commons.wikimedia.org/wiki/File:Eindhoven_Tongelre_Celebeslaan_30_Philipsboerderij.jpg</t>
        </is>
      </c>
      <c r="E176" s="29" t="inlineStr">
        <is>
          <t>File:Eindhoven Tongelre Celebeslaan 30 Philipsboerderij.jpg</t>
        </is>
      </c>
      <c r="F176" s="29" t="inlineStr">
        <is>
          <t>AcroniusZ</t>
        </is>
      </c>
      <c r="G176" s="29" t="inlineStr">
        <is>
          <t>CC BY-SA 4.0</t>
        </is>
      </c>
      <c r="H176" s="29" t="inlineStr">
        <is>
          <t>https://creativecommons.org/licenses/by-sa/4.0/</t>
        </is>
      </c>
      <c r="I176" s="29" t="inlineStr">
        <is>
          <t>Creative Commons Attribution-Share Alike 4.0</t>
        </is>
      </c>
      <c r="J176" s="29" t="inlineStr">
        <is>
          <t>AcroniusZ · CC BY-SA 4.0 · Wikimedia Commons</t>
        </is>
      </c>
      <c r="K176" s="29" t="n"/>
      <c r="L176" s="49" t="n">
        <v>46317</v>
      </c>
      <c r="M176" s="29" t="inlineStr">
        <is>
          <t>Bekliyor</t>
        </is>
      </c>
      <c r="N176" s="29" t="inlineStr">
        <is>
          <t>Bekliyor</t>
        </is>
      </c>
      <c r="O176" s="29" t="inlineStr">
        <is>
          <t>Fotoğraflar/eindhoven_tongelre-bolgesi_04.jpg</t>
        </is>
      </c>
      <c r="P176" s="29" t="inlineStr">
        <is>
          <t>Yosunlu saz çatılı, ahşap kaplamalı ve tuğla duvarlı uzun çiftlik binası, kanatları açık camlı giriş; solda beyaz parti çadırı, kenarda kısmen beyaz araba; önde kurdeleli ahşap kazıklar ve arnavut kaldırımı; insan yok</t>
        </is>
      </c>
      <c r="Q176" s="29" t="inlineStr">
        <is>
          <t>Bekliyor</t>
        </is>
      </c>
      <c r="R176" s="29" t="inlineStr">
        <is>
          <t>Wikimedia Commons dosya sayfasındaki lisans: CC BY-SA 4.0</t>
        </is>
      </c>
      <c r="S176" s="29" t="n"/>
      <c r="T176" s="29" t="n"/>
      <c r="U176" s="29" t="n"/>
      <c r="V176" s="29" t="n"/>
      <c r="W176" s="29" t="inlineStr">
        <is>
          <t>{"source_url": "https://commons.wikimedia.org/wiki/File:Eindhoven_Tongelre_Celebeslaan_30_Philipsboerderij.jpg", "author": "AcroniusZ", "license": "CC BY-SA 4.0", "license_url": "https://creativecommons.org/licenses/by-sa/4.0/", "original_api_record": {"size": 4983713, "width": 4000, "height": 3000, "thumburl": "https://thumb.wikimedia.org/wikipedia/commons/thumb/2/2a/Eindhoven_Tongelre_Celebeslaan_30_Philipsboerderij.jpg/1920px-Eindhoven_Tongelre_Celebeslaan_30_Philipsboerderij.jpg?utm_source=commons.wikimedia.org&amp;utm_campaign=imageinfo&amp;utm_content=thumbnail", "thumbwidth": 1600, "thumbheight": 1200, "responsiveUrls": {"2": "https://thumb.wikimedia.org/wikipedia/commons/thumb/2/2a/Eindhoven_Tongelre_Celebeslaan_30_Philipsboerderij.jpg/3840px-Eindhoven_Tongelre_Celebeslaan_30_Philipsboerderij.jpg?utm_source=commons.wikimedia.org&amp;utm_campaign=imageinfo&amp;utm_content=thumbnail"}, "thumbattribs": {"src": "https://thumb.wikimedia.org/wikipedia/commons/thumb/2/2a/Eindhoven_Tongelre_Celebeslaan_30_Philipsboerderij.jpg/1920px-Eindhoven_Tongelre_Celebeslaan_30_Philipsboerderij.jpg?utm_source=commons.wikimedia.org&amp;utm_campaign=imageinfo&amp;utm_content=thumbnail", "decoding": "async", "loading": "lazy", "width": 1600, "height": 1200, "srcset": "https://thumb.wikimedia.org/wikipedia/commons/thumb/2/2a/Eindhoven_Tongelre_Celebeslaan_30_Philipsboerderij.jpg/3840px-Eindhoven_Tongelre_Celebeslaan_30_Philipsboerderij.jpg?utm_source=commons.wikimedia.org&amp;utm_campaign=imageinfo&amp;utm_content=thumbnail 2x"}, "url": "https://upload.wikimedia.org/wikipedia/commons/2/2a/Eindhoven_Tongelre_Celebeslaan_30_Philipsboerderij.jpg?utm_source=commons.wikimedia.org&amp;utm_campaign=imageinfo&amp;utm_content=original", "descriptionurl": "https://commons.wikimedia.org/wiki/File:Eindhoven_Tongelre_Celebeslaan_30_Philipsboerderij.jpg", "descriptionshorturl": "https://commons.wikimedia.org/w/index.php?curid=95913392", "sha1": "6316e31e5e3b1a4b76ec98e05eb4edafebfc5cb9", "extmetadata": {"DateTime": {"value": "2020-11-08 08:54:55", "source": "mediawiki-metadata", "hidden": ""}, "ObjectName": {"value": "Eindhoven Tongelre Celebeslaan 30 Philipsboerderij", "source": "mediawiki-metadata"}, "CommonsMetadataExtension": {"value": 1.2, "source": "extension", "hidden": ""}, "Categories": {"value": "Gemeentelijke monumenten in Eindhoven|Self-published work|Gemeentelijke monumenten with known IDs|Uploaded via Campaign:wlm-nl-gemeente", "source": "commons-categories", "hidden": ""}, "Assessments": {"value": "", "source": "commons-categories", "hidden": ""}, "ImageDescription": {"value": "This is an image of a municipal monument in Eindhoven with number", "source": "commons-desc-page"}, "DateTimeOriginal": {"value": "2020-11-05 15:42:08", "source": "commons-desc-page"}, "Credit": {"value": "&lt;span class=\"int-own-work\" lang=\"en\"&gt;Own work&lt;/span&gt;", "source": "commons-desc-page"}, "Artist": {"value": "&lt;a href=\"//commons.wikimedia.org/w/index.php?title=User:AcroniusZ&amp;amp;action=edit&amp;amp;redlink=1\" class=\"new\" title=\"User:AcroniusZ (page does not exist)\"&gt;AcroniusZ&lt;/a&gt;",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"https://thumb.wikimedia.org/wikipedia/commons/thumb/2/2a/Eindhoven_Tongelre_Celebeslaan_30_Philipsboerderij.jpg/1280px-Eindhoven_Tongelre_Celebeslaan_30_Philipsboerderij.jpg"}, "retrieved_on": "2026-10-23"}</t>
        </is>
      </c>
    </row>
    <row r="177" ht="54" customHeight="1">
      <c r="A177" s="29" t="inlineStr">
        <is>
          <t>eindhoven:evidence:parktheater-eindhoven-04</t>
        </is>
      </c>
      <c r="B177" s="29" t="inlineStr">
        <is>
          <t>eindhoven</t>
        </is>
      </c>
      <c r="C177" s="29" t="inlineStr">
        <is>
          <t>eindhoven:photo:parktheater-eindhoven-04</t>
        </is>
      </c>
      <c r="D177" s="29" t="inlineStr">
        <is>
          <t>https://commons.wikimedia.org/wiki/File:Parktheater_Eindhoven,_buiten_de_grote_zaal.jpg</t>
        </is>
      </c>
      <c r="E177" s="29" t="inlineStr">
        <is>
          <t>File:Parktheater Eindhoven, buiten de grote zaal.jpg</t>
        </is>
      </c>
      <c r="F177" s="29" t="inlineStr">
        <is>
          <t>Alex P. Kok</t>
        </is>
      </c>
      <c r="G177" s="29" t="inlineStr">
        <is>
          <t>CC BY-SA 4.0</t>
        </is>
      </c>
      <c r="H177" s="29" t="inlineStr">
        <is>
          <t>https://creativecommons.org/licenses/by-sa/4.0/</t>
        </is>
      </c>
      <c r="I177" s="29" t="inlineStr">
        <is>
          <t>Creative Commons Attribution-Share Alike 4.0</t>
        </is>
      </c>
      <c r="J177" s="29" t="inlineStr">
        <is>
          <t>Alex P. Kok · CC BY-SA 4.0 · Wikimedia Commons</t>
        </is>
      </c>
      <c r="K177" s="29" t="n"/>
      <c r="L177" s="49" t="n">
        <v>46317</v>
      </c>
      <c r="M177" s="29" t="inlineStr">
        <is>
          <t>Bekliyor</t>
        </is>
      </c>
      <c r="N177" s="29" t="inlineStr">
        <is>
          <t>Bekliyor</t>
        </is>
      </c>
      <c r="O177" s="29" t="inlineStr">
        <is>
          <t>Fotoğraflar/eindhoven_parktheater-eindhoven_04.jpg</t>
        </is>
      </c>
      <c r="P177" s="29" t="inlineStr">
        <is>
          <t>Huni biçimli, alt kısmı mozaikli beyaz sütun; kırmızı banklar; 'Hertog Jan Zaal' tabelalı ahşap salon kapısı; kavisli duvarda küre spotlar; arkada raflar ve çerçeveli tablolar; insan yok</t>
        </is>
      </c>
      <c r="Q177" s="29" t="inlineStr">
        <is>
          <t>Bekliyor</t>
        </is>
      </c>
      <c r="R177" s="29" t="inlineStr">
        <is>
          <t>Wikimedia Commons dosya sayfasındaki lisans: CC BY-SA 4.0</t>
        </is>
      </c>
      <c r="S177" s="29" t="n"/>
      <c r="T177" s="29" t="n"/>
      <c r="U177" s="29" t="n"/>
      <c r="V177" s="29" t="n"/>
      <c r="W177" s="29" t="inlineStr">
        <is>
          <t>{"source_url": "https://commons.wikimedia.org/wiki/File:Parktheater_Eindhoven,_buiten_de_grote_zaal.jpg", "author": "Alex P. Kok", "license": "CC BY-SA 4.0", "license_url": "https://creativecommons.org/licenses/by-sa/4.0/", "original_api_record": {"size": 2687157, "width": 5568, "height": 3712, "thumburl": "https://thumb.wikimedia.org/wikipedia/commons/thumb/3/3a/Parktheater_Eindhoven%2C_buiten_de_grote_zaal.jpg/1920px-Parktheater_Eindhoven%2C_buiten_de_grote_zaal.jpg?utm_source=commons.wikimedia.org&amp;utm_campaign=imageinfo&amp;utm_content=thumbnail", "thumbwidth": 1600, "thumbheight": 1067, "responsiveUrls": {"2": "https://thumb.wikimedia.org/wikipedia/commons/thumb/3/3a/Parktheater_Eindhoven%2C_buiten_de_grote_zaal.jpg/3840px-Parktheater_Eindhoven%2C_buiten_de_grote_zaal.jpg?utm_source=commons.wikimedia.org&amp;utm_campaign=imageinfo&amp;utm_content=thumbnail"}, "thumbattribs": {"src": "https://thumb.wikimedia.org/wikipedia/commons/thumb/3/3a/Parktheater_Eindhoven%2C_buiten_de_grote_zaal.jpg/1920px-Parktheater_Eindhoven%2C_buiten_de_grote_zaal.jpg?utm_source=commons.wikimedia.org&amp;utm_campaign=imageinfo&amp;utm_content=thumbnail", "decoding": "async", "loading": "lazy", "width": 1600, "height": 1067, "srcset": "https://thumb.wikimedia.org/wikipedia/commons/thumb/3/3a/Parktheater_Eindhoven%2C_buiten_de_grote_zaal.jpg/3840px-Parktheater_Eindhoven%2C_buiten_de_grote_zaal.jpg?utm_source=commons.wikimedia.org&amp;utm_campaign=imageinfo&amp;utm_content=thumbnail 2x"}, "url": "https://upload.wikimedia.org/wikipedia/commons/3/3a/Parktheater_Eindhoven%2C_buiten_de_grote_zaal.jpg?utm_source=commons.wikimedia.org&amp;utm_campaign=imageinfo&amp;utm_content=original", "descriptionurl": "https://commons.wikimedia.org/wiki/File:Parktheater_Eindhoven,_buiten_de_grote_zaal.jpg", "descriptionshorturl": "https://commons.wikimedia.org/w/index.php?curid=110756238", "sha1": "9abc559d4c9c907bc83ba582786d983ed63676e1", "extmetadata": {"DateTime": {"value": "2021-10-05 19:51:34", "source": "mediawiki-metadata", "hidden": ""}, "ObjectName": {"value": "Parktheater Eindhoven, buiten de grote zaal", "source": "mediawiki-metadata"}, "CommonsMetadataExtension": {"value": 1.2, "source": "extension", "hidden": ""}, "Categories": {"value": "Parktheater Eindhoven|Self-published work|Photographs by Alex P. Kok", "source": "commons-categories", "hidden": ""}, "Assessments": {"value": "", "source": "commons-categories", "hidden": ""}, "ImageDescription": {"value": "Parktheater Eindhoven, buiten de grote zaal", "source": "commons-desc-page"}, "DateTimeOriginal": {"value": "2019-09-15",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"https://thumb.wikimedia.org/wikipedia/commons/thumb/3/3a/Parktheater_Eindhoven%2C_buiten_de_grote_zaal.jpg/1280px-Parktheater_Eindhoven%2C_buiten_de_grote_zaal.jpg"}, "retrieved_on": "2026-10-23"}</t>
        </is>
      </c>
    </row>
    <row r="178" ht="54" customHeight="1">
      <c r="A178" s="29" t="inlineStr">
        <is>
          <t>eindhoven:evidence:parktheater-eindhoven-05</t>
        </is>
      </c>
      <c r="B178" s="29" t="inlineStr">
        <is>
          <t>eindhoven</t>
        </is>
      </c>
      <c r="C178" s="29" t="inlineStr">
        <is>
          <t>eindhoven:photo:parktheater-eindhoven-05</t>
        </is>
      </c>
      <c r="D178" s="29" t="inlineStr">
        <is>
          <t>https://commons.wikimedia.org/wiki/File:Parktheater_Eindhoven,_globezaal_1.jpg</t>
        </is>
      </c>
      <c r="E178" s="29" t="inlineStr">
        <is>
          <t>File:Parktheater Eindhoven, globezaal 1.jpg</t>
        </is>
      </c>
      <c r="F178" s="29" t="inlineStr">
        <is>
          <t>Alex P. Kok</t>
        </is>
      </c>
      <c r="G178" s="29" t="inlineStr">
        <is>
          <t>CC BY-SA 4.0</t>
        </is>
      </c>
      <c r="H178" s="29" t="inlineStr">
        <is>
          <t>https://creativecommons.org/licenses/by-sa/4.0/</t>
        </is>
      </c>
      <c r="I178" s="29" t="inlineStr">
        <is>
          <t>Creative Commons Attribution-Share Alike 4.0</t>
        </is>
      </c>
      <c r="J178" s="29" t="inlineStr">
        <is>
          <t>Alex P. Kok · CC BY-SA 4.0 · Wikimedia Commons</t>
        </is>
      </c>
      <c r="K178" s="29" t="n"/>
      <c r="L178" s="49" t="n">
        <v>46317</v>
      </c>
      <c r="M178" s="29" t="inlineStr">
        <is>
          <t>Bekliyor</t>
        </is>
      </c>
      <c r="N178" s="29" t="inlineStr">
        <is>
          <t>Bekliyor</t>
        </is>
      </c>
      <c r="O178" s="29" t="inlineStr">
        <is>
          <t>Fotoğraflar/eindhoven_parktheater-eindhoven_05.jpg</t>
        </is>
      </c>
      <c r="P178" s="29" t="inlineStr">
        <is>
          <t>Yukarıdan ahşap çıta kaplı kavisli duvarlı boş salon, parke zemin, sağda siyah alçak podyum ve üstünde yuvarlak masa, yüksek ahşap masalar, tavanda ışık ızgarası; insan yok</t>
        </is>
      </c>
      <c r="Q178" s="29" t="inlineStr">
        <is>
          <t>Bekliyor</t>
        </is>
      </c>
      <c r="R178" s="29" t="inlineStr">
        <is>
          <t>Wikimedia Commons dosya sayfasındaki lisans: CC BY-SA 4.0</t>
        </is>
      </c>
      <c r="S178" s="29" t="n"/>
      <c r="T178" s="29" t="n"/>
      <c r="U178" s="29" t="n"/>
      <c r="V178" s="29" t="n"/>
      <c r="W178" s="29" t="inlineStr">
        <is>
          <t>{"source_url": "https://commons.wikimedia.org/wiki/File:Parktheater_Eindhoven,_globezaal_1.jpg", "author": "Alex P. Kok", "license": "CC BY-SA 4.0", "license_url": "https://creativecommons.org/licenses/by-sa/4.0/", "original_api_record": {"size": 4821193, "width": 5568, "height": 3712, "thumburl": "https://thumb.wikimedia.org/wikipedia/commons/thumb/1/1d/Parktheater_Eindhoven%2C_globezaal_1.jpg/1920px-Parktheater_Eindhoven%2C_globezaal_1.jpg?utm_source=commons.wikimedia.org&amp;utm_campaign=imageinfo&amp;utm_content=thumbnail", "thumbwidth": 1600, "thumbheight": 1067, "responsiveUrls": {"2": "https://thumb.wikimedia.org/wikipedia/commons/thumb/1/1d/Parktheater_Eindhoven%2C_globezaal_1.jpg/3840px-Parktheater_Eindhoven%2C_globezaal_1.jpg?utm_source=commons.wikimedia.org&amp;utm_campaign=imageinfo&amp;utm_content=thumbnail"}, "thumbattribs": {"src": "https://thumb.wikimedia.org/wikipedia/commons/thumb/1/1d/Parktheater_Eindhoven%2C_globezaal_1.jpg/1920px-Parktheater_Eindhoven%2C_globezaal_1.jpg?utm_source=commons.wikimedia.org&amp;utm_campaign=imageinfo&amp;utm_content=thumbnail", "decoding": "async", "loading": "lazy", "width": 1600, "height": 1067, "srcset": "https://thumb.wikimedia.org/wikipedia/commons/thumb/1/1d/Parktheater_Eindhoven%2C_globezaal_1.jpg/3840px-Parktheater_Eindhoven%2C_globezaal_1.jpg?utm_source=commons.wikimedia.org&amp;utm_campaign=imageinfo&amp;utm_content=thumbnail 2x"}, "url": "https://upload.wikimedia.org/wikipedia/commons/1/1d/Parktheater_Eindhoven%2C_globezaal_1.jpg?utm_source=commons.wikimedia.org&amp;utm_campaign=imageinfo&amp;utm_content=original", "descriptionurl": "https://commons.wikimedia.org/wiki/File:Parktheater_Eindhoven,_globezaal_1.jpg", "descriptionshorturl": "https://commons.wikimedia.org/w/index.php?curid=110756262", "sha1": "880b507ea69fb8afb02706e6c3620544c9414a20", "extmetadata": {"DateTime": {"value": "2021-10-05 19:52:09", "source": "mediawiki-metadata", "hidden": ""}, "ObjectName": {"value": "Parktheater Eindhoven, globezaal 1", "source": "mediawiki-metadata"}, "CommonsMetadataExtension": {"value": 1.2, "source": "extension", "hidden": ""}, "Categories": {"value": "Parktheater Eindhoven|Self-published work|Photographs by Alex P. Kok", "source": "commons-categories", "hidden": ""}, "Assessments": {"value": "", "source": "commons-categories", "hidden": ""}, "ImageDescription": {"value": "Parktheater Eindhoven, globezaal", "source": "commons-desc-page"}, "DateTimeOriginal": {"value": "2019-09-15",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"https://thumb.wikimedia.org/wikipedia/commons/thumb/1/1d/Parktheater_Eindhoven%2C_globezaal_1.jpg/1280px-Parktheater_Eindhoven%2C_globezaal_1.jpg"}, "retrieved_on": "2026-10-23"}</t>
        </is>
      </c>
    </row>
    <row r="179" ht="54" customHeight="1">
      <c r="A179" s="29" t="inlineStr">
        <is>
          <t>eindhoven:evidence:sint-catharinakerk-04</t>
        </is>
      </c>
      <c r="B179" s="29" t="inlineStr">
        <is>
          <t>eindhoven</t>
        </is>
      </c>
      <c r="C179" s="29" t="inlineStr">
        <is>
          <t>eindhoven:photo:sint-catharinakerk-04</t>
        </is>
      </c>
      <c r="D179" s="29" t="inlineStr">
        <is>
          <t>https://commons.wikimedia.org/wiki/File:Eindhoven,_santa_caterina,_01.jpg</t>
        </is>
      </c>
      <c r="E179" s="29" t="inlineStr">
        <is>
          <t>File:Eindhoven, santa caterina, 01.jpg</t>
        </is>
      </c>
      <c r="F179" s="29" t="inlineStr">
        <is>
          <t>Sailko</t>
        </is>
      </c>
      <c r="G179" s="29" t="inlineStr">
        <is>
          <t>CC BY 3.0</t>
        </is>
      </c>
      <c r="H179" s="29" t="inlineStr">
        <is>
          <t>https://creativecommons.org/licenses/by/3.0/</t>
        </is>
      </c>
      <c r="I179" s="29" t="inlineStr">
        <is>
          <t>Creative Commons Attribution 3.0</t>
        </is>
      </c>
      <c r="J179" s="29" t="inlineStr">
        <is>
          <t>Sailko · CC BY 3.0 · Wikimedia Commons</t>
        </is>
      </c>
      <c r="K179" s="29" t="n"/>
      <c r="L179" s="49" t="n">
        <v>46317</v>
      </c>
      <c r="M179" s="29" t="inlineStr">
        <is>
          <t>Bekliyor</t>
        </is>
      </c>
      <c r="N179" s="29" t="inlineStr">
        <is>
          <t>Bekliyor</t>
        </is>
      </c>
      <c r="O179" s="29" t="inlineStr">
        <is>
          <t>Fotoğraflar/eindhoven_sint-catharinakerk_04.jpg</t>
        </is>
      </c>
      <c r="P179" s="29" t="inlineStr">
        <is>
          <t>Tuğla döşeli boş yaya caddesinin sonunda iki sivri kuleli kilise; solda 't Lempke tabelalı kafe, damalı pankart ve tenteler; sağda kırmızı dükkân cephesi; mavi gökyüzü; insan yok</t>
        </is>
      </c>
      <c r="Q179" s="29" t="inlineStr">
        <is>
          <t>Bekliyor</t>
        </is>
      </c>
      <c r="R179" s="29" t="inlineStr">
        <is>
          <t>Wikimedia Commons dosya sayfasındaki lisans: CC BY 3.0</t>
        </is>
      </c>
      <c r="S179" s="29" t="n"/>
      <c r="T179" s="29" t="n"/>
      <c r="U179" s="29" t="n"/>
      <c r="V179" s="29" t="n"/>
      <c r="W179" s="29" t="inlineStr">
        <is>
          <t>{"source_url": "https://commons.wikimedia.org/wiki/File:Eindhoven,_santa_caterina,_01.jpg", "author": "Sailko", "license": "CC BY 3.0", "license_url": "https://creativecommons.org/licenses/by/3.0/", "original_api_record": {"size": 4803043, "width": 2304, "height": 3456, "thumburl": "https://thumb.wikimedia.org/wikipedia/commons/thumb/5/5f/Eindhoven%2C_santa_caterina%2C_01.jpg/1920px-Eindhoven%2C_santa_caterina%2C_01.jpg?utm_source=commons.wikimedia.org&amp;utm_campaign=imageinfo&amp;utm_content=thumbnail", "thumbwidth": 1600, "thumbheight": 2400, "responsiveUrls": {"2": "https://upload.wikimedia.org/wikipedia/commons/5/5f/Eindhoven%2C_santa_caterina%2C_01.jpg?utm_source=commons.wikimedia.org&amp;utm_campaign=imageinfo&amp;utm_content=thumbnail_unscaled"}, "thumbattribs": {"src": "https://thumb.wikimedia.org/wikipedia/commons/thumb/5/5f/Eindhoven%2C_santa_caterina%2C_01.jpg/1920px-Eindhoven%2C_santa_caterina%2C_01.jpg?utm_source=commons.wikimedia.org&amp;utm_campaign=imageinfo&amp;utm_content=thumbnail", "decoding": "async", "loading": "lazy", "width": 1600, "height": 2400, "srcset": "https://upload.wikimedia.org/wikipedia/commons/5/5f/Eindhoven%2C_santa_caterina%2C_01.jpg?utm_source=commons.wikimedia.org&amp;utm_campaign=imageinfo&amp;utm_content=thumbnail_unscaled 2x"}, "url": "https://upload.wikimedia.org/wikipedia/commons/5/5f/Eindhoven%2C_santa_caterina%2C_01.jpg?utm_source=commons.wikimedia.org&amp;utm_campaign=imageinfo&amp;utm_content=original", "descriptionurl": "https://commons.wikimedia.org/wiki/File:Eindhoven,_santa_caterina,_01.jpg", "descriptionshorturl": "https://commons.wikimedia.org/w/index.php?curid=49456754", "sha1": "81422e3b44d6833a328150c4fc5aa179a31790c3", "extmetadata": {"DateTime": {"value": "2016-06-14 18:23:34", "source": "mediawiki-metadata", "hidden": ""}, "ObjectName": {"value": "Eindhoven, santa caterina, 01", "source": "mediawiki-metadata"}, "CommonsMetadataExtension": {"value": 1.2, "source": "extension", "hidden": ""}, "Categories": {"value": "Sint-Catharinakerk (Eindhoven)|Self-published work|Photographs by User:Sailko|Gothic Revival church towers in the Netherlands|All media supported by Wikimedia CH|2016 in Eindhoven|Images by Sailko - Supported by Wikimedia CH|Netherlands photographs taken on 2016-03-12", "source": "commons-categories", "hidden": ""}, "Assessments": {"value": "", "source": "commons-categories", "hidden": ""}, "ImageDescription": {"value": "Sint-Catharinakerk (Eindhoven)", "source": "commons-desc-page"}, "DateTimeOriginal": {"value": "2016-03-12 10:54:38", "source": "commons-desc-page"}, "Credit": {"value": "&lt;span class=\"int-own-work\" lang=\"en\"&gt;Own work&lt;/span&gt;", "source": "commons-desc-page"}, "Artist": {"value": "&lt;a href=\"//commons.wikimedia.org/wiki/User:Sailko\" title=\"User:Sailko\"&gt;Sailko&lt;/a&gt;",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"https://thumb.wikimedia.org/wikipedia/commons/thumb/5/5f/Eindhoven%2C_santa_caterina%2C_01.jpg/1280px-Eindhoven%2C_santa_caterina%2C_01.jpg"}, "retrieved_on": "2026-10-23"}</t>
        </is>
      </c>
    </row>
    <row r="180" ht="54" customHeight="1">
      <c r="A180" s="29" t="inlineStr">
        <is>
          <t>eindhoven:evidence:strijp-s-04</t>
        </is>
      </c>
      <c r="B180" s="29" t="inlineStr">
        <is>
          <t>eindhoven</t>
        </is>
      </c>
      <c r="C180" s="29" t="inlineStr">
        <is>
          <t>eindhoven:photo:strijp-s-04</t>
        </is>
      </c>
      <c r="D180" s="29" t="inlineStr">
        <is>
          <t>https://commons.wikimedia.org/wiki/File:Blok_59_Eindhoven.jpg</t>
        </is>
      </c>
      <c r="E180" s="29" t="inlineStr">
        <is>
          <t>File:Blok 59 Eindhoven.jpg</t>
        </is>
      </c>
      <c r="F180" s="29" t="inlineStr">
        <is>
          <t>Choinowski</t>
        </is>
      </c>
      <c r="G180" s="29" t="inlineStr">
        <is>
          <t>CC BY-SA 4.0</t>
        </is>
      </c>
      <c r="H180" s="29" t="inlineStr">
        <is>
          <t>https://creativecommons.org/licenses/by-sa/4.0/</t>
        </is>
      </c>
      <c r="I180" s="29" t="inlineStr">
        <is>
          <t>Creative Commons Attribution-Share Alike 4.0</t>
        </is>
      </c>
      <c r="J180" s="29" t="inlineStr">
        <is>
          <t>Choinowski · CC BY-SA 4.0 · Wikimedia Commons</t>
        </is>
      </c>
      <c r="K180" s="29" t="n"/>
      <c r="L180" s="49" t="n">
        <v>46317</v>
      </c>
      <c r="M180" s="29" t="inlineStr">
        <is>
          <t>Bekliyor</t>
        </is>
      </c>
      <c r="N180" s="29" t="inlineStr">
        <is>
          <t>Bekliyor</t>
        </is>
      </c>
      <c r="O180" s="29" t="inlineStr">
        <is>
          <t>Fotoğraflar/eindhoven_strijp-s_04.jpg</t>
        </is>
      </c>
      <c r="P180" s="29" t="inlineStr">
        <is>
          <t>Kahverengi tuğla, köşe balkonlu yüksek konut kulesi; sağda balkonlu kırmızı tuğla blok; solda beyaz çok katlı binalar, şantiye çiti ve konteyner; önde trafik ışığı, levhalar, kırmızı-beyaz bariyer; belirgin insan yok</t>
        </is>
      </c>
      <c r="Q180" s="29" t="inlineStr">
        <is>
          <t>Bekliyor</t>
        </is>
      </c>
      <c r="R180" s="29" t="inlineStr">
        <is>
          <t>Wikimedia Commons dosya sayfasındaki lisans: CC BY-SA 4.0</t>
        </is>
      </c>
      <c r="S180" s="29" t="n"/>
      <c r="T180" s="29" t="n"/>
      <c r="U180" s="29" t="n"/>
      <c r="V180" s="29" t="n"/>
      <c r="W180" s="29" t="inlineStr">
        <is>
          <t>{"source_url": "https://commons.wikimedia.org/wiki/File:Blok_59_Eindhoven.jpg", "author": "Choinowski", "license": "CC BY-SA 4.0", "license_url": "https://creativecommons.org/licenses/by-sa/4.0/", "original_api_record": {"size": 5476808, "width": 3442, "height": 5163, "thumburl": "https://thumb.wikimedia.org/wikipedia/commons/thumb/0/06/Blok_59_Eindhoven.jpg/1920px-Blok_59_Eindhoven.jpg?utm_source=commons.wikimedia.org&amp;utm_campaign=imageinfo&amp;utm_content=thumbnail", "thumbwidth": 1600, "thumbheight": 2400, "responsiveUrls": {"2": "https://upload.wikimedia.org/wikipedia/commons/0/06/Blok_59_Eindhoven.jpg?utm_source=commons.wikimedia.org&amp;utm_campaign=imageinfo&amp;utm_content=thumbnail_unscaled"}, "thumbattribs": {"src": "https://thumb.wikimedia.org/wikipedia/commons/thumb/0/06/Blok_59_Eindhoven.jpg/1920px-Blok_59_Eindhoven.jpg?utm_source=commons.wikimedia.org&amp;utm_campaign=imageinfo&amp;utm_content=thumbnail", "decoding": "async", "loading": "lazy", "width": 1600, "height": 2400, "srcset": "https://upload.wikimedia.org/wikipedia/commons/0/06/Blok_59_Eindhoven.jpg?utm_source=commons.wikimedia.org&amp;utm_campaign=imageinfo&amp;utm_content=thumbnail_unscaled 2x"}, "url": "https://upload.wikimedia.org/wikipedia/commons/0/06/Blok_59_Eindhoven.jpg?utm_source=commons.wikimedia.org&amp;utm_campaign=imageinfo&amp;utm_content=original", "descriptionurl": "https://commons.wikimedia.org/wiki/File:Blok_59_Eindhoven.jpg", "descriptionshorturl": "https://commons.wikimedia.org/w/index.php?curid=144680637", "sha1": "f6d8162e134dfadc07ff5ec43a6248b8e0fe7d73", "extmetadata": {"DateTime": {"value": "2024-01-28 13:49:43", "source": "mediawiki-metadata", "hidden": ""}, "ObjectName": {"value": "Blok 59 Eindhoven", "source": "mediawiki-metadata"}, "CommonsMetadataExtension": {"value": 1.2, "source": "extension", "hidden": ""}, "Categories": {"value": "Buildings in Eindhoven|Strijp-S|Self-published work|2020 in Eindhoven|Netherlands photographs taken on 2020-11-07", "source": "commons-categories", "hidden": ""}, "Assessments": {"value": "", "source": "commons-categories", "hidden": ""}, "ImageDescription": {"value": "De Woontoren Blok 59 in de wijk Strijp S in Eindhoven. Opgeleverd in 2018 naar ontwerp van architectenbureau diederendirrix.", "source": "commons-desc-page"}, "DateTimeOriginal": {"value": "2020-11-07 11:38:30",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"https://thumb.wikimedia.org/wikipedia/commons/thumb/0/06/Blok_59_Eindhoven.jpg/1280px-Blok_59_Eindhoven.jpg"}, "retrieved_on": "2026-10-23"}</t>
        </is>
      </c>
    </row>
    <row r="181" ht="54" customHeight="1">
      <c r="A181" s="29" t="inlineStr">
        <is>
          <t>eindhoven:evidence:strijp-s-05</t>
        </is>
      </c>
      <c r="B181" s="29" t="inlineStr">
        <is>
          <t>eindhoven</t>
        </is>
      </c>
      <c r="C181" s="29" t="inlineStr">
        <is>
          <t>eindhoven:photo:strijp-s-05</t>
        </is>
      </c>
      <c r="D181" s="29" t="inlineStr">
        <is>
          <t>https://commons.wikimedia.org/wiki/File:Ingenieur_Kalffstraat_Torenallee_Eindhoven.jpg</t>
        </is>
      </c>
      <c r="E181" s="29" t="inlineStr">
        <is>
          <t>File:Ingenieur Kalffstraat Torenallee Eindhoven.jpg</t>
        </is>
      </c>
      <c r="F181" s="29" t="inlineStr">
        <is>
          <t>Steven Lek</t>
        </is>
      </c>
      <c r="G181" s="29" t="inlineStr">
        <is>
          <t>CC BY-SA 4.0</t>
        </is>
      </c>
      <c r="H181" s="29" t="inlineStr">
        <is>
          <t>https://creativecommons.org/licenses/by-sa/4.0/</t>
        </is>
      </c>
      <c r="I181" s="29" t="inlineStr">
        <is>
          <t>Creative Commons Attribution-Share Alike 4.0</t>
        </is>
      </c>
      <c r="J181" s="29" t="inlineStr">
        <is>
          <t>Steven Lek · CC BY-SA 4.0 · Wikimedia Commons</t>
        </is>
      </c>
      <c r="K181" s="29" t="n"/>
      <c r="L181" s="49" t="n">
        <v>46317</v>
      </c>
      <c r="M181" s="29" t="inlineStr">
        <is>
          <t>Bekliyor</t>
        </is>
      </c>
      <c r="N181" s="29" t="inlineStr">
        <is>
          <t>Bekliyor</t>
        </is>
      </c>
      <c r="O181" s="29" t="inlineStr">
        <is>
          <t>Fotoğraflar/eindhoven_strijp-s_05.jpg</t>
        </is>
      </c>
      <c r="P181" s="29" t="inlineStr">
        <is>
          <t>Dikey pencere şeritli koyu kırmızı tuğla bina, cephede dikey 'HET HANGT IN DE LUCHT' ve 'HET LIGT OP STRAAT' yazıları, zemin katta dükkânlar ve bank-masalar, önünde köpeğini gezdiren küçük bir yaya (yüz seçilmiyor); arkada tepesi kırmızı, 'BOSCH' yazılı yüksek ofis binası; önde kuru çimenli arsa</t>
        </is>
      </c>
      <c r="Q181" s="29" t="inlineStr">
        <is>
          <t>Bekliyor</t>
        </is>
      </c>
      <c r="R181" s="29" t="inlineStr">
        <is>
          <t>Wikimedia Commons dosya sayfasındaki lisans: CC BY-SA 4.0</t>
        </is>
      </c>
      <c r="S181" s="29" t="n"/>
      <c r="T181" s="29" t="n"/>
      <c r="U181" s="29" t="n"/>
      <c r="V181" s="29" t="n"/>
      <c r="W181" s="29" t="inlineStr">
        <is>
          <t>{"source_url": "https://commons.wikimedia.org/wiki/File:Ingenieur_Kalffstraat_Torenallee_Eindhoven.jpg", "author": "Steven Lek", "license": "CC BY-SA 4.0", "license_url": "https://creativecommons.org/licenses/by-sa/4.0/", "original_api_record": {"size": 7926904, "width": 4928, "height": 3264, "thumburl": "https://thumb.wikimedia.org/wikipedia/commons/thumb/8/89/Ingenieur_Kalffstraat_Torenallee_Eindhoven.jpg/1920px-Ingenieur_Kalffstraat_Torenallee_Eindhoven.jpg?utm_source=commons.wikimedia.org&amp;utm_campaign=imageinfo&amp;utm_content=thumbnail", "thumbwidth": 1600, "thumbheight": 1060, "responsiveUrls": {"2": "https://thumb.wikimedia.org/wikipedia/commons/thumb/8/89/Ingenieur_Kalffstraat_Torenallee_Eindhoven.jpg/3840px-Ingenieur_Kalffstraat_Torenallee_Eindhoven.jpg?utm_source=commons.wikimedia.org&amp;utm_campaign=imageinfo&amp;utm_content=thumbnail"}, "thumbattribs": {"src": "https://thumb.wikimedia.org/wikipedia/commons/thumb/8/89/Ingenieur_Kalffstraat_Torenallee_Eindhoven.jpg/1920px-Ingenieur_Kalffstraat_Torenallee_Eindhoven.jpg?utm_source=commons.wikimedia.org&amp;utm_campaign=imageinfo&amp;utm_content=thumbnail", "decoding": "async", "loading": "lazy", "width": 1600, "height": 1060, "srcset": "https://thumb.wikimedia.org/wikipedia/commons/thumb/8/89/Ingenieur_Kalffstraat_Torenallee_Eindhoven.jpg/3840px-Ingenieur_Kalffstraat_Torenallee_Eindhoven.jpg?utm_source=commons.wikimedia.org&amp;utm_campaign=imageinfo&amp;utm_content=thumbnail 2x"}, "url": "https://upload.wikimedia.org/wikipedia/commons/8/89/Ingenieur_Kalffstraat_Torenallee_Eindhoven.jpg?utm_source=commons.wikimedia.org&amp;utm_campaign=imageinfo&amp;utm_content=original", "descriptionurl": "https://commons.wikimedia.org/wiki/File:Ingenieur_Kalffstraat_Torenallee_Eindhoven.jpg", "descriptionshorturl": "https://commons.wikimedia.org/w/index.php?curid=71373224", "sha1": "d3a72671541e1e772e1a99c8c4bb7f23bce5cabe", "extmetadata": {"DateTime": {"value": "2018-08-05 15:58:57", "source": "mediawiki-metadata", "hidden": ""}, "ObjectName": {"value": "Ingenieur Kalffstraat Torenallee Eindhoven", "source": "mediawiki-metadata"}, "CommonsMetadataExtension": {"value": 1.2, "source": "extension", "hidden": ""}, "Categories": {"value": "Streets in Eindhoven|Strijp-S|Self-published work|2018 in Eindhoven|Netherlands photographs taken on 2018-07-31", "source": "commons-categories", "hidden": ""}, "Assessments": {"value": "", "source": "commons-categories", "hidden": ""}, "ImageDescription": {"value": "De kruising Ingenieur Kalffstraat / Torenallee in Eindhoven.", "source": "commons-desc-page"}, "DateTimeOriginal": {"value": "2018-07-31 17:22:30",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"https://thumb.wikimedia.org/wikipedia/commons/thumb/8/89/Ingenieur_Kalffstraat_Torenallee_Eindhoven.jpg/1280px-Ingenieur_Kalffstraat_Torenallee_Eindhoven.jpg"}, "retrieved_on": "2026-10-23"}</t>
        </is>
      </c>
    </row>
    <row r="182" ht="54" customHeight="1">
      <c r="A182" s="29" t="inlineStr">
        <is>
          <t>eindhoven:evidence:philips-museum-04</t>
        </is>
      </c>
      <c r="B182" s="29" t="inlineStr">
        <is>
          <t>eindhoven</t>
        </is>
      </c>
      <c r="C182" s="29" t="inlineStr">
        <is>
          <t>eindhoven:photo:philips-museum-04</t>
        </is>
      </c>
      <c r="D182" s="29" t="inlineStr">
        <is>
          <t>https://commons.wikimedia.org/wiki/File:Philips_Museum_werkplaats_(2025)_(1).jpg</t>
        </is>
      </c>
      <c r="E182" s="29" t="inlineStr">
        <is>
          <t>File:Philips Museum werkplaats (2025) (1).jpg</t>
        </is>
      </c>
      <c r="F182" s="29" t="inlineStr">
        <is>
          <t>S. Perquin</t>
        </is>
      </c>
      <c r="G182" s="29" t="inlineStr">
        <is>
          <t>CC BY-SA 4.0</t>
        </is>
      </c>
      <c r="H182" s="29" t="inlineStr">
        <is>
          <t>https://creativecommons.org/licenses/by-sa/4.0/</t>
        </is>
      </c>
      <c r="I182" s="29" t="inlineStr">
        <is>
          <t>Creative Commons Attribution-Share Alike 4.0</t>
        </is>
      </c>
      <c r="J182" s="29" t="inlineStr">
        <is>
          <t>S. Perquin · CC BY-SA 4.0 · Wikimedia Commons</t>
        </is>
      </c>
      <c r="K182" s="29" t="n"/>
      <c r="L182" s="49" t="n">
        <v>46317</v>
      </c>
      <c r="M182" s="29" t="inlineStr">
        <is>
          <t>Bekliyor</t>
        </is>
      </c>
      <c r="N182" s="29" t="inlineStr">
        <is>
          <t>Bekliyor</t>
        </is>
      </c>
      <c r="O182" s="29" t="inlineStr">
        <is>
          <t>Fotoğraflar/eindhoven_philips-museum_04.jpg</t>
        </is>
      </c>
      <c r="P182" s="29" t="inlineStr">
        <is>
          <t>Tuğla duvarlı, iki kemerli yüksek pencereli canlandırılmış atölye: ahşap tezgâhlar, cam kavanozlar, aletler, tavandan sarkan yeşil lambalar, kâğıt rulosu, parke taşı zemin; önde bariyer</t>
        </is>
      </c>
      <c r="Q182" s="29" t="inlineStr">
        <is>
          <t>Bekliyor</t>
        </is>
      </c>
      <c r="R182" s="29" t="inlineStr">
        <is>
          <t>Wikimedia Commons dosya sayfasındaki lisans: CC BY-SA 4.0</t>
        </is>
      </c>
      <c r="S182" s="29" t="n"/>
      <c r="T182" s="29" t="n"/>
      <c r="U182" s="29" t="n"/>
      <c r="V182" s="29" t="n"/>
      <c r="W182" s="29" t="inlineStr">
        <is>
          <t>{"source_url": "https://commons.wikimedia.org/wiki/File:Philips_Museum_werkplaats_(2025)_(1).jpg", "author": "S. Perquin", "license": "CC BY-SA 4.0", "license_url": "https://creativecommons.org/licenses/by-sa/4.0/", "original_api_record": {"size": 7534234, "width": 6000, "height": 4000, "thumburl": "https://thumb.wikimedia.org/wikipedia/commons/thumb/f/f2/Philips_Museum_werkplaats_%282025%29_%281%29.jpg/1920px-Philips_Museum_werkplaats_%282025%29_%281%29.jpg?utm_source=commons.wikimedia.org&amp;utm_campaign=imageinfo&amp;utm_content=thumbnail", "thumbwidth": 1600, "thumbheight": 1067, "responsiveUrls": {"2": "https://thumb.wikimedia.org/wikipedia/commons/thumb/f/f2/Philips_Museum_werkplaats_%282025%29_%281%29.jpg/3840px-Philips_Museum_werkplaats_%282025%29_%281%29.jpg?utm_source=commons.wikimedia.org&amp;utm_campaign=imageinfo&amp;utm_content=thumbnail"}, "thumbattribs": {"src": "https://thumb.wikimedia.org/wikipedia/commons/thumb/f/f2/Philips_Museum_werkplaats_%282025%29_%281%29.jpg/1920px-Philips_Museum_werkplaats_%282025%29_%281%29.jpg?utm_source=commons.wikimedia.org&amp;utm_campaign=imageinfo&amp;utm_content=thumbnail", "decoding": "async", "loading": "lazy", "width": 1600, "height": 1067, "srcset": "https://thumb.wikimedia.org/wikipedia/commons/thumb/f/f2/Philips_Museum_werkplaats_%282025%29_%281%29.jpg/3840px-Philips_Museum_werkplaats_%282025%29_%281%29.jpg?utm_source=commons.wikimedia.org&amp;utm_campaign=imageinfo&amp;utm_content=thumbnail 2x"}, "url": "https://upload.wikimedia.org/wikipedia/commons/f/f2/Philips_Museum_werkplaats_%282025%29_%281%29.jpg?utm_source=commons.wikimedia.org&amp;utm_campaign=imageinfo&amp;utm_content=original", "descriptionurl": "https://commons.wikimedia.org/wiki/File:Philips_Museum_werkplaats_(2025)_(1).jpg", "descriptionshorturl": "https://commons.wikimedia.org/w/index.php?curid=160389872", "sha1": "05416a8021c0702dcd10546f26ee8f8d34a48bbb", "extmetadata": {"DateTime": {"value": "2025-02-23 16:28:48", "source": "mediawiki-metadata", "hidden": ""}, "ObjectName": {"value": "Philips Museum werkplaats (2025) (1)", "source": "mediawiki-metadata"}, "CommonsMetadataExtension": {"value": 1.2, "source": "extension", "hidden": ""}, "Categories": {"value": "Philips Museum|Self-published work|Photographs by S. Perquin|2025 photographs by S. Perquin|Photographs by S. Perquin in Eindhoven", "source": "commons-categories", "hidden": ""}, "Assessments": {"value": "", "source": "commons-categories", "hidden": ""}, "ImageDescription": {"value": "De tentoongestelde werkplaats in het Philips Museum te Eindhoven.", "source": "commons-desc-page"}, "DateTimeOriginal": {"value": "2025-02-23 16:32:03",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"https://thumb.wikimedia.org/wikipedia/commons/thumb/f/f2/Philips_Museum_werkplaats_%282025%29_%281%29.jpg/1280px-Philips_Museum_werkplaats_%282025%29_%281%29.jpg"}, "retrieved_on": "2026-10-23"}</t>
        </is>
      </c>
    </row>
    <row r="183" ht="54" customHeight="1">
      <c r="A183" s="29" t="inlineStr">
        <is>
          <t>eindhoven:evidence:museumpark-vonk-prehistorisch-dorp-04</t>
        </is>
      </c>
      <c r="B183" s="29" t="inlineStr">
        <is>
          <t>eindhoven</t>
        </is>
      </c>
      <c r="C183" s="29" t="inlineStr">
        <is>
          <t>eindhoven:photo:museumpark-vonk-prehistorisch-dorp-04</t>
        </is>
      </c>
      <c r="D183" s="29" t="inlineStr">
        <is>
          <t>https://commons.wikimedia.org/wiki/File:Gebouw_Museumpark_VONK_(2026)_(5).jpg</t>
        </is>
      </c>
      <c r="E183" s="29" t="inlineStr">
        <is>
          <t>File:Gebouw Museumpark VONK (2026) (5).jpg</t>
        </is>
      </c>
      <c r="F183" s="29" t="inlineStr">
        <is>
          <t>Sander Perquin</t>
        </is>
      </c>
      <c r="G183" s="29" t="inlineStr">
        <is>
          <t>CC BY 4.0</t>
        </is>
      </c>
      <c r="H183" s="29" t="inlineStr">
        <is>
          <t>https://creativecommons.org/licenses/by/4.0/</t>
        </is>
      </c>
      <c r="I183" s="29" t="inlineStr">
        <is>
          <t>Creative Commons Attribution 4.0</t>
        </is>
      </c>
      <c r="J183" s="29" t="inlineStr">
        <is>
          <t>Sander Perquin · CC BY 4.0 · Wikimedia Commons</t>
        </is>
      </c>
      <c r="K183" s="29" t="n"/>
      <c r="L183" s="49" t="n">
        <v>46317</v>
      </c>
      <c r="M183" s="29" t="inlineStr">
        <is>
          <t>Bekliyor</t>
        </is>
      </c>
      <c r="N183" s="29" t="inlineStr">
        <is>
          <t>Bekliyor</t>
        </is>
      </c>
      <c r="O183" s="29" t="inlineStr">
        <is>
          <t>Fotoğraflar/eindhoven_museumpark-vonk-prehistorisch-dorp_04.jpg</t>
        </is>
      </c>
      <c r="P183" s="29" t="inlineStr">
        <is>
          <t>Yeşil çatısı bir uçtan yükselen müze binası, büyük penceresi ve yanında şemsiyeli teras; önde kumlu patika, su dolu hendek, kaya blokları, yatırılmış kütük, bisikletler</t>
        </is>
      </c>
      <c r="Q183" s="29" t="inlineStr">
        <is>
          <t>Bekliyor</t>
        </is>
      </c>
      <c r="R183" s="29" t="inlineStr">
        <is>
          <t>Wikimedia Commons dosya sayfasındaki lisans: CC BY 4.0</t>
        </is>
      </c>
      <c r="S183" s="29" t="n"/>
      <c r="T183" s="29" t="n"/>
      <c r="U183" s="29" t="n"/>
      <c r="V183" s="29" t="n"/>
      <c r="W183" s="29" t="inlineStr">
        <is>
          <t>{"source_url": "https://commons.wikimedia.org/wiki/File:Gebouw_Museumpark_VONK_(2026)_(5).jpg", "author": "Sander Perquin", "license": "CC BY 4.0", "license_url": "https://creativecommons.org/licenses/by/4.0/", "original_api_record": {"size": 6806555, "width": 6000, "height": 4000, "thumburl": "https://thumb.wikimedia.org/wikipedia/commons/thumb/7/79/Gebouw_Museumpark_VONK_%282026%29_%285%29.jpg/1920px-Gebouw_Museumpark_VONK_%282026%29_%285%29.jpg?utm_source=commons.wikimedia.org&amp;utm_campaign=imageinfo&amp;utm_content=thumbnail", "thumbwidth": 1600, "thumbheight": 1067, "responsiveUrls": {"2": "https://thumb.wikimedia.org/wikipedia/commons/thumb/7/79/Gebouw_Museumpark_VONK_%282026%29_%285%29.jpg/3840px-Gebouw_Museumpark_VONK_%282026%29_%285%29.jpg?utm_source=commons.wikimedia.org&amp;utm_campaign=imageinfo&amp;utm_content=thumbnail"}, "thumbattribs": {"src": "https://thumb.wikimedia.org/wikipedia/commons/thumb/7/79/Gebouw_Museumpark_VONK_%282026%29_%285%29.jpg/1920px-Gebouw_Museumpark_VONK_%282026%29_%285%29.jpg?utm_source=commons.wikimedia.org&amp;utm_campaign=imageinfo&amp;utm_content=thumbnail", "decoding": "async", "loading": "lazy", "width": 1600, "height": 1067, "srcset": "https://thumb.wikimedia.org/wikipedia/commons/thumb/7/79/Gebouw_Museumpark_VONK_%282026%29_%285%29.jpg/3840px-Gebouw_Museumpark_VONK_%282026%29_%285%29.jpg?utm_source=commons.wikimedia.org&amp;utm_campaign=imageinfo&amp;utm_content=thumbnail 2x"}, "url": "https://upload.wikimedia.org/wikipedia/commons/7/79/Gebouw_Museumpark_VONK_%282026%29_%285%29.jpg?utm_source=commons.wikimedia.org&amp;utm_campaign=imageinfo&amp;utm_content=original", "descriptionurl": "https://commons.wikimedia.org/wiki/File:Gebouw_Museumpark_VONK_(2026)_(5).jpg", "descriptionshorturl": "https://commons.wikimedia.org/w/index.php?curid=195885240", "sha1": "dd743f477d15c77e4406a694e6f9febf8f74d18b", "extmetadata": {"DateTime": {"value": "2026-07-18 21:00:32", "source": "mediawiki-metadata", "hidden": ""}, "ObjectName": {"value": "Gebouw Museumpark VONK (2026) (5)", "source": "mediawiki-metadata"}, "CommonsMetadataExtension": {"value": 1.2, "source": "extension", "hidden": ""}, "Categories": {"value": "Self-published work|Creative Commons Attribution 4.0 missing SDC copyright license|Creative Commons Attribution missing SDC copyright status|Self-published work missing SDC copyright license|Photographs by S. Perquin|2026 photographs by S. Perquin|Photographs by S. Perquin in Eindhoven|Museumpark VONK", "source": "commons-categories", "hidden": ""}, "Assessments": {"value": "", "source": "commons-categories", "hidden": ""}, "ImageDescription": {"value": "Het gloednieuwe museumgebouw van Museumpark VONK in Eindhoven.", "source": "commons-desc-page"}, "DateTimeOriginal": {"value": "2026-07-18 14:42:15", "source": "commons-desc-page"}, "Credit": {"value": "&lt;span class=\"int-own-work\" lang=\"en\"&gt;Own work&lt;/span&gt;", "source": "commons-desc-page"}, "Artist": {"value": "&lt;bdi&gt;&lt;a rel=\"mw:WikiLink/Interwiki\" href=\"https://www.wikidata.org/wiki/Q124428562\" title=\"d:Q124428562\" class=\"extiw\"&gt;&lt;span title=\"Dutch philosopher, writer and photographer\"&gt;Sander Perquin&lt;/span&gt;&lt;/a&gt;&lt;/bdi&gt;",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"https://thumb.wikimedia.org/wikipedia/commons/thumb/7/79/Gebouw_Museumpark_VONK_%282026%29_%285%29.jpg/1280px-Gebouw_Museumpark_VONK_%282026%29_%285%29.jpg"}, "retrieved_on": "2026-10-23"}</t>
        </is>
      </c>
    </row>
    <row r="184" ht="54" customHeight="1">
      <c r="A184" s="29" t="inlineStr">
        <is>
          <t>eindhoven:evidence:museumpark-vonk-prehistorisch-dorp-05</t>
        </is>
      </c>
      <c r="B184" s="29" t="inlineStr">
        <is>
          <t>eindhoven</t>
        </is>
      </c>
      <c r="C184" s="29" t="inlineStr">
        <is>
          <t>eindhoven:photo:museumpark-vonk-prehistorisch-dorp-05</t>
        </is>
      </c>
      <c r="D184" s="29" t="inlineStr">
        <is>
          <t>https://commons.wikimedia.org/wiki/File:Introshow_Museumpark_VONK_(2026)_(1).jpg</t>
        </is>
      </c>
      <c r="E184" s="29" t="inlineStr">
        <is>
          <t>File:Introshow Museumpark VONK (2026) (1).jpg</t>
        </is>
      </c>
      <c r="F184" s="29" t="inlineStr">
        <is>
          <t>Sander Perquin</t>
        </is>
      </c>
      <c r="G184" s="29" t="inlineStr">
        <is>
          <t>CC BY 4.0</t>
        </is>
      </c>
      <c r="H184" s="29" t="inlineStr">
        <is>
          <t>https://creativecommons.org/licenses/by/4.0/</t>
        </is>
      </c>
      <c r="I184" s="29" t="inlineStr">
        <is>
          <t>Creative Commons Attribution 4.0</t>
        </is>
      </c>
      <c r="J184" s="29" t="inlineStr">
        <is>
          <t>Sander Perquin · CC BY 4.0 · Wikimedia Commons</t>
        </is>
      </c>
      <c r="K184" s="29" t="n"/>
      <c r="L184" s="49" t="n">
        <v>46317</v>
      </c>
      <c r="M184" s="29" t="inlineStr">
        <is>
          <t>Bekliyor</t>
        </is>
      </c>
      <c r="N184" s="29" t="inlineStr">
        <is>
          <t>Bekliyor</t>
        </is>
      </c>
      <c r="O184" s="29" t="inlineStr">
        <is>
          <t>Fotoğraflar/eindhoven_museumpark-vonk-prehistorisch-dorp_05.jpg</t>
        </is>
      </c>
      <c r="P184" s="29" t="inlineStr">
        <is>
          <t>Karanlık salonda, avcı ve hayvan siluetleri yansıtılan yuvarlak ışıklı ekran; duvarlarda mızraklı insanların beyaz siluetleri</t>
        </is>
      </c>
      <c r="Q184" s="29" t="inlineStr">
        <is>
          <t>Bekliyor</t>
        </is>
      </c>
      <c r="R184" s="29" t="inlineStr">
        <is>
          <t>Wikimedia Commons dosya sayfasındaki lisans: CC BY 4.0</t>
        </is>
      </c>
      <c r="S184" s="29" t="n"/>
      <c r="T184" s="29" t="n"/>
      <c r="U184" s="29" t="n"/>
      <c r="V184" s="29" t="n"/>
      <c r="W184" s="29" t="inlineStr">
        <is>
          <t>{"source_url": "https://commons.wikimedia.org/wiki/File:Introshow_Museumpark_VONK_(2026)_(1).jpg", "author": "Sander Perquin", "license": "CC BY 4.0", "license_url": "https://creativecommons.org/licenses/by/4.0/", "original_api_record": {"size": 6647379, "width": 4000, "height": 6000, "thumburl": "https://thumb.wikimedia.org/wikipedia/commons/thumb/6/6f/Introshow_Museumpark_VONK_%282026%29_%281%29.jpg/1920px-Introshow_Museumpark_VONK_%282026%29_%281%29.jpg?utm_source=commons.wikimedia.org&amp;utm_campaign=imageinfo&amp;utm_content=thumbnail", "thumbwidth": 1600, "thumbheight": 2400, "responsiveUrls": {"2": "https://thumb.wikimedia.org/wikipedia/commons/thumb/6/6f/Introshow_Museumpark_VONK_%282026%29_%281%29.jpg/3840px-Introshow_Museumpark_VONK_%282026%29_%281%29.jpg?utm_source=commons.wikimedia.org&amp;utm_campaign=imageinfo&amp;utm_content=thumbnail"}, "thumbattribs": {"src": "https://thumb.wikimedia.org/wikipedia/commons/thumb/6/6f/Introshow_Museumpark_VONK_%282026%29_%281%29.jpg/1920px-Introshow_Museumpark_VONK_%282026%29_%281%29.jpg?utm_source=commons.wikimedia.org&amp;utm_campaign=imageinfo&amp;utm_content=thumbnail", "decoding": "async", "loading": "lazy", "width": 1600, "height": 2400, "srcset": "https://thumb.wikimedia.org/wikipedia/commons/thumb/6/6f/Introshow_Museumpark_VONK_%282026%29_%281%29.jpg/3840px-Introshow_Museumpark_VONK_%282026%29_%281%29.jpg?utm_source=commons.wikimedia.org&amp;utm_campaign=imageinfo&amp;utm_content=thumbnail 2x"}, "url": "https://upload.wikimedia.org/wikipedia/commons/6/6f/Introshow_Museumpark_VONK_%282026%29_%281%29.jpg?utm_source=commons.wikimedia.org&amp;utm_campaign=imageinfo&amp;utm_content=original", "descriptionurl": "https://commons.wikimedia.org/wiki/File:Introshow_Museumpark_VONK_(2026)_(1).jpg", "descriptionshorturl": "https://commons.wikimedia.org/w/index.php?curid=195886066", "sha1": "19ffd8a81b2a71c5a92d8a558ab59e4a93032385", "extmetadata": {"DateTime": {"value": "2026-07-18 21:25:10", "source": "mediawiki-metadata", "hidden": ""}, "ObjectName": {"value": "Introshow Museumpark VONK (2026) (1)", "source": "mediawiki-metadata"}, "CommonsMetadataExtension": {"value": 1.2, "source": "extension", "hidden": ""}, "Categories": {"value": "Self-published work|Creative Commons Attribution 4.0 missing SDC copyright license|Creative Commons Attribution missing SDC copyright status|Self-published work missing SDC copyright license|Photographs by S. Perquin|2026 photographs by S. Perquin|Photographs by S. Perquin in Eindhoven|Museumpark VONK", "source": "commons-categories", "hidden": ""}, "Assessments": {"value": "", "source": "commons-categories", "hidden": ""}, "ImageDescription": {"value": "De introshow \"Reis door de tijd\" bij Museumpark VONK in Eindhoven.", "source": "commons-desc-page"}, "DateTimeOriginal": {"value": "2026-07-18 13:51:55", "source": "commons-desc-page"}, "Credit": {"value": "&lt;span class=\"int-own-work\" lang=\"en\"&gt;Own work&lt;/span&gt;", "source": "commons-desc-page"}, "Artist": {"value": "&lt;bdi&gt;&lt;a href=\"https://www.wikidata.org/wiki/Q124428562\" class=\"extiw\" title=\"d:Q124428562\"&gt;&lt;span title=\"Dutch philosopher, writer and photographer\"&gt;Sander Perquin&lt;/span&gt;&lt;/a&gt;&lt;/bdi&gt;",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"https://thumb.wikimedia.org/wikipedia/commons/thumb/6/6f/Introshow_Museumpark_VONK_%282026%29_%281%29.jpg/1280px-Introshow_Museumpark_VONK_%282026%29_%281%29.jpg"}, "retrieved_on": "2026-10-23"}</t>
        </is>
      </c>
    </row>
    <row r="185" ht="54" customHeight="1">
      <c r="A185" s="29" t="inlineStr">
        <is>
          <t>eindhoven:evidence:philips-stadion-psv-04</t>
        </is>
      </c>
      <c r="B185" s="29" t="inlineStr">
        <is>
          <t>eindhoven</t>
        </is>
      </c>
      <c r="C185" s="29" t="inlineStr">
        <is>
          <t>eindhoven:photo:philips-stadion-psv-04</t>
        </is>
      </c>
      <c r="D185" s="29" t="inlineStr">
        <is>
          <t>https://commons.wikimedia.org/wiki/File:Eindhoven,_het_Philips_Stadion_IMG_8630_2019-01-20_12.22.jpg</t>
        </is>
      </c>
      <c r="E185" s="29" t="inlineStr">
        <is>
          <t>File:Eindhoven, het Philips Stadion IMG 8630 2019-01-20 12.22.jpg</t>
        </is>
      </c>
      <c r="F185" s="29" t="inlineStr">
        <is>
          <t>Michielverbeek</t>
        </is>
      </c>
      <c r="G185" s="29" t="inlineStr">
        <is>
          <t>CC BY-SA 4.0</t>
        </is>
      </c>
      <c r="H185" s="29" t="inlineStr">
        <is>
          <t>https://creativecommons.org/licenses/by-sa/4.0/</t>
        </is>
      </c>
      <c r="I185" s="29" t="inlineStr">
        <is>
          <t>Creative Commons Attribution-Share Alike 4.0</t>
        </is>
      </c>
      <c r="J185" s="29" t="inlineStr">
        <is>
          <t>Michielverbeek · CC BY-SA 4.0 · Wikimedia Commons</t>
        </is>
      </c>
      <c r="K185" s="29" t="n"/>
      <c r="L185" s="49" t="n">
        <v>46317</v>
      </c>
      <c r="M185" s="29" t="inlineStr">
        <is>
          <t>Bekliyor</t>
        </is>
      </c>
      <c r="N185" s="29" t="inlineStr">
        <is>
          <t>Bekliyor</t>
        </is>
      </c>
      <c r="O185" s="29" t="inlineStr">
        <is>
          <t>Fotoğraflar/eindhoven_philips-stadion-psv_04.jpg</t>
        </is>
      </c>
      <c r="P185" s="29" t="inlineStr">
        <is>
          <t>Stadyumun panjurlu yuvarlak köşe kulesi ve beyaz çelik pilon; sağda kırmızı şeritli beyaz cephede 'philips stadion' yazısı, önde park etmiş arabalar, çıplak bir ağaç</t>
        </is>
      </c>
      <c r="Q185" s="29" t="inlineStr">
        <is>
          <t>Bekliyor</t>
        </is>
      </c>
      <c r="R185" s="29" t="inlineStr">
        <is>
          <t>Wikimedia Commons dosya sayfasındaki lisans: CC BY-SA 4.0</t>
        </is>
      </c>
      <c r="S185" s="29" t="n"/>
      <c r="T185" s="29" t="n"/>
      <c r="U185" s="29" t="n"/>
      <c r="V185" s="29" t="n"/>
      <c r="W185" s="29" t="inlineStr">
        <is>
          <t>{"source_url": "https://commons.wikimedia.org/wiki/File:Eindhoven,_het_Philips_Stadion_IMG_8630_2019-01-20_12.22.jpg", "author": "Michielverbeek", "license": "CC BY-SA 4.0", "license_url": "https://creativecommons.org/licenses/by-sa/4.0/", "original_api_record": {"size": 11510845, "width": 5331, "height": 3554, "thumburl": "https://thumb.wikimedia.org/wikipedia/commons/thumb/8/84/Eindhoven%2C_het_Philips_Stadion_IMG_8630_2019-01-20_12.22.jpg/1920px-Eindhoven%2C_het_Philips_Stadion_IMG_8630_2019-01-20_12.22.jpg?utm_source=commons.wikimedia.org&amp;utm_campaign=imageinfo&amp;utm_content=thumbnail", "thumbwidth": 1600, "thumbheight": 1067, "responsiveUrls": {"2": "https://thumb.wikimedia.org/wikipedia/commons/thumb/8/84/Eindhoven%2C_het_Philips_Stadion_IMG_8630_2019-01-20_12.22.jpg/3840px-Eindhoven%2C_het_Philips_Stadion_IMG_8630_2019-01-20_12.22.jpg?utm_source=commons.wikimedia.org&amp;utm_campaign=imageinfo&amp;utm_content=thumbnail"}, "thumbattribs": {"src": "https://thumb.wikimedia.org/wikipedia/commons/thumb/8/84/Eindhoven%2C_het_Philips_Stadion_IMG_8630_2019-01-20_12.22.jpg/1920px-Eindhoven%2C_het_Philips_Stadion_IMG_8630_2019-01-20_12.22.jpg?utm_source=commons.wikimedia.org&amp;utm_campaign=imageinfo&amp;utm_content=thumbnail", "decoding": "async", "loading": "lazy", "width": 1600, "height": 1067, "srcset": "https://thumb.wikimedia.org/wikipedia/commons/thumb/8/84/Eindhoven%2C_het_Philips_Stadion_IMG_8630_2019-01-20_12.22.jpg/3840px-Eindhoven%2C_het_Philips_Stadion_IMG_8630_2019-01-20_12.22.jpg?utm_source=commons.wikimedia.org&amp;utm_campaign=imageinfo&amp;utm_content=thumbnail 2x"}, "url": "https://upload.wikimedia.org/wikipedia/commons/8/84/Eindhoven%2C_het_Philips_Stadion_IMG_8630_2019-01-20_12.22.jpg?utm_source=commons.wikimedia.org&amp;utm_campaign=imageinfo&amp;utm_content=original", "descriptionurl": "https://commons.wikimedia.org/wiki/File:Eindhoven,_het_Philips_Stadion_IMG_8630_2019-01-20_12.22.jpg", "descriptionshorturl": "https://commons.wikimedia.org/w/index.php?curid=77244337", "sha1": "25594c0e86800979fb05d01f4a64ec47b377890c", "extmetadata": {"DateTime": {"value": "2019-03-20 21:03:05", "source": "mediawiki-metadata", "hidden": ""}, "ObjectName": {"value": "Eindhoven, het Philips Stadion IMG 8630 2019-01-20 12.22", "source": "mediawiki-metadata"}, "CommonsMetadataExtension": {"value": 1.2, "source": "extension", "hidden": ""}, "Categories": {"value": "Philips Stadion|Self-published work|2019 in Eindhoven|Netherlands photographs taken on 2019-01-20|Files with coordinates missing SDC location of creation (51° N, 5° E)", "source": "commons-categories", "hidden": ""}, "Assessments": {"value": "quality", "source": "commons-categories", "hidden": ""}, "GPSLatitude": {"value": "51.440556", "source": "commons-desc-page"}, "GPSLongitude": {"value": "5.469167", "source": "commons-desc-page"}, "GPSMapDatum": {"value": "WGS-84", "source": "commons-desc-page", "hidden": ""}, "ImageDescription": {"value": "Eindhoven, football stadium: het Philips Stadion", "source": "commons-desc-page"}, "DateTimeOriginal": {"value": "2019-01-20 12:22:45", "source": "commons-desc-page"}, "Credit": {"value": "&lt;span class=\"int-own-work\" lang=\"en\"&gt;Own work&lt;/span&gt;", "source": "commons-desc-page"}, "Artist": {"value": "&lt;a href=\"//commons.wikimedia.org/wiki/User:Michielverbeek\" title=\"User:Michielverbeek\"&gt;Michielverbeek&lt;/a&gt;",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"https://thumb.wikimedia.org/wikipedia/commons/thumb/8/84/Eindhoven%2C_het_Philips_Stadion_IMG_8630_2019-01-20_12.22.jpg/1280px-Eindhoven%2C_het_Philips_Stadion_IMG_8630_2019-01-20_12.22.jpg"}, "retrieved_on": "2026-10-23"}</t>
        </is>
      </c>
    </row>
    <row r="186" ht="54" customHeight="1">
      <c r="A186" s="29" t="inlineStr">
        <is>
          <t>eindhoven:evidence:genneper-parken-03</t>
        </is>
      </c>
      <c r="B186" s="29" t="inlineStr">
        <is>
          <t>eindhoven</t>
        </is>
      </c>
      <c r="C186" s="29" t="inlineStr">
        <is>
          <t>eindhoven:photo:genneper-parken-03</t>
        </is>
      </c>
      <c r="D186" s="29" t="inlineStr">
        <is>
          <t>https://commons.wikimedia.org/wiki/File:Genneperweg,_Eindhoven.JPG</t>
        </is>
      </c>
      <c r="E186" s="29" t="inlineStr">
        <is>
          <t>File:Genneperweg, Eindhoven.JPG</t>
        </is>
      </c>
      <c r="F186" s="29" t="inlineStr">
        <is>
          <t>Rosemoon</t>
        </is>
      </c>
      <c r="G186" s="29" t="inlineStr">
        <is>
          <t>CC BY-SA 3.0</t>
        </is>
      </c>
      <c r="H186" s="29" t="inlineStr">
        <is>
          <t>https://creativecommons.org/licenses/by-sa/3.0/</t>
        </is>
      </c>
      <c r="I186" s="29" t="inlineStr">
        <is>
          <t>Creative Commons Attribution-Share Alike 3.0</t>
        </is>
      </c>
      <c r="J186" s="29" t="inlineStr">
        <is>
          <t>Rosemoon · CC BY-SA 3.0 · Wikimedia Commons</t>
        </is>
      </c>
      <c r="K186" s="29" t="n"/>
      <c r="L186" s="49" t="n">
        <v>46317</v>
      </c>
      <c r="M186" s="29" t="inlineStr">
        <is>
          <t>Bekliyor</t>
        </is>
      </c>
      <c r="N186" s="29" t="inlineStr">
        <is>
          <t>Bekliyor</t>
        </is>
      </c>
      <c r="O186" s="29" t="inlineStr">
        <is>
          <t>Fotoğraflar/eindhoven_genneper-parken_03.jpg</t>
        </is>
      </c>
      <c r="P186" s="29" t="inlineStr">
        <is>
          <t>Uzun kavaklarla sıralı toprak yolda sırtı dönük bisikletli, uzakta yürüyüşçüler; sağda hendek ve çimenliğin ardında kırmızı kiremit çatılı tuğla ev</t>
        </is>
      </c>
      <c r="Q186" s="29" t="inlineStr">
        <is>
          <t>Bekliyor</t>
        </is>
      </c>
      <c r="R186" s="29" t="inlineStr">
        <is>
          <t>Wikimedia Commons dosya sayfasındaki lisans: CC BY-SA 3.0</t>
        </is>
      </c>
      <c r="S186" s="29" t="n"/>
      <c r="T186" s="29" t="n"/>
      <c r="U186" s="29" t="n"/>
      <c r="V186" s="29" t="n"/>
      <c r="W186" s="29" t="inlineStr">
        <is>
          <t>{"source_url": "https://commons.wikimedia.org/wiki/File:Genneperweg,_Eindhoven.JPG", "author": "Rosemoon", "license": "CC BY-SA 3.0", "license_url": "https://creativecommons.org/licenses/by-sa/3.0/", "original_api_record": {"size": 6144000, "width": 4320, "height": 3240, "thumburl": "https://thumb.wikimedia.org/wikipedia/commons/thumb/5/51/Genneperweg%2C_Eindhoven.JPG/1920px-Genneperweg%2C_Eindhoven.JPG?utm_source=commons.wikimedia.org&amp;utm_campaign=imageinfo&amp;utm_content=thumbnail", "thumbwidth": 1600, "thumbheight": 1200, "responsiveUrls": {"2": "https://thumb.wikimedia.org/wikipedia/commons/thumb/5/51/Genneperweg%2C_Eindhoven.JPG/3840px-Genneperweg%2C_Eindhoven.JPG?utm_source=commons.wikimedia.org&amp;utm_campaign=imageinfo&amp;utm_content=thumbnail"}, "thumbattribs": {"src": "https://thumb.wikimedia.org/wikipedia/commons/thumb/5/51/Genneperweg%2C_Eindhoven.JPG/1920px-Genneperweg%2C_Eindhoven.JPG?utm_source=commons.wikimedia.org&amp;utm_campaign=imageinfo&amp;utm_content=thumbnail", "decoding": "async", "loading": "lazy", "width": 1600, "height": 1200, "srcset": "https://thumb.wikimedia.org/wikipedia/commons/thumb/5/51/Genneperweg%2C_Eindhoven.JPG/3840px-Genneperweg%2C_Eindhoven.JPG?utm_source=commons.wikimedia.org&amp;utm_campaign=imageinfo&amp;utm_content=thumbnail 2x"}, "url": "https://upload.wikimedia.org/wikipedia/commons/5/51/Genneperweg%2C_Eindhoven.JPG?utm_source=commons.wikimedia.org&amp;utm_campaign=imageinfo&amp;utm_content=original", "descriptionurl": "https://commons.wikimedia.org/wiki/File:Genneperweg,_Eindhoven.JPG", "descriptionshorturl": "https://commons.wikimedia.org/w/index.php?curid=29760501", "sha1": "f139b5e3c113119d8322e25f15b6c65ab03de36d", "extmetadata": {"DateTime": {"value": "2013-11-21 20:02:49", "source": "mediawiki-metadata", "hidden": ""}, "ObjectName": {"value": "Genneperweg, Eindhoven", "source": "mediawiki-metadata"}, "CommonsMetadataExtension": {"value": 1.2, "source": "extension", "hidden": ""}, "Categories": {"value": "Taken with Panasonic Lumix DMC-TZ20|Streets in Eindhoven|Self-published work|2013 in Eindhoven|Netherlands photographs taken on 2013-04-17|Files with coordinates missing SDC location of creation (51° N, 5° E)", "source": "commons-categories", "hidden": ""}, "Assessments": {"value": "", "source": "commons-categories", "hidden": ""}, "GPSLatitude": {"value": "51.420120", "source": "commons-desc-page"}, "GPSLongitude": {"value": "5.473110", "source": "commons-desc-page"}, "GPSMapDatum": {"value": "WGS-84", "source": "commons-desc-page", "hidden": ""}, "ImageDescription": {"value": "Genneperweg, Eindhoven", "source": "commons-desc-page"}, "DateTimeOriginal": {"value": "2013-04-17 15:55:51",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"https://thumb.wikimedia.org/wikipedia/commons/thumb/5/51/Genneperweg%2C_Eindhoven.JPG/1280px-Genneperweg%2C_Eindhoven.JPG"}, "retrieved_on": "2026-10-23"}</t>
        </is>
      </c>
    </row>
    <row r="187" ht="54" customHeight="1">
      <c r="A187" s="29" t="inlineStr">
        <is>
          <t>eindhoven:evidence:stadswandelpark-05</t>
        </is>
      </c>
      <c r="B187" s="29" t="inlineStr">
        <is>
          <t>eindhoven</t>
        </is>
      </c>
      <c r="C187" s="29" t="inlineStr">
        <is>
          <t>eindhoven:photo:stadswandelpark-05</t>
        </is>
      </c>
      <c r="D187" s="29" t="inlineStr">
        <is>
          <t>https://commons.wikimedia.org/wiki/File:13-06-29-eindhoven-50mm-56.jpg</t>
        </is>
      </c>
      <c r="E187" s="29" t="inlineStr">
        <is>
          <t>File:13-06-29-eindhoven-50mm-56.jpg</t>
        </is>
      </c>
      <c r="F187" s="29" t="inlineStr">
        <is>
          <t>Ralf Roletschek</t>
        </is>
      </c>
      <c r="G187" s="29" t="inlineStr">
        <is>
          <t>CC BY 3.0</t>
        </is>
      </c>
      <c r="H187" s="29" t="inlineStr">
        <is>
          <t>https://creativecommons.org/licenses/by/3.0/</t>
        </is>
      </c>
      <c r="I187" s="29" t="inlineStr">
        <is>
          <t>Creative Commons Attribution 3.0</t>
        </is>
      </c>
      <c r="J187" s="29" t="inlineStr">
        <is>
          <t>Ralf Roletschek · CC BY 3.0 · Wikimedia Commons</t>
        </is>
      </c>
      <c r="K187" s="29" t="n"/>
      <c r="L187" s="49" t="n">
        <v>46317</v>
      </c>
      <c r="M187" s="29" t="inlineStr">
        <is>
          <t>Bekliyor</t>
        </is>
      </c>
      <c r="N187" s="29" t="inlineStr">
        <is>
          <t>Bekliyor</t>
        </is>
      </c>
      <c r="O187" s="29" t="inlineStr">
        <is>
          <t>Fotoğraflar/eindhoven_stadswandelpark_05.jpg</t>
        </is>
      </c>
      <c r="P187" s="29" t="inlineStr">
        <is>
          <t>Çimenlik, yuvarlak çalılar, kıyısı sazlı su yolu, uzakta yeşil korkuluklu beyaz yaya köprüsü, huş ağaçları; yaz</t>
        </is>
      </c>
      <c r="Q187" s="29" t="inlineStr">
        <is>
          <t>Bekliyor</t>
        </is>
      </c>
      <c r="R187" s="29" t="inlineStr">
        <is>
          <t>Wikimedia Commons dosya sayfasındaki lisans: CC BY 3.0</t>
        </is>
      </c>
      <c r="S187" s="29" t="n"/>
      <c r="T187" s="29" t="n"/>
      <c r="U187" s="29" t="n"/>
      <c r="V187" s="29" t="n"/>
      <c r="W187" s="29" t="inlineStr">
        <is>
          <t>{"source_url": "https://commons.wikimedia.org/wiki/File:13-06-29-eindhoven-50mm-56.jpg", "author": "Ralf Roletschek", "license": "CC BY 3.0", "license_url": "https://creativecommons.org/licenses/by/3.0/", "original_api_record": {"size": 11851105, "width": 4288, "height": 2848, "thumburl": "https://thumb.wikimedia.org/wikipedia/commons/thumb/d/da/13-06-29-eindhoven-50mm-56.jpg/1920px-13-06-29-eindhoven-50mm-56.jpg?utm_source=commons.wikimedia.org&amp;utm_campaign=imageinfo&amp;utm_content=thumbnail", "thumbwidth": 1600, "thumbheight": 1063, "responsiveUrls": {"2": "https://thumb.wikimedia.org/wikipedia/commons/thumb/d/da/13-06-29-eindhoven-50mm-56.jpg/3840px-13-06-29-eindhoven-50mm-56.jpg?utm_source=commons.wikimedia.org&amp;utm_campaign=imageinfo&amp;utm_content=thumbnail"}, "thumbattribs": {"src": "https://thumb.wikimedia.org/wikipedia/commons/thumb/d/da/13-06-29-eindhoven-50mm-56.jpg/1920px-13-06-29-eindhoven-50mm-56.jpg?utm_source=commons.wikimedia.org&amp;utm_campaign=imageinfo&amp;utm_content=thumbnail", "decoding": "async", "loading": "lazy", "width": 1600, "height": 1063, "srcset": "https://thumb.wikimedia.org/wikipedia/commons/thumb/d/da/13-06-29-eindhoven-50mm-56.jpg/3840px-13-06-29-eindhoven-50mm-56.jpg?utm_source=commons.wikimedia.org&amp;utm_campaign=imageinfo&amp;utm_content=thumbnail 2x"}, "url": "https://upload.wikimedia.org/wikipedia/commons/d/da/13-06-29-eindhoven-50mm-56.jpg?utm_source=commons.wikimedia.org&amp;utm_campaign=imageinfo&amp;utm_content=original", "descriptionurl": "https://commons.wikimedia.org/wiki/File:13-06-29-eindhoven-50mm-56.jpg", "descriptionshorturl": "https://commons.wikimedia.org/w/index.php?curid=26960001", "sha1": "4d1d938ac7a02c7a5ab3f3d7dcf5175f34a25631", "extmetadata": {"DateTime": {"value": "2013-06-29 21:24:18", "source": "mediawiki-metadata", "hidden": ""}, "ObjectName": {"value": "13-06-29-eindhoven-50mm-56", "source": "mediawiki-metadata"}, "CommonsMetadataExtension": {"value": 1.2, "source": "extension", "hidden": ""}, "Categories": {"value": "GFDL|Taken with Nikon D300s|License migration redundant|Stadswandelpark, Eindhoven|Self-published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"51.425952", "source": "commons-desc-page"}, "GPSLongitude": {"value": "5.480763", "source": "commons-desc-page"}, "GPSMapDatum": {"value": "WGS-84", "source": "commons-desc-page", "hidden": ""}, "ImageDescription": {"value": "Eindhoven, Niederlande, 2013", "source": "commons-desc-page"}, "DateTimeOriginal": {"value": "2013-06-29 17:07:43",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"https://thumb.wikimedia.org/wikipedia/commons/thumb/d/da/13-06-29-eindhoven-50mm-56.jpg/1280px-13-06-29-eindhoven-50mm-56.jpg"}, "retrieved_on": "2026-10-23"}</t>
        </is>
      </c>
    </row>
    <row r="188" ht="54" customHeight="1">
      <c r="A188" s="29" t="inlineStr">
        <is>
          <t>eindhoven:evidence:henri-dunantpark-05</t>
        </is>
      </c>
      <c r="B188" s="29" t="inlineStr">
        <is>
          <t>eindhoven</t>
        </is>
      </c>
      <c r="C188" s="29" t="inlineStr">
        <is>
          <t>eindhoven:photo:henri-dunantpark-05</t>
        </is>
      </c>
      <c r="D188" s="29" t="inlineStr">
        <is>
          <t>https://commons.wikimedia.org/wiki/File:Speelpark_De_Splinter_(2025)_(44).jpg</t>
        </is>
      </c>
      <c r="E188" s="29" t="inlineStr">
        <is>
          <t>File:Speelpark De Splinter (2025) (44).jpg</t>
        </is>
      </c>
      <c r="F188" s="29" t="inlineStr">
        <is>
          <t>S. Perquin</t>
        </is>
      </c>
      <c r="G188" s="29" t="inlineStr">
        <is>
          <t>CC BY-SA 4.0</t>
        </is>
      </c>
      <c r="H188" s="29" t="inlineStr">
        <is>
          <t>https://creativecommons.org/licenses/by-sa/4.0/</t>
        </is>
      </c>
      <c r="I188" s="29" t="inlineStr">
        <is>
          <t>Creative Commons Attribution-Share Alike 4.0</t>
        </is>
      </c>
      <c r="J188" s="29" t="inlineStr">
        <is>
          <t>S. Perquin · CC BY-SA 4.0 · Wikimedia Commons</t>
        </is>
      </c>
      <c r="K188" s="29" t="n"/>
      <c r="L188" s="49" t="n">
        <v>46317</v>
      </c>
      <c r="M188" s="29" t="inlineStr">
        <is>
          <t>Bekliyor</t>
        </is>
      </c>
      <c r="N188" s="29" t="inlineStr">
        <is>
          <t>Bekliyor</t>
        </is>
      </c>
      <c r="O188" s="29" t="inlineStr">
        <is>
          <t>Fotoğraflar/eindhoven_henri-dunantpark_05.jpg</t>
        </is>
      </c>
      <c r="P188" s="29" t="inlineStr">
        <is>
          <t>Ağaçlar altında kumlu oyun alanı: bez gölgelik altında ahşap platformlar ve rampalar, solda salıncaklar, sağda koyu ahşap kulübe, üstte bayrak ipleri; insan yok</t>
        </is>
      </c>
      <c r="Q188" s="29" t="inlineStr">
        <is>
          <t>Bekliyor</t>
        </is>
      </c>
      <c r="R188" s="29" t="inlineStr">
        <is>
          <t>Wikimedia Commons dosya sayfasındaki lisans: CC BY-SA 4.0</t>
        </is>
      </c>
      <c r="S188" s="29" t="n"/>
      <c r="T188" s="29" t="n"/>
      <c r="U188" s="29" t="n"/>
      <c r="V188" s="29" t="n"/>
      <c r="W188" s="29" t="inlineStr">
        <is>
          <t>{"source_url": "https://commons.wikimedia.org/wiki/File:Speelpark_De_Splinter_(2025)_(44).jpg", "author": "S. Perquin", "license": "CC BY-SA 4.0", "license_url": "https://creativecommons.org/licenses/by-sa/4.0/", "original_api_record": {"size": 6114459, "width": 5889, "height": 3926, "thumburl": "https://thumb.wikimedia.org/wikipedia/commons/thumb/2/2b/Speelpark_De_Splinter_%282025%29_%2844%29.jpg/1920px-Speelpark_De_Splinter_%282025%29_%2844%29.jpg?utm_source=commons.wikimedia.org&amp;utm_campaign=imageinfo&amp;utm_content=thumbnail", "thumbwidth": 1600, "thumbheight": 1067, "responsiveUrls": {"2": "https://thumb.wikimedia.org/wikipedia/commons/thumb/2/2b/Speelpark_De_Splinter_%282025%29_%2844%29.jpg/3840px-Speelpark_De_Splinter_%282025%29_%2844%29.jpg?utm_source=commons.wikimedia.org&amp;utm_campaign=imageinfo&amp;utm_content=thumbnail"}, "thumbattribs": {"src": "https://thumb.wikimedia.org/wikipedia/commons/thumb/2/2b/Speelpark_De_Splinter_%282025%29_%2844%29.jpg/1920px-Speelpark_De_Splinter_%282025%29_%2844%29.jpg?utm_source=commons.wikimedia.org&amp;utm_campaign=imageinfo&amp;utm_content=thumbnail", "decoding": "async", "loading": "lazy", "width": 1600, "height": 1067, "srcset": "https://thumb.wikimedia.org/wikipedia/commons/thumb/2/2b/Speelpark_De_Splinter_%282025%29_%2844%29.jpg/3840px-Speelpark_De_Splinter_%282025%29_%2844%29.jpg?utm_source=commons.wikimedia.org&amp;utm_campaign=imageinfo&amp;utm_content=thumbnail 2x"}, "url": "https://upload.wikimedia.org/wikipedia/commons/2/2b/Speelpark_De_Splinter_%282025%29_%2844%29.jpg?utm_source=commons.wikimedia.org&amp;utm_campaign=imageinfo&amp;utm_content=original", "descriptionurl": "https://commons.wikimedia.org/wiki/File:Speelpark_De_Splinter_(2025)_(44).jpg", "descriptionshorturl": "https://commons.wikimedia.org/w/index.php?curid=165374218", "sha1": "e8b5aa3422d4adbb32f51cd6d210559204033342", "extmetadata": {"DateTime": {"value": "2025-05-16 10:10:56", "source": "mediawiki-metadata", "hidden": ""}, "ObjectName": {"value": "Speelpark De Splinter (2025) (44)",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10:43:47",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"https://thumb.wikimedia.org/wikipedia/commons/thumb/2/2b/Speelpark_De_Splinter_%282025%29_%2844%29.jpg/1280px-Speelpark_De_Splinter_%282025%29_%2844%29.jpg"}, "retrieved_on": "2026-10-23"}</t>
        </is>
      </c>
    </row>
    <row r="189" ht="54" customHeight="1">
      <c r="A189" s="29" t="inlineStr">
        <is>
          <t>eindhoven:evidence:speelpark-de-splinter-05</t>
        </is>
      </c>
      <c r="B189" s="29" t="inlineStr">
        <is>
          <t>eindhoven</t>
        </is>
      </c>
      <c r="C189" s="29" t="inlineStr">
        <is>
          <t>eindhoven:photo:speelpark-de-splinter-05</t>
        </is>
      </c>
      <c r="D189" s="29" t="inlineStr">
        <is>
          <t>https://commons.wikimedia.org/wiki/File:Speelpark_De_Splinter_(2025)_(14).jpg</t>
        </is>
      </c>
      <c r="E189" s="29" t="inlineStr">
        <is>
          <t>File:Speelpark De Splinter (2025) (14).jpg</t>
        </is>
      </c>
      <c r="F189" s="29" t="inlineStr">
        <is>
          <t>S. Perquin</t>
        </is>
      </c>
      <c r="G189" s="29" t="inlineStr">
        <is>
          <t>CC BY-SA 4.0</t>
        </is>
      </c>
      <c r="H189" s="29" t="inlineStr">
        <is>
          <t>https://creativecommons.org/licenses/by-sa/4.0/</t>
        </is>
      </c>
      <c r="I189" s="29" t="inlineStr">
        <is>
          <t>Creative Commons Attribution-Share Alike 4.0</t>
        </is>
      </c>
      <c r="J189" s="29" t="inlineStr">
        <is>
          <t>S. Perquin · CC BY-SA 4.0 · Wikimedia Commons</t>
        </is>
      </c>
      <c r="K189" s="29" t="n"/>
      <c r="L189" s="49" t="n">
        <v>46317</v>
      </c>
      <c r="M189" s="29" t="inlineStr">
        <is>
          <t>Bekliyor</t>
        </is>
      </c>
      <c r="N189" s="29" t="inlineStr">
        <is>
          <t>Bekliyor</t>
        </is>
      </c>
      <c r="O189" s="29" t="inlineStr">
        <is>
          <t>Fotoğraflar/eindhoven_speelpark-de-splinter_05.jpg</t>
        </is>
      </c>
      <c r="P189" s="29" t="inlineStr">
        <is>
          <t>Ağaçlarla çevrili gölet; ortada platform üstünde sivri çatılı ahşap gözetleme kulesi, yüksek ahşap direkler, solda ahşap iskele, sazlar; önde kum; insan yok</t>
        </is>
      </c>
      <c r="Q189" s="29" t="inlineStr">
        <is>
          <t>Bekliyor</t>
        </is>
      </c>
      <c r="R189" s="29" t="inlineStr">
        <is>
          <t>Wikimedia Commons dosya sayfasındaki lisans: CC BY-SA 4.0</t>
        </is>
      </c>
      <c r="S189" s="29" t="n"/>
      <c r="T189" s="29" t="n"/>
      <c r="U189" s="29" t="n"/>
      <c r="V189" s="29" t="n"/>
      <c r="W189" s="29" t="inlineStr">
        <is>
          <t>{"source_url": "https://commons.wikimedia.org/wiki/File:Speelpark_De_Splinter_(2025)_(14).jpg", "author": "S. Perquin", "license": "CC BY-SA 4.0", "license_url": "https://creativecommons.org/licenses/by-sa/4.0/", "original_api_record": {"size": 6872067, "width": 6000, "height": 4000, "thumburl": "https://thumb.wikimedia.org/wikipedia/commons/thumb/e/e5/Speelpark_De_Splinter_%282025%29_%2814%29.jpg/1920px-Speelpark_De_Splinter_%282025%29_%2814%29.jpg?utm_source=commons.wikimedia.org&amp;utm_campaign=imageinfo&amp;utm_content=thumbnail", "thumbwidth": 1600, "thumbheight": 1067, "responsiveUrls": {"2": "https://thumb.wikimedia.org/wikipedia/commons/thumb/e/e5/Speelpark_De_Splinter_%282025%29_%2814%29.jpg/3840px-Speelpark_De_Splinter_%282025%29_%2814%29.jpg?utm_source=commons.wikimedia.org&amp;utm_campaign=imageinfo&amp;utm_content=thumbnail"}, "thumbattribs": {"src": "https://thumb.wikimedia.org/wikipedia/commons/thumb/e/e5/Speelpark_De_Splinter_%282025%29_%2814%29.jpg/1920px-Speelpark_De_Splinter_%282025%29_%2814%29.jpg?utm_source=commons.wikimedia.org&amp;utm_campaign=imageinfo&amp;utm_content=thumbnail", "decoding": "async", "loading": "lazy", "width": 1600, "height": 1067, "srcset": "https://thumb.wikimedia.org/wikipedia/commons/thumb/e/e5/Speelpark_De_Splinter_%282025%29_%2814%29.jpg/3840px-Speelpark_De_Splinter_%282025%29_%2814%29.jpg?utm_source=commons.wikimedia.org&amp;utm_campaign=imageinfo&amp;utm_content=thumbnail 2x"}, "url": "https://upload.wikimedia.org/wikipedia/commons/e/e5/Speelpark_De_Splinter_%282025%29_%2814%29.jpg?utm_source=commons.wikimedia.org&amp;utm_campaign=imageinfo&amp;utm_content=original", "descriptionurl": "https://commons.wikimedia.org/wiki/File:Speelpark_De_Splinter_(2025)_(14).jpg", "descriptionshorturl": "https://commons.wikimedia.org/w/index.php?curid=165373565", "sha1": "d8bae535ff9f6410b71c55fc785be96c2fd3fa42", "extmetadata": {"DateTime": {"value": "2025-05-16 09:59:46", "source": "mediawiki-metadata", "hidden": ""}, "ObjectName": {"value": "Speelpark De Splinter (2025) (14)",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10:21:43",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"https://thumb.wikimedia.org/wikipedia/commons/thumb/e/e5/Speelpark_De_Splinter_%282025%29_%2814%29.jpg/1280px-Speelpark_De_Splinter_%282025%29_%2814%29.jpg"}, "retrieved_on": "2026-10-23"}</t>
        </is>
      </c>
    </row>
    <row r="190" ht="54" customHeight="1">
      <c r="A190" s="29" t="inlineStr">
        <is>
          <t>eindhoven:evidence:stratumseind-04</t>
        </is>
      </c>
      <c r="B190" s="29" t="inlineStr">
        <is>
          <t>eindhoven</t>
        </is>
      </c>
      <c r="C190" s="29" t="inlineStr">
        <is>
          <t>eindhoven:photo:stratumseind-04</t>
        </is>
      </c>
      <c r="D190" s="29" t="inlineStr">
        <is>
          <t>https://commons.wikimedia.org/wiki/File:Stratumseind_20,_Eindhoven.JPG</t>
        </is>
      </c>
      <c r="E190" s="29" t="inlineStr">
        <is>
          <t>File:Stratumseind 20, Eindhoven.JPG</t>
        </is>
      </c>
      <c r="F190" s="29" t="inlineStr">
        <is>
          <t>Rosemoon</t>
        </is>
      </c>
      <c r="G190" s="29" t="inlineStr">
        <is>
          <t>CC BY-SA 3.0</t>
        </is>
      </c>
      <c r="H190" s="29" t="inlineStr">
        <is>
          <t>https://creativecommons.org/licenses/by-sa/3.0/</t>
        </is>
      </c>
      <c r="I190" s="29" t="inlineStr">
        <is>
          <t>Creative Commons Attribution-Share Alike 3.0</t>
        </is>
      </c>
      <c r="J190" s="29" t="inlineStr">
        <is>
          <t>Rosemoon · CC BY-SA 3.0 · Wikimedia Commons</t>
        </is>
      </c>
      <c r="K190" s="29" t="n"/>
      <c r="L190" s="49" t="n">
        <v>46317</v>
      </c>
      <c r="M190" s="29" t="inlineStr">
        <is>
          <t>Bekliyor</t>
        </is>
      </c>
      <c r="N190" s="29" t="inlineStr">
        <is>
          <t>Bekliyor</t>
        </is>
      </c>
      <c r="O190" s="29" t="inlineStr">
        <is>
          <t>Fotoğraflar/eindhoven_stratumseind_04.jpg</t>
        </is>
      </c>
      <c r="P190" s="29" t="inlineStr">
        <is>
          <t>Krem cepheli, koyu yeşil tenteli iki katlı bar; kırmızı harfli tabela, mavi ışıklı vitrinler, beyaz kapı; solda sokak lambası ve ona dayalı bisiklet, sağda koyu gri komşu bar; tuğla döşeli sokak; insan yok</t>
        </is>
      </c>
      <c r="Q190" s="29" t="inlineStr">
        <is>
          <t>Bekliyor</t>
        </is>
      </c>
      <c r="R190" s="29" t="inlineStr">
        <is>
          <t>Wikimedia Commons dosya sayfasındaki lisans: CC BY-SA 3.0</t>
        </is>
      </c>
      <c r="S190" s="29" t="n"/>
      <c r="T190" s="29" t="n"/>
      <c r="U190" s="29" t="n"/>
      <c r="V190" s="29" t="n"/>
      <c r="W190" s="29" t="inlineStr">
        <is>
          <t>{"source_url": "https://commons.wikimedia.org/wiki/File:Stratumseind_20,_Eindhoven.JPG", "author": "Rosemoon", "license": "CC BY-SA 3.0", "license_url": "https://creativecommons.org/licenses/by-sa/3.0/", "original_api_record": {"size": 5133822, "width": 3240, "height": 4320, "thumburl": "https://thumb.wikimedia.org/wikipedia/commons/thumb/1/1e/Stratumseind_20%2C_Eindhoven.JPG/1920px-Stratumseind_20%2C_Eindhoven.JPG?utm_source=commons.wikimedia.org&amp;utm_campaign=imageinfo&amp;utm_content=thumbnail", "thumbwidth": 1600, "thumbheight": 2133, "responsiveUrls": {"2": "https://upload.wikimedia.org/wikipedia/commons/1/1e/Stratumseind_20%2C_Eindhoven.JPG?utm_source=commons.wikimedia.org&amp;utm_campaign=imageinfo&amp;utm_content=thumbnail_unscaled"}, "thumbattribs": {"src": "https://thumb.wikimedia.org/wikipedia/commons/thumb/1/1e/Stratumseind_20%2C_Eindhoven.JPG/1920px-Stratumseind_20%2C_Eindhoven.JPG?utm_source=commons.wikimedia.org&amp;utm_campaign=imageinfo&amp;utm_content=thumbnail", "decoding": "async", "loading": "lazy", "width": 1600, "height": 2133, "srcset": "https://upload.wikimedia.org/wikipedia/commons/1/1e/Stratumseind_20%2C_Eindhoven.JPG?utm_source=commons.wikimedia.org&amp;utm_campaign=imageinfo&amp;utm_content=thumbnail_unscaled 2x"}, "url": "https://upload.wikimedia.org/wikipedia/commons/1/1e/Stratumseind_20%2C_Eindhoven.JPG?utm_source=commons.wikimedia.org&amp;utm_campaign=imageinfo&amp;utm_content=original", "descriptionurl": "https://commons.wikimedia.org/wiki/File:Stratumseind_20,_Eindhoven.JPG", "descriptionshorturl": "https://commons.wikimedia.org/w/index.php?curid=29657644", "sha1": "97d6f9148c88f65b129dcf42e4a4db7cb7b3bbac", "extmetadata": {"DateTime": {"value": "2013-11-16 10:39:05", "source": "mediawiki-metadata", "hidden": ""}, "ObjectName": {"value": "Stratumseind 20, Eindhoven", "source": "mediawiki-metadata"}, "CommonsMetadataExtension": {"value": 1.2, "source": "extension", "hidden": ""}, "Categories": {"value": "Taken with Panasonic Lumix DMC-TZ20|Gemeentelijke monumenten in Eindhoven|Stratumseind|Self-published work|2013 in Eindhoven|Cafés in Eindhoven|Netherlands photographs taken on 2013-04-21|Files with coordinates missing SDC location of creation (51° N, 5° E)", "source": "commons-categories", "hidden": ""}, "Assessments": {"value": "", "source": "commons-categories", "hidden": ""}, "GPSLatitude": {"value": "51.436669", "source": "commons-desc-page"}, "GPSLongitude": {"value": "5.480913", "source": "commons-desc-page"}, "GPSMapDatum": {"value": "WGS-84", "source": "commons-desc-page", "hidden": ""}, "ImageDescription": {"value": "Stratumseind 20, Eindhoven", "source": "commons-desc-page"}, "DateTimeOriginal": {"value": "2013-04-21 10:17:06",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"https://thumb.wikimedia.org/wikipedia/commons/thumb/1/1e/Stratumseind_20%2C_Eindhoven.JPG/1280px-Stratumseind_20%2C_Eindhoven.JPG"}, "retrieved_on": "2026-10-23"}</t>
        </is>
      </c>
    </row>
    <row r="191" ht="54" customHeight="1">
      <c r="A191" s="29" t="inlineStr">
        <is>
          <t>eindhoven:evidence:stratumseind-05</t>
        </is>
      </c>
      <c r="B191" s="29" t="inlineStr">
        <is>
          <t>eindhoven</t>
        </is>
      </c>
      <c r="C191" s="29" t="inlineStr">
        <is>
          <t>eindhoven:photo:stratumseind-05</t>
        </is>
      </c>
      <c r="D191" s="29" t="inlineStr">
        <is>
          <t>https://commons.wikimedia.org/wiki/File:Stratumseind_22,_Eindhoven.JPG</t>
        </is>
      </c>
      <c r="E191" s="29" t="inlineStr">
        <is>
          <t>File:Stratumseind 22, Eindhoven.JPG</t>
        </is>
      </c>
      <c r="F191" s="29" t="inlineStr">
        <is>
          <t>Rosemoon</t>
        </is>
      </c>
      <c r="G191" s="29" t="inlineStr">
        <is>
          <t>CC BY-SA 3.0</t>
        </is>
      </c>
      <c r="H191" s="29" t="inlineStr">
        <is>
          <t>https://creativecommons.org/licenses/by-sa/3.0/</t>
        </is>
      </c>
      <c r="I191" s="29" t="inlineStr">
        <is>
          <t>Creative Commons Attribution-Share Alike 3.0</t>
        </is>
      </c>
      <c r="J191" s="29" t="inlineStr">
        <is>
          <t>Rosemoon · CC BY-SA 3.0 · Wikimedia Commons</t>
        </is>
      </c>
      <c r="K191" s="29" t="n"/>
      <c r="L191" s="49" t="n">
        <v>46317</v>
      </c>
      <c r="M191" s="29" t="inlineStr">
        <is>
          <t>Bekliyor</t>
        </is>
      </c>
      <c r="N191" s="29" t="inlineStr">
        <is>
          <t>Bekliyor</t>
        </is>
      </c>
      <c r="O191" s="29" t="inlineStr">
        <is>
          <t>Fotoğraflar/eindhoven_stratumseind_05.jpg</t>
        </is>
      </c>
      <c r="P191" s="29" t="inlineStr">
        <is>
          <t>Lacivert panjurlu, çatı pencereli krem bina ve solda basamaklı tuğla alınlıklı yapı; zemin katta lacivert bar cephesi, pencere altlarında boyalı ülke bayrakları, duvar fenerleri, bisiklet; insan yok</t>
        </is>
      </c>
      <c r="Q191" s="29" t="inlineStr">
        <is>
          <t>Bekliyor</t>
        </is>
      </c>
      <c r="R191" s="29" t="inlineStr">
        <is>
          <t>Wikimedia Commons dosya sayfasındaki lisans: CC BY-SA 3.0</t>
        </is>
      </c>
      <c r="S191" s="29" t="n"/>
      <c r="T191" s="29" t="n"/>
      <c r="U191" s="29" t="n"/>
      <c r="V191" s="29" t="n"/>
      <c r="W191" s="29" t="inlineStr">
        <is>
          <t>{"source_url": "https://commons.wikimedia.org/wiki/File:Stratumseind_22,_Eindhoven.JPG", "author": "Rosemoon", "license": "CC BY-SA 3.0", "license_url": "https://creativecommons.org/licenses/by-sa/3.0/", "original_api_record": {"size": 4893734, "width": 3240, "height": 4320, "thumburl": "https://thumb.wikimedia.org/wikipedia/commons/thumb/6/6c/Stratumseind_22%2C_Eindhoven.JPG/1920px-Stratumseind_22%2C_Eindhoven.JPG?utm_source=commons.wikimedia.org&amp;utm_campaign=imageinfo&amp;utm_content=thumbnail", "thumbwidth": 1600, "thumbheight": 2133, "responsiveUrls": {"2": "https://upload.wikimedia.org/wikipedia/commons/6/6c/Stratumseind_22%2C_Eindhoven.JPG?utm_source=commons.wikimedia.org&amp;utm_campaign=imageinfo&amp;utm_content=thumbnail_unscaled"}, "thumbattribs": {"src": "https://thumb.wikimedia.org/wikipedia/commons/thumb/6/6c/Stratumseind_22%2C_Eindhoven.JPG/1920px-Stratumseind_22%2C_Eindhoven.JPG?utm_source=commons.wikimedia.org&amp;utm_campaign=imageinfo&amp;utm_content=thumbnail", "decoding": "async", "loading": "lazy", "width": 1600, "height": 2133, "srcset": "https://upload.wikimedia.org/wikipedia/commons/6/6c/Stratumseind_22%2C_Eindhoven.JPG?utm_source=commons.wikimedia.org&amp;utm_campaign=imageinfo&amp;utm_content=thumbnail_unscaled 2x"}, "url": "https://upload.wikimedia.org/wikipedia/commons/6/6c/Stratumseind_22%2C_Eindhoven.JPG?utm_source=commons.wikimedia.org&amp;utm_campaign=imageinfo&amp;utm_content=original", "descriptionurl": "https://commons.wikimedia.org/wiki/File:Stratumseind_22,_Eindhoven.JPG", "descriptionshorturl": "https://commons.wikimedia.org/w/index.php?curid=29657775", "sha1": "1ec8eb188cf82847765d7a15212c62b82920f301", "extmetadata": {"DateTime": {"value": "2013-11-16 10:50:07", "source": "mediawiki-metadata", "hidden": ""}, "ObjectName": {"value": "Stratumseind 22, Eindhoven", "source": "mediawiki-metadata"}, "CommonsMetadataExtension": {"value": 1.2, "source": "extension", "hidden": ""}, "Categories": {"value": "Taken with Panasonic Lumix DMC-TZ20|Gemeentelijke monumenten in Eindhoven|Stratumseind|Self-published work|2013 in Eindhoven|Cafés in Eindhoven|Netherlands photographs taken on 2013-04-21|Files with coordinates missing SDC location of creation (51° N, 5° E)", "source": "commons-categories", "hidden": ""}, "Assessments": {"value": "", "source": "commons-categories", "hidden": ""}, "GPSLatitude": {"value": "51.436648", "source": "commons-desc-page"}, "GPSLongitude": {"value": "5.480971", "source": "commons-desc-page"}, "GPSMapDatum": {"value": "WGS-84", "source": "commons-desc-page", "hidden": ""}, "ImageDescription": {"value": "Stratumseind 22, Eindhoven", "source": "commons-desc-page"}, "DateTimeOriginal": {"value": "2013-04-21 10:15:00",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"https://thumb.wikimedia.org/wikipedia/commons/thumb/6/6c/Stratumseind_22%2C_Eindhoven.JPG/1280px-Stratumseind_22%2C_Eindhoven.JPG"}, "retrieved_on": "2026-10-23"}</t>
        </is>
      </c>
    </row>
    <row r="192" ht="54" customHeight="1">
      <c r="A192" s="29" t="inlineStr">
        <is>
          <t>eindhoven:evidence:sint-catharinakerk-05</t>
        </is>
      </c>
      <c r="B192" s="29" t="inlineStr">
        <is>
          <t>eindhoven</t>
        </is>
      </c>
      <c r="C192" s="29" t="inlineStr">
        <is>
          <t>eindhoven:photo:sint-catharinakerk-05</t>
        </is>
      </c>
      <c r="D192" s="29" t="inlineStr">
        <is>
          <t>https://commons.wikimedia.org/wiki/File:Binnenstad,_5611_Eindhoven,_Netherlands_-_panoramio_(21).jpg</t>
        </is>
      </c>
      <c r="E192" s="29" t="inlineStr">
        <is>
          <t>File:Binnenstad, 5611 Eindhoven, Netherlands - panoramio (21).jpg</t>
        </is>
      </c>
      <c r="F192" s="29" t="inlineStr">
        <is>
          <t>Ben Bender</t>
        </is>
      </c>
      <c r="G192" s="29" t="inlineStr">
        <is>
          <t>CC BY-SA 3.0</t>
        </is>
      </c>
      <c r="H192" s="29" t="inlineStr">
        <is>
          <t>https://creativecommons.org/licenses/by-sa/3.0/</t>
        </is>
      </c>
      <c r="I192" s="29" t="inlineStr">
        <is>
          <t>Creative Commons Attribution-Share Alike 3.0</t>
        </is>
      </c>
      <c r="J192" s="29" t="inlineStr">
        <is>
          <t>Ben Bender · CC BY-SA 3.0 · Wikimedia Commons</t>
        </is>
      </c>
      <c r="K192" s="29" t="n"/>
      <c r="L192" s="49" t="n">
        <v>46317</v>
      </c>
      <c r="M192" s="29" t="inlineStr">
        <is>
          <t>Bekliyor</t>
        </is>
      </c>
      <c r="N192" s="29" t="inlineStr">
        <is>
          <t>Bekliyor</t>
        </is>
      </c>
      <c r="O192" s="29" t="inlineStr">
        <is>
          <t>Fotoğraflar/eindhoven_sint-catharinakerk_05.jpg</t>
        </is>
      </c>
      <c r="P192" s="29" t="inlineStr">
        <is>
          <t>Kilise ana girişi yakından: sivri kemerli taş çerçeve içinde gül pencere, altında ortası küçük heykelli taş paye ile ayrılmış iki yeşil ahşap kapı, yanlarda sivri kemerli pencereler, kırmızımsı tuğla cephe; insan yok</t>
        </is>
      </c>
      <c r="Q192" s="29" t="inlineStr">
        <is>
          <t>Bekliyor</t>
        </is>
      </c>
      <c r="R192" s="29" t="inlineStr">
        <is>
          <t>Wikimedia Commons dosya sayfasındaki lisans: CC BY-SA 3.0</t>
        </is>
      </c>
      <c r="S192" s="29" t="n"/>
      <c r="T192" s="29" t="n"/>
      <c r="U192" s="29" t="n"/>
      <c r="V192" s="29" t="n"/>
      <c r="W192" s="29" t="inlineStr">
        <is>
          <t>{"source_url": "https://commons.wikimedia.org/wiki/File:Binnenstad,_5611_Eindhoven,_Netherlands_-_panoramio_(21).jpg", "author": "Ben Bender", "license": "CC BY-SA 3.0", "license_url": "https://creativecommons.org/licenses/by-sa/3.0/", "original_api_record": {"size": 573611, "width": 2048, "height": 1148, "thumburl": "https://thumb.wikimedia.org/wikipedia/commons/thumb/3/38/Binnenstad%2C_5611_Eindhoven%2C_Netherlands_-_panoramio_%2821%29.jpg/1920px-Binnenstad%2C_5611_Eindhoven%2C_Netherlands_-_panoramio_%2821%29.jpg?utm_source=commons.wikimedia.org&amp;utm_campaign=imageinfo&amp;utm_content=thumbnail", "thumbwidth": 1600, "thumbheight": 897, "responsiveUrls": {"2": "https://upload.wikimedia.org/wikipedia/commons/3/38/Binnenstad%2C_5611_Eindhoven%2C_Netherlands_-_panoramio_%2821%29.jpg?utm_source=commons.wikimedia.org&amp;utm_campaign=imageinfo&amp;utm_content=thumbnail_unscaled"}, "thumbattribs": {"src": "https://thumb.wikimedia.org/wikipedia/commons/thumb/3/38/Binnenstad%2C_5611_Eindhoven%2C_Netherlands_-_panoramio_%2821%29.jpg/1920px-Binnenstad%2C_5611_Eindhoven%2C_Netherlands_-_panoramio_%2821%29.jpg?utm_source=commons.wikimedia.org&amp;utm_campaign=imageinfo&amp;utm_content=thumbnail", "decoding": "async", "loading": "lazy", "width": 1600, "height": 897, "srcset": "https://upload.wikimedia.org/wikipedia/commons/3/38/Binnenstad%2C_5611_Eindhoven%2C_Netherlands_-_panoramio_%2821%29.jpg?utm_source=commons.wikimedia.org&amp;utm_campaign=imageinfo&amp;utm_content=thumbnail_unscaled 2x"}, "url": "https://upload.wikimedia.org/wikipedia/commons/3/38/Binnenstad%2C_5611_Eindhoven%2C_Netherlands_-_panoramio_%2821%29.jpg?utm_source=commons.wikimedia.org&amp;utm_campaign=imageinfo&amp;utm_content=original", "descriptionurl": "https://commons.wikimedia.org/wiki/File:Binnenstad,_5611_Eindhoven,_Netherlands_-_panoramio_(21).jpg", "descriptionshorturl": "https://commons.wikimedia.org/w/index.php?curid=57025722", "sha1": "61f30fda89c1be00a5c384188f9156057ce9bbde", "extmetadata": {"DateTime": {"value": "2017-03-12 08:21:39", "source": "mediawiki-metadata", "hidden": ""}, "ObjectName": {"value": "Binnenstad, 5611 Eindhoven, Netherlands - panoramio (21)", "source": "mediawiki-metadata"}, "CommonsMetadataExtension": {"value": 1.2, "source": "extension", "hidden": ""}, "Categories": {"value": "Sint-Catharinakerk (Eindhoven)|Panoramio files uploaded by Panoramio upload bot|Panoramio images reviewed by trusted users|Photos from Panoramio|Files with coordinates missing SDC location of creation (51° N, 5° E)|Photographs by Ben Bender", "source": "commons-categories", "hidden": ""}, "Assessments": {"value": "", "source": "commons-categories", "hidden": ""}, "GPSLatitude": {"value": "51.437484", "source": "commons-desc-page"}, "GPSLongitude": {"value": "5.479488", "source": "commons-desc-page"}, "GPSMapDatum": {"value": "WGS-84", "source": "commons-desc-page", "hidden": ""}, "ImageDescription": {"value": "Binnenstad, 5611 Eindhoven, Netherlands", "source": "commons-desc-page"}, "DateTimeOriginal": {"value": "4 January 2014 (original upload date)", "source": "commons-desc-page"}, "Credit": {"value": "&lt;a rel=\"nofollow\" class=\"external free\" href=\"https://web.archive.org/web/20161029104340/http://www.panoramio.com/photo/101355669\"&gt;https://web.archive.org/web/20161029104340/http://www.panoramio.com/photo/101355669&lt;/a&gt;", "source": "commons-desc-page"}, "Artist": {"value": "&lt;a rel=\"nofollow\" class=\"external text\" href=\"https://web.archive.org/web/20161029103829/http://www.panoramio.com/user/4678999?with_photo_id=101355669\"&gt;Ben Bender&lt;/a&gt;",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class=\"licensetpl_attr\"&gt;Ben Bender&lt;/div&gt;&lt;/div&gt;&lt;div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12 March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"Ben Bender",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"https://thumb.wikimedia.org/wikipedia/commons/thumb/3/38/Binnenstad%2C_5611_Eindhoven%2C_Netherlands_-_panoramio_%2821%29.jpg/1280px-Binnenstad%2C_5611_Eindhoven%2C_Netherlands_-_panoramio_%2821%29.jpg"}, "retrieved_on": "2026-10-23"}</t>
        </is>
      </c>
    </row>
    <row r="193" ht="54" customHeight="1">
      <c r="A193" s="29" t="inlineStr">
        <is>
          <t>eindhoven:evidence:klokgebouw-04</t>
        </is>
      </c>
      <c r="B193" s="29" t="inlineStr">
        <is>
          <t>eindhoven</t>
        </is>
      </c>
      <c r="C193" s="29" t="inlineStr">
        <is>
          <t>eindhoven:photo:klokgebouw-04</t>
        </is>
      </c>
      <c r="D193" s="29" t="inlineStr">
        <is>
          <t>https://commons.wikimedia.org/wiki/File:Klokgebouw_Philips_Strijp-S_3.jpg</t>
        </is>
      </c>
      <c r="E193" s="29" t="inlineStr">
        <is>
          <t>File:Klokgebouw Philips Strijp-S 3.jpg</t>
        </is>
      </c>
      <c r="F193" s="29" t="inlineStr">
        <is>
          <t>Steven Lek</t>
        </is>
      </c>
      <c r="G193" s="29" t="inlineStr">
        <is>
          <t>CC BY-SA 4.0</t>
        </is>
      </c>
      <c r="H193" s="29" t="inlineStr">
        <is>
          <t>https://creativecommons.org/licenses/by-sa/4.0/</t>
        </is>
      </c>
      <c r="I193" s="29" t="inlineStr">
        <is>
          <t>Creative Commons Attribution-Share Alike 4.0</t>
        </is>
      </c>
      <c r="J193" s="29" t="inlineStr">
        <is>
          <t>Steven Lek · CC BY-SA 4.0 · Wikimedia Commons</t>
        </is>
      </c>
      <c r="K193" s="29" t="n"/>
      <c r="L193" s="49" t="n">
        <v>46317</v>
      </c>
      <c r="M193" s="29" t="inlineStr">
        <is>
          <t>Bekliyor</t>
        </is>
      </c>
      <c r="N193" s="29" t="inlineStr">
        <is>
          <t>Bekliyor</t>
        </is>
      </c>
      <c r="O193" s="29" t="inlineStr">
        <is>
          <t>Fotoğraflar/eindhoven_klokgebouw_04.jpg</t>
        </is>
      </c>
      <c r="P193" s="29" t="inlineStr">
        <is>
          <t>Kule tepesi yakından: rakam yerine mavi yuvarlaklar içinde harfler dizili beyaz saat kadranı, mavi akrep ve yelkovan, ızgara desenli cephe, korkuluk, üstte mavi dikme; bulutlu gök; insan yok</t>
        </is>
      </c>
      <c r="Q193" s="29" t="inlineStr">
        <is>
          <t>Bekliyor</t>
        </is>
      </c>
      <c r="R193" s="29" t="inlineStr">
        <is>
          <t>Wikimedia Commons dosya sayfasındaki lisans: CC BY-SA 4.0</t>
        </is>
      </c>
      <c r="S193" s="29" t="n"/>
      <c r="T193" s="29" t="n"/>
      <c r="U193" s="29" t="n"/>
      <c r="V193" s="29" t="n"/>
      <c r="W193" s="29" t="inlineStr">
        <is>
          <t>{"source_url": "https://commons.wikimedia.org/wiki/File:Klokgebouw_Philips_Strijp-S_3.jpg", "author": "Steven Lek", "license": "CC BY-SA 4.0", "license_url": "https://creativecommons.org/licenses/by-sa/4.0/", "original_api_record": {"size": 6130026, "width": 4928, "height": 3264, "thumburl": "https://thumb.wikimedia.org/wikipedia/commons/thumb/d/d5/Klokgebouw_Philips_Strijp-S_3.jpg/1920px-Klokgebouw_Philips_Strijp-S_3.jpg?utm_source=commons.wikimedia.org&amp;utm_campaign=imageinfo&amp;utm_content=thumbnail", "thumbwidth": 1600, "thumbheight": 1060, "responsiveUrls": {"2": "https://thumb.wikimedia.org/wikipedia/commons/thumb/d/d5/Klokgebouw_Philips_Strijp-S_3.jpg/3840px-Klokgebouw_Philips_Strijp-S_3.jpg?utm_source=commons.wikimedia.org&amp;utm_campaign=imageinfo&amp;utm_content=thumbnail"}, "thumbattribs": {"src": "https://thumb.wikimedia.org/wikipedia/commons/thumb/d/d5/Klokgebouw_Philips_Strijp-S_3.jpg/1920px-Klokgebouw_Philips_Strijp-S_3.jpg?utm_source=commons.wikimedia.org&amp;utm_campaign=imageinfo&amp;utm_content=thumbnail", "decoding": "async", "loading": "lazy", "width": 1600, "height": 1060, "srcset": "https://thumb.wikimedia.org/wikipedia/commons/thumb/d/d5/Klokgebouw_Philips_Strijp-S_3.jpg/3840px-Klokgebouw_Philips_Strijp-S_3.jpg?utm_source=commons.wikimedia.org&amp;utm_campaign=imageinfo&amp;utm_content=thumbnail 2x"}, "url": "https://upload.wikimedia.org/wikipedia/commons/d/d5/Klokgebouw_Philips_Strijp-S_3.jpg?utm_source=commons.wikimedia.org&amp;utm_campaign=imageinfo&amp;utm_content=original", "descriptionurl": "https://commons.wikimedia.org/wiki/File:Klokgebouw_Philips_Strijp-S_3.jpg", "descriptionshorturl": "https://commons.wikimedia.org/w/index.php?curid=71372707", "sha1": "d881529b37b66e48906bf310d60d1392e7f7e5ff", "extmetadata": {"DateTime": {"value": "2018-08-05 15:39:48", "source": "mediawiki-metadata", "hidden": ""}, "ObjectName": {"value": "Klokgebouw Philips Strijp-S 3", "source": "mediawiki-metadata"}, "CommonsMetadataExtension": {"value": 1.2, "source": "extension", "hidden": ""}, "Categories": {"value": "Klokgebouw (Philipsgebouw SA), Eindhoven|Self-published work|2018 in Eindhoven|Netherlands photographs taken on 2018-07-31", "source": "commons-categories", "hidden": ""}, "Assessments": {"value": "", "source": "commons-categories", "hidden": ""}, "ImageDescription": {"value": "Het Klokgebouw van Philips in Eindhoven.", "source": "commons-desc-page"}, "DateTimeOriginal": {"value": "2018-07-31 17:19:10",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"https://thumb.wikimedia.org/wikipedia/commons/thumb/d/d5/Klokgebouw_Philips_Strijp-S_3.jpg/1280px-Klokgebouw_Philips_Strijp-S_3.jpg"}, "retrieved_on": "2026-10-23"}</t>
        </is>
      </c>
    </row>
    <row r="194" ht="54" customHeight="1">
      <c r="A194" s="29" t="inlineStr">
        <is>
          <t>eindhoven:evidence:genneper-watermolen-04</t>
        </is>
      </c>
      <c r="B194" s="29" t="inlineStr">
        <is>
          <t>eindhoven</t>
        </is>
      </c>
      <c r="C194" s="29" t="inlineStr">
        <is>
          <t>eindhoven:photo:genneper-watermolen-04</t>
        </is>
      </c>
      <c r="D194" s="29" t="inlineStr">
        <is>
          <t>https://commons.wikimedia.org/wiki/File:Gennepermolen-2.jpg</t>
        </is>
      </c>
      <c r="E194" s="29" t="inlineStr">
        <is>
          <t>File:Gennepermolen-2.jpg</t>
        </is>
      </c>
      <c r="F194" s="29" t="inlineStr">
        <is>
          <t>Wammes Waggel</t>
        </is>
      </c>
      <c r="G194" s="29" t="inlineStr">
        <is>
          <t>CC BY-SA 3.0</t>
        </is>
      </c>
      <c r="H194" s="29" t="inlineStr">
        <is>
          <t>https://creativecommons.org/licenses/by-sa/3.0/</t>
        </is>
      </c>
      <c r="I194" s="29" t="inlineStr">
        <is>
          <t>Creative Commons Attribution-Share Alike 3.0</t>
        </is>
      </c>
      <c r="J194" s="29" t="inlineStr">
        <is>
          <t>Wammes Waggel · CC BY-SA 3.0 · Wikimedia Commons</t>
        </is>
      </c>
      <c r="K194" s="29" t="n"/>
      <c r="L194" s="49" t="n">
        <v>46317</v>
      </c>
      <c r="M194" s="29" t="inlineStr">
        <is>
          <t>Bekliyor</t>
        </is>
      </c>
      <c r="N194" s="29" t="inlineStr">
        <is>
          <t>Bekliyor</t>
        </is>
      </c>
      <c r="O194" s="29" t="inlineStr">
        <is>
          <t>Fotoğraflar/eindhoven_genneper-watermolen_04.jpg</t>
        </is>
      </c>
      <c r="P194" s="29" t="inlineStr">
        <is>
          <t>Siyah ahşap değirmen duvarının yanında kalın kollu büyük ahşap su çarkı, ona su getiren ahşap oluk, önde ahşap kirişler; üstte yosunlu kiremit çatı; insan yok</t>
        </is>
      </c>
      <c r="Q194" s="29" t="inlineStr">
        <is>
          <t>Bekliyor</t>
        </is>
      </c>
      <c r="R194" s="29" t="inlineStr">
        <is>
          <t>Wikimedia Commons dosya sayfasındaki lisans: CC BY-SA 3.0</t>
        </is>
      </c>
      <c r="S194" s="29" t="n"/>
      <c r="T194" s="29" t="n"/>
      <c r="U194" s="29" t="n"/>
      <c r="V194" s="29" t="n"/>
      <c r="W194" s="29" t="inlineStr">
        <is>
          <t>{"source_url": "https://commons.wikimedia.org/wiki/File:Gennepermolen-2.jpg", "author": "Wammes Waggel", "license": "CC BY-SA 3.0", "license_url": "https://creativecommons.org/licenses/by-sa/3.0/", "original_api_record": {"size": 1538092, "width": 3008, "height": 2000, "thumburl": "https://thumb.wikimedia.org/wikipedia/commons/thumb/1/15/Gennepermolen-2.jpg/1920px-Gennepermolen-2.jpg?utm_source=commons.wikimedia.org&amp;utm_campaign=imageinfo&amp;utm_content=thumbnail", "thumbwidth": 1600, "thumbheight": 1064, "responsiveUrls": {"2": "https://upload.wikimedia.org/wikipedia/commons/1/15/Gennepermolen-2.jpg?utm_source=commons.wikimedia.org&amp;utm_campaign=imageinfo&amp;utm_content=thumbnail_unscaled"}, "thumbattribs": {"src": "https://thumb.wikimedia.org/wikipedia/commons/thumb/1/15/Gennepermolen-2.jpg/1920px-Gennepermolen-2.jpg?utm_source=commons.wikimedia.org&amp;utm_campaign=imageinfo&amp;utm_content=thumbnail", "decoding": "async", "loading": "lazy", "width": 1600, "height": 1064, "srcset": "https://upload.wikimedia.org/wikipedia/commons/1/15/Gennepermolen-2.jpg?utm_source=commons.wikimedia.org&amp;utm_campaign=imageinfo&amp;utm_content=thumbnail_unscaled 2x"}, "url": "https://upload.wikimedia.org/wikipedia/commons/1/15/Gennepermolen-2.jpg?utm_source=commons.wikimedia.org&amp;utm_campaign=imageinfo&amp;utm_content=original", "descriptionurl": "https://commons.wikimedia.org/wiki/File:Gennepermolen-2.jpg", "descriptionshorturl": "https://commons.wikimedia.org/w/index.php?curid=2934195", "sha1": "467bb14783e6b9aa53307108ded263d885cab2a4", "extmetadata": {"DateTime": {"value": "2007-10-17 20:09:08", "source": "mediawiki-metadata", "hidden": ""}, "ObjectName": {"value": "Gennepermolen-2", "source": "mediawiki-metadata"}, "CommonsMetadataExtension": {"value": 1.2, "source": "extension", "hidden": ""}, "Categories": {"value": "GFDL|Genneper watermolen|CC-BY-SA-3.0,2.5,2.0,1.0|License migration redundant|Self-published work|Rijksmonumenten with known IDs|Watermill wheels in North Brabant", "source": "commons-categories", "hidden": ""}, "Assessments": {"value": "", "source": "commons-categories", "hidden": ""}, "GPSLatitude": {"value": "51.423081", "source": "commons-desc-page"}, "GPSLongitude": {"value": "5.469853", "source": "commons-desc-page"}, "GPSMapDatum": {"value": "WGS-84", "source": "commons-desc-page", "hidden": ""}, "ImageDescription": {"value": "Waterwheel of Genneper watermill, Eindhoven, The Netherlands", "source": "commons-desc-page"}, "DateTimeOriginal": {"value": "2007-10", "source": "commons-desc-page"}, "Credit": {"value": "&lt;span class=\"int-own-work\" lang=\"en\"&gt;Own work&lt;/span&gt;", "source": "commons-desc-page"}, "Artist": {"value": "&lt;a href=\"//commons.wikimedia.org/wiki/User:Wammes_Waggel\" title=\"User:Wammes Waggel\"&gt;Wammes Waggel&lt;/a&gt;",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"https://thumb.wikimedia.org/wikipedia/commons/thumb/1/15/Gennepermolen-2.jpg/1280px-Gennepermolen-2.jpg"}, "retrieved_on": "2026-10-23"}</t>
        </is>
      </c>
    </row>
    <row r="195" ht="54" customHeight="1">
      <c r="A195" s="29" t="inlineStr">
        <is>
          <t>eindhoven:evidence:genneper-watermolen-05</t>
        </is>
      </c>
      <c r="B195" s="29" t="inlineStr">
        <is>
          <t>eindhoven</t>
        </is>
      </c>
      <c r="C195" s="29" t="inlineStr">
        <is>
          <t>eindhoven:photo:genneper-watermolen-05</t>
        </is>
      </c>
      <c r="D195" s="29" t="inlineStr">
        <is>
          <t>https://commons.wikimedia.org/wiki/File:Molenbeek_Dommel_bij_Genneper_Watermolen_Eindhoven.JPG</t>
        </is>
      </c>
      <c r="E195" s="29" t="inlineStr">
        <is>
          <t>File:Molenbeek Dommel bij Genneper Watermolen Eindhoven.JPG</t>
        </is>
      </c>
      <c r="F195" s="29" t="inlineStr">
        <is>
          <t>Rosemoon</t>
        </is>
      </c>
      <c r="G195" s="29" t="inlineStr">
        <is>
          <t>CC BY-SA 3.0</t>
        </is>
      </c>
      <c r="H195" s="29" t="inlineStr">
        <is>
          <t>https://creativecommons.org/licenses/by-sa/3.0/</t>
        </is>
      </c>
      <c r="I195" s="29" t="inlineStr">
        <is>
          <t>Creative Commons Attribution-Share Alike 3.0</t>
        </is>
      </c>
      <c r="J195" s="29" t="inlineStr">
        <is>
          <t>Rosemoon · CC BY-SA 3.0 · Wikimedia Commons</t>
        </is>
      </c>
      <c r="K195" s="29" t="n"/>
      <c r="L195" s="49" t="n">
        <v>46317</v>
      </c>
      <c r="M195" s="29" t="inlineStr">
        <is>
          <t>Bekliyor</t>
        </is>
      </c>
      <c r="N195" s="29" t="inlineStr">
        <is>
          <t>Bekliyor</t>
        </is>
      </c>
      <c r="O195" s="29" t="inlineStr">
        <is>
          <t>Fotoğraflar/eindhoven_genneper-watermolen_05.jpg</t>
        </is>
      </c>
      <c r="P195" s="29" t="inlineStr">
        <is>
          <t>Derenin karşısından cephesi yazılı siyah ahşap değirmen; önde kemerli su geçitli alçak beton köprü, durgun su, kıyıda ördekler; yapraksız ağaçlar, sağda evler ve yeşil bir araba; insan yok</t>
        </is>
      </c>
      <c r="Q195" s="29" t="inlineStr">
        <is>
          <t>Bekliyor</t>
        </is>
      </c>
      <c r="R195" s="29" t="inlineStr">
        <is>
          <t>Wikimedia Commons dosya sayfasındaki lisans: CC BY-SA 3.0</t>
        </is>
      </c>
      <c r="S195" s="29" t="n"/>
      <c r="T195" s="29" t="n"/>
      <c r="U195" s="29" t="n"/>
      <c r="V195" s="29" t="n"/>
      <c r="W195" s="29" t="inlineStr">
        <is>
          <t>{"source_url": "https://commons.wikimedia.org/wiki/File:Molenbeek_Dommel_bij_Genneper_Watermolen_Eindhoven.JPG", "author": "Rosemoon", "license": "CC BY-SA 3.0", "license_url": "https://creativecommons.org/licenses/by-sa/3.0/", "original_api_record": {"size": 6298624, "width": 4320, "height": 3240, "thumburl": "https://thumb.wikimedia.org/wikipedia/commons/thumb/2/27/Molenbeek_Dommel_bij_Genneper_Watermolen_Eindhoven.JPG/1920px-Molenbeek_Dommel_bij_Genneper_Watermolen_Eindhoven.JPG?utm_source=commons.wikimedia.org&amp;utm_campaign=imageinfo&amp;utm_content=thumbnail", "thumbwidth": 1600, "thumbheight": 1200, "responsiveUrls": {"2": "https://thumb.wikimedia.org/wikipedia/commons/thumb/2/27/Molenbeek_Dommel_bij_Genneper_Watermolen_Eindhoven.JPG/3840px-Molenbeek_Dommel_bij_Genneper_Watermolen_Eindhoven.JPG?utm_source=commons.wikimedia.org&amp;utm_campaign=imageinfo&amp;utm_content=thumbnail"}, "thumbattribs": {"src": "https://thumb.wikimedia.org/wikipedia/commons/thumb/2/27/Molenbeek_Dommel_bij_Genneper_Watermolen_Eindhoven.JPG/1920px-Molenbeek_Dommel_bij_Genneper_Watermolen_Eindhoven.JPG?utm_source=commons.wikimedia.org&amp;utm_campaign=imageinfo&amp;utm_content=thumbnail", "decoding": "async", "loading": "lazy", "width": 1600, "height": 1200, "srcset": "https://thumb.wikimedia.org/wikipedia/commons/thumb/2/27/Molenbeek_Dommel_bij_Genneper_Watermolen_Eindhoven.JPG/3840px-Molenbeek_Dommel_bij_Genneper_Watermolen_Eindhoven.JPG?utm_source=commons.wikimedia.org&amp;utm_campaign=imageinfo&amp;utm_content=thumbnail 2x"}, "url": "https://upload.wikimedia.org/wikipedia/commons/2/27/Molenbeek_Dommel_bij_Genneper_Watermolen_Eindhoven.JPG?utm_source=commons.wikimedia.org&amp;utm_campaign=imageinfo&amp;utm_content=original", "descriptionurl": "https://commons.wikimedia.org/wiki/File:Molenbeek_Dommel_bij_Genneper_Watermolen_Eindhoven.JPG", "descriptionshorturl": "https://commons.wikimedia.org/w/index.php?curid=29663487", "sha1": "e7337e73911b2ceef2f06646afe0f1811b4f4f3d", "extmetadata": {"DateTime": {"value": "2013-11-16 17:10:19", "source": "mediawiki-metadata", "hidden": ""}, "ObjectName": {"value": "Molenbeek Dommel bij Genneper Watermolen Eindhoven", "source": "mediawiki-metadata"}, "CommonsMetadataExtension": {"value": 1.2, "source": "extension", "hidden": ""}, "Categories": {"value": "Taken with Panasonic Lumix DMC-TZ20|Genneper watermolen|Self-published work|Bridges in Eindhoven|2013 in Eindhoven|Netherlands photographs taken on 2013-03-06|Files with coordinates missing SDC location of creation (51° N, 5° E)|Dommel in Eindhoven", "source": "commons-categories", "hidden": ""}, "Assessments": {"value": "", "source": "commons-categories", "hidden": ""}, "GPSLatitude": {"value": "51.422960", "source": "commons-desc-page"}, "GPSLongitude": {"value": "5.470058", "source": "commons-desc-page"}, "GPSMapDatum": {"value": "WGS-84", "source": "commons-desc-page", "hidden": ""}, "ImageDescription": {"value": "Molenbeek Dommel bij Genneper Watermolen Eindhoven", "source": "commons-desc-page"}, "DateTimeOriginal": {"value": "2013-03-06 11:35:06",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"https://thumb.wikimedia.org/wikipedia/commons/thumb/2/27/Molenbeek_Dommel_bij_Genneper_Watermolen_Eindhoven.JPG/1280px-Molenbeek_Dommel_bij_Genneper_Watermolen_Eindhoven.JPG"}, "retrieved_on": "2026-10-23"}</t>
        </is>
      </c>
    </row>
    <row r="196" ht="54" customHeight="1">
      <c r="A196" s="29" t="inlineStr">
        <is>
          <t>eindhoven:evidence:catharinakerkhof-05</t>
        </is>
      </c>
      <c r="B196" s="29" t="inlineStr">
        <is>
          <t>eindhoven</t>
        </is>
      </c>
      <c r="C196" s="29" t="inlineStr">
        <is>
          <t>eindhoven:photo:catharinakerkhof-05</t>
        </is>
      </c>
      <c r="D196" s="29" t="inlineStr">
        <is>
          <t>https://commons.wikimedia.org/wiki/File:Grafkapel_familie_Smits_van_Oyen;_overzicht_achterzijde_-_Eindhoven_-_20410849_-_RCE.jpg</t>
        </is>
      </c>
      <c r="E196" s="29" t="inlineStr">
        <is>
          <t>File:Grafkapel familie Smits van Oyen; overzicht achterzijde - Eindhoven - 20410849 - RCE.jpg</t>
        </is>
      </c>
      <c r="F196" s="29" t="inlineStr">
        <is>
          <t>Sergé Technau</t>
        </is>
      </c>
      <c r="G196" s="29" t="inlineStr">
        <is>
          <t>CC BY-SA 4.0</t>
        </is>
      </c>
      <c r="H196" s="29" t="inlineStr">
        <is>
          <t>https://creativecommons.org/licenses/by-sa/4.0/</t>
        </is>
      </c>
      <c r="I196" s="29" t="inlineStr">
        <is>
          <t>Creative Commons Attribution-Share Alike 4.0</t>
        </is>
      </c>
      <c r="J196" s="29" t="inlineStr">
        <is>
          <t>Sergé Technau · CC BY-SA 4.0 · Wikimedia Commons</t>
        </is>
      </c>
      <c r="K196" s="29" t="n"/>
      <c r="L196" s="49" t="n">
        <v>46317</v>
      </c>
      <c r="M196" s="29" t="inlineStr">
        <is>
          <t>Bekliyor</t>
        </is>
      </c>
      <c r="N196" s="29" t="inlineStr">
        <is>
          <t>Bekliyor</t>
        </is>
      </c>
      <c r="O196" s="29" t="inlineStr">
        <is>
          <t>Fotoğraflar/eindhoven_catharinakerkhof_05.jpg</t>
        </is>
      </c>
      <c r="P196" s="29" t="inlineStr">
        <is>
          <t>Mezarlıkta beyaz taş bantlı kırmızı tuğla mezar şapeli yandan-arkadan; küçük sivri pencereler, gri çatı, alçak demir parmaklık; çevrede taş mezarlar ve haçlar, çakıllı yollar, yapraksız ağaçlar ve bir çam; insan yok</t>
        </is>
      </c>
      <c r="Q196" s="29" t="inlineStr">
        <is>
          <t>Bekliyor</t>
        </is>
      </c>
      <c r="R196" s="29" t="inlineStr">
        <is>
          <t>Wikimedia Commons dosya sayfasındaki lisans: CC BY-SA 4.0</t>
        </is>
      </c>
      <c r="S196" s="29" t="n"/>
      <c r="T196" s="29" t="n"/>
      <c r="U196" s="29" t="n"/>
      <c r="V196" s="29" t="n"/>
      <c r="W196" s="29" t="inlineStr">
        <is>
          <t>{"source_url": "https://commons.wikimedia.org/wiki/File:Grafkapel_familie_Smits_van_Oyen;_overzicht_achterzijde_-_Eindhoven_-_20410849_-_RCE.jpg", "author": "Sergé Technau", "license": "CC BY-SA 4.0", "license_url": "https://creativecommons.org/licenses/by-sa/4.0/", "original_api_record": {"size": 4661193, "width": 3543, "height": 2362, "thumburl": "https://thumb.wikimedia.org/wikipedia/commons/thumb/7/7a/Grafkapel_familie_Smits_van_Oyen%3B_overzicht_achterzijde_-_Eindhoven_-_20410849_-_RCE.jpg/1920px-Grafkapel_familie_Smits_van_Oyen%3B_overzicht_achterzijde_-_Eindhoven_-_20410849_-_RCE.jpg?utm_source=commons.wikimedia.org&amp;utm_campaign=imageinfo&amp;utm_content=thumbnail", "thumbwidth": 1600, "thumbheight": 1067, "responsiveUrls": {"2": "https://upload.wikimedia.org/wikipedia/commons/7/7a/Grafkapel_familie_Smits_van_Oyen%3B_overzicht_achterzijde_-_Eindhoven_-_20410849_-_RCE.jpg?utm_source=commons.wikimedia.org&amp;utm_campaign=imageinfo&amp;utm_content=thumbnail_unscaled"}, "thumbattribs": {"src": "https://thumb.wikimedia.org/wikipedia/commons/thumb/7/7a/Grafkapel_familie_Smits_van_Oyen%3B_overzicht_achterzijde_-_Eindhoven_-_20410849_-_RCE.jpg/1920px-Grafkapel_familie_Smits_van_Oyen%3B_overzicht_achterzijde_-_Eindhoven_-_20410849_-_RCE.jpg?utm_source=commons.wikimedia.org&amp;utm_campaign=imageinfo&amp;utm_content=thumbnail", "decoding": "async", "loading": "lazy", "width": 1600, "height": 1067, "srcset": "https://upload.wikimedia.org/wikipedia/commons/7/7a/Grafkapel_familie_Smits_van_Oyen%3B_overzicht_achterzijde_-_Eindhoven_-_20410849_-_RCE.jpg?utm_source=commons.wikimedia.org&amp;utm_campaign=imageinfo&amp;utm_content=thumbnail_unscaled 2x"}, "url": "https://upload.wikimedia.org/wikipedia/commons/7/7a/Grafkapel_familie_Smits_van_Oyen%3B_overzicht_achterzijde_-_Eindhoven_-_20410849_-_RCE.jpg?utm_source=commons.wikimedia.org&amp;utm_campaign=imageinfo&amp;utm_content=original", "descriptionurl": "https://commons.wikimedia.org/wiki/File:Grafkapel_familie_Smits_van_Oyen;_overzicht_achterzijde_-_Eindhoven_-_20410849_-_RCE.jpg", "descriptionshorturl": "https://commons.wikimedia.org/w/index.php?curid=24114912", "sha1": "4a7cf6cd60f10bf021f3c1b456d9285fcb05ca65", "extmetadata": {"DateTime": {"value": "2024-12-02 09:08:46", "source": "mediawiki-metadata", "hidden": ""}, "ObjectName": {"value": "Grafkapel familie Smits van Oyen; overzicht achterzijde - Eindhoven - 20410849 - RCE", "source": "mediawiki-metadata"}, "CommonsMetadataExtension": {"value": 1.2, "source": "extension", "hidden": ""}, "Categories": {"value": "Images from the Rijksdienst voor het Cultureel Erfgoed|Begraafplaats Catharinakerk (Eindhoven)|Rijksmonumenten with known IDs|Buildings with addresses|2008 in Eindhoven|Rijksmonumentcomplexen with known IDs|Netherlands photographs taken on 2008-01-04|Photographs by Sergé Technau", "source": "commons-categories", "hidden": ""}, "Assessments": {"value": "", "source": "commons-categories", "hidden": ""}, "ImageDescription": {"value": "This is an image of &lt;a href=\"https://en.wikipedia.org/wiki/Rijksmonument\" class=\"extiw\" title=\"en:Rijksmonument\"&gt;rijksmonumentcomplex&lt;/a&gt; number", "source": "commons-desc-page"}, "DateTimeOriginal": {"value": "2008-01-04", "source": "commons-desc-page"}, "Credit": {"value": "&lt;a rel=\"nofollow\" class=\"external text\" href=\"http://beeldbank.cultureelerfgoed.nl/alle-afbeeldingen/?mode=gallery&amp;amp;view=horizontal&amp;amp;q=20410849\"&gt;Rijksdienst voor het Cultureel Erfgoed&lt;/a&gt;", "source": "commons-desc-page"}, "Artist": {"value": "&lt;bdi&gt;&lt;a href=\"https://www.wikidata.org/wiki/Q100423837\" class=\"extiw\" title=\"d:Q100423837\"&gt;&lt;span title=\"Dutch photographer\"&gt;Sergé Technau&lt;/span&gt;&lt;/a&gt;&lt;/bdi&gt;",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"https://thumb.wikimedia.org/wikipedia/commons/thumb/7/7a/Grafkapel_familie_Smits_van_Oyen%3B_overzicht_achterzijde_-_Eindhoven_-_20410849_-_RCE.jpg/1280px-Grafkapel_familie_Smits_van_Oyen%3B_overzicht_achterzijde_-_Eindhoven_-_20410849_-_RCE.jpg"}, "retrieved_on": "2026-10-23"}</t>
        </is>
      </c>
    </row>
    <row r="197" ht="54" customHeight="1">
      <c r="A197" s="29" t="inlineStr">
        <is>
          <t>eindhoven:evidence:18-septemberplein-05</t>
        </is>
      </c>
      <c r="B197" s="29" t="inlineStr">
        <is>
          <t>eindhoven</t>
        </is>
      </c>
      <c r="C197" s="29" t="inlineStr">
        <is>
          <t>eindhoven:photo:18-septemberplein-05</t>
        </is>
      </c>
      <c r="D197" s="29" t="inlineStr">
        <is>
          <t>https://commons.wikimedia.org/wiki/File:13-06-28-eindhoven-by-RalfR-60.jpg</t>
        </is>
      </c>
      <c r="E197" s="29" t="inlineStr">
        <is>
          <t>File:13-06-28-eindhoven-by-RalfR-60.jpg</t>
        </is>
      </c>
      <c r="F197" s="29" t="inlineStr">
        <is>
          <t>Ralf Roletschek</t>
        </is>
      </c>
      <c r="G197" s="29" t="inlineStr">
        <is>
          <t>CC BY 3.0</t>
        </is>
      </c>
      <c r="H197" s="29" t="inlineStr">
        <is>
          <t>https://creativecommons.org/licenses/by/3.0/</t>
        </is>
      </c>
      <c r="I197" s="29" t="inlineStr">
        <is>
          <t>Creative Commons Attribution 3.0</t>
        </is>
      </c>
      <c r="J197" s="29" t="inlineStr">
        <is>
          <t>Ralf Roletschek · CC BY 3.0 · Wikimedia Commons</t>
        </is>
      </c>
      <c r="K197" s="29" t="n"/>
      <c r="L197" s="49" t="n">
        <v>46317</v>
      </c>
      <c r="M197" s="29" t="inlineStr">
        <is>
          <t>Bekliyor</t>
        </is>
      </c>
      <c r="N197" s="29" t="inlineStr">
        <is>
          <t>Bekliyor</t>
        </is>
      </c>
      <c r="O197" s="29" t="inlineStr">
        <is>
          <t>Fotoğraflar/eindhoven_18-septemberplein_05.jpg</t>
        </is>
      </c>
      <c r="P197" s="29" t="inlineStr">
        <is>
          <t>Dikey: taş döşeli meydan üzerinde uzanan, kırmızı-kahve çelik sütunlu cam saçak; altında küçük yayalar, solda kırmızı çiçekli saksı, sağda yeşil camlı bina; zeminde gömme cam karolar; belirgin yüz yok</t>
        </is>
      </c>
      <c r="Q197" s="29" t="inlineStr">
        <is>
          <t>Bekliyor</t>
        </is>
      </c>
      <c r="R197" s="29" t="inlineStr">
        <is>
          <t>Wikimedia Commons dosya sayfasındaki lisans: CC BY 3.0</t>
        </is>
      </c>
      <c r="S197" s="29" t="n"/>
      <c r="T197" s="29" t="n"/>
      <c r="U197" s="29" t="n"/>
      <c r="V197" s="29" t="n"/>
      <c r="W197" s="29" t="inlineStr">
        <is>
          <t>{"source_url": "https://commons.wikimedia.org/wiki/File:13-06-28-eindhoven-by-RalfR-60.jpg", "author": "Ralf Roletschek", "license": "CC BY 3.0", "license_url": "https://creativecommons.org/licenses/by/3.0/", "original_api_record": {"size": 8309309, "width": 2848, "height": 4288, "thumburl": "https://thumb.wikimedia.org/wikipedia/commons/thumb/5/56/13-06-28-eindhoven-by-RalfR-60.jpg/1920px-13-06-28-eindhoven-by-RalfR-60.jpg?utm_source=commons.wikimedia.org&amp;utm_campaign=imageinfo&amp;utm_content=thumbnail", "thumbwidth": 1600, "thumbheight": 2409, "responsiveUrls": {"2": "https://upload.wikimedia.org/wikipedia/commons/5/56/13-06-28-eindhoven-by-RalfR-60.jpg?utm_source=commons.wikimedia.org&amp;utm_campaign=imageinfo&amp;utm_content=thumbnail_unscaled"}, "thumbattribs": {"src": "https://thumb.wikimedia.org/wikipedia/commons/thumb/5/56/13-06-28-eindhoven-by-RalfR-60.jpg/1920px-13-06-28-eindhoven-by-RalfR-60.jpg?utm_source=commons.wikimedia.org&amp;utm_campaign=imageinfo&amp;utm_content=thumbnail", "decoding": "async", "loading": "lazy", "width": 1600, "height": 2409, "srcset": "https://upload.wikimedia.org/wikipedia/commons/5/56/13-06-28-eindhoven-by-RalfR-60.jpg?utm_source=commons.wikimedia.org&amp;utm_campaign=imageinfo&amp;utm_content=thumbnail_unscaled 2x"}, "url": "https://upload.wikimedia.org/wikipedia/commons/5/56/13-06-28-eindhoven-by-RalfR-60.jpg?utm_source=commons.wikimedia.org&amp;utm_campaign=imageinfo&amp;utm_content=original", "descriptionurl": "https://commons.wikimedia.org/wiki/File:13-06-28-eindhoven-by-RalfR-60.jpg", "descriptionshorturl": "https://commons.wikimedia.org/w/index.php?curid=26941788", "sha1": "9afefdec1f020cb47bc478b3e66febbcaff1f41c", "extmetadata": {"DateTime": {"value": "2013-06-28 21:00:11", "source": "mediawiki-metadata", "hidden": ""}, "ObjectName": {"value": "13-06-28-eindhoven-by-RalfR-60", "source": "mediawiki-metadata"}, "CommonsMetadataExtension": {"value": 1.2, "source": "extension", "hidden": ""}, "Categories": {"value": "GFDL|Taken with Nikon D300s|License migration redundant|18 Septemberplein (Eindhoven)|Self-published work|Supported by Wikimedia Deutschland|Supported by Wikimedia Österreich|Images by Ralf Roletschek/x|2013 in Eindhoven|Netherlands photographs taken on 2013-06-28|Files with coordinates missing SDC location of creation (51° N, 5° E)|Fotoaktion Robocup 2013", "source": "commons-categories", "hidden": ""}, "Assessments": {"value": "", "source": "commons-categories", "hidden": ""}, "GPSLatitude": {"value": "51.441167", "source": "commons-desc-page"}, "GPSLongitude": {"value": "5.476715", "source": "commons-desc-page"}, "GPSMapDatum": {"value": "WGS-84", "source": "commons-desc-page", "hidden": ""}, "ImageDescription": {"value": "Eindhoven, Niederlande, Stadtzentrum", "source": "commons-desc-page"}, "DateTimeOriginal": {"value": "2013-06-28 16:54:52",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"https://thumb.wikimedia.org/wikipedia/commons/thumb/5/56/13-06-28-eindhoven-by-RalfR-60.jpg/1280px-13-06-28-eindhoven-by-RalfR-60.jpg"}, "retrieved_on": "2026-10-23"}</t>
        </is>
      </c>
    </row>
    <row r="198" ht="54" customHeight="1">
      <c r="A198" s="29" t="inlineStr">
        <is>
          <t>eindhoven:evidence:philipsdorp-04</t>
        </is>
      </c>
      <c r="B198" s="29" t="inlineStr">
        <is>
          <t>eindhoven</t>
        </is>
      </c>
      <c r="C198" s="29" t="inlineStr">
        <is>
          <t>eindhoven:photo:philipsdorp-04</t>
        </is>
      </c>
      <c r="D198" s="29" t="inlineStr">
        <is>
          <t>https://commons.wikimedia.org/wiki/File:Frederiklaan_Eindhoven-_Philipsdorp_1509-130.jpg</t>
        </is>
      </c>
      <c r="E198" s="29" t="inlineStr">
        <is>
          <t>File:Frederiklaan Eindhoven- Philipsdorp 1509-130.jpg</t>
        </is>
      </c>
      <c r="F198" s="29" t="inlineStr">
        <is>
          <t>Jan Geerling</t>
        </is>
      </c>
      <c r="G198" s="29" t="inlineStr">
        <is>
          <t>CC BY-SA 4.0</t>
        </is>
      </c>
      <c r="H198" s="29" t="inlineStr">
        <is>
          <t>https://creativecommons.org/licenses/by-sa/4.0/</t>
        </is>
      </c>
      <c r="I198" s="29" t="inlineStr">
        <is>
          <t>Creative Commons Attribution-Share Alike 4.0</t>
        </is>
      </c>
      <c r="J198" s="29" t="inlineStr">
        <is>
          <t>Jan Geerling · CC BY-SA 4.0 · Wikimedia Commons</t>
        </is>
      </c>
      <c r="K198" s="29" t="n"/>
      <c r="L198" s="49" t="n">
        <v>46317</v>
      </c>
      <c r="M198" s="29" t="inlineStr">
        <is>
          <t>Bekliyor</t>
        </is>
      </c>
      <c r="N198" s="29" t="inlineStr">
        <is>
          <t>Bekliyor</t>
        </is>
      </c>
      <c r="O198" s="29" t="inlineStr">
        <is>
          <t>Fotoğraflar/eindhoven_philipsdorp_04.jpg</t>
        </is>
      </c>
      <c r="P198" s="29" t="inlineStr">
        <is>
          <t>Geniş caddeye sıralı turuncu kiremit çatılı, çatı pencereli, yeşil kapılı kırmızı tuğla sıra evler; park etmiş arabalar, önde siyah çöp kutusu, ince uzun ağaçlar, bulutlu mavi gök; insan yok</t>
        </is>
      </c>
      <c r="Q198" s="29" t="inlineStr">
        <is>
          <t>Bekliyor</t>
        </is>
      </c>
      <c r="R198" s="29" t="inlineStr">
        <is>
          <t>Wikimedia Commons dosya sayfasındaki lisans: CC BY-SA 4.0</t>
        </is>
      </c>
      <c r="S198" s="29" t="n"/>
      <c r="T198" s="29" t="n"/>
      <c r="U198" s="29" t="n"/>
      <c r="V198" s="29" t="n"/>
      <c r="W198" s="29" t="inlineStr">
        <is>
          <t>{"source_url": "https://commons.wikimedia.org/wiki/File:Frederiklaan_Eindhoven-_Philipsdorp_1509-130.jpg", "author": "Jan Geerling", "license": "CC BY-SA 4.0", "license_url": "https://creativecommons.org/licenses/by-sa/4.0/", "original_api_record": {"size": 1399505, "width": 3648, "height": 3648, "thumburl": "https://thumb.wikimedia.org/wikipedia/commons/thumb/6/69/Frederiklaan_Eindhoven-_Philipsdorp_1509-130.jpg/1920px-Frederiklaan_Eindhoven-_Philipsdorp_1509-130.jpg?utm_source=commons.wikimedia.org&amp;utm_campaign=imageinfo&amp;utm_content=thumbnail", "thumbwidth": 1600, "thumbheight": 1600, "responsiveUrls": {"2": "https://upload.wikimedia.org/wikipedia/commons/6/69/Frederiklaan_Eindhoven-_Philipsdorp_1509-130.jpg?utm_source=commons.wikimedia.org&amp;utm_campaign=imageinfo&amp;utm_content=thumbnail_unscaled"}, "thumbattribs": {"src": "https://thumb.wikimedia.org/wikipedia/commons/thumb/6/69/Frederiklaan_Eindhoven-_Philipsdorp_1509-130.jpg/1920px-Frederiklaan_Eindhoven-_Philipsdorp_1509-130.jpg?utm_source=commons.wikimedia.org&amp;utm_campaign=imageinfo&amp;utm_content=thumbnail", "decoding": "async", "loading": "lazy", "width": 1600, "height": 1600, "srcset": "https://upload.wikimedia.org/wikipedia/commons/6/69/Frederiklaan_Eindhoven-_Philipsdorp_1509-130.jpg?utm_source=commons.wikimedia.org&amp;utm_campaign=imageinfo&amp;utm_content=thumbnail_unscaled 2x"}, "url": "https://upload.wikimedia.org/wikipedia/commons/6/69/Frederiklaan_Eindhoven-_Philipsdorp_1509-130.jpg?utm_source=commons.wikimedia.org&amp;utm_campaign=imageinfo&amp;utm_content=original", "descriptionurl": "https://commons.wikimedia.org/wiki/File:Frederiklaan_Eindhoven-_Philipsdorp_1509-130.jpg", "descriptionshorturl": "https://commons.wikimedia.org/w/index.php?curid=102299978", "sha1": "c4e33d342fa571f80b9339137fe534f7f9abda9d", "extmetadata": {"DateTime": {"value": "2021-03-25 14:12:50", "source": "mediawiki-metadata", "hidden": ""}, "ObjectName": {"value": "Frederiklaan Eindhoven- Philipsdorp 1509-130", "source": "mediawiki-metadata"}, "CommonsMetadataExtension": {"value": 1.2, "source": "extension", "hidden": ""}, "Categories": {"value": "Uploaded with pattypan|Philipsdorp, Eindhoven|Frederiklaan (Eindhoven)|Files with coordinates missing SDC location of creation (51° N, 5° E)|Photographs by Jan Geerling contributed in 2021|Photographs by Jan Geerling in Eindhoven", "source": "commons-categories", "hidden": ""}, "Assessments": {"value": "", "source": "commons-categories", "hidden": ""}, "GPSLatitude": {"value": "51.442680", "source": "commons-desc-page"}, "GPSLongitude": {"value": "5.462372", "source": "commons-desc-page"}, "GPSMapDatum": {"value": "WGS-84", "source": "commons-desc-page", "hidden": ""}, "Artist": {"value": "&lt;bdi&gt;&lt;a href=\"https://www.wikidata.org/wiki/Q88378993\" class=\"extiw\" title=\"d:Q88378993\"&gt;&lt;span title=\"Dutch photographer\"&gt;Jan Geerling&lt;/span&gt;&lt;/a&gt;&lt;/bdi&gt;", "source": "commons-desc-page"}, "ImageDescription": {"value": "laagbouwwoningen", "source": "commons-desc-page"}, "DateTimeOriginal": {"value": "29 September 2015, 13:37",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"https://thumb.wikimedia.org/wikipedia/commons/thumb/6/69/Frederiklaan_Eindhoven-_Philipsdorp_1509-130.jpg/1280px-Frederiklaan_Eindhoven-_Philipsdorp_1509-130.jpg"}, "retrieved_on": "2026-10-23"}</t>
        </is>
      </c>
    </row>
    <row r="199" ht="54" customHeight="1">
      <c r="A199" s="29" t="inlineStr">
        <is>
          <t>eindhoven:evidence:de-witte-dame-lichtfabriek-04</t>
        </is>
      </c>
      <c r="B199" s="29" t="inlineStr">
        <is>
          <t>eindhoven</t>
        </is>
      </c>
      <c r="C199" s="29" t="inlineStr">
        <is>
          <t>eindhoven:photo:de-witte-dame-lichtfabriek-04</t>
        </is>
      </c>
      <c r="D199" s="29" t="inlineStr">
        <is>
          <t>https://commons.wikimedia.org/wiki/File:Eindhoven-Witte_Dame_(5).jpg</t>
        </is>
      </c>
      <c r="E199" s="29" t="inlineStr">
        <is>
          <t>File:Eindhoven-Witte Dame (5).jpg</t>
        </is>
      </c>
      <c r="F199" s="29" t="inlineStr">
        <is>
          <t>Romaine</t>
        </is>
      </c>
      <c r="G199" s="29" t="inlineStr">
        <is>
          <t>CC0 1.0</t>
        </is>
      </c>
      <c r="H199" s="29" t="inlineStr">
        <is>
          <t>https://creativecommons.org/publicdomain/zero/1.0/</t>
        </is>
      </c>
      <c r="I199" s="29" t="inlineStr">
        <is>
          <t>Creative Commons Zero, Public Domain Dedication</t>
        </is>
      </c>
      <c r="J199" s="29" t="inlineStr">
        <is>
          <t>Romaine · CC0 1.0 · Wikimedia Commons</t>
        </is>
      </c>
      <c r="K199" s="29" t="n"/>
      <c r="L199" s="49" t="n">
        <v>46317</v>
      </c>
      <c r="M199" s="29" t="inlineStr">
        <is>
          <t>Bekliyor</t>
        </is>
      </c>
      <c r="N199" s="29" t="inlineStr">
        <is>
          <t>Bekliyor</t>
        </is>
      </c>
      <c r="O199" s="29" t="inlineStr">
        <is>
          <t>Fotoğraflar/eindhoven_de-witte-dame-lichtfabriek_04.jpg</t>
        </is>
      </c>
      <c r="P199" s="29" t="inlineStr">
        <is>
          <t>Beyaz binanın zemin katı yakından: girişin üzerinde çelik gergili saçak, içeri çekik giriş geçidi, büyük vitrinler, solda kafe masaları ve turuncu bayrak tabela, önde taş kaldırım ve koyu renk dikme; insan yok</t>
        </is>
      </c>
      <c r="Q199" s="29" t="inlineStr">
        <is>
          <t>Bekliyor</t>
        </is>
      </c>
      <c r="R199" s="29" t="inlineStr">
        <is>
          <t>Wikimedia Commons dosya sayfasındaki lisans: CC0 1.0</t>
        </is>
      </c>
      <c r="S199" s="29" t="n"/>
      <c r="T199" s="29" t="n"/>
      <c r="U199" s="29" t="n"/>
      <c r="V199" s="29" t="n"/>
      <c r="W199" s="29" t="inlineStr">
        <is>
          <t>{"source_url": "https://commons.wikimedia.org/wiki/File:Eindhoven-Witte_Dame_(5).jpg", "author": "Romaine", "license": "CC0 1.0", "license_url": "https://creativecommons.org/publicdomain/zero/1.0/", "original_api_record": {"size": 5220870, "width": 5312, "height": 2988, "thumburl": "https://thumb.wikimedia.org/wikipedia/commons/thumb/1/14/Eindhoven-Witte_Dame_%285%29.jpg/1920px-Eindhoven-Witte_Dame_%285%29.jpg?utm_source=commons.wikimedia.org&amp;utm_campaign=imageinfo&amp;utm_content=thumbnail", "thumbwidth": 1600, "thumbheight": 900, "responsiveUrls": {"2": "https://thumb.wikimedia.org/wikipedia/commons/thumb/1/14/Eindhoven-Witte_Dame_%285%29.jpg/3840px-Eindhoven-Witte_Dame_%285%29.jpg?utm_source=commons.wikimedia.org&amp;utm_campaign=imageinfo&amp;utm_content=thumbnail"}, "thumbattribs": {"src": "https://thumb.wikimedia.org/wikipedia/commons/thumb/1/14/Eindhoven-Witte_Dame_%285%29.jpg/1920px-Eindhoven-Witte_Dame_%285%29.jpg?utm_source=commons.wikimedia.org&amp;utm_campaign=imageinfo&amp;utm_content=thumbnail", "decoding": "async", "loading": "lazy", "width": 1600, "height": 900, "srcset": "https://thumb.wikimedia.org/wikipedia/commons/thumb/1/14/Eindhoven-Witte_Dame_%285%29.jpg/3840px-Eindhoven-Witte_Dame_%285%29.jpg?utm_source=commons.wikimedia.org&amp;utm_campaign=imageinfo&amp;utm_content=thumbnail 2x"}, "url": "https://upload.wikimedia.org/wikipedia/commons/1/14/Eindhoven-Witte_Dame_%285%29.jpg?utm_source=commons.wikimedia.org&amp;utm_campaign=imageinfo&amp;utm_content=original", "descriptionurl": "https://commons.wikimedia.org/wiki/File:Eindhoven-Witte_Dame_(5).jpg", "descriptionshorturl": "https://commons.wikimedia.org/w/index.php?curid=46357295", "sha1": "3283a183c3eb7a1dbb873a9188dd6dcf9c7601be", "extmetadata": {"DateTime": {"value": "2016-01-13 12:43:15", "source": "mediawiki-metadata", "hidden": ""}, "ObjectName": {"value": "Eindhoven-Witte Dame (5)", "source": "mediawiki-metadata"}, "CommonsMetadataExtension": {"value": 1.2, "source": "extension", "hidden": ""}, "Categories": {"value": "CC-Zero|De Witte Dame (gebouwen EE/EF/EH)|Self-published work|Public libraries in North Brabant|Files with coordinates missing SDC location of creation (51° N, 5° E)", "source": "commons-categories", "hidden": ""}, "Assessments": {"value": "", "source": "commons-categories", "hidden": ""}, "GPSLatitude": {"value": "51.438762", "source": "commons-desc-page"}, "GPSLongitude": {"value": "5.474146", "source": "commons-desc-page"}, "GPSMapDatum": {"value": "WGS-84", "source": "commons-desc-page", "hidden": ""}, "ImageDescription": {"value": "The White Lady in Eindhoven, Noord-Brabant, the Netherlands", "source": "commons-desc-page"}, "DateTimeOriginal": {"value": "2016-01-12",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"https://thumb.wikimedia.org/wikipedia/commons/thumb/1/14/Eindhoven-Witte_Dame_%285%29.jpg/1280px-Eindhoven-Witte_Dame_%285%29.jpg"}, "retrieved_on": "2026-10-23"}</t>
        </is>
      </c>
    </row>
    <row r="200" ht="54" customHeight="1">
      <c r="A200" s="29" t="inlineStr">
        <is>
          <t>eindhoven:evidence:stadhuis-van-eindhoven-04</t>
        </is>
      </c>
      <c r="B200" s="29" t="inlineStr">
        <is>
          <t>eindhoven</t>
        </is>
      </c>
      <c r="C200" s="29" t="inlineStr">
        <is>
          <t>eindhoven:photo:stadhuis-van-eindhoven-04</t>
        </is>
      </c>
      <c r="D200" s="29" t="inlineStr">
        <is>
          <t>https://commons.wikimedia.org/wiki/File:Stadhuis_van_Eindhoven.JPG</t>
        </is>
      </c>
      <c r="E200" s="29" t="inlineStr">
        <is>
          <t>File:Stadhuis van Eindhoven.JPG</t>
        </is>
      </c>
      <c r="F200" s="29" t="inlineStr">
        <is>
          <t>Rosemoon</t>
        </is>
      </c>
      <c r="G200" s="29" t="inlineStr">
        <is>
          <t>CC BY-SA 3.0</t>
        </is>
      </c>
      <c r="H200" s="29" t="inlineStr">
        <is>
          <t>https://creativecommons.org/licenses/by-sa/3.0/</t>
        </is>
      </c>
      <c r="I200" s="29" t="inlineStr">
        <is>
          <t>Creative Commons Attribution-Share Alike 3.0</t>
        </is>
      </c>
      <c r="J200" s="29" t="inlineStr">
        <is>
          <t>Rosemoon · CC BY-SA 3.0 · Wikimedia Commons</t>
        </is>
      </c>
      <c r="K200" s="29" t="n"/>
      <c r="L200" s="49" t="n">
        <v>46317</v>
      </c>
      <c r="M200" s="29" t="inlineStr">
        <is>
          <t>Bekliyor</t>
        </is>
      </c>
      <c r="N200" s="29" t="inlineStr">
        <is>
          <t>Bekliyor</t>
        </is>
      </c>
      <c r="O200" s="29" t="inlineStr">
        <is>
          <t>Fotoğraflar/eindhoven_stadhuis-van-eindhoven_04.jpg</t>
        </is>
      </c>
      <c r="P200" s="29" t="inlineStr">
        <is>
          <t>Köşeden ve alçak açıdan belediye binasının gri taş kaplı alçak kanadı: cephede büyük siyah metal heykel, üst katta boydan boya pencere şeridi, arkada solda yüksek blok; solda bayrak direkleri, önde kırmızı çizgili meydan zemini; insan yok</t>
        </is>
      </c>
      <c r="Q200" s="29" t="inlineStr">
        <is>
          <t>Bekliyor</t>
        </is>
      </c>
      <c r="R200" s="29" t="inlineStr">
        <is>
          <t>Wikimedia Commons dosya sayfasındaki lisans: CC BY-SA 3.0</t>
        </is>
      </c>
      <c r="S200" s="29" t="n"/>
      <c r="T200" s="29" t="n"/>
      <c r="U200" s="29" t="n"/>
      <c r="V200" s="29" t="n"/>
      <c r="W200" s="29" t="inlineStr">
        <is>
          <t>{"source_url": "https://commons.wikimedia.org/wiki/File:Stadhuis_van_Eindhoven.JPG", "author": "Rosemoon", "license": "CC BY-SA 3.0", "license_url": "https://creativecommons.org/licenses/by-sa/3.0/", "original_api_record": {"size": 5766656, "width": 4320, "height": 3240, "thumburl": "https://thumb.wikimedia.org/wikipedia/commons/thumb/6/6e/Stadhuis_van_Eindhoven.JPG/1920px-Stadhuis_van_Eindhoven.JPG?utm_source=commons.wikimedia.org&amp;utm_campaign=imageinfo&amp;utm_content=thumbnail", "thumbwidth": 1600, "thumbheight": 1200, "responsiveUrls": {"2": "https://thumb.wikimedia.org/wikipedia/commons/thumb/6/6e/Stadhuis_van_Eindhoven.JPG/3840px-Stadhuis_van_Eindhoven.JPG?utm_source=commons.wikimedia.org&amp;utm_campaign=imageinfo&amp;utm_content=thumbnail"}, "thumbattribs": {"src": "https://thumb.wikimedia.org/wikipedia/commons/thumb/6/6e/Stadhuis_van_Eindhoven.JPG/1920px-Stadhuis_van_Eindhoven.JPG?utm_source=commons.wikimedia.org&amp;utm_campaign=imageinfo&amp;utm_content=thumbnail", "decoding": "async", "loading": "lazy", "width": 1600, "height": 1200, "srcset": "https://thumb.wikimedia.org/wikipedia/commons/thumb/6/6e/Stadhuis_van_Eindhoven.JPG/3840px-Stadhuis_van_Eindhoven.JPG?utm_source=commons.wikimedia.org&amp;utm_campaign=imageinfo&amp;utm_content=thumbnail 2x"}, "url": "https://upload.wikimedia.org/wikipedia/commons/6/6e/Stadhuis_van_Eindhoven.JPG?utm_source=commons.wikimedia.org&amp;utm_campaign=imageinfo&amp;utm_content=original", "descriptionurl": "https://commons.wikimedia.org/wiki/File:Stadhuis_van_Eindhoven.JPG", "descriptionshorturl": "https://commons.wikimedia.org/w/index.php?curid=21316379", "sha1": "4867bf31bef77763de133b9b99998e61d689f96d", "extmetadata": {"DateTime": {"value": "2012-09-13 20:11:54", "source": "mediawiki-metadata", "hidden": ""}, "ObjectName": {"value": "Stadhuis van Eindhoven", "source": "mediawiki-metadata"}, "CommonsMetadataExtension": {"value": 1.2, "source": "extension", "hidden": ""}, "Categories": {"value": "Taken with Panasonic Lumix DMC-TZ20|Self-published work|2012 in Eindhoven|Netherlands photographs taken on 2012-09-09|Files with coordinates missing SDC location of creation (51° N, 5° E)|Eindhoven City Hall", "source": "commons-categories", "hidden": ""}, "Assessments": {"value": "", "source": "commons-categories", "hidden": ""}, "GPSLatitude": {"value": "51.435524", "source": "commons-desc-page"}, "GPSLongitude": {"value": "5.479966", "source": "commons-desc-page"}, "GPSMapDatum": {"value": "WGS-84", "source": "commons-desc-page", "hidden": ""}, "ImageDescription": {"value": "Stadhuis van Eindhoven", "source": "commons-desc-page"}, "DateTimeOriginal": {"value": "2012-09-09 15:44:06",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"https://thumb.wikimedia.org/wikipedia/commons/thumb/6/6e/Stadhuis_van_Eindhoven.JPG/1280px-Stadhuis_van_Eindhoven.JPG"}, "retrieved_on": "2026-10-23"}</t>
        </is>
      </c>
    </row>
    <row r="201" ht="54" customHeight="1">
      <c r="A201" s="29" t="inlineStr">
        <is>
          <t>eindhoven:evidence:centrum-bolgesi-05</t>
        </is>
      </c>
      <c r="B201" s="29" t="inlineStr">
        <is>
          <t>eindhoven</t>
        </is>
      </c>
      <c r="C201" s="29" t="inlineStr">
        <is>
          <t>eindhoven:photo:centrum-bolgesi-05</t>
        </is>
      </c>
      <c r="D201" s="29" t="inlineStr">
        <is>
          <t>https://commons.wikimedia.org/wiki/File:Eindhoven_Centrum_024.JPG</t>
        </is>
      </c>
      <c r="E201" s="29" t="inlineStr">
        <is>
          <t>File:Eindhoven Centrum 024.JPG</t>
        </is>
      </c>
      <c r="F201" s="29" t="inlineStr">
        <is>
          <t>G.Lanting</t>
        </is>
      </c>
      <c r="G201" s="29" t="inlineStr">
        <is>
          <t>CC BY-SA 3.0</t>
        </is>
      </c>
      <c r="H201" s="29" t="inlineStr">
        <is>
          <t>https://creativecommons.org/licenses/by-sa/3.0/</t>
        </is>
      </c>
      <c r="I201" s="29" t="inlineStr">
        <is>
          <t>Creative Commons Attribution-Share Alike 3.0</t>
        </is>
      </c>
      <c r="J201" s="29" t="inlineStr">
        <is>
          <t>G.Lanting · CC BY-SA 3.0 · Wikimedia Commons</t>
        </is>
      </c>
      <c r="K201" s="29" t="n"/>
      <c r="L201" s="49" t="n">
        <v>46317</v>
      </c>
      <c r="M201" s="29" t="inlineStr">
        <is>
          <t>Bekliyor</t>
        </is>
      </c>
      <c r="N201" s="29" t="inlineStr">
        <is>
          <t>Bekliyor</t>
        </is>
      </c>
      <c r="O201" s="29" t="inlineStr">
        <is>
          <t>Fotoğraflar/eindhoven_centrum-bolgesi_05.jpg</t>
        </is>
      </c>
      <c r="P201" s="29" t="inlineStr">
        <is>
          <t>Sıra pencereli alçak kırmızı tuğla bina, ortasından yükselen ince uzun tuğla baca; önde park edilmiş bisikletler ve genç ağaçlar, iki yanda modern binalar, asfalt yol; bulutlu</t>
        </is>
      </c>
      <c r="Q201" s="29" t="inlineStr">
        <is>
          <t>Bekliyor</t>
        </is>
      </c>
      <c r="R201" s="29" t="inlineStr">
        <is>
          <t>Wikimedia Commons dosya sayfasındaki lisans: CC BY-SA 3.0</t>
        </is>
      </c>
      <c r="S201" s="29" t="n"/>
      <c r="T201" s="29" t="n"/>
      <c r="U201" s="29" t="n"/>
      <c r="V201" s="29" t="n"/>
      <c r="W201" s="29" t="inlineStr">
        <is>
          <t>{"source_url": "https://commons.wikimedia.org/wiki/File:Eindhoven_Centrum_024.JPG", "author": "G.Lanting", "license": "CC BY-SA 3.0", "license_url": "https://creativecommons.org/licenses/by-sa/3.0/", "original_api_record": {"size": 4411383, "width": 4000, "height": 3000, "thumburl": "https://thumb.wikimedia.org/wikipedia/commons/thumb/4/43/Eindhoven_Centrum_024.JPG/1920px-Eindhoven_Centrum_024.JPG?utm_source=commons.wikimedia.org&amp;utm_campaign=imageinfo&amp;utm_content=thumbnail", "thumbwidth": 1600, "thumbheight": 1200, "responsiveUrls": {"2": "https://thumb.wikimedia.org/wikipedia/commons/thumb/4/43/Eindhoven_Centrum_024.JPG/3840px-Eindhoven_Centrum_024.JPG?utm_source=commons.wikimedia.org&amp;utm_campaign=imageinfo&amp;utm_content=thumbnail"}, "thumbattribs": {"src": "https://thumb.wikimedia.org/wikipedia/commons/thumb/4/43/Eindhoven_Centrum_024.JPG/1920px-Eindhoven_Centrum_024.JPG?utm_source=commons.wikimedia.org&amp;utm_campaign=imageinfo&amp;utm_content=thumbnail", "decoding": "async", "loading": "lazy", "width": 1600, "height": 1200, "srcset": "https://thumb.wikimedia.org/wikipedia/commons/thumb/4/43/Eindhoven_Centrum_024.JPG/3840px-Eindhoven_Centrum_024.JPG?utm_source=commons.wikimedia.org&amp;utm_campaign=imageinfo&amp;utm_content=thumbnail 2x"}, "url": "https://upload.wikimedia.org/wikipedia/commons/4/43/Eindhoven_Centrum_024.JPG?utm_source=commons.wikimedia.org&amp;utm_campaign=imageinfo&amp;utm_content=original", "descriptionurl": "https://commons.wikimedia.org/wiki/File:Eindhoven_Centrum_024.JPG", "descriptionshorturl": "https://commons.wikimedia.org/w/index.php?curid=30580504", "sha1": "e70151fc13261ba901655cc192c6a5802148f35b", "extmetadata": {"DateTime": {"value": "2014-01-11 20:54:44", "source": "mediawiki-metadata", "hidden": ""}, "ObjectName": {"value": "Eindhoven Centrum 024", "source": "mediawiki-metadata"}, "CommonsMetadataExtension": {"value": 1.2, "source": "extension", "hidden": ""}, "Categories": {"value": "Taken with Fujifilm X10|Eindhoven Centrum|Self-published work|2011 in Eindhoven|Netherlands photographs taken on 2011-05-09", "source": "commons-categories", "hidden": ""}, "Assessments": {"value": "", "source": "commons-categories", "hidden": ""}, "ImageDescription": {"value": "Eindhoven Centrum", "source": "commons-desc-page"}, "DateTimeOriginal": {"value": "2011-05-09 16:05:17", "source": "commons-desc-page"}, "Credit": {"value": "&lt;span class=\"int-own-work\" lang=\"en\"&gt;Own work&lt;/span&gt;", "source": "commons-desc-page"}, "Artist": {"value": "&lt;a href=\"//commons.wikimedia.org/wiki/User:G.Lanting\" title=\"User:G.Lanting\"&gt;G.Lanting&lt;/a&gt;",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"https://thumb.wikimedia.org/wikipedia/commons/thumb/4/43/Eindhoven_Centrum_024.JPG/1280px-Eindhoven_Centrum_024.JPG"}, "retrieved_on": "2026-10-23"}</t>
        </is>
      </c>
    </row>
    <row r="202" ht="54" customHeight="1">
      <c r="A202" s="29" t="inlineStr">
        <is>
          <t>eindhoven:evidence:strijp-s-mahallesi-03</t>
        </is>
      </c>
      <c r="B202" s="29" t="inlineStr">
        <is>
          <t>eindhoven</t>
        </is>
      </c>
      <c r="C202" s="29" t="inlineStr">
        <is>
          <t>eindhoven:photo:strijp-s-mahallesi-03</t>
        </is>
      </c>
      <c r="D202" s="29" t="inlineStr">
        <is>
          <t>https://commons.wikimedia.org/wiki/File:Station_Eindhoven_Strijp-S_(2024).jpg</t>
        </is>
      </c>
      <c r="E202" s="29" t="inlineStr">
        <is>
          <t>File:Station Eindhoven Strijp-S (2024).jpg</t>
        </is>
      </c>
      <c r="F202" s="29" t="inlineStr">
        <is>
          <t>Sneeuwvlakte</t>
        </is>
      </c>
      <c r="G202" s="29" t="inlineStr">
        <is>
          <t>CC BY-SA 4.0</t>
        </is>
      </c>
      <c r="H202" s="29" t="inlineStr">
        <is>
          <t>https://creativecommons.org/licenses/by-sa/4.0/</t>
        </is>
      </c>
      <c r="I202" s="29" t="inlineStr">
        <is>
          <t>Creative Commons Attribution-Share Alike 4.0</t>
        </is>
      </c>
      <c r="J202" s="29" t="inlineStr">
        <is>
          <t>Sneeuwvlakte · CC BY-SA 4.0 · Wikimedia Commons</t>
        </is>
      </c>
      <c r="K202" s="29" t="n"/>
      <c r="L202" s="49" t="n">
        <v>46317</v>
      </c>
      <c r="M202" s="29" t="inlineStr">
        <is>
          <t>Bekliyor</t>
        </is>
      </c>
      <c r="N202" s="29" t="inlineStr">
        <is>
          <t>Bekliyor</t>
        </is>
      </c>
      <c r="O202" s="29" t="inlineStr">
        <is>
          <t>Fotoğraflar/eindhoven_strijp-s-mahallesi_03.jpg</t>
        </is>
      </c>
      <c r="P202" s="29" t="inlineStr">
        <is>
          <t>Sokak seviyesinden yükseltilmiş perona çıkan geniş beton merdiven, tepede mavi NS logolu giriş; solda kırmızı korkuluklu rampa, üstü kapalı bisiklet parkı ve bisikletler; çimenli şevler, katener telleri; bulutlu</t>
        </is>
      </c>
      <c r="Q202" s="29" t="inlineStr">
        <is>
          <t>Bekliyor</t>
        </is>
      </c>
      <c r="R202" s="29" t="inlineStr">
        <is>
          <t>Wikimedia Commons dosya sayfasındaki lisans: CC BY-SA 4.0</t>
        </is>
      </c>
      <c r="S202" s="29" t="n"/>
      <c r="T202" s="29" t="n"/>
      <c r="U202" s="29" t="n"/>
      <c r="V202" s="29" t="n"/>
      <c r="W202" s="29" t="inlineStr">
        <is>
          <t>{"source_url": "https://commons.wikimedia.org/wiki/File:Station_Eindhoven_Strijp-S_(2024).jpg", "author": "Sneeuwvlakte", "license": "CC BY-SA 4.0", "license_url": "https://creativecommons.org/licenses/by-sa/4.0/", "original_api_record": {"size": 4751882, "width": 4608, "height": 3456, "thumburl": "https://thumb.wikimedia.org/wikipedia/commons/thumb/a/a2/Station_Eindhoven_Strijp-S_%282024%29.jpg/1920px-Station_Eindhoven_Strijp-S_%282024%29.jpg?utm_source=commons.wikimedia.org&amp;utm_campaign=imageinfo&amp;utm_content=thumbnail", "thumbwidth": 1600, "thumbheight": 1200, "responsiveUrls": {"2": "https://thumb.wikimedia.org/wikipedia/commons/thumb/a/a2/Station_Eindhoven_Strijp-S_%282024%29.jpg/3840px-Station_Eindhoven_Strijp-S_%282024%29.jpg?utm_source=commons.wikimedia.org&amp;utm_campaign=imageinfo&amp;utm_content=thumbnail"}, "thumbattribs": {"src": "https://thumb.wikimedia.org/wikipedia/commons/thumb/a/a2/Station_Eindhoven_Strijp-S_%282024%29.jpg/1920px-Station_Eindhoven_Strijp-S_%282024%29.jpg?utm_source=commons.wikimedia.org&amp;utm_campaign=imageinfo&amp;utm_content=thumbnail", "decoding": "async", "loading": "lazy", "width": 1600, "height": 1200, "srcset": "https://thumb.wikimedia.org/wikipedia/commons/thumb/a/a2/Station_Eindhoven_Strijp-S_%282024%29.jpg/3840px-Station_Eindhoven_Strijp-S_%282024%29.jpg?utm_source=commons.wikimedia.org&amp;utm_campaign=imageinfo&amp;utm_content=thumbnail 2x"}, "url": "https://upload.wikimedia.org/wikipedia/commons/a/a2/Station_Eindhoven_Strijp-S_%282024%29.jpg?utm_source=commons.wikimedia.org&amp;utm_campaign=imageinfo&amp;utm_content=original", "descriptionurl": "https://commons.wikimedia.org/wiki/File:Station_Eindhoven_Strijp-S_(2024).jpg", "descriptionshorturl": "https://commons.wikimedia.org/w/index.php?curid=151183647", "sha1": "60a7c470467f41695afe1c3809b681d8cd68de80", "extmetadata": {"DateTime": {"value": "2024-08-05 08:15:56", "source": "mediawiki-metadata", "hidden": ""}, "ObjectName": {"value": "Station Eindhoven Strijp-S (2024)", "source": "mediawiki-metadata"}, "CommonsMetadataExtension": {"value": 1.2, "source": "extension", "hidden": ""}, "Categories": {"value": "Eindhoven Strijp-S train station|Self-published work|Outside stairs in the Netherlands|Train station stairs in the Netherlands|2024 in Eindhoven|Train stations in the Netherlands photographed in 2024|August 2024 in rail transport in the Netherlands|Railway photographs taken on 2024-08-02|North Brabant photographs taken on 2024-08-02", "source": "commons-categories", "hidden": ""}, "Assessments": {"value": "", "source": "commons-categories", "hidden": ""}, "ImageDescription": {"value": "Station facilities and platform entrance of Eindhoven Strijp-S train station.", "source": "commons-desc-page"}, "DateTimeOriginal": {"value": "2024-08-02 13:28:05", "source": "commons-desc-page"}, "Credit": {"value": "&lt;span class=\"int-own-work\" lang=\"en\"&gt;Own work&lt;/span&gt;", "source": "commons-desc-page"}, "Artist": {"value": "&lt;a href=\"//commons.wikimedia.org/wiki/User:Sneeuwvlakte\" title=\"User:Sneeuwvlakte\"&gt;Sneeuwvlakte&lt;/a&gt;",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"https://thumb.wikimedia.org/wikipedia/commons/thumb/a/a2/Station_Eindhoven_Strijp-S_%282024%29.jpg/1280px-Station_Eindhoven_Strijp-S_%282024%29.jpg"}, "retrieved_on": "2026-10-23"}</t>
        </is>
      </c>
    </row>
    <row r="203" ht="54" customHeight="1">
      <c r="A203" s="29" t="inlineStr">
        <is>
          <t>eindhoven:evidence:strijp-s-mahallesi-04</t>
        </is>
      </c>
      <c r="B203" s="29" t="inlineStr">
        <is>
          <t>eindhoven</t>
        </is>
      </c>
      <c r="C203" s="29" t="inlineStr">
        <is>
          <t>eindhoven:photo:strijp-s-mahallesi-04</t>
        </is>
      </c>
      <c r="D203" s="29" t="inlineStr">
        <is>
          <t>https://commons.wikimedia.org/wiki/File:Torenallee_Eindhoven_3.jpg</t>
        </is>
      </c>
      <c r="E203" s="29" t="inlineStr">
        <is>
          <t>File:Torenallee Eindhoven 3.jpg</t>
        </is>
      </c>
      <c r="F203" s="29" t="inlineStr">
        <is>
          <t>Steven Lek</t>
        </is>
      </c>
      <c r="G203" s="29" t="inlineStr">
        <is>
          <t>CC BY-SA 4.0</t>
        </is>
      </c>
      <c r="H203" s="29" t="inlineStr">
        <is>
          <t>https://creativecommons.org/licenses/by-sa/4.0/</t>
        </is>
      </c>
      <c r="I203" s="29" t="inlineStr">
        <is>
          <t>Creative Commons Attribution-Share Alike 4.0</t>
        </is>
      </c>
      <c r="J203" s="29" t="inlineStr">
        <is>
          <t>Steven Lek · CC BY-SA 4.0 · Wikimedia Commons</t>
        </is>
      </c>
      <c r="K203" s="29" t="n"/>
      <c r="L203" s="49" t="n">
        <v>46317</v>
      </c>
      <c r="M203" s="29" t="inlineStr">
        <is>
          <t>Bekliyor</t>
        </is>
      </c>
      <c r="N203" s="29" t="inlineStr">
        <is>
          <t>Bekliyor</t>
        </is>
      </c>
      <c r="O203" s="29" t="inlineStr">
        <is>
          <t>Fotoğraflar/eindhoven_strijp-s-mahallesi_04.jpg</t>
        </is>
      </c>
      <c r="P203" s="29" t="inlineStr">
        <is>
          <t>Sık ağaç sıraları arasında geniş, açık gri döşeli yaya-bisiklet yolu; sağda park etmiş arabalar ve binalar, uzakta bisikletli, solda kuru yapraklar</t>
        </is>
      </c>
      <c r="Q203" s="29" t="inlineStr">
        <is>
          <t>Bekliyor</t>
        </is>
      </c>
      <c r="R203" s="29" t="inlineStr">
        <is>
          <t>Wikimedia Commons dosya sayfasındaki lisans: CC BY-SA 4.0</t>
        </is>
      </c>
      <c r="S203" s="29" t="n"/>
      <c r="T203" s="29" t="n"/>
      <c r="U203" s="29" t="n"/>
      <c r="V203" s="29" t="n"/>
      <c r="W203" s="29" t="inlineStr">
        <is>
          <t>{"source_url": "https://commons.wikimedia.org/wiki/File:Torenallee_Eindhoven_3.jpg", "author": "Steven Lek", "license": "CC BY-SA 4.0", "license_url": "https://creativecommons.org/licenses/by-sa/4.0/", "original_api_record": {"size": 9789150, "width": 4928, "height": 3264, "thumburl": "https://thumb.wikimedia.org/wikipedia/commons/thumb/a/a0/Torenallee_Eindhoven_3.jpg/1920px-Torenallee_Eindhoven_3.jpg?utm_source=commons.wikimedia.org&amp;utm_campaign=imageinfo&amp;utm_content=thumbnail", "thumbwidth": 1600, "thumbheight": 1060, "responsiveUrls": {"2": "https://thumb.wikimedia.org/wikipedia/commons/thumb/a/a0/Torenallee_Eindhoven_3.jpg/3840px-Torenallee_Eindhoven_3.jpg?utm_source=commons.wikimedia.org&amp;utm_campaign=imageinfo&amp;utm_content=thumbnail"}, "thumbattribs": {"src": "https://thumb.wikimedia.org/wikipedia/commons/thumb/a/a0/Torenallee_Eindhoven_3.jpg/1920px-Torenallee_Eindhoven_3.jpg?utm_source=commons.wikimedia.org&amp;utm_campaign=imageinfo&amp;utm_content=thumbnail", "decoding": "async", "loading": "lazy", "width": 1600, "height": 1060, "srcset": "https://thumb.wikimedia.org/wikipedia/commons/thumb/a/a0/Torenallee_Eindhoven_3.jpg/3840px-Torenallee_Eindhoven_3.jpg?utm_source=commons.wikimedia.org&amp;utm_campaign=imageinfo&amp;utm_content=thumbnail 2x"}, "url": "https://upload.wikimedia.org/wikipedia/commons/a/a0/Torenallee_Eindhoven_3.jpg?utm_source=commons.wikimedia.org&amp;utm_campaign=imageinfo&amp;utm_content=original", "descriptionurl": "https://commons.wikimedia.org/wiki/File:Torenallee_Eindhoven_3.jpg", "descriptionshorturl": "https://commons.wikimedia.org/w/index.php?curid=71373229", "sha1": "9216a14a9f85d75e945168e9b620b154f68dac08", "extmetadata": {"DateTime": {"value": "2018-08-05 15:59:01", "source": "mediawiki-metadata", "hidden": ""}, "ObjectName": {"value": "Torenallee Eindhoven 3", "source": "mediawiki-metadata"}, "CommonsMetadataExtension": {"value": 1.2, "source": "extension", "hidden": ""}, "Categories": {"value": "Streets in Eindhoven|Strijp-S|Self-published work|2018 in Eindhoven|Netherlands photographs taken on 2018-07-31", "source": "commons-categories", "hidden": ""}, "Assessments": {"value": "", "source": "commons-categories", "hidden": ""}, "ImageDescription": {"value": "De Torenallee in Eindhoven.", "source": "commons-desc-page"}, "DateTimeOriginal": {"value": "2018-07-31 17:23:38",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"https://thumb.wikimedia.org/wikipedia/commons/thumb/a/a0/Torenallee_Eindhoven_3.jpg/1280px-Torenallee_Eindhoven_3.jpg"}, "retrieved_on": "2026-10-23"}</t>
        </is>
      </c>
    </row>
    <row r="204" ht="54" customHeight="1">
      <c r="A204" s="29" t="inlineStr">
        <is>
          <t>eindhoven:evidence:strijp-s-mahallesi-05</t>
        </is>
      </c>
      <c r="B204" s="29" t="inlineStr">
        <is>
          <t>eindhoven</t>
        </is>
      </c>
      <c r="C204" s="29" t="inlineStr">
        <is>
          <t>eindhoven:photo:strijp-s-mahallesi-05</t>
        </is>
      </c>
      <c r="D204" s="29" t="inlineStr">
        <is>
          <t>https://commons.wikimedia.org/wiki/File:Trudo_Toren_Strijp-S_Eindhoven_(51284789918).jpg</t>
        </is>
      </c>
      <c r="E204" s="29" t="inlineStr">
        <is>
          <t>File:Trudo Toren Strijp-S Eindhoven (51284789918).jpg</t>
        </is>
      </c>
      <c r="F204" s="29" t="inlineStr">
        <is>
          <t>Nanda Sluijsmans from Den Haag, Nederland</t>
        </is>
      </c>
      <c r="G204" s="29" t="inlineStr">
        <is>
          <t>CC BY-SA 2.0</t>
        </is>
      </c>
      <c r="H204" s="29" t="inlineStr">
        <is>
          <t>https://creativecommons.org/licenses/by-sa/2.0/</t>
        </is>
      </c>
      <c r="I204" s="29" t="inlineStr">
        <is>
          <t>Creative Commons Attribution-Share Alike 2.0</t>
        </is>
      </c>
      <c r="J204" s="29" t="inlineStr">
        <is>
          <t>Nanda Sluijsmans from Den Haag, Nederland · CC BY-SA 2.0 · Wikimedia Commons</t>
        </is>
      </c>
      <c r="K204" s="29" t="n"/>
      <c r="L204" s="49" t="n">
        <v>46317</v>
      </c>
      <c r="M204" s="29" t="inlineStr">
        <is>
          <t>Bekliyor</t>
        </is>
      </c>
      <c r="N204" s="29" t="inlineStr">
        <is>
          <t>Bekliyor</t>
        </is>
      </c>
      <c r="O204" s="29" t="inlineStr">
        <is>
          <t>Fotoğraflar/eindhoven_strijp-s-mahallesi_05.jpg</t>
        </is>
      </c>
      <c r="P204" s="29" t="inlineStr">
        <is>
          <t>Her balkonunda ağaç ve çalılar olan, düzensiz balkon çıkıntılı yüksek konut kulesi; mavi gökyüzü, solda koyu yapı kenarı</t>
        </is>
      </c>
      <c r="Q204" s="29" t="inlineStr">
        <is>
          <t>Bekliyor</t>
        </is>
      </c>
      <c r="R204" s="29" t="inlineStr">
        <is>
          <t>Wikimedia Commons dosya sayfasındaki lisans: CC BY-SA 2.0</t>
        </is>
      </c>
      <c r="S204" s="29" t="n"/>
      <c r="T204" s="29" t="n"/>
      <c r="U204" s="29" t="n"/>
      <c r="V204" s="29" t="n"/>
      <c r="W204" s="29" t="inlineStr">
        <is>
          <t>{"source_url": "https://commons.wikimedia.org/wiki/File:Trudo_Toren_Strijp-S_Eindhoven_(51284789918).jpg", "author": "Nanda Sluijsmans from Den Haag, Nederland", "license": "CC BY-SA 2.0", "license_url": "https://creativecommons.org/licenses/by-sa/2.0/", "original_api_record": {"size": 3604480, "width": 6000, "height": 4000, "thumburl": "https://thumb.wikimedia.org/wikipedia/commons/thumb/e/e1/Trudo_Toren_Strijp-S_Eindhoven_%2851284789918%29.jpg/1920px-Trudo_Toren_Strijp-S_Eindhoven_%2851284789918%29.jpg?utm_source=commons.wikimedia.org&amp;utm_campaign=imageinfo&amp;utm_content=thumbnail", "thumbwidth": 1600, "thumbheight": 1067, "responsiveUrls": {"2": "https://thumb.wikimedia.org/wikipedia/commons/thumb/e/e1/Trudo_Toren_Strijp-S_Eindhoven_%2851284789918%29.jpg/3840px-Trudo_Toren_Strijp-S_Eindhoven_%2851284789918%29.jpg?utm_source=commons.wikimedia.org&amp;utm_campaign=imageinfo&amp;utm_content=thumbnail"}, "thumbattribs": {"src": "https://thumb.wikimedia.org/wikipedia/commons/thumb/e/e1/Trudo_Toren_Strijp-S_Eindhoven_%2851284789918%29.jpg/1920px-Trudo_Toren_Strijp-S_Eindhoven_%2851284789918%29.jpg?utm_source=commons.wikimedia.org&amp;utm_campaign=imageinfo&amp;utm_content=thumbnail", "decoding": "async", "loading": "lazy", "width": 1600, "height": 1067, "srcset": "https://thumb.wikimedia.org/wikipedia/commons/thumb/e/e1/Trudo_Toren_Strijp-S_Eindhoven_%2851284789918%29.jpg/3840px-Trudo_Toren_Strijp-S_Eindhoven_%2851284789918%29.jpg?utm_source=commons.wikimedia.org&amp;utm_campaign=imageinfo&amp;utm_content=thumbnail 2x"}, "url": "https://upload.wikimedia.org/wikipedia/commons/e/e1/Trudo_Toren_Strijp-S_Eindhoven_%2851284789918%29.jpg?utm_source=commons.wikimedia.org&amp;utm_campaign=imageinfo&amp;utm_content=original", "descriptionurl": "https://commons.wikimedia.org/wiki/File:Trudo_Toren_Strijp-S_Eindhoven_(51284789918).jpg", "descriptionshorturl": "https://commons.wikimedia.org/w/index.php?curid=109135686", "sha1": "c04818b0542fe3586f8ee0cf7e4c0ceb81c8a842", "extmetadata": {"DateTime": {"value": "2021-08-22 11:37:05", "source": "mediawiki-metadata", "hidden": ""}, "ObjectName": {"value": "Trudo Toren Strijp-S Eindhoven (51284789918)", "source": "mediawiki-metadata"}, "CommonsMetadataExtension": {"value": 1.2, "source": "extension", "hidden": ""}, "Categories": {"value": "Buildings in Eindhoven|Flickr images reviewed by FlickreviewR 2|Photographs by Nanda Sluijsmans, Eindhoven", "source": "commons-categories", "hidden": ""}, "Assessments": {"value": "", "source": "commons-categories", "hidden": ""}, "ImageDescription": {"value": "Trudo Toren Strijp-S Eindhoven", "source": "commons-desc-page"}, "DateTimeOriginal": {"value": "2021-06-19 16:16", "source": "commons-desc-page"}, "Credit": {"value": "&lt;a rel=\"nofollow\" class=\"external text\" href=\"https://www.flickr.com/photos/nandasluijsmans/51284789918/\"&gt;Trudo Toren Strijp-S Eindhoven&lt;/a&gt;", "source": "commons-desc-page"}, "Artist": {"value": "&lt;a rel=\"nofollow\" class=\"external text\" href=\"https://www.flickr.com/people/141420435@N08\"&gt;Nanda Sluijsmans&lt;/a&gt; from Den Haag, Nederland",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"https://thumb.wikimedia.org/wikipedia/commons/thumb/e/e1/Trudo_Toren_Strijp-S_Eindhoven_%2851284789918%29.jpg/1280px-Trudo_Toren_Strijp-S_Eindhoven_%2851284789918%29.jpg"}, "retrieved_on": "2026-10-23"}</t>
        </is>
      </c>
    </row>
    <row r="205" ht="54" customHeight="1">
      <c r="A205" s="29" t="inlineStr">
        <is>
          <t>eindhoven:evidence:philipsdorp-mahallesi-03</t>
        </is>
      </c>
      <c r="B205" s="29" t="inlineStr">
        <is>
          <t>eindhoven</t>
        </is>
      </c>
      <c r="C205" s="29" t="inlineStr">
        <is>
          <t>eindhoven:photo:philipsdorp-mahallesi-03</t>
        </is>
      </c>
      <c r="D205" s="29" t="inlineStr">
        <is>
          <t>https://commons.wikimedia.org/wiki/File:PSV_stadion_Eindhoven-_Philipsdorp_1509-56.jpg</t>
        </is>
      </c>
      <c r="E205" s="29" t="inlineStr">
        <is>
          <t>File:PSV stadion Eindhoven- Philipsdorp 1509-56.jpg</t>
        </is>
      </c>
      <c r="F205" s="29" t="inlineStr">
        <is>
          <t>Jan Geerling</t>
        </is>
      </c>
      <c r="G205" s="29" t="inlineStr">
        <is>
          <t>CC BY-SA 4.0</t>
        </is>
      </c>
      <c r="H205" s="29" t="inlineStr">
        <is>
          <t>https://creativecommons.org/licenses/by-sa/4.0/</t>
        </is>
      </c>
      <c r="I205" s="29" t="inlineStr">
        <is>
          <t>Creative Commons Attribution-Share Alike 4.0</t>
        </is>
      </c>
      <c r="J205" s="29" t="inlineStr">
        <is>
          <t>Jan Geerling · CC BY-SA 4.0 · Wikimedia Commons</t>
        </is>
      </c>
      <c r="K205" s="29" t="n"/>
      <c r="L205" s="49" t="n">
        <v>46317</v>
      </c>
      <c r="M205" s="29" t="inlineStr">
        <is>
          <t>Bekliyor</t>
        </is>
      </c>
      <c r="N205" s="29" t="inlineStr">
        <is>
          <t>Bekliyor</t>
        </is>
      </c>
      <c r="O205" s="29" t="inlineStr">
        <is>
          <t>Fotoğraflar/eindhoven_philipsdorp-mahallesi_03.jpg</t>
        </is>
      </c>
      <c r="P205" s="29" t="inlineStr">
        <is>
          <t>Solda kaldırım boyunca krem sıvalı ve tuğla eski sıra evler; sağda 'Philips Stadion' yazılı stadyum cephesi ve beyaz pilon, damalı bordür, sonbahar ağaçları, uzakta beyaz kamyonet; mavi gök ve bulutlar</t>
        </is>
      </c>
      <c r="Q205" s="29" t="inlineStr">
        <is>
          <t>Bekliyor</t>
        </is>
      </c>
      <c r="R205" s="29" t="inlineStr">
        <is>
          <t>Wikimedia Commons dosya sayfasındaki lisans: CC BY-SA 4.0</t>
        </is>
      </c>
      <c r="S205" s="29" t="n"/>
      <c r="T205" s="29" t="n"/>
      <c r="U205" s="29" t="n"/>
      <c r="V205" s="29" t="n"/>
      <c r="W205" s="29" t="inlineStr">
        <is>
          <t>{"source_url": "https://commons.wikimedia.org/wiki/File:PSV_stadion_Eindhoven-_Philipsdorp_1509-56.jpg", "author": "Jan Geerling", "license": "CC BY-SA 4.0", "license_url": "https://creativecommons.org/licenses/by-sa/4.0/", "original_api_record": {"size": 2005112, "width": 5472, "height": 3648, "thumburl": "https://thumb.wikimedia.org/wikipedia/commons/thumb/1/1c/PSV_stadion_Eindhoven-_Philipsdorp_1509-56.jpg/1920px-PSV_stadion_Eindhoven-_Philipsdorp_1509-56.jpg?utm_source=commons.wikimedia.org&amp;utm_campaign=imageinfo&amp;utm_content=thumbnail", "thumbwidth": 1600, "thumbheight": 1067, "responsiveUrls": {"2": "https://thumb.wikimedia.org/wikipedia/commons/thumb/1/1c/PSV_stadion_Eindhoven-_Philipsdorp_1509-56.jpg/3840px-PSV_stadion_Eindhoven-_Philipsdorp_1509-56.jpg?utm_source=commons.wikimedia.org&amp;utm_campaign=imageinfo&amp;utm_content=thumbnail"}, "thumbattribs": {"src": "https://thumb.wikimedia.org/wikipedia/commons/thumb/1/1c/PSV_stadion_Eindhoven-_Philipsdorp_1509-56.jpg/1920px-PSV_stadion_Eindhoven-_Philipsdorp_1509-56.jpg?utm_source=commons.wikimedia.org&amp;utm_campaign=imageinfo&amp;utm_content=thumbnail", "decoding": "async", "loading": "lazy", "width": 1600, "height": 1067, "srcset": "https://thumb.wikimedia.org/wikipedia/commons/thumb/1/1c/PSV_stadion_Eindhoven-_Philipsdorp_1509-56.jpg/3840px-PSV_stadion_Eindhoven-_Philipsdorp_1509-56.jpg?utm_source=commons.wikimedia.org&amp;utm_campaign=imageinfo&amp;utm_content=thumbnail 2x"}, "url": "https://upload.wikimedia.org/wikipedia/commons/1/1c/PSV_stadion_Eindhoven-_Philipsdorp_1509-56.jpg?utm_source=commons.wikimedia.org&amp;utm_campaign=imageinfo&amp;utm_content=original", "descriptionurl": "https://commons.wikimedia.org/wiki/File:PSV_stadion_Eindhoven-_Philipsdorp_1509-56.jpg", "descriptionshorturl": "https://commons.wikimedia.org/w/index.php?curid=102299088", "sha1": "b13d99cfe604e240a0800c28a7ca8cd8d6d4aa2e", "extmetadata": {"DateTime": {"value": "2021-03-25 13:58:56", "source": "mediawiki-metadata", "hidden": ""}, "ObjectName": {"value": "PSV stadion Eindhoven- Philipsdorp 1509-56", "source": "mediawiki-metadata"}, "CommonsMetadataExtension": {"value": 1.2, "source": "extension", "hidden": ""}, "Categories": {"value": "Uploaded with pattypan|Philipsdorp, Eindhoven|Frederiklaan (Eindhoven)|Files with coordinates missing SDC location of creation (51° N, 5° E)|Photographs by Jan Geerling contributed in 2021|Photographs by Jan Geerling in Eindhoven", "source": "commons-categories", "hidden": ""}, "Assessments": {"value": "", "source": "commons-categories", "hidden": ""}, "GPSLatitude": {"value": "51.440582", "source": "commons-desc-page"}, "GPSLongitude": {"value": "5.467093", "source": "commons-desc-page"}, "GPSMapDatum": {"value": "WGS-84", "source": "commons-desc-page", "hidden": ""}, "Artist": {"value": "&lt;bdi&gt;&lt;a href=\"https://www.wikidata.org/wiki/Q88378993\" class=\"extiw\" title=\"d:Q88378993\"&gt;&lt;span title=\"Dutch photographer\"&gt;Jan Geerling&lt;/span&gt;&lt;/a&gt;&lt;/bdi&gt;", "source": "commons-desc-page"}, "ImageDescription": {"value": "Frederiklaan met PSV stadion rechts, woningen links", "source": "commons-desc-page"}, "DateTimeOriginal": {"value": "29 September 2015, 13:09",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"https://thumb.wikimedia.org/wikipedia/commons/thumb/1/1c/PSV_stadion_Eindhoven-_Philipsdorp_1509-56.jpg/1280px-PSV_stadion_Eindhoven-_Philipsdorp_1509-56.jpg"}, "retrieved_on": "2026-10-23"}</t>
        </is>
      </c>
    </row>
    <row r="206" ht="54" customHeight="1">
      <c r="A206" s="29" t="inlineStr">
        <is>
          <t>eindhoven:evidence:witte-dorp-mahallesi-05</t>
        </is>
      </c>
      <c r="B206" s="29" t="inlineStr">
        <is>
          <t>eindhoven</t>
        </is>
      </c>
      <c r="C206" s="29" t="inlineStr">
        <is>
          <t>eindhoven:photo:witte-dorp-mahallesi-05</t>
        </is>
      </c>
      <c r="D206" s="29" t="inlineStr">
        <is>
          <t>https://commons.wikimedia.org/wiki/File:Monument_518738,_Geldropseweg_136_Eindhoven_-_2.jpg</t>
        </is>
      </c>
      <c r="E206" s="29" t="inlineStr">
        <is>
          <t>File:Monument 518738, Geldropseweg 136 Eindhoven - 2.jpg</t>
        </is>
      </c>
      <c r="F206" s="29" t="inlineStr">
        <is>
          <t>Rosemoon</t>
        </is>
      </c>
      <c r="G206" s="29" t="inlineStr">
        <is>
          <t>CC BY-SA 3.0 nl</t>
        </is>
      </c>
      <c r="H206" s="29" t="inlineStr">
        <is>
          <t>https://creativecommons.org/licenses/by-sa/3.0/nl/deed.en/</t>
        </is>
      </c>
      <c r="I206" s="29" t="inlineStr">
        <is>
          <t>Creative Commons Attribution-Share Alike 3.0 nl</t>
        </is>
      </c>
      <c r="J206" s="29" t="inlineStr">
        <is>
          <t>Rosemoon · CC BY-SA 3.0 nl · Wikimedia Commons</t>
        </is>
      </c>
      <c r="K206" s="29" t="n"/>
      <c r="L206" s="49" t="n">
        <v>46317</v>
      </c>
      <c r="M206" s="29" t="inlineStr">
        <is>
          <t>Bekliyor</t>
        </is>
      </c>
      <c r="N206" s="29" t="inlineStr">
        <is>
          <t>Bekliyor</t>
        </is>
      </c>
      <c r="O206" s="29" t="inlineStr">
        <is>
          <t>Fotoğraflar/eindhoven_witte-dorp-mahallesi_05.jpg</t>
        </is>
      </c>
      <c r="P206" s="29" t="inlineStr">
        <is>
          <t>Cadde kenarında uzun iki katlı beyaz sıra evler: koyu kırmızı kiremit çatı ve bacalar, zemin katta dükkân vitrinleri, cephede sarmaşık; önde refüj, sarı direk, boş yol; bulutlu</t>
        </is>
      </c>
      <c r="Q206" s="29" t="inlineStr">
        <is>
          <t>Bekliyor</t>
        </is>
      </c>
      <c r="R206" s="29" t="inlineStr">
        <is>
          <t>Wikimedia Commons dosya sayfasındaki lisans: CC BY-SA 3.0 nl</t>
        </is>
      </c>
      <c r="S206" s="29" t="n"/>
      <c r="T206" s="29" t="n"/>
      <c r="U206" s="29" t="n"/>
      <c r="V206" s="29" t="n"/>
      <c r="W206" s="29" t="inlineStr">
        <is>
          <t>{"source_url": "https://commons.wikimedia.org/wiki/File:Monument_518738,_Geldropseweg_136_Eindhoven_-_2.jpg", "author": "Rosemoon", "license": "CC BY-SA 3.0 nl", "license_url": "https://creativecommons.org/licenses/by-sa/3.0/nl/deed.en/", "original_api_record": {"size": 5747200, "width": 4320, "height": 3240, "thumburl": "https://thumb.wikimedia.org/wikipedia/commons/thumb/e/e7/Monument_518738%2C_Geldropseweg_136_Eindhoven_-_2.jpg/1920px-Monument_518738%2C_Geldropseweg_136_Eindhoven_-_2.jpg?utm_source=commons.wikimedia.org&amp;utm_campaign=imageinfo&amp;utm_content=thumbnail", "thumbwidth": 1600, "thumbheight": 1200, "responsiveUrls": {"2": "https://thumb.wikimedia.org/wikipedia/commons/thumb/e/e7/Monument_518738%2C_Geldropseweg_136_Eindhoven_-_2.jpg/3840px-Monument_518738%2C_Geldropseweg_136_Eindhoven_-_2.jpg?utm_source=commons.wikimedia.org&amp;utm_campaign=imageinfo&amp;utm_content=thumbnail"}, "thumbattribs": {"src": "https://thumb.wikimedia.org/wikipedia/commons/thumb/e/e7/Monument_518738%2C_Geldropseweg_136_Eindhoven_-_2.jpg/1920px-Monument_518738%2C_Geldropseweg_136_Eindhoven_-_2.jpg?utm_source=commons.wikimedia.org&amp;utm_campaign=imageinfo&amp;utm_content=thumbnail", "decoding": "async", "loading": "lazy", "width": 1600, "height": 1200, "srcset": "https://thumb.wikimedia.org/wikipedia/commons/thumb/e/e7/Monument_518738%2C_Geldropseweg_136_Eindhoven_-_2.jpg/3840px-Monument_518738%2C_Geldropseweg_136_Eindhoven_-_2.jpg?utm_source=commons.wikimedia.org&amp;utm_campaign=imageinfo&amp;utm_content=thumbnail 2x"}, "url": "https://upload.wikimedia.org/wikipedia/commons/e/e7/Monument_518738%2C_Geldropseweg_136_Eindhoven_-_2.jpg?utm_source=commons.wikimedia.org&amp;utm_campaign=imageinfo&amp;utm_content=original", "descriptionurl": "https://commons.wikimedia.org/wiki/File:Monument_518738,_Geldropseweg_136_Eindhoven_-_2.jpg", "descriptionshorturl": "https://commons.wikimedia.org/w/index.php?curid=16553892", "sha1": "0a8968796d4448b466974eb21079da358da1794a", "extmetadata": {"DateTime": {"value": "2011-09-18 16:30:26", "source": "mediawiki-metadata", "hidden": ""}, "ObjectName": {"value": "Monument 518738, Geldropseweg 136 Eindhoven - 2", "source": "mediawiki-metadata"}, "CommonsMetadataExtension": {"value": 1.2, "source": "extension", "hidden": ""}, "Categories": {"value": "Taken with Panasonic Lumix DMC-TZ20|Self-published work|Images from Wiki Loves Monuments 2011|Rijksmonumenten with known IDs|Images from Wiki Loves Monuments 2011 in the Netherlands|2011 in Eindhoven|Netherlands photographs taken on 2011-09-18|Witte Dorp, Eindhoven", "source": "commons-categories", "hidden": ""}, "Assessments": {"value": "", "source": "commons-categories", "hidden": ""}, "GPSLatitude": {"value": "51.429542", "source": "commons-desc-page"}, "GPSLongitude": {"value": "5.493836", "source": "commons-desc-page"}, "GPSMapDatum": {"value": "WGS-84", "source": "commons-desc-page", "hidden": ""}, "ImageDescription": {"value": "&lt;table role=\"presentation\" style=\"border-spacing:0; width:425px; text-align:left; background:var(--background-color-neutral,#eaecf0); color:var(--color-base,#202122); border:1px solid var(--border-color-base,#a2a9b1); margin:1px;\" class=\"layouttemplate\"&gt;&lt;tbody&gt;&lt;tr&gt;&lt;td style=\"width:26px; height:22px; vertical-align:middle\"&gt;&lt;span typeof=\"mw:File\"&gt;&lt;span&gt;&lt;img alt=\"\" src=\"https://thumb.wikimedia.org/wikipedia/commons/thumb/5/5e/Monumentenbordje_2014.svg/20px-Monumentenbordje_2014.svg.png?utm_source=commons.wikimedia.org&amp;amp;utm_campaign=parser&amp;amp;utm_content=thumbnail\" decoding=\"async\" loading=\"lazy\" width=\"20\" height=\"30\" class=\"mw-file-element\" srcset=\"https://thumb.wikimedia.org/wikipedia/commons/thumb/5/5e/Monumentenbordje_2014.svg/40px-Monumentenbordje_2014.svg.png?utm_source=commons.wikimedia.org&amp;amp;utm_campaign=parser&amp;amp;utm_content=thumbnail 2x\" data-file-width=\"430\" data-file-height=\"646\"&gt;&lt;/span&gt;&lt;/span&gt;&lt;/td&gt;&lt;td style=\"padding:1pt; line-height:1.1em;\"&gt;&lt;div lang=\"en\" dir=\"ltr\"&gt;This is an image of &lt;a href=\"https://en.wikipedia.org/wiki/Rijksmonument\" class=\"extiw\" title=\"en:Rijksmonument\"&gt;rijksmonument&lt;/a&gt; number &lt;a rel=\"nofollow\" class=\"external text\" href=\"https://monumentenregister.cultureelerfgoed.nl/monumenten/518738\"&gt;518738&lt;/a&gt;&lt;/div&gt;Information from &lt;a href=\"//commons.wikimedia.org/wiki/Commons:Structured_data\" title=\"Commons:Structured data\"&gt;structured data&lt;/a&gt;:\n&lt;ul&gt;&lt;li&gt;&lt;a href=\"https://www.wikidata.org/wiki/Special:EntityPage/P1071\" class=\"extiw\" title=\"d:Special:EntityPage/P1071\"&gt;location of creation&lt;/a&gt;: &lt;a href=\"https://en.wikipedia.org/wiki/en:Eindhoven\" class=\"extiw\" title=\"w:en:Eindhoven\"&gt;&lt;span title=\"city and municipality in North Brabant, Netherlands\"&gt;Eindhoven&lt;/span&gt;&lt;/a&gt;→&lt;a href=\"https://en.wikipedia.org/wiki/en:North_Brabant\" class=\"extiw\" title=\"w:en:North Brabant\"&gt;&lt;span title=\"province of the Netherlands\"&gt;North Brabant&lt;/span&gt;&lt;/a&gt;→&lt;a href=\"https://en.wikipedia.org/wiki/en:Netherlands\" class=\"extiw\" title=\"w:en:Netherlands\"&gt;&lt;span title=\"one of the four autonomous countries of the Kingdom of the Netherlands; with territories in the Caribbean\"&gt;Netherlands&lt;/span&gt;&lt;/a&gt;&lt;/li&gt;\n&lt;li&gt;&lt;a href=\"https://www.wikidata.org/wiki/Special:EntityPage/P180\" class=\"extiw\" title=\"d:Special:EntityPage/P180\"&gt;depicts&lt;/a&gt; &lt;a href=\"https://www.wikidata.org/wiki/Special:EntityPage/P31\" class=\"extiw\" title=\"d:Special:EntityPage/P31\"&gt;instance of&lt;/a&gt;: &lt;a href=\"https://www.wikidata.org/wiki/Q17595244\" class=\"extiw\" title=\"d:Q17595244\"&gt;&lt;span title=\"house in Eindhoven, Netherlands\"&gt;Q17595244&lt;/span&gt;&lt;/a&gt;→&lt;a href=\"https://en.wikipedia.org/wiki/en:House\" class=\"extiw\" title=\"w:en:House\"&gt;&lt;span title=\"building usually intended for living in\"&gt;house&lt;/span&gt;&lt;/a&gt;→&lt;a href=\"https://www.wikidata.org/wiki/Q811102\" class=\"extiw\" title=\"d:Q811102\"&gt;&lt;span title=\"Wikidata metaclass for building and architectural typology\"&gt;type of building&lt;/span&gt;&lt;/a&gt;→&lt;a href=\"https://en.wikipedia.org/wiki/en:Classification_scheme_(information_science)\" class=\"extiw\" title=\"w:en:Classification scheme (information science)\"&gt;&lt;span title=\"system of descriptive information for an arrangement or division of objects into groups based on characteristics, which the objects have in common\"&gt;classification scheme&lt;/span&gt;&lt;/a&gt;→&lt;a href=\"https://www.wikidata.org/wiki/Q23958852\" class=\"extiw\" title=\"d:Q23958852\"&gt;&lt;span title=\"abstract entity representing classes whose instances may be classes of different orders or even non-classes\"&gt;variable-order class&lt;/span&gt;&lt;/a&gt;&lt;/li&gt;&lt;/ul&gt;&lt;/td&gt;&lt;/tr&gt;&lt;/tbody&gt;&lt;/table&gt;", "source": "commons-desc-page"}, "DateTimeOriginal": {"value": "2011-09-18", "source": "commons-desc-page"}, "Credit": {"value": "&lt;span class=\"int-own-work\" lang=\"en\"&gt;Own work&lt;/span&gt;", "source": "commons-desc-page"}, "Artist": {"value": "&lt;a href=\"//commons.wikimedia.org/wiki/User:Rosemoon\" title=\"User:Rosemoon\"&gt;Rosemoon&lt;/a&gt;",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"https://thumb.wikimedia.org/wikipedia/commons/thumb/e/e7/Monument_518738%2C_Geldropseweg_136_Eindhoven_-_2.jpg/1280px-Monument_518738%2C_Geldropseweg_136_Eindhoven_-_2.jpg"}, "retrieved_on": "2026-10-23"}</t>
        </is>
      </c>
    </row>
    <row r="207" ht="54" customHeight="1">
      <c r="A207" s="29" t="inlineStr">
        <is>
          <t>eindhoven:evidence:riel-mahallesi-05</t>
        </is>
      </c>
      <c r="B207" s="29" t="inlineStr">
        <is>
          <t>eindhoven</t>
        </is>
      </c>
      <c r="C207" s="29" t="inlineStr">
        <is>
          <t>eindhoven:photo:riel-mahallesi-05</t>
        </is>
      </c>
      <c r="D207" s="29" t="inlineStr">
        <is>
          <t>https://commons.wikimedia.org/wiki/File:Riel13_Eindhoven.jpg</t>
        </is>
      </c>
      <c r="E207" s="29" t="inlineStr">
        <is>
          <t>File:Riel13 Eindhoven.jpg</t>
        </is>
      </c>
      <c r="F207" s="29" t="inlineStr">
        <is>
          <t>Mark Bergsma</t>
        </is>
      </c>
      <c r="G207" s="29" t="inlineStr">
        <is>
          <t>CC BY-SA 3.0</t>
        </is>
      </c>
      <c r="H207" s="29" t="inlineStr">
        <is>
          <t>https://creativecommons.org/licenses/by-sa/3.0/</t>
        </is>
      </c>
      <c r="I207" s="29" t="inlineStr">
        <is>
          <t>Creative Commons Attribution-Share Alike 3.0</t>
        </is>
      </c>
      <c r="J207" s="29" t="inlineStr">
        <is>
          <t>Mark Bergsma · CC BY-SA 3.0 · Wikimedia Commons</t>
        </is>
      </c>
      <c r="K207" s="29" t="n"/>
      <c r="L207" s="49" t="n">
        <v>46317</v>
      </c>
      <c r="M207" s="29" t="inlineStr">
        <is>
          <t>Bekliyor</t>
        </is>
      </c>
      <c r="N207" s="29" t="inlineStr">
        <is>
          <t>Bekliyor</t>
        </is>
      </c>
      <c r="O207" s="29" t="inlineStr">
        <is>
          <t>Fotoğraflar/eindhoven_riel-mahallesi_05.jpg</t>
        </is>
      </c>
      <c r="P207" s="29" t="inlineStr">
        <is>
          <t>Çitler ardında dik koyu çatılı, bacalı tuğla çiftlik evi; sağda turuncu-sarı sonbahar ağaçları, önde kumlu yol, yeşil dağıtım kutusu</t>
        </is>
      </c>
      <c r="Q207" s="29" t="inlineStr">
        <is>
          <t>Bekliyor</t>
        </is>
      </c>
      <c r="R207" s="29" t="inlineStr">
        <is>
          <t>Wikimedia Commons dosya sayfasındaki lisans: CC BY-SA 3.0</t>
        </is>
      </c>
      <c r="S207" s="29" t="n"/>
      <c r="T207" s="29" t="n"/>
      <c r="U207" s="29" t="n"/>
      <c r="V207" s="29" t="n"/>
      <c r="W207" s="29" t="inlineStr">
        <is>
          <t>{"source_url": "https://commons.wikimedia.org/wiki/File:Riel13_Eindhoven.jpg", "author": "Mark Bergsma", "license": "CC BY-SA 3.0", "license_url": "https://creativecommons.org/licenses/by-sa/3.0/", "original_api_record": {"size": 4843529, "width": 3968, "height": 2232, "thumburl": "https://thumb.wikimedia.org/wikipedia/commons/thumb/1/1b/Riel13_Eindhoven.jpg/1920px-Riel13_Eindhoven.jpg?utm_source=commons.wikimedia.org&amp;utm_campaign=imageinfo&amp;utm_content=thumbnail", "thumbwidth": 1600, "thumbheight": 900, "responsiveUrls": {"2": "https://thumb.wikimedia.org/wikipedia/commons/thumb/1/1b/Riel13_Eindhoven.jpg/3840px-Riel13_Eindhoven.jpg?utm_source=commons.wikimedia.org&amp;utm_campaign=imageinfo&amp;utm_content=thumbnail"}, "thumbattribs": {"src": "https://thumb.wikimedia.org/wikipedia/commons/thumb/1/1b/Riel13_Eindhoven.jpg/1920px-Riel13_Eindhoven.jpg?utm_source=commons.wikimedia.org&amp;utm_campaign=imageinfo&amp;utm_content=thumbnail", "decoding": "async", "loading": "lazy", "width": 1600, "height": 900, "srcset": "https://thumb.wikimedia.org/wikipedia/commons/thumb/1/1b/Riel13_Eindhoven.jpg/3840px-Riel13_Eindhoven.jpg?utm_source=commons.wikimedia.org&amp;utm_campaign=imageinfo&amp;utm_content=thumbnail 2x"}, "url": "https://upload.wikimedia.org/wikipedia/commons/1/1b/Riel13_Eindhoven.jpg?utm_source=commons.wikimedia.org&amp;utm_campaign=imageinfo&amp;utm_content=original", "descriptionurl": "https://commons.wikimedia.org/wiki/File:Riel13_Eindhoven.jpg", "descriptionshorturl": "https://commons.wikimedia.org/w/index.php?curid=7902697", "sha1": "f8465debdf8d1fe127a6dd8eb74adba41d182eb8", "extmetadata": {"DateTime": {"value": "2009-09-26 19:46:21", "source": "mediawiki-metadata", "hidden": ""}, "ObjectName": {"value": "Riel13 Eindhoven", "source": "mediawiki-metadata"}, "CommonsMetadataExtension": {"value": 1.2, "source": "extension", "hidden": ""}, "Categories": {"value": "GFDL|Taken with Panasonic Lumix DMC-LX3|License migration redundant|Riel 13, Eindhoven|Self-published work|Rijksmonumenten with known IDs", "source": "commons-categories", "hidden": ""}, "Assessments": {"value": "", "source": "commons-categories", "hidden": ""}, "GPSLatitude": {"value": "51.423514", "source": "commons-desc-page"}, "GPSLongitude": {"value": "5.521788", "source": "commons-desc-page"}, "GPSMapDatum": {"value": "WGS-84", "source": "commons-desc-page", "hidden": ""}, "ImageDescription": {"value": "Riel 13 in Eindhoven, Nederlands rijksmonument", "source": "commons-desc-page"}, "DateTimeOriginal": {"value": "2009-09-26",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"https://thumb.wikimedia.org/wikipedia/commons/thumb/1/1b/Riel13_Eindhoven.jpg/1280px-Riel13_Eindhoven.jpg"}, "retrieved_on": "2026-10-23"}</t>
        </is>
      </c>
    </row>
    <row r="208" ht="54" customHeight="1">
      <c r="A208" s="29" t="inlineStr">
        <is>
          <t>eindhoven:evidence:tongelre-bolgesi-05</t>
        </is>
      </c>
      <c r="B208" s="29" t="inlineStr">
        <is>
          <t>eindhoven</t>
        </is>
      </c>
      <c r="C208" s="29" t="inlineStr">
        <is>
          <t>eindhoven:photo:tongelre-bolgesi-05</t>
        </is>
      </c>
      <c r="D208" s="29" t="inlineStr">
        <is>
          <t>https://commons.wikimedia.org/wiki/File:Wijkcentrum_%27t_Oude_Raadhuis_Tongelre_Eindhoven.JPG</t>
        </is>
      </c>
      <c r="E208" s="29" t="inlineStr">
        <is>
          <t>File:Wijkcentrum 't Oude Raadhuis Tongelre Eindhoven.JPG</t>
        </is>
      </c>
      <c r="F208" s="29" t="inlineStr">
        <is>
          <t>Rosemoon</t>
        </is>
      </c>
      <c r="G208" s="29" t="inlineStr">
        <is>
          <t>CC BY-SA 3.0</t>
        </is>
      </c>
      <c r="H208" s="29" t="inlineStr">
        <is>
          <t>https://creativecommons.org/licenses/by-sa/3.0/</t>
        </is>
      </c>
      <c r="I208" s="29" t="inlineStr">
        <is>
          <t>Creative Commons Attribution-Share Alike 3.0</t>
        </is>
      </c>
      <c r="J208" s="29" t="inlineStr">
        <is>
          <t>Rosemoon · CC BY-SA 3.0 · Wikimedia Commons</t>
        </is>
      </c>
      <c r="K208" s="29" t="n"/>
      <c r="L208" s="49" t="n">
        <v>46317</v>
      </c>
      <c r="M208" s="29" t="inlineStr">
        <is>
          <t>Bekliyor</t>
        </is>
      </c>
      <c r="N208" s="29" t="inlineStr">
        <is>
          <t>Bekliyor</t>
        </is>
      </c>
      <c r="O208" s="29" t="inlineStr">
        <is>
          <t>Fotoğraflar/eindhoven_tongelre-bolgesi_05.jpg</t>
        </is>
      </c>
      <c r="P208" s="29" t="inlineStr">
        <is>
          <t>Koyu kayrak çatılı, çatı pencereli tek katlı tuğla bina, sağda kemerli sundurma girişi; önde ağaç, kırmızı tuğla döşeli meydan, solda araba ve koyu ağaçlar; mavi gök, beyaz bulutlar</t>
        </is>
      </c>
      <c r="Q208" s="29" t="inlineStr">
        <is>
          <t>Bekliyor</t>
        </is>
      </c>
      <c r="R208" s="29" t="inlineStr">
        <is>
          <t>Wikimedia Commons dosya sayfasındaki lisans: CC BY-SA 3.0</t>
        </is>
      </c>
      <c r="S208" s="29" t="n"/>
      <c r="T208" s="29" t="n"/>
      <c r="U208" s="29" t="n"/>
      <c r="V208" s="29" t="n"/>
      <c r="W208" s="29" t="inlineStr">
        <is>
          <t>{"source_url": "https://commons.wikimedia.org/wiki/File:Wijkcentrum_%27t_Oude_Raadhuis_Tongelre_Eindhoven.JPG", "author": "Rosemoon", "license": "CC BY-SA 3.0", "license_url": "https://creativecommons.org/licenses/by-sa/3.0/", "original_api_record": {"size": 6001664, "width": 4320, "height": 3240, "thumburl": "https://thumb.wikimedia.org/wikipedia/commons/thumb/c/c8/Wijkcentrum_%27t_Oude_Raadhuis_Tongelre_Eindhoven.JPG/1920px-Wijkcentrum_%27t_Oude_Raadhuis_Tongelre_Eindhoven.JPG?utm_source=commons.wikimedia.org&amp;utm_campaign=imageinfo&amp;utm_content=thumbnail", "thumbwidth": 1600, "thumbheight": 1200, "responsiveUrls": {"2": "https://thumb.wikimedia.org/wikipedia/commons/thumb/c/c8/Wijkcentrum_%27t_Oude_Raadhuis_Tongelre_Eindhoven.JPG/3840px-Wijkcentrum_%27t_Oude_Raadhuis_Tongelre_Eindhoven.JPG?utm_source=commons.wikimedia.org&amp;utm_campaign=imageinfo&amp;utm_content=thumbnail"}, "thumbattribs": {"src": "https://thumb.wikimedia.org/wikipedia/commons/thumb/c/c8/Wijkcentrum_%27t_Oude_Raadhuis_Tongelre_Eindhoven.JPG/1920px-Wijkcentrum_%27t_Oude_Raadhuis_Tongelre_Eindhoven.JPG?utm_source=commons.wikimedia.org&amp;utm_campaign=imageinfo&amp;utm_content=thumbnail", "decoding": "async", "loading": "lazy", "width": 1600, "height": 1200, "srcset": "https://thumb.wikimedia.org/wikipedia/commons/thumb/c/c8/Wijkcentrum_%27t_Oude_Raadhuis_Tongelre_Eindhoven.JPG/3840px-Wijkcentrum_%27t_Oude_Raadhuis_Tongelre_Eindhoven.JPG?utm_source=commons.wikimedia.org&amp;utm_campaign=imageinfo&amp;utm_content=thumbnail 2x"}, "url": "https://upload.wikimedia.org/wikipedia/commons/c/c8/Wijkcentrum_%27t_Oude_Raadhuis_Tongelre_Eindhoven.JPG?utm_source=commons.wikimedia.org&amp;utm_campaign=imageinfo&amp;utm_content=original", "descriptionurl": "https://commons.wikimedia.org/wiki/File:Wijkcentrum_%27t_Oude_Raadhuis_Tongelre_Eindhoven.JPG", "descriptionshorturl": "https://commons.wikimedia.org/w/index.php?curid=30161167", "sha1": "f4e9174e51c8cd7f911a9769aa239588b8330dde", "extmetadata": {"DateTime": {"value": "2013-12-14 23:25:20", "source": "mediawiki-metadata", "hidden": ""}, "ObjectName": {"value": "Wijkcentrum 't Oude Raadhuis Tongelre Eindhoven", "source": "mediawiki-metadata"}, "CommonsMetadataExtension": {"value": 1.2, "source": "extension", "hidden": ""}, "Categories": {"value": "Taken with Panasonic Lumix DMC-TZ20|Oude Raadhuis Tongelre (Eindhoven)|Self-published work|2012 in Eindhoven|Rijksmonumenten with known IDs|Netherlands photographs taken on 2012-09-29", "source": "commons-categories", "hidden": ""}, "Assessments": {"value": "", "source": "commons-categories", "hidden": ""}, "GPSLatitude": {"value": "51.447938", "source": "commons-desc-page"}, "GPSLongitude": {"value": "5.519935", "source": "commons-desc-page"}, "GPSMapDatum": {"value": "WGS-84", "source": "commons-desc-page", "hidden": ""}, "ImageDescription": {"value": "Wijkcentrum 't Oude Raadhuis Tongelre Eindhoven &lt;table role=\"presentation\" style=\"border-spacing:0; width:425px; text-align:left; background:var(--background-color-neutral,#eaecf0); color:var(--color-base,#202122); border:1px solid var(--border-color-base,#a2a9b1); margin:1px;\" class=\"layouttemplate\"&gt;&lt;tbody&gt;&lt;tr&gt;&lt;td style=\"width:26px; height:22px; vertical-align:middle\"&gt;&lt;span typeof=\"mw:File\"&gt;&lt;span&gt;&lt;img alt=\"\" src=\"https://thumb.wikimedia.org/wikipedia/commons/thumb/5/5e/Monumentenbordje_2014.svg/20px-Monumentenbordje_2014.svg.png?utm_source=commons.wikimedia.org&amp;amp;utm_campaign=parser&amp;amp;utm_content=thumbnail\" decoding=\"async\" loading=\"lazy\" width=\"20\" height=\"30\" class=\"mw-file-element\" srcset=\"https://thumb.wikimedia.org/wikipedia/commons/thumb/5/5e/Monumentenbordje_2014.svg/40px-Monumentenbordje_2014.svg.png?utm_source=commons.wikimedia.org&amp;amp;utm_campaign=parser&amp;amp;utm_content=thumbnail 2x\" data-file-width=\"430\" data-file-height=\"646\"&gt;&lt;/span&gt;&lt;/span&gt;&lt;/td&gt;&lt;td style=\"padding:1pt; line-height:1.1em;\"&gt;&lt;div lang=\"en\" dir=\"ltr\"&gt;This is an image of &lt;a href=\"https://en.wikipedia.org/wiki/Rijksmonument\" class=\"extiw\" title=\"en:Rijksmonument\"&gt;rijksmonument&lt;/a&gt; number &lt;a rel=\"nofollow\" class=\"external text\" href=\"https://monumentenregister.cultureelerfgoed.nl/monumenten/518802\"&gt;518802&lt;/a&gt;&lt;/div&gt;Information from &lt;a href=\"//commons.wikimedia.org/wiki/Commons:Structured_data\" title=\"Commons:Structured data\"&gt;structured data&lt;/a&gt;:\n&lt;ul&gt;&lt;li&gt;&lt;a href=\"https://www.wikidata.org/wiki/Special:EntityPage/P1071\" class=\"extiw\" title=\"d:Special:EntityPage/P1071\"&gt;location of creation&lt;/a&gt;: &lt;a href=\"https://en.wikipedia.org/wiki/en:Eindhoven\" class=\"extiw\" title=\"w:en:Eindhoven\"&gt;&lt;span title=\"city and municipality in North Brabant, Netherlands\"&gt;Eindhoven&lt;/span&gt;&lt;/a&gt;→&lt;a href=\"https://en.wikipedia.org/wiki/en:North_Brabant\" class=\"extiw\" title=\"w:en:North Brabant\"&gt;&lt;span title=\"province of the Netherlands\"&gt;North Brabant&lt;/span&gt;&lt;/a&gt;→&lt;a href=\"https://en.wikipedia.org/wiki/en:Netherlands\" class=\"extiw\" title=\"w:en:Netherlands\"&gt;&lt;span title=\"one of the four autonomous countries of the Kingdom of the Netherlands; with territories in the Caribbean\"&gt;Netherlands&lt;/span&gt;&lt;/a&gt;&lt;/li&gt;\n&lt;li&gt;&lt;a href=\"https://www.wikidata.org/wiki/Special:EntityPage/P180\" class=\"extiw\" title=\"d:Special:EntityPage/P180\"&gt;depicts&lt;/a&gt; &lt;a href=\"https://www.wikidata.org/wiki/Special:EntityPage/P31\" class=\"extiw\" title=\"d:Special:EntityPage/P31\"&gt;instance of&lt;/a&gt;: &lt;a href=\"https://www.wikidata.org/wiki/Q1922442\" class=\"extiw\" title=\"d:Q1922442\"&gt;&lt;span title=\"building in Eindhoven, the Netherlands\"&gt;Tongelre town hall&lt;/span&gt;&lt;/a&gt;→&lt;a href=\"https://en.wikipedia.org/wiki/en:Town_hall\" class=\"extiw\" title=\"w:en:Town hall\"&gt;&lt;span title=\"chief administrative seat of a municipality\"&gt;city hall&lt;/span&gt;&lt;/a&gt;→&lt;a href=\"https://www.wikidata.org/wiki/Q811102\" class=\"extiw\" title=\"d:Q811102\"&gt;&lt;span title=\"Wikidata metaclass for building and architectural typology\"&gt;type of building&lt;/span&gt;&lt;/a&gt;→&lt;a href=\"https://en.wikipedia.org/wiki/en:Classification_scheme_(information_science)\" class=\"extiw\" title=\"w:en:Classification scheme (information science)\"&gt;&lt;span title=\"system of descriptive information for an arrangement or division of objects into groups based on characteristics, which the objects have in common\"&gt;classification scheme&lt;/span&gt;&lt;/a&gt;→&lt;a href=\"https://www.wikidata.org/wiki/Q23958852\" class=\"extiw\" title=\"d:Q23958852\"&gt;&lt;span title=\"abstract entity representing classes whose instances may be classes of different orders or even non-classes\"&gt;variable-order class&lt;/span&gt;&lt;/a&gt;&lt;/li&gt;&lt;/ul&gt;&lt;/td&gt;&lt;/tr&gt;&lt;/tbody&gt;&lt;/table&gt;", "source": "commons-desc-page"}, "DateTimeOriginal": {"value": "2012-09-29 14:16:57",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"https://thumb.wikimedia.org/wikipedia/commons/thumb/c/c8/Wijkcentrum_%27t_Oude_Raadhuis_Tongelre_Eindhoven.JPG/1280px-Wijkcentrum_%27t_Oude_Raadhuis_Tongelre_Eindhoven.JPG"}, "retrieved_on": "2026-10-23"}</t>
        </is>
      </c>
    </row>
    <row r="209" ht="54" customHeight="1">
      <c r="A209" s="29" t="inlineStr">
        <is>
          <t>eindhoven:evidence:landgoed-de-grote-beek-01</t>
        </is>
      </c>
      <c r="B209" s="29" t="inlineStr">
        <is>
          <t>eindhoven</t>
        </is>
      </c>
      <c r="C209" s="29" t="inlineStr">
        <is>
          <t>eindhoven:photo:landgoed-de-grote-beek-01</t>
        </is>
      </c>
      <c r="D209" s="29" t="inlineStr">
        <is>
          <t>https://commons.wikimedia.org/wiki/File:Overzicht_achtergevel_hoofdgebouw_met_omgeving_-_Eindhoven_-_20380598_-_RCE.jpg</t>
        </is>
      </c>
      <c r="E209" s="29" t="inlineStr">
        <is>
          <t>File:Overzicht achtergevel hoofdgebouw met omgeving - Eindhoven - 20380598 - RCE.jpg</t>
        </is>
      </c>
      <c r="F209" s="29" t="inlineStr">
        <is>
          <t>Kris Roderburg</t>
        </is>
      </c>
      <c r="G209" s="29" t="inlineStr">
        <is>
          <t>CC BY-SA 4.0</t>
        </is>
      </c>
      <c r="H209" s="29" t="inlineStr">
        <is>
          <t>https://creativecommons.org/licenses/by-sa/4.0/</t>
        </is>
      </c>
      <c r="I209" s="29" t="inlineStr">
        <is>
          <t>Creative Commons Attribution-Share Alike 4.0</t>
        </is>
      </c>
      <c r="J209" s="29" t="inlineStr">
        <is>
          <t>Kris Roderburg · CC BY-SA 4.0 · Wikimedia Commons</t>
        </is>
      </c>
      <c r="K209" s="29" t="n"/>
      <c r="L209" s="49" t="n">
        <v>46317</v>
      </c>
      <c r="M209" s="29" t="inlineStr">
        <is>
          <t>Bekliyor</t>
        </is>
      </c>
      <c r="N209" s="29" t="inlineStr">
        <is>
          <t>Bekliyor</t>
        </is>
      </c>
      <c r="O209" s="29" t="inlineStr">
        <is>
          <t>Fotoğraflar/eindhoven_landgoed-de-grote-beek_01.jpg</t>
        </is>
      </c>
      <c r="P209" s="29" t="inlineStr">
        <is>
          <t>Geniş biçilmiş çimenlik ve uzun çiçek tarhı, iri kozalaklı ve yapraklı ağaçlar; ağaçların arasından büyük pencereli tuğla ana bina; bulutlu</t>
        </is>
      </c>
      <c r="Q209" s="29" t="inlineStr">
        <is>
          <t>Bekliyor</t>
        </is>
      </c>
      <c r="R209" s="29" t="inlineStr">
        <is>
          <t>Wikimedia Commons dosya sayfasındaki lisans: CC BY-SA 4.0</t>
        </is>
      </c>
      <c r="S209" s="29" t="n"/>
      <c r="T209" s="29" t="n"/>
      <c r="U209" s="29" t="n"/>
      <c r="V209" s="29" t="n"/>
      <c r="W209" s="29" t="inlineStr">
        <is>
          <t>{"source_url": "https://commons.wikimedia.org/wiki/File:Overzicht_achtergevel_hoofdgebouw_met_omgeving_-_Eindhoven_-_20380598_-_RCE.jpg", "author": "Kris Roderburg", "license": "CC BY-SA 4.0", "license_url": "https://creativecommons.org/licenses/by-sa/4.0/", "original_api_record": {"size": 2825027, "width": 3460, "height": 2760, "thumburl": "https://thumb.wikimedia.org/wikipedia/commons/thumb/a/a4/Overzicht_achtergevel_hoofdgebouw_met_omgeving_-_Eindhoven_-_20380598_-_RCE.jpg/1280px-Overzicht_achtergevel_hoofdgebouw_met_omgeving_-_Eindhoven_-_20380598_-_RCE.jpg", "thumbwidth": 1280, "thumbheight": 1021, "responsiveUrls": {"2": "https://upload.wikimedia.org/wikipedia/commons/a/a4/Overzicht_achtergevel_hoofdgebouw_met_omgeving_-_Eindhoven_-_20380598_-_RCE.jpg"}, "thumbattribs": {"src": "https://thumb.wikimedia.org/wikipedia/commons/thumb/a/a4/Overzicht_achtergevel_hoofdgebouw_met_omgeving_-_Eindhoven_-_20380598_-_RCE.jpg/1280px-Overzicht_achtergevel_hoofdgebouw_met_omgeving_-_Eindhoven_-_20380598_-_RCE.jpg", "decoding": "async", "loading": "lazy", "width": 1280, "height": 1021, "srcset": "https://upload.wikimedia.org/wikipedia/commons/a/a4/Overzicht_achtergevel_hoofdgebouw_met_omgeving_-_Eindhoven_-_20380598_-_RCE.jpg 2x"}, "url": "https://upload.wikimedia.org/wikipedia/commons/a/a4/Overzicht_achtergevel_hoofdgebouw_met_omgeving_-_Eindhoven_-_20380598_-_RCE.jpg", "descriptionurl": "https://commons.wikimedia.org/wiki/File:Overzicht_achtergevel_hoofdgebouw_met_omgeving_-_Eindhoven_-_20380598_-_RCE.jpg", "descriptionshorturl": "https://commons.wikimedia.org/w/index.php?curid=24073147", "sha1": "79a195f9875e76f4965fd2625e92a6dafe1b5ac7", "extmetadata": {"DateTime": {"value": "2024-11-01 04:41:25", "source": "mediawiki-metadata", "hidden": ""}, "ObjectName": {"value": "Overzicht achtergevel hoofdgebouw met omgeving - Eindhoven - 20380598 - RCE", "source": "mediawiki-metadata"}, "CommonsMetadataExtension": {"value": 1.2, "source": "extension", "hidden": ""}, "Categories": {"value": "De Grote Beek, Eindhoven|Images from the Rijksdienst voor het Cultureel Erfgoed|Rijksmonumenten with known IDs|Buildings with addresses|2005 in Eindhoven|Rijksmonumentcomplexen with known IDs|Photographs by Kris Roderburg", "source": "commons-categories", "hidden": ""}, "Assessments": {"value": "", "source": "commons-categories", "hidden": ""}, "ImageDescription": {"value": "This is an image of &lt;a href=\"https://en.wikipedia.org/wiki/Rijksmonument\" class=\"extiw\" title=\"en:Rijksmonument\"&gt;rijksmonumentcomplex&lt;/a&gt; number", "source": "commons-desc-page"}, "DateTimeOriginal": {"value": "2005-09", "source": "commons-desc-page"}, "Credit": {"value": "&lt;a rel=\"nofollow\" class=\"external text\" href=\"http://beeldbank.cultureelerfgoed.nl/alle-afbeeldingen/?mode=gallery&amp;amp;view=horizontal&amp;amp;q=20380598\"&gt;Rijksdienst voor het Cultureel Erfgoed&lt;/a&gt;", "source": "commons-desc-page"}, "Artist": {"value": "&lt;bdi&gt;&lt;a href=\"https://www.wikidata.org/wiki/Q59248002\" class=\"extiw\" title=\"d:Q59248002\"&gt;&lt;span title=\"Dutch photographer\"&gt;Kris Roderburg&lt;/span&gt;&lt;/a&gt;&lt;/bdi&gt;",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"https://thumb.wikimedia.org/wikipedia/commons/thumb/a/a4/Overzicht_achtergevel_hoofdgebouw_met_omgeving_-_Eindhoven_-_20380598_-_RCE.jpg/1280px-Overzicht_achtergevel_hoofdgebouw_met_omgeving_-_Eindhoven_-_20380598_-_RCE.jpg"}, "retrieved_on": "2026-10-23"}</t>
        </is>
      </c>
    </row>
    <row r="210" ht="54" customHeight="1">
      <c r="A210" s="29" t="inlineStr">
        <is>
          <t>eindhoven:evidence:landgoed-de-grote-beek-02</t>
        </is>
      </c>
      <c r="B210" s="29" t="inlineStr">
        <is>
          <t>eindhoven</t>
        </is>
      </c>
      <c r="C210" s="29" t="inlineStr">
        <is>
          <t>eindhoven:photo:landgoed-de-grote-beek-02</t>
        </is>
      </c>
      <c r="D210" s="29" t="inlineStr">
        <is>
          <t>https://commons.wikimedia.org/wiki/File:Overzicht_voorgevel_hoofdgebouw_-_Eindhoven_-_20380617_-_RCE.jpg</t>
        </is>
      </c>
      <c r="E210" s="29" t="inlineStr">
        <is>
          <t>File:Overzicht voorgevel hoofdgebouw - Eindhoven - 20380617 - RCE.jpg</t>
        </is>
      </c>
      <c r="F210" s="29" t="inlineStr">
        <is>
          <t>Kris Roderburg</t>
        </is>
      </c>
      <c r="G210" s="29" t="inlineStr">
        <is>
          <t>CC BY-SA 4.0</t>
        </is>
      </c>
      <c r="H210" s="29" t="inlineStr">
        <is>
          <t>https://creativecommons.org/licenses/by-sa/4.0/</t>
        </is>
      </c>
      <c r="I210" s="29" t="inlineStr">
        <is>
          <t>Creative Commons Attribution-Share Alike 4.0</t>
        </is>
      </c>
      <c r="J210" s="29" t="inlineStr">
        <is>
          <t>Kris Roderburg · CC BY-SA 4.0 · Wikimedia Commons</t>
        </is>
      </c>
      <c r="K210" s="29" t="n"/>
      <c r="L210" s="49" t="n">
        <v>46317</v>
      </c>
      <c r="M210" s="29" t="inlineStr">
        <is>
          <t>Bekliyor</t>
        </is>
      </c>
      <c r="N210" s="29" t="inlineStr">
        <is>
          <t>Bekliyor</t>
        </is>
      </c>
      <c r="O210" s="29" t="inlineStr">
        <is>
          <t>Fotoğraflar/eindhoven_landgoed-de-grote-beek_02.jpg</t>
        </is>
      </c>
      <c r="P210" s="29" t="inlineStr">
        <is>
          <t>Geniş çimenin ardında simetrik tuğla ana bina: ortada sivri külahlı kule, pencerelerde sarı tenteler; önde yuvarlak budanmış iri çalı ve ahşap babalar; mavi gök</t>
        </is>
      </c>
      <c r="Q210" s="29" t="inlineStr">
        <is>
          <t>Bekliyor</t>
        </is>
      </c>
      <c r="R210" s="29" t="inlineStr">
        <is>
          <t>Wikimedia Commons dosya sayfasındaki lisans: CC BY-SA 4.0</t>
        </is>
      </c>
      <c r="S210" s="29" t="n"/>
      <c r="T210" s="29" t="n"/>
      <c r="U210" s="29" t="n"/>
      <c r="V210" s="29" t="n"/>
      <c r="W210" s="29" t="inlineStr">
        <is>
          <t>{"source_url": "https://commons.wikimedia.org/wiki/File:Overzicht_voorgevel_hoofdgebouw_-_Eindhoven_-_20380617_-_RCE.jpg", "author": "Kris Roderburg", "license": "CC BY-SA 4.0", "license_url": "https://creativecommons.org/licenses/by-sa/4.0/", "original_api_record": {"size": 1533475, "width": 3460, "height": 2760, "thumburl": "https://thumb.wikimedia.org/wikipedia/commons/thumb/8/87/Overzicht_voorgevel_hoofdgebouw_-_Eindhoven_-_20380617_-_RCE.jpg/1280px-Overzicht_voorgevel_hoofdgebouw_-_Eindhoven_-_20380617_-_RCE.jpg", "thumbwidth": 1280, "thumbheight": 1021, "responsiveUrls": {"2": "https://upload.wikimedia.org/wikipedia/commons/8/87/Overzicht_voorgevel_hoofdgebouw_-_Eindhoven_-_20380617_-_RCE.jpg"}, "thumbattribs": {"src": "https://thumb.wikimedia.org/wikipedia/commons/thumb/8/87/Overzicht_voorgevel_hoofdgebouw_-_Eindhoven_-_20380617_-_RCE.jpg/1280px-Overzicht_voorgevel_hoofdgebouw_-_Eindhoven_-_20380617_-_RCE.jpg", "decoding": "async", "loading": "lazy", "width": 1280, "height": 1021, "srcset": "https://upload.wikimedia.org/wikipedia/commons/8/87/Overzicht_voorgevel_hoofdgebouw_-_Eindhoven_-_20380617_-_RCE.jpg 2x"}, "url": "https://upload.wikimedia.org/wikipedia/commons/8/87/Overzicht_voorgevel_hoofdgebouw_-_Eindhoven_-_20380617_-_RCE.jpg", "descriptionurl": "https://commons.wikimedia.org/wiki/File:Overzicht_voorgevel_hoofdgebouw_-_Eindhoven_-_20380617_-_RCE.jpg", "descriptionshorturl": "https://commons.wikimedia.org/w/index.php?curid=24073188", "sha1": "e61b20630cd7cb4354e5a71d1491aaf681aeb32e", "extmetadata": {"DateTime": {"value": "2024-11-14 15:40:47", "source": "mediawiki-metadata", "hidden": ""}, "ObjectName": {"value": "Overzicht voorgevel hoofdgebouw - Eindhoven - 20380617 - RCE", "source": "mediawiki-metadata"}, "CommonsMetadataExtension": {"value": 1.2, "source": "extension", "hidden": ""}, "Categories": {"value": "De Grote Beek, Eindhoven|Images from the Rijksdienst voor het Cultureel Erfgoed|Rijksmonumenten with known IDs|Buildings with addresses|2005 in Eindhoven|Rijksmonumentcomplexen with known IDs|Photographs by Kris Roderburg", "source": "commons-categories", "hidden": ""}, "Assessments": {"value": "", "source": "commons-categories", "hidden": ""}, "ImageDescription": {"value": "This is an image of &lt;a href=\"https://en.wikipedia.org/wiki/Rijksmonument\" class=\"extiw\" title=\"en:Rijksmonument\"&gt;rijksmonumentcomplex&lt;/a&gt; number", "source": "commons-desc-page"}, "DateTimeOriginal": {"value": "2005-09", "source": "commons-desc-page"}, "Credit": {"value": "&lt;a rel=\"nofollow\" class=\"external text\" href=\"http://beeldbank.cultureelerfgoed.nl/alle-afbeeldingen/?mode=gallery&amp;amp;view=horizontal&amp;amp;q=20380617\"&gt;Rijksdienst voor het Cultureel Erfgoed&lt;/a&gt;", "source": "commons-desc-page"}, "Artist": {"value": "&lt;bdi&gt;&lt;a href=\"https://www.wikidata.org/wiki/Q59248002\" class=\"extiw\" title=\"d:Q59248002\"&gt;&lt;span title=\"Dutch photographer\"&gt;Kris Roderburg&lt;/span&gt;&lt;/a&gt;&lt;/bdi&gt;",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"https://thumb.wikimedia.org/wikipedia/commons/thumb/8/87/Overzicht_voorgevel_hoofdgebouw_-_Eindhoven_-_20380617_-_RCE.jpg/1280px-Overzicht_voorgevel_hoofdgebouw_-_Eindhoven_-_20380617_-_RCE.jpg"}, "retrieved_on": "2026-10-23"}</t>
        </is>
      </c>
    </row>
    <row r="211" ht="54" customHeight="1">
      <c r="A211" s="29" t="inlineStr">
        <is>
          <t>eindhoven:evidence:stratumse-heide-01</t>
        </is>
      </c>
      <c r="B211" s="29" t="inlineStr">
        <is>
          <t>eindhoven</t>
        </is>
      </c>
      <c r="C211" s="29" t="inlineStr">
        <is>
          <t>eindhoven:photo:stratumse-heide-01</t>
        </is>
      </c>
      <c r="D211" s="29" t="inlineStr">
        <is>
          <t>https://commons.wikimedia.org/wiki/File:Bizons_in_Stratumse_Heide.jpg</t>
        </is>
      </c>
      <c r="E211" s="29" t="inlineStr">
        <is>
          <t>File:Bizons in Stratumse Heide.jpg</t>
        </is>
      </c>
      <c r="F211" s="29" t="inlineStr">
        <is>
          <t>Sanne 2345</t>
        </is>
      </c>
      <c r="G211" s="29" t="inlineStr">
        <is>
          <t>CC BY 4.0</t>
        </is>
      </c>
      <c r="H211" s="29" t="inlineStr">
        <is>
          <t>https://creativecommons.org/licenses/by/4.0/</t>
        </is>
      </c>
      <c r="I211" s="29" t="inlineStr">
        <is>
          <t>Creative Commons Attribution 4.0</t>
        </is>
      </c>
      <c r="J211" s="29" t="inlineStr">
        <is>
          <t>Sanne 2345 · CC BY 4.0 · Wikimedia Commons</t>
        </is>
      </c>
      <c r="K211" s="29" t="n"/>
      <c r="L211" s="49" t="n">
        <v>46317</v>
      </c>
      <c r="M211" s="29" t="inlineStr">
        <is>
          <t>Bekliyor</t>
        </is>
      </c>
      <c r="N211" s="29" t="inlineStr">
        <is>
          <t>Bekliyor</t>
        </is>
      </c>
      <c r="O211" s="29" t="inlineStr">
        <is>
          <t>Fotoğraflar/eindhoven_stratumse-heide_01.jpg</t>
        </is>
      </c>
      <c r="P211" s="29" t="inlineStr">
        <is>
          <t>Kumlu patika, fundalık ve kuru çayır; uzakta otlayan kahverengi uzun tüylü dağ sığırları, sonbahar renkli ağaçlar; mavi gök ve ince bulutlar</t>
        </is>
      </c>
      <c r="Q211" s="29" t="inlineStr">
        <is>
          <t>Bekliyor</t>
        </is>
      </c>
      <c r="R211" s="29" t="inlineStr">
        <is>
          <t>Wikimedia Commons dosya sayfasındaki lisans: CC BY 4.0</t>
        </is>
      </c>
      <c r="S211" s="29" t="n"/>
      <c r="T211" s="29" t="n"/>
      <c r="U211" s="29" t="n"/>
      <c r="V211" s="29" t="n"/>
      <c r="W211" s="29" t="inlineStr">
        <is>
          <t>{"source_url": "https://commons.wikimedia.org/wiki/File:Bizons_in_Stratumse_Heide.jpg", "author": "Sanne 2345", "license": "CC BY 4.0", "license_url": "https://creativecommons.org/licenses/by/4.0/", "original_api_record": {"size": 4778159, "width": 3024, "height": 4032, "thumburl": "https://thumb.wikimedia.org/wikipedia/commons/thumb/0/0a/Bizons_in_Stratumse_Heide.jpg/1280px-Bizons_in_Stratumse_Heide.jpg", "thumbwidth": 1280, "thumbheight": 1707, "responsiveUrls": {"2": "https://upload.wikimedia.org/wikipedia/commons/0/0a/Bizons_in_Stratumse_Heide.jpg"}, "thumbattribs": {"src": "https://thumb.wikimedia.org/wikipedia/commons/thumb/0/0a/Bizons_in_Stratumse_Heide.jpg/1280px-Bizons_in_Stratumse_Heide.jpg", "decoding": "async", "loading": "lazy", "width": 1280, "height": 1707, "srcset": "https://upload.wikimedia.org/wikipedia/commons/0/0a/Bizons_in_Stratumse_Heide.jpg 2x"}, "url": "https://upload.wikimedia.org/wikipedia/commons/0/0a/Bizons_in_Stratumse_Heide.jpg", "descriptionurl": "https://commons.wikimedia.org/wiki/File:Bizons_in_Stratumse_Heide.jpg", "descriptionshorturl": "https://commons.wikimedia.org/w/index.php?curid=141130940", "sha1": "0aa1a90a277eeb1e8dce5ec5f0514f7c31caa642", "extmetadata": {"DateTime": {"value": "2023-11-20 15:48:03", "source": "mediawiki-metadata", "hidden": ""}, "ObjectName": {"value": "Bizons in Stratumse Heide", "source": "mediawiki-metadata"}, "CommonsMetadataExtension": {"value": 1.2, "source": "extension", "hidden": ""}, "Categories": {"value": "Self-published work|Clouds and blue sky in the Netherlands|Highland cattle in the Netherlands|Cattle herds|2020 in Eindhoven|Cattle in North Brabant|Cattle on pasture|Netherlands photographs taken on 2020-11-14|Trees in North Brabant|Files with coordinates missing SDC location of creation (51° N, 5° E)|Stratumse Heide", "source": "commons-categories", "hidden": ""}, "Assessments": {"value": "", "source": "commons-categories", "hidden": ""}, "GPSLatitude": {"value": "51.406667", "source": "commons-desc-page"}, "GPSLongitude": {"value": "5.516572", "source": "commons-desc-page"}, "GPSMapDatum": {"value": "WGS-84", "source": "commons-desc-page", "hidden": ""}, "ImageDescription": {"value": "Tijdens een wandeling in de Stratumse Heide liggen er verschillende Bizons op het pad die vrij rond lopen.", "source": "commons-desc-page"}, "DateTimeOriginal": {"value": "2020-11-14", "source": "commons-desc-page"}, "Credit": {"value": "&lt;span class=\"int-own-work\" lang=\"en\"&gt;Own work&lt;/span&gt;", "source": "commons-desc-page"}, "Artist": {"value": "&lt;a href=\"//commons.wikimedia.org/w/index.php?title=User:Sanne_2345&amp;amp;action=edit&amp;amp;redlink=1\" class=\"new\" title=\"User:Sanne 2345 (page does not exist)\"&gt;Sanne 2345&lt;/a&gt;",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"https://thumb.wikimedia.org/wikipedia/commons/thumb/0/0a/Bizons_in_Stratumse_Heide.jpg/1280px-Bizons_in_Stratumse_Heide.jpg"}, "retrieved_on": "2026-10-23"}</t>
        </is>
      </c>
    </row>
    <row r="212" ht="54" customHeight="1">
      <c r="A212" s="29" t="inlineStr">
        <is>
          <t>eindhoven:evidence:inkijkmuseum-01</t>
        </is>
      </c>
      <c r="B212" s="29" t="inlineStr">
        <is>
          <t>eindhoven</t>
        </is>
      </c>
      <c r="C212" s="29" t="inlineStr">
        <is>
          <t>eindhoven:photo:inkijkmuseum-01</t>
        </is>
      </c>
      <c r="D212" s="29" t="inlineStr">
        <is>
          <t>https://commons.wikimedia.org/wiki/File:Inkijkmuseum_-_Eindhoven_(2026-09-18).jpg</t>
        </is>
      </c>
      <c r="E212" s="29" t="inlineStr">
        <is>
          <t>File:Inkijkmuseum - Eindhoven (2026-09-18).jpg</t>
        </is>
      </c>
      <c r="F212" s="29" t="inlineStr">
        <is>
          <t>Sneeuwvlakte</t>
        </is>
      </c>
      <c r="G212" s="29" t="inlineStr">
        <is>
          <t>CC BY-SA 4.0</t>
        </is>
      </c>
      <c r="H212" s="29" t="inlineStr">
        <is>
          <t>https://creativecommons.org/licenses/by-sa/4.0/</t>
        </is>
      </c>
      <c r="I212" s="29" t="inlineStr">
        <is>
          <t>Creative Commons Attribution-Share Alike 4.0</t>
        </is>
      </c>
      <c r="J212" s="29" t="inlineStr">
        <is>
          <t>Sneeuwvlakte · CC BY-SA 4.0 · Wikimedia Commons</t>
        </is>
      </c>
      <c r="K212" s="29" t="n"/>
      <c r="L212" s="49" t="n">
        <v>46317</v>
      </c>
      <c r="M212" s="29" t="inlineStr">
        <is>
          <t>Bekliyor</t>
        </is>
      </c>
      <c r="N212" s="29" t="inlineStr">
        <is>
          <t>Bekliyor</t>
        </is>
      </c>
      <c r="O212" s="29" t="inlineStr">
        <is>
          <t>Fotoğraflar/eindhoven_inkijkmuseum_01.jpg</t>
        </is>
      </c>
      <c r="P212" s="29" t="inlineStr">
        <is>
          <t>Dik koyu kiremit çatılı, sarmaşıklı küçük beyaz ev ve beyaz kafes çit; tuğla döşeli sokak, solda alçak kırmızı tuğla bina, arkada modern binalar ve vinç; uzakta bir yaya</t>
        </is>
      </c>
      <c r="Q212" s="29" t="inlineStr">
        <is>
          <t>Bekliyor</t>
        </is>
      </c>
      <c r="R212" s="29" t="inlineStr">
        <is>
          <t>Wikimedia Commons dosya sayfasındaki lisans: CC BY-SA 4.0</t>
        </is>
      </c>
      <c r="S212" s="29" t="n"/>
      <c r="T212" s="29" t="n"/>
      <c r="U212" s="29" t="n"/>
      <c r="V212" s="29" t="n"/>
      <c r="W212" s="29" t="inlineStr">
        <is>
          <t>{"source_url": "https://commons.wikimedia.org/wiki/File:Inkijkmuseum_-_Eindhoven_(2026-09-18).jpg", "author": "Sneeuwvlakte", "license": "CC BY-SA 4.0", "license_url": "https://creativecommons.org/licenses/by-sa/4.0/", "original_api_record": {"size": 5368421, "width": 4272, "height": 2848, "thumburl": "https://thumb.wikimedia.org/wikipedia/commons/thumb/d/db/Inkijkmuseum_-_Eindhoven_%282026-09-18%29.jpg/1280px-Inkijkmuseum_-_Eindhoven_%282026-09-18%29.jpg", "thumbwidth": 1280, "thumbheight": 853, "responsiveUrls": {"2": "https://thumb.wikimedia.org/wikipedia/commons/thumb/d/db/Inkijkmuseum_-_Eindhoven_%282026-09-18%29.jpg/3840px-Inkijkmuseum_-_Eindhoven_%282026-09-18%29.jpg"}, "thumbattribs": {"src": "https://thumb.wikimedia.org/wikipedia/commons/thumb/d/db/Inkijkmuseum_-_Eindhoven_%282026-09-18%29.jpg/1280px-Inkijkmuseum_-_Eindhoven_%282026-09-18%29.jpg", "decoding": "async", "loading": "lazy", "width": 1280, "height": 853, "srcset": "https://thumb.wikimedia.org/wikipedia/commons/thumb/d/db/Inkijkmuseum_-_Eindhoven_%282026-09-18%29.jpg/3840px-Inkijkmuseum_-_Eindhoven_%282026-09-18%29.jpg 2x"}, "url": "https://upload.wikimedia.org/wikipedia/commons/d/db/Inkijkmuseum_-_Eindhoven_%282026-09-18%29.jpg", "descriptionurl": "https://commons.wikimedia.org/wiki/File:Inkijkmuseum_-_Eindhoven_(2026-09-18).jpg", "descriptionshorturl": "https://commons.wikimedia.org/w/index.php?curid=199758434", "sha1": "1f9333c23edb4662d6e44a5c985459e7d1455185", "extmetadata": {"DateTime": {"value": "2026-09-18 18:08:03", "source": "mediawiki-metadata", "hidden": ""}, "ObjectName": {"value": "Inkijkmuseum - Eindhoven (2026-09-18)", "source": "mediawiki-metadata"}, "CommonsMetadataExtension": {"value": 1.2, "source": "extension", "hidden": ""}, "Categories": {"value": "Gemeentelijke monumenten in Eindhoven|Museums in Eindhoven|Creative Commons Attribution-Share Alike missing SDC copyright status|Self-published work|Creative Commons Attribution-Share Alike 4.0 missing SDC copyright license|Self-published work missing SDC copyright license|2026 in Eindhoven|North Brabant photographs taken on 2026-09-18", "source": "commons-categories", "hidden": ""}, "Assessments": {"value": "", "source": "commons-categories", "hidden": ""}, "ImageDescription": {"value": "Gebouw van het Inkijkmuseum in Eindhoven.", "source": "commons-desc-page"}, "DateTimeOriginal": {"value": "2026-09-18 11:25:21", "source": "commons-desc-page"}, "Credit": {"value": "&lt;span class=\"int-own-work\" lang=\"en\"&gt;Own work&lt;/span&gt;", "source": "commons-desc-page"}, "Artist": {"value": "&lt;a href=\"//commons.wikimedia.org/wiki/User:Sneeuwvlakte\" title=\"User:Sneeuwvlakte\"&gt;Sneeuwvlakte&lt;/a&gt;",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"https://thumb.wikimedia.org/wikipedia/commons/thumb/d/db/Inkijkmuseum_-_Eindhoven_%282026-09-18%29.jpg/1280px-Inkijkmuseum_-_Eindhoven_%282026-09-18%29.jpg"}, "retrieved_on": "2026-10-23"}</t>
        </is>
      </c>
    </row>
    <row r="213" ht="54" customHeight="1">
      <c r="A213" s="29" t="inlineStr">
        <is>
          <t>eindhoven:evidence:inkijkmuseum-02</t>
        </is>
      </c>
      <c r="B213" s="29" t="inlineStr">
        <is>
          <t>eindhoven</t>
        </is>
      </c>
      <c r="C213" s="29" t="inlineStr">
        <is>
          <t>eindhoven:photo:inkijkmuseum-02</t>
        </is>
      </c>
      <c r="D213" s="29" t="inlineStr">
        <is>
          <t>https://commons.wikimedia.org/wiki/File:Inkijkmuseum_Eindhoven_1.jpg</t>
        </is>
      </c>
      <c r="E213" s="29" t="inlineStr">
        <is>
          <t>File:Inkijkmuseum Eindhoven 1.jpg</t>
        </is>
      </c>
      <c r="F213" s="29" t="inlineStr">
        <is>
          <t>Rosemoon</t>
        </is>
      </c>
      <c r="G213" s="29" t="inlineStr">
        <is>
          <t>CC BY-SA 3.0</t>
        </is>
      </c>
      <c r="H213" s="29" t="inlineStr">
        <is>
          <t>https://creativecommons.org/licenses/by-sa/3.0/</t>
        </is>
      </c>
      <c r="I213" s="29" t="inlineStr">
        <is>
          <t>Creative Commons Attribution-Share Alike 3.0</t>
        </is>
      </c>
      <c r="J213" s="29" t="inlineStr">
        <is>
          <t>Rosemoon · CC BY-SA 3.0 · Wikimedia Commons</t>
        </is>
      </c>
      <c r="K213" s="29" t="n"/>
      <c r="L213" s="49" t="n">
        <v>46317</v>
      </c>
      <c r="M213" s="29" t="inlineStr">
        <is>
          <t>Bekliyor</t>
        </is>
      </c>
      <c r="N213" s="29" t="inlineStr">
        <is>
          <t>Bekliyor</t>
        </is>
      </c>
      <c r="O213" s="29" t="inlineStr">
        <is>
          <t>Fotoğraflar/eindhoven_inkijkmuseum_02.jpg</t>
        </is>
      </c>
      <c r="P213" s="29" t="inlineStr">
        <is>
          <t>Dik üçgen çatılı beyaz evin alın cephesi: kemerli büyük pencere, duvarda küçük vitrin kutusu ve fener; solda siyah demir parmaklık ve kapı</t>
        </is>
      </c>
      <c r="Q213" s="29" t="inlineStr">
        <is>
          <t>Bekliyor</t>
        </is>
      </c>
      <c r="R213" s="29" t="inlineStr">
        <is>
          <t>Wikimedia Commons dosya sayfasındaki lisans: CC BY-SA 3.0</t>
        </is>
      </c>
      <c r="S213" s="29" t="n"/>
      <c r="T213" s="29" t="n"/>
      <c r="U213" s="29" t="n"/>
      <c r="V213" s="29" t="n"/>
      <c r="W213" s="29" t="inlineStr">
        <is>
          <t>{"source_url": "https://commons.wikimedia.org/wiki/File:Inkijkmuseum_Eindhoven_1.jpg", "author": "Rosemoon", "license": "CC BY-SA 3.0", "license_url": "https://creativecommons.org/licenses/by-sa/3.0/", "original_api_record": {"size": 5092936, "width": 3240, "height": 4320, "thumburl": "https://thumb.wikimedia.org/wikipedia/commons/thumb/6/6f/Inkijkmuseum_Eindhoven_1.jpg/1280px-Inkijkmuseum_Eindhoven_1.jpg", "thumbwidth": 1280, "thumbheight": 1707, "responsiveUrls": {"2": "https://upload.wikimedia.org/wikipedia/commons/6/6f/Inkijkmuseum_Eindhoven_1.jpg"}, "thumbattribs": {"src": "https://thumb.wikimedia.org/wikipedia/commons/thumb/6/6f/Inkijkmuseum_Eindhoven_1.jpg/1280px-Inkijkmuseum_Eindhoven_1.jpg", "decoding": "async", "loading": "lazy", "width": 1280, "height": 1707, "srcset": "https://upload.wikimedia.org/wikipedia/commons/6/6f/Inkijkmuseum_Eindhoven_1.jpg 2x"}, "url": "https://upload.wikimedia.org/wikipedia/commons/6/6f/Inkijkmuseum_Eindhoven_1.jpg", "descriptionurl": "https://commons.wikimedia.org/wiki/File:Inkijkmuseum_Eindhoven_1.jpg", "descriptionshorturl": "https://commons.wikimedia.org/w/index.php?curid=17488824", "sha1": "18e2db45e6ef124401748ccf00c28f37f8a53613", "extmetadata": {"DateTime": {"value": "2011-11-26 20:31:47", "source": "mediawiki-metadata", "hidden": ""}, "ObjectName": {"value": "Inkijkmuseum Eindhoven 1", "source": "mediawiki-metadata"}, "CommonsMetadataExtension": {"value": 1.2, "source": "extension", "hidden": ""}, "Categories": {"value": "Taken with Panasonic Lumix DMC-TZ20|Museums in North Brabant|Gemeentelijke monumenten in Eindhoven|Dommelstraat, Eindhoven|Self-published work|2011 in Eindhoven|Netherlands photographs taken on 2011-11-26|Files with coordinates missing SDC location of creation (51° N, 5° E)", "source": "commons-categories", "hidden": ""}, "Assessments": {"value": "", "source": "commons-categories", "hidden": ""}, "GPSLatitude": {"value": "51.441590", "source": "commons-desc-page"}, "GPSLongitude": {"value": "5.484474", "source": "commons-desc-page"}, "GPSMapDatum": {"value": "WGS-84", "source": "commons-desc-page", "hidden": ""}, "ImageDescription": {"value": "Inkijkmuseum Eindhoven, Dommelstraat 2a, voorheen spoelhuisje textielfabriek", "source": "commons-desc-page"}, "DateTimeOriginal": {"value": "2011-11-26",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"https://thumb.wikimedia.org/wikipedia/commons/thumb/6/6f/Inkijkmuseum_Eindhoven_1.jpg/1280px-Inkijkmuseum_Eindhoven_1.jpg"}, "retrieved_on": "2026-10-23"}</t>
        </is>
      </c>
    </row>
    <row r="214" ht="54" customHeight="1">
      <c r="A214" s="29" t="inlineStr">
        <is>
          <t>eindhoven:evidence:inkijkmuseum-03</t>
        </is>
      </c>
      <c r="B214" s="29" t="inlineStr">
        <is>
          <t>eindhoven</t>
        </is>
      </c>
      <c r="C214" s="29" t="inlineStr">
        <is>
          <t>eindhoven:photo:inkijkmuseum-03</t>
        </is>
      </c>
      <c r="D214" s="29" t="inlineStr">
        <is>
          <t>https://commons.wikimedia.org/wiki/File:Inkijkmuseum_Eindhoven_2.jpg</t>
        </is>
      </c>
      <c r="E214" s="29" t="inlineStr">
        <is>
          <t>File:Inkijkmuseum Eindhoven 2.jpg</t>
        </is>
      </c>
      <c r="F214" s="29" t="inlineStr">
        <is>
          <t>Rosemoon</t>
        </is>
      </c>
      <c r="G214" s="29" t="inlineStr">
        <is>
          <t>CC BY-SA 3.0</t>
        </is>
      </c>
      <c r="H214" s="29" t="inlineStr">
        <is>
          <t>https://creativecommons.org/licenses/by-sa/3.0/</t>
        </is>
      </c>
      <c r="I214" s="29" t="inlineStr">
        <is>
          <t>Creative Commons Attribution-Share Alike 3.0</t>
        </is>
      </c>
      <c r="J214" s="29" t="inlineStr">
        <is>
          <t>Rosemoon · CC BY-SA 3.0 · Wikimedia Commons</t>
        </is>
      </c>
      <c r="K214" s="29" t="n"/>
      <c r="L214" s="49" t="n">
        <v>46317</v>
      </c>
      <c r="M214" s="29" t="inlineStr">
        <is>
          <t>Bekliyor</t>
        </is>
      </c>
      <c r="N214" s="29" t="inlineStr">
        <is>
          <t>Bekliyor</t>
        </is>
      </c>
      <c r="O214" s="29" t="inlineStr">
        <is>
          <t>Fotoğraflar/eindhoven_inkijkmuseum_03.jpg</t>
        </is>
      </c>
      <c r="P214" s="29" t="inlineStr">
        <is>
          <t>Beyaz evin yan cephesi: önde sivri uçlu siyah demir parmaklık ve kapı, duvarda ferforje kollu 'Het Spoelhuis' tabelası, vitrin kutusu, kemerli pencere ve ahşap banklar</t>
        </is>
      </c>
      <c r="Q214" s="29" t="inlineStr">
        <is>
          <t>Bekliyor</t>
        </is>
      </c>
      <c r="R214" s="29" t="inlineStr">
        <is>
          <t>Wikimedia Commons dosya sayfasındaki lisans: CC BY-SA 3.0</t>
        </is>
      </c>
      <c r="S214" s="29" t="n"/>
      <c r="T214" s="29" t="n"/>
      <c r="U214" s="29" t="n"/>
      <c r="V214" s="29" t="n"/>
      <c r="W214" s="29" t="inlineStr">
        <is>
          <t>{"source_url": "https://commons.wikimedia.org/wiki/File:Inkijkmuseum_Eindhoven_2.jpg", "author": "Rosemoon", "license": "CC BY-SA 3.0", "license_url": "https://creativecommons.org/licenses/by-sa/3.0/", "original_api_record": {"size": 5568512, "width": 4320, "height": 3240, "thumburl": "https://thumb.wikimedia.org/wikipedia/commons/thumb/b/bf/Inkijkmuseum_Eindhoven_2.jpg/1280px-Inkijkmuseum_Eindhoven_2.jpg", "thumbwidth": 1280, "thumbheight": 960, "responsiveUrls": {"2": "https://thumb.wikimedia.org/wikipedia/commons/thumb/b/bf/Inkijkmuseum_Eindhoven_2.jpg/3840px-Inkijkmuseum_Eindhoven_2.jpg"}, "thumbattribs": {"src": "https://thumb.wikimedia.org/wikipedia/commons/thumb/b/bf/Inkijkmuseum_Eindhoven_2.jpg/1280px-Inkijkmuseum_Eindhoven_2.jpg", "decoding": "async", "loading": "lazy", "width": 1280, "height": 960, "srcset": "https://thumb.wikimedia.org/wikipedia/commons/thumb/b/bf/Inkijkmuseum_Eindhoven_2.jpg/3840px-Inkijkmuseum_Eindhoven_2.jpg 2x"}, "url": "https://upload.wikimedia.org/wikipedia/commons/b/bf/Inkijkmuseum_Eindhoven_2.jpg", "descriptionurl": "https://commons.wikimedia.org/wiki/File:Inkijkmuseum_Eindhoven_2.jpg", "descriptionshorturl": "https://commons.wikimedia.org/w/index.php?curid=17488826", "sha1": "29d82db1735ee4eeb3cb8f2d86ae85354231eb51", "extmetadata": {"DateTime": {"value": "2011-11-26 20:31:48", "source": "mediawiki-metadata", "hidden": ""}, "ObjectName": {"value": "Inkijkmuseum Eindhoven 2", "source": "mediawiki-metadata"}, "CommonsMetadataExtension": {"value": 1.2, "source": "extension", "hidden": ""}, "Categories": {"value": "Taken with Panasonic Lumix DMC-TZ20|Gemeentelijke monumenten in Eindhoven|Museums in Eindhoven|Self-published work|2011 in Eindhoven|Netherlands photographs taken on 2011-11-26|Files with coordinates missing SDC location of creation (51° N, 5° E)", "source": "commons-categories", "hidden": ""}, "Assessments": {"value": "", "source": "commons-categories", "hidden": ""}, "GPSLatitude": {"value": "51.441590", "source": "commons-desc-page"}, "GPSLongitude": {"value": "5.484474", "source": "commons-desc-page"}, "GPSMapDatum": {"value": "WGS-84", "source": "commons-desc-page", "hidden": ""}, "ImageDescription": {"value": "Inkijkmuseum Eindhoven", "source": "commons-desc-page"}, "DateTimeOriginal": {"value": "2011-11-26",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"https://thumb.wikimedia.org/wikipedia/commons/thumb/b/bf/Inkijkmuseum_Eindhoven_2.jpg/1280px-Inkijkmuseum_Eindhoven_2.jpg"}, "retrieved_on": "2026-10-23"}</t>
        </is>
      </c>
    </row>
    <row r="215" ht="54" customHeight="1">
      <c r="A215" s="29" t="inlineStr">
        <is>
          <t>eindhoven:evidence:de-vooruitgang-01</t>
        </is>
      </c>
      <c r="B215" s="29" t="inlineStr">
        <is>
          <t>eindhoven</t>
        </is>
      </c>
      <c r="C215" s="29" t="inlineStr">
        <is>
          <t>eindhoven:photo:de-vooruitgang-01</t>
        </is>
      </c>
      <c r="D215" s="29" t="inlineStr">
        <is>
          <t>https://commons.wikimedia.org/wiki/File:Gamko_koelingen_in_caf%C3%A9_de_Vooruitgang.jpg</t>
        </is>
      </c>
      <c r="E215" s="29" t="inlineStr">
        <is>
          <t>File:Gamko koelingen in café de Vooruitgang.jpg</t>
        </is>
      </c>
      <c r="F215" s="29" t="inlineStr">
        <is>
          <t>Jorgvanm</t>
        </is>
      </c>
      <c r="G215" s="29" t="inlineStr">
        <is>
          <t>CC BY-SA 4.0</t>
        </is>
      </c>
      <c r="H215" s="29" t="inlineStr">
        <is>
          <t>https://creativecommons.org/licenses/by-sa/4.0/</t>
        </is>
      </c>
      <c r="I215" s="29" t="inlineStr">
        <is>
          <t>Creative Commons Attribution-Share Alike 4.0</t>
        </is>
      </c>
      <c r="J215" s="29" t="inlineStr">
        <is>
          <t>Jorgvanm · CC BY-SA 4.0 · Wikimedia Commons</t>
        </is>
      </c>
      <c r="K215" s="29" t="n"/>
      <c r="L215" s="49" t="n">
        <v>46317</v>
      </c>
      <c r="M215" s="29" t="inlineStr">
        <is>
          <t>Bekliyor</t>
        </is>
      </c>
      <c r="N215" s="29" t="inlineStr">
        <is>
          <t>Bekliyor</t>
        </is>
      </c>
      <c r="O215" s="29" t="inlineStr">
        <is>
          <t>Fotoğraflar/eindhoven_de-vooruitgang_01.jpg</t>
        </is>
      </c>
      <c r="P215" s="29" t="inlineStr">
        <is>
          <t>Çok katlı iç mekân: şarap rafları ve metal merdivenler, bitkili asma kat, bakır renkli sarkıt lambalar, sarı ışıklı uzun bar tezgâhı ve taburelar, mumlu masalar; mor-turuncu ışık; kişi yok</t>
        </is>
      </c>
      <c r="Q215" s="29" t="inlineStr">
        <is>
          <t>Bekliyor</t>
        </is>
      </c>
      <c r="R215" s="29" t="inlineStr">
        <is>
          <t>Wikimedia Commons dosya sayfasındaki lisans: CC BY-SA 4.0</t>
        </is>
      </c>
      <c r="S215" s="29" t="n"/>
      <c r="T215" s="29" t="n"/>
      <c r="U215" s="29" t="n"/>
      <c r="V215" s="29" t="n"/>
      <c r="W215" s="29" t="inlineStr">
        <is>
          <t>{"source_url": "https://commons.wikimedia.org/wiki/File:Gamko_koelingen_in_caf%C3%A9_de_Vooruitgang.jpg", "author": "Jorgvanm", "license": "CC BY-SA 4.0", "license_url": "https://creativecommons.org/licenses/by-sa/4.0/", "original_api_record": {"size": 4631907, "width": 5796, "height": 3870, "thumburl": "https://thumb.wikimedia.org/wikipedia/commons/thumb/9/95/Gamko_koelingen_in_caf%C3%A9_de_Vooruitgang.jpg/1280px-Gamko_koelingen_in_caf%C3%A9_de_Vooruitgang.jpg", "thumbwidth": 1280, "thumbheight": 855, "responsiveUrls": {"2": "https://thumb.wikimedia.org/wikipedia/commons/thumb/9/95/Gamko_koelingen_in_caf%C3%A9_de_Vooruitgang.jpg/3840px-Gamko_koelingen_in_caf%C3%A9_de_Vooruitgang.jpg"}, "thumbattribs": {"src": "https://thumb.wikimedia.org/wikipedia/commons/thumb/9/95/Gamko_koelingen_in_caf%C3%A9_de_Vooruitgang.jpg/1280px-Gamko_koelingen_in_caf%C3%A9_de_Vooruitgang.jpg", "decoding": "async", "loading": "lazy", "width": 1280, "height": 855, "srcset": "https://thumb.wikimedia.org/wikipedia/commons/thumb/9/95/Gamko_koelingen_in_caf%C3%A9_de_Vooruitgang.jpg/3840px-Gamko_koelingen_in_caf%C3%A9_de_Vooruitgang.jpg 2x"}, "url": "https://upload.wikimedia.org/wikipedia/commons/9/95/Gamko_koelingen_in_caf%C3%A9_de_Vooruitgang.jpg", "descriptionurl": "https://commons.wikimedia.org/wiki/File:Gamko_koelingen_in_caf%C3%A9_de_Vooruitgang.jpg", "descriptionshorturl": "https://commons.wikimedia.org/w/index.php?curid=53475481", "sha1": "8677cc9c847096f18b402b5e76abf1eabcf7c39a", "extmetadata": {"DateTime": {"value": "2016-11-24 13:09:46", "source": "mediawiki-metadata", "hidden": ""}, "ObjectName": {"value": "Gamko koelingen in café de Vooruitgang", "source": "mediawiki-metadata"}, "CommonsMetadataExtension": {"value": 1.2, "source": "extension", "hidden": ""}, "Categories": {"value": "Self-published work|2015 in Eindhoven|Cafés in Eindhoven|Netherlands photographs taken on 2015-01-08", "source": "commons-categories", "hidden": ""}, "Assessments": {"value": "", "source": "commons-categories", "hidden": ""}, "ImageDescription": {"value": "Gamko koelingen in café de Vooruitgang te Eindhoven", "source": "commons-desc-page"}, "DateTimeOriginal": {"value": "2015-01-08", "source": "commons-desc-page"}, "Credit": {"value": "&lt;span class=\"int-own-work\" lang=\"en\"&gt;Own work&lt;/span&gt;", "source": "commons-desc-page"}, "Artist": {"value": "&lt;a href=\"//commons.wikimedia.org/w/index.php?title=User:Jorgvanm&amp;amp;action=edit&amp;amp;redlink=1\" class=\"new\" title=\"User:Jorgvanm (page does not exist)\"&gt;Jorgvanm&lt;/a&gt;",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"https://thumb.wikimedia.org/wikipedia/commons/thumb/9/95/Gamko_koelingen_in_caf%C3%A9_de_Vooruitgang.jpg/1280px-Gamko_koelingen_in_caf%C3%A9_de_Vooruitgang.jpg"}, "retrieved_on": "2026-10-23"}</t>
        </is>
      </c>
    </row>
    <row r="216" ht="54" customHeight="1">
      <c r="A216" s="29" t="inlineStr">
        <is>
          <t>eindhoven:evidence:de-vooruitgang-02</t>
        </is>
      </c>
      <c r="B216" s="29" t="inlineStr">
        <is>
          <t>eindhoven</t>
        </is>
      </c>
      <c r="C216" s="29" t="inlineStr">
        <is>
          <t>eindhoven:photo:de-vooruitgang-02</t>
        </is>
      </c>
      <c r="D216" s="29" t="inlineStr">
        <is>
          <t>https://commons.wikimedia.org/wiki/File:Markt_11,_EindhovenStadscafe_-_De_Vooruitgang_GM.JPG</t>
        </is>
      </c>
      <c r="E216" s="29" t="inlineStr">
        <is>
          <t>File:Markt 11, EindhovenStadscafe - De Vooruitgang GM.JPG</t>
        </is>
      </c>
      <c r="F216" s="29" t="inlineStr">
        <is>
          <t>Rosemoon</t>
        </is>
      </c>
      <c r="G216" s="29" t="inlineStr">
        <is>
          <t>CC BY-SA 3.0</t>
        </is>
      </c>
      <c r="H216" s="29" t="inlineStr">
        <is>
          <t>https://creativecommons.org/licenses/by-sa/3.0/</t>
        </is>
      </c>
      <c r="I216" s="29" t="inlineStr">
        <is>
          <t>Creative Commons Attribution-Share Alike 3.0</t>
        </is>
      </c>
      <c r="J216" s="29" t="inlineStr">
        <is>
          <t>Rosemoon · CC BY-SA 3.0 · Wikimedia Commons</t>
        </is>
      </c>
      <c r="K216" s="29" t="n"/>
      <c r="L216" s="49" t="n">
        <v>46317</v>
      </c>
      <c r="M216" s="29" t="inlineStr">
        <is>
          <t>Bekliyor</t>
        </is>
      </c>
      <c r="N216" s="29" t="inlineStr">
        <is>
          <t>Bekliyor</t>
        </is>
      </c>
      <c r="O216" s="29" t="inlineStr">
        <is>
          <t>Fotoğraflar/eindhoven_de-vooruitgang_02.jpg</t>
        </is>
      </c>
      <c r="P216" s="29" t="inlineStr">
        <is>
          <t>Kemerli pencereli kırmızı tuğla cephe; frizde ve tentede 'De Vooruitgang' yazısı, üst katta büyük afiş; önde kapalı beyaz şemsiyeli teras, masalarda oturan birkaç kişi (küçük)</t>
        </is>
      </c>
      <c r="Q216" s="29" t="inlineStr">
        <is>
          <t>Bekliyor</t>
        </is>
      </c>
      <c r="R216" s="29" t="inlineStr">
        <is>
          <t>Wikimedia Commons dosya sayfasındaki lisans: CC BY-SA 3.0</t>
        </is>
      </c>
      <c r="S216" s="29" t="n"/>
      <c r="T216" s="29" t="n"/>
      <c r="U216" s="29" t="n"/>
      <c r="V216" s="29" t="n"/>
      <c r="W216" s="29" t="inlineStr">
        <is>
          <t>{"source_url": "https://commons.wikimedia.org/wiki/File:Markt_11,_EindhovenStadscafe_-_De_Vooruitgang_GM.JPG", "author": "Rosemoon", "license": "CC BY-SA 3.0", "license_url": "https://creativecommons.org/licenses/by-sa/3.0/", "original_api_record": {"size": 5078975, "width": 3240, "height": 4320, "thumburl": "https://thumb.wikimedia.org/wikipedia/commons/thumb/3/36/Markt_11%2C_EindhovenStadscafe_-_De_Vooruitgang_GM.JPG/1280px-Markt_11%2C_EindhovenStadscafe_-_De_Vooruitgang_GM.JPG", "thumbwidth": 1280, "thumbheight": 1707, "responsiveUrls": {"2": "https://upload.wikimedia.org/wikipedia/commons/3/36/Markt_11%2C_EindhovenStadscafe_-_De_Vooruitgang_GM.JPG"}, "thumbattribs": {"src": "https://thumb.wikimedia.org/wikipedia/commons/thumb/3/36/Markt_11%2C_EindhovenStadscafe_-_De_Vooruitgang_GM.JPG/1280px-Markt_11%2C_EindhovenStadscafe_-_De_Vooruitgang_GM.JPG", "decoding": "async", "loading": "lazy", "width": 1280, "height": 1707, "srcset": "https://upload.wikimedia.org/wikipedia/commons/3/36/Markt_11%2C_EindhovenStadscafe_-_De_Vooruitgang_GM.JPG 2x"}, "url": "https://upload.wikimedia.org/wikipedia/commons/3/36/Markt_11%2C_EindhovenStadscafe_-_De_Vooruitgang_GM.JPG", "descriptionurl": "https://commons.wikimedia.org/wiki/File:Markt_11,_EindhovenStadscafe_-_De_Vooruitgang_GM.JPG", "descriptionshorturl": "https://commons.wikimedia.org/w/index.php?curid=29741248", "sha1": "e40dd12949b46b7576e91916fda13e0d0f6600c8", "extmetadata": {"DateTime": {"value": "2013-11-20 17:54:38", "source": "mediawiki-metadata", "hidden": ""}, "ObjectName": {"value": "Markt 11, EindhovenStadscafe - De Vooruitgang GM", "source": "mediawiki-metadata"}, "CommonsMetadataExtension": {"value": 1.2, "source": "extension", "hidden": ""}, "Categories": {"value": "Taken with Panasonic Lumix DMC-TZ20|Gemeentelijke monumenten in Eindhoven|Markt, Eindhoven|Self-published work|Cafés in Eindhoven|Files with coordinates missing SDC location of creation (51° N, 5° E)", "source": "commons-categories", "hidden": ""}, "Assessments": {"value": "", "source": "commons-categories", "hidden": ""}, "GPSLatitude": {"value": "51.439172", "source": "commons-desc-page"}, "GPSLongitude": {"value": "5.478943", "source": "commons-desc-page"}, "GPSMapDatum": {"value": "WGS-84", "source": "commons-desc-page", "hidden": ""}, "ImageDescription": {"value": "Markt 11, EindhovenStadscafe - De Vooruitgang GM", "source": "commons-desc-page"}, "DateTimeOriginal": {"value": "2013-04-21 10:46:20",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"https://thumb.wikimedia.org/wikipedia/commons/thumb/3/36/Markt_11%2C_EindhovenStadscafe_-_De_Vooruitgang_GM.JPG/1280px-Markt_11%2C_EindhovenStadscafe_-_De_Vooruitgang_GM.JPG"}, "retrieved_on": "2026-10-23"}</t>
        </is>
      </c>
    </row>
    <row r="217" ht="54" customHeight="1">
      <c r="A217" s="29" t="inlineStr">
        <is>
          <t>eindhoven:evidence:de-wildeman-01</t>
        </is>
      </c>
      <c r="B217" s="29" t="inlineStr">
        <is>
          <t>eindhoven</t>
        </is>
      </c>
      <c r="C217" s="29" t="inlineStr">
        <is>
          <t>eindhoven:photo:de-wildeman-01</t>
        </is>
      </c>
      <c r="D217" s="29" t="inlineStr">
        <is>
          <t>https://commons.wikimedia.org/wiki/File:Markt_9-10,_Eindhoven_Cafe_De_Wildeman.JPG</t>
        </is>
      </c>
      <c r="E217" s="29" t="inlineStr">
        <is>
          <t>File:Markt 9-10, Eindhoven Cafe De Wildeman.JPG</t>
        </is>
      </c>
      <c r="F217" s="29" t="inlineStr">
        <is>
          <t>Rosemoon</t>
        </is>
      </c>
      <c r="G217" s="29" t="inlineStr">
        <is>
          <t>CC BY-SA 3.0</t>
        </is>
      </c>
      <c r="H217" s="29" t="inlineStr">
        <is>
          <t>https://creativecommons.org/licenses/by-sa/3.0/</t>
        </is>
      </c>
      <c r="I217" s="29" t="inlineStr">
        <is>
          <t>Creative Commons Attribution-Share Alike 3.0</t>
        </is>
      </c>
      <c r="J217" s="29" t="inlineStr">
        <is>
          <t>Rosemoon · CC BY-SA 3.0 · Wikimedia Commons</t>
        </is>
      </c>
      <c r="K217" s="29" t="n"/>
      <c r="L217" s="49" t="n">
        <v>46317</v>
      </c>
      <c r="M217" s="29" t="inlineStr">
        <is>
          <t>Bekliyor</t>
        </is>
      </c>
      <c r="N217" s="29" t="inlineStr">
        <is>
          <t>Bekliyor</t>
        </is>
      </c>
      <c r="O217" s="29" t="inlineStr">
        <is>
          <t>Fotoğraflar/eindhoven_de-wildeman_01.jpg</t>
        </is>
      </c>
      <c r="P217" s="29" t="inlineStr">
        <is>
          <t>Beyaz pencereli yüksek kırmızı tuğla bina; zemin kat tentesinde 'Bavaria' ve 'de Wildeman' yazıları, cephede 'MINT' tabelası; önde beyaz şemsiyeli kalabalık teras</t>
        </is>
      </c>
      <c r="Q217" s="29" t="inlineStr">
        <is>
          <t>Bekliyor</t>
        </is>
      </c>
      <c r="R217" s="29" t="inlineStr">
        <is>
          <t>Wikimedia Commons dosya sayfasındaki lisans: CC BY-SA 3.0</t>
        </is>
      </c>
      <c r="S217" s="29" t="n"/>
      <c r="T217" s="29" t="n"/>
      <c r="U217" s="29" t="n"/>
      <c r="V217" s="29" t="n"/>
      <c r="W217" s="29" t="inlineStr">
        <is>
          <t>{"source_url": "https://commons.wikimedia.org/wiki/File:Markt_9-10,_Eindhoven_Cafe_De_Wildeman.JPG", "author": "Rosemoon", "license": "CC BY-SA 3.0", "license_url": "https://creativecommons.org/licenses/by-sa/3.0/", "original_api_record": {"size": 4991482, "width": 3240, "height": 4320, "thumburl": "https://thumb.wikimedia.org/wikipedia/commons/thumb/5/53/Markt_9-10%2C_Eindhoven_Cafe_De_Wildeman.JPG/1280px-Markt_9-10%2C_Eindhoven_Cafe_De_Wildeman.JPG", "thumbwidth": 1280, "thumbheight": 1707, "responsiveUrls": {"2": "https://upload.wikimedia.org/wikipedia/commons/5/53/Markt_9-10%2C_Eindhoven_Cafe_De_Wildeman.JPG"}, "thumbattribs": {"src": "https://thumb.wikimedia.org/wikipedia/commons/thumb/5/53/Markt_9-10%2C_Eindhoven_Cafe_De_Wildeman.JPG/1280px-Markt_9-10%2C_Eindhoven_Cafe_De_Wildeman.JPG", "decoding": "async", "loading": "lazy", "width": 1280, "height": 1707, "srcset": "https://upload.wikimedia.org/wikipedia/commons/5/53/Markt_9-10%2C_Eindhoven_Cafe_De_Wildeman.JPG 2x"}, "url": "https://upload.wikimedia.org/wikipedia/commons/5/53/Markt_9-10%2C_Eindhoven_Cafe_De_Wildeman.JPG", "descriptionurl": "https://commons.wikimedia.org/wiki/File:Markt_9-10,_Eindhoven_Cafe_De_Wildeman.JPG", "descriptionshorturl": "https://commons.wikimedia.org/w/index.php?curid=29741247", "sha1": "40168f3fe238457cd539ee7568f3293fbb5d98fe", "extmetadata": {"DateTime": {"value": "2013-11-20 17:54:38", "source": "mediawiki-metadata", "hidden": ""}, "ObjectName": {"value": "Markt 9-10, Eindhoven Cafe De Wildeman", "source": "mediawiki-metadata"}, "CommonsMetadataExtension": {"value": 1.2, "source": "extension", "hidden": ""}, "Categories": {"value": "Taken with Panasonic Lumix DMC-TZ20|Gemeentelijke monumenten in Eindhoven|Markt, Eindhoven|Self-published work|2013 in Eindhoven|Cafés in Eindhoven|Netherlands photographs taken on 2013-04-21|Files with coordinates missing SDC location of creation (51° N, 5° E)", "source": "commons-categories", "hidden": ""}, "Assessments": {"value": "", "source": "commons-categories", "hidden": ""}, "GPSLatitude": {"value": "51.439280", "source": "commons-desc-page"}, "GPSLongitude": {"value": "5.478859", "source": "commons-desc-page"}, "GPSMapDatum": {"value": "WGS-84", "source": "commons-desc-page", "hidden": ""}, "ImageDescription": {"value": "Markt 9-10, Eindhoven Cafe De Wildeman", "source": "commons-desc-page"}, "DateTimeOriginal": {"value": "2013-04-21 10:46:10",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"https://thumb.wikimedia.org/wikipedia/commons/thumb/5/53/Markt_9-10%2C_Eindhoven_Cafe_De_Wildeman.JPG/1280px-Markt_9-10%2C_Eindhoven_Cafe_De_Wildeman.JPG"}, "retrieved_on": "2026-10-23"}</t>
        </is>
      </c>
    </row>
    <row r="218" ht="54" customHeight="1">
      <c r="A218" s="29" t="inlineStr">
        <is>
          <t>eindhoven:evidence:restaurant-1910-01</t>
        </is>
      </c>
      <c r="B218" s="29" t="inlineStr">
        <is>
          <t>eindhoven</t>
        </is>
      </c>
      <c r="C218" s="29" t="inlineStr">
        <is>
          <t>eindhoven:photo:restaurant-1910-01</t>
        </is>
      </c>
      <c r="D218" s="29" t="inlineStr">
        <is>
          <t>https://commons.wikimedia.org/wiki/File:Restaurant_1910_Willemstraat_43A_Eindhoven.JPG</t>
        </is>
      </c>
      <c r="E218" s="29" t="inlineStr">
        <is>
          <t>File:Restaurant 1910 Willemstraat 43A Eindhoven.JPG</t>
        </is>
      </c>
      <c r="F218" s="29" t="inlineStr">
        <is>
          <t>Rosemoon</t>
        </is>
      </c>
      <c r="G218" s="29" t="inlineStr">
        <is>
          <t>CC BY-SA 3.0</t>
        </is>
      </c>
      <c r="H218" s="29" t="inlineStr">
        <is>
          <t>https://creativecommons.org/licenses/by-sa/3.0/</t>
        </is>
      </c>
      <c r="I218" s="29" t="inlineStr">
        <is>
          <t>Creative Commons Attribution-Share Alike 3.0</t>
        </is>
      </c>
      <c r="J218" s="29" t="inlineStr">
        <is>
          <t>Rosemoon · CC BY-SA 3.0 · Wikimedia Commons</t>
        </is>
      </c>
      <c r="K218" s="29" t="n"/>
      <c r="L218" s="49" t="n">
        <v>46317</v>
      </c>
      <c r="M218" s="29" t="inlineStr">
        <is>
          <t>Bekliyor</t>
        </is>
      </c>
      <c r="N218" s="29" t="inlineStr">
        <is>
          <t>Bekliyor</t>
        </is>
      </c>
      <c r="O218" s="29" t="inlineStr">
        <is>
          <t>Fotoğraflar/eindhoven_restaurant-1910_01.jpg</t>
        </is>
      </c>
      <c r="P218" s="29" t="inlineStr">
        <is>
          <t>Koyu kiremit çatılı, beyaz boyalı köşe evi; köşede '1910' logolu tabela, 'Swinckels'' bayrağı, sokak tabelaları, saksılarda konik çalılar ve sarmaşıklı çit; önden bisikletli bir kadın geçiyor</t>
        </is>
      </c>
      <c r="Q218" s="29" t="inlineStr">
        <is>
          <t>Bekliyor</t>
        </is>
      </c>
      <c r="R218" s="29" t="inlineStr">
        <is>
          <t>Wikimedia Commons dosya sayfasındaki lisans: CC BY-SA 3.0</t>
        </is>
      </c>
      <c r="S218" s="29" t="n"/>
      <c r="T218" s="29" t="n"/>
      <c r="U218" s="29" t="n"/>
      <c r="V218" s="29" t="n"/>
      <c r="W218" s="29" t="inlineStr">
        <is>
          <t>{"source_url": "https://commons.wikimedia.org/wiki/File:Restaurant_1910_Willemstraat_43A_Eindhoven.JPG", "author": "Rosemoon", "license": "CC BY-SA 3.0", "license_url": "https://creativecommons.org/licenses/by-sa/3.0/", "original_api_record": {"size": 5740032, "width": 4320, "height": 3240, "thumburl": "https://thumb.wikimedia.org/wikipedia/commons/thumb/b/bc/Restaurant_1910_Willemstraat_43A_Eindhoven.JPG/1280px-Restaurant_1910_Willemstraat_43A_Eindhoven.JPG", "thumbwidth": 1280, "thumbheight": 960, "responsiveUrls": {"2": "https://thumb.wikimedia.org/wikipedia/commons/thumb/b/bc/Restaurant_1910_Willemstraat_43A_Eindhoven.JPG/3840px-Restaurant_1910_Willemstraat_43A_Eindhoven.JPG"}, "thumbattribs": {"src": "https://thumb.wikimedia.org/wikipedia/commons/thumb/b/bc/Restaurant_1910_Willemstraat_43A_Eindhoven.JPG/1280px-Restaurant_1910_Willemstraat_43A_Eindhoven.JPG", "decoding": "async", "loading": "lazy", "width": 1280, "height": 960, "srcset": "https://thumb.wikimedia.org/wikipedia/commons/thumb/b/bc/Restaurant_1910_Willemstraat_43A_Eindhoven.JPG/3840px-Restaurant_1910_Willemstraat_43A_Eindhoven.JPG 2x"}, "url": "https://upload.wikimedia.org/wikipedia/commons/b/bc/Restaurant_1910_Willemstraat_43A_Eindhoven.JPG", "descriptionurl": "https://commons.wikimedia.org/wiki/File:Restaurant_1910_Willemstraat_43A_Eindhoven.JPG", "descriptionshorturl": "https://commons.wikimedia.org/w/index.php?curid=23604056", "sha1": "d8846de06aa73f883c16b0847f14fb02aba83ab8", "extmetadata": {"DateTime": {"value": "2013-01-05 08:52:08", "source": "mediawiki-metadata", "hidden": ""}, "ObjectName": {"value": "Restaurant 1910 Willemstraat 43A Eindhoven", "source": "mediawiki-metadata"}, "CommonsMetadataExtension": {"value": 1.2, "source": "extension", "hidden": ""}, "Categories": {"value": "Taken with Panasonic Lumix DMC-TZ20|Self-published work|2012 in Eindhoven|Restaurants in Eindhoven|Restaurants photographed in 2012|Netherlands photographs taken on 2012-12-28|Files with coordinates missing SDC location of creation (51° N, 5° E)", "source": "commons-categories", "hidden": ""}, "Assessments": {"value": "", "source": "commons-categories", "hidden": ""}, "GPSLatitude": {"value": "51.438423", "source": "commons-desc-page"}, "GPSLongitude": {"value": "5.471468", "source": "commons-desc-page"}, "GPSMapDatum": {"value": "WGS-84", "source": "commons-desc-page", "hidden": ""}, "ImageDescription": {"value": "Restaurant 1910 Willemstraat 43A Eindhoven", "source": "commons-desc-page"}, "DateTimeOriginal": {"value": "2012-12-28 12:12:52",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"https://thumb.wikimedia.org/wikipedia/commons/thumb/b/bc/Restaurant_1910_Willemstraat_43A_Eindhoven.JPG/1280px-Restaurant_1910_Willemstraat_43A_Eindhoven.JPG"}, "retrieved_on": "2026-10-23"}</t>
        </is>
      </c>
    </row>
    <row r="219" ht="54" customHeight="1">
      <c r="A219" s="29" t="inlineStr">
        <is>
          <t>eindhoven:evidence:de-gaper-01</t>
        </is>
      </c>
      <c r="B219" s="29" t="inlineStr">
        <is>
          <t>eindhoven</t>
        </is>
      </c>
      <c r="C219" s="29" t="inlineStr">
        <is>
          <t>eindhoven:photo:de-gaper-01</t>
        </is>
      </c>
      <c r="D219" s="29" t="inlineStr">
        <is>
          <t>https://commons.wikimedia.org/wiki/File:De_Gaper_Wilhelminaplein_5_Eindhoven_(1).JPG</t>
        </is>
      </c>
      <c r="E219" s="29" t="inlineStr">
        <is>
          <t>File:De Gaper Wilhelminaplein 5 Eindhoven (1).JPG</t>
        </is>
      </c>
      <c r="F219" s="29" t="inlineStr">
        <is>
          <t>Rosemoon</t>
        </is>
      </c>
      <c r="G219" s="29" t="inlineStr">
        <is>
          <t>CC BY-SA 3.0</t>
        </is>
      </c>
      <c r="H219" s="29" t="inlineStr">
        <is>
          <t>https://creativecommons.org/licenses/by-sa/3.0/</t>
        </is>
      </c>
      <c r="I219" s="29" t="inlineStr">
        <is>
          <t>Creative Commons Attribution-Share Alike 3.0</t>
        </is>
      </c>
      <c r="J219" s="29" t="inlineStr">
        <is>
          <t>Rosemoon · CC BY-SA 3.0 · Wikimedia Commons</t>
        </is>
      </c>
      <c r="K219" s="29" t="n"/>
      <c r="L219" s="49" t="n">
        <v>46317</v>
      </c>
      <c r="M219" s="29" t="inlineStr">
        <is>
          <t>Bekliyor</t>
        </is>
      </c>
      <c r="N219" s="29" t="inlineStr">
        <is>
          <t>Bekliyor</t>
        </is>
      </c>
      <c r="O219" s="29" t="inlineStr">
        <is>
          <t>Fotoğraflar/eindhoven_de-gaper_01.jpg</t>
        </is>
      </c>
      <c r="P219" s="29" t="inlineStr">
        <is>
          <t>Lacivert zemin katlı beyaz köşe binası; 'De Gaper', 'Proeflokaal', 'Eetkamer' yazıları ve 'Dommelsch Bier' tabelası, dikey 'De Gaper' bayrağı; önde taş babalar, bank ve kapalı şemsiyeler; insan yok</t>
        </is>
      </c>
      <c r="Q219" s="29" t="inlineStr">
        <is>
          <t>Bekliyor</t>
        </is>
      </c>
      <c r="R219" s="29" t="inlineStr">
        <is>
          <t>Wikimedia Commons dosya sayfasındaki lisans: CC BY-SA 3.0</t>
        </is>
      </c>
      <c r="S219" s="29" t="n"/>
      <c r="T219" s="29" t="n"/>
      <c r="U219" s="29" t="n"/>
      <c r="V219" s="29" t="n"/>
      <c r="W219" s="29" t="inlineStr">
        <is>
          <t>{"source_url": "https://commons.wikimedia.org/wiki/File:De_Gaper_Wilhelminaplein_5_Eindhoven_(1).JPG", "author": "Rosemoon", "license": "CC BY-SA 3.0", "license_url": "https://creativecommons.org/licenses/by-sa/3.0/", "original_api_record": {"size": 5685760, "width": 4320, "height": 3240, "thumburl": "https://thumb.wikimedia.org/wikipedia/commons/thumb/8/83/De_Gaper_Wilhelminaplein_5_Eindhoven_%281%29.JPG/1280px-De_Gaper_Wilhelminaplein_5_Eindhoven_%281%29.JPG", "thumbwidth": 1280, "thumbheight": 960, "responsiveUrls": {"2": "https://thumb.wikimedia.org/wikipedia/commons/thumb/8/83/De_Gaper_Wilhelminaplein_5_Eindhoven_%281%29.JPG/3840px-De_Gaper_Wilhelminaplein_5_Eindhoven_%281%29.JPG"}, "thumbattribs": {"src": "https://thumb.wikimedia.org/wikipedia/commons/thumb/8/83/De_Gaper_Wilhelminaplein_5_Eindhoven_%281%29.JPG/1280px-De_Gaper_Wilhelminaplein_5_Eindhoven_%281%29.JPG", "decoding": "async", "loading": "lazy", "width": 1280, "height": 960, "srcset": "https://thumb.wikimedia.org/wikipedia/commons/thumb/8/83/De_Gaper_Wilhelminaplein_5_Eindhoven_%281%29.JPG/3840px-De_Gaper_Wilhelminaplein_5_Eindhoven_%281%29.JPG 2x"}, "url": "https://upload.wikimedia.org/wikipedia/commons/8/83/De_Gaper_Wilhelminaplein_5_Eindhoven_%281%29.JPG", "descriptionurl": "https://commons.wikimedia.org/wiki/File:De_Gaper_Wilhelminaplein_5_Eindhoven_(1).JPG", "descriptionshorturl": "https://commons.wikimedia.org/w/index.php?curid=23517400", "sha1": "8fe525d1adc414831cd5d10c9876e0869b9798bb", "extmetadata": {"DateTime": {"value": "2013-01-01 23:01:58", "source": "mediawiki-metadata", "hidden": ""}, "ObjectName": {"value": "De Gaper Wilhelminaplein 5 Eindhoven (1)", "source": "mediawiki-metadata"}, "CommonsMetadataExtension": {"value": 1.2, "source": "extension", "hidden": ""}, "Categories": {"value": "Taken with Panasonic Lumix DMC-TZ20|Self-published work|2012 in Eindhoven|Restaurants in Eindhoven|Netherlands photographs taken on 2012-12-28|Files with coordinates missing SDC location of creation (51° N, 5° E)|Wilhelminaplein 5, Eindhoven", "source": "commons-categories", "hidden": ""}, "Assessments": {"value": "", "source": "commons-categories", "hidden": ""}, "GPSLatitude": {"value": "51.437960", "source": "commons-desc-page"}, "GPSLongitude": {"value": "5.471859", "source": "commons-desc-page"}, "GPSMapDatum": {"value": "WGS-84", "source": "commons-desc-page", "hidden": ""}, "ImageDescription": {"value": "De Gaper Wilhelminaplein 5 Eindhoven", "source": "commons-desc-page"}, "DateTimeOriginal": {"value": "2012-12-28 11:56:34",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"https://thumb.wikimedia.org/wikipedia/commons/thumb/8/83/De_Gaper_Wilhelminaplein_5_Eindhoven_%281%29.JPG/1280px-De_Gaper_Wilhelminaplein_5_Eindhoven_%281%29.JPG"}, "retrieved_on": "2026-10-23"}</t>
        </is>
      </c>
    </row>
    <row r="220" ht="54" customHeight="1">
      <c r="A220" s="29" t="inlineStr">
        <is>
          <t>eindhoven:evidence:cafe-wilhelmina-01</t>
        </is>
      </c>
      <c r="B220" s="29" t="inlineStr">
        <is>
          <t>eindhoven</t>
        </is>
      </c>
      <c r="C220" s="29" t="inlineStr">
        <is>
          <t>eindhoven:photo:cafe-wilhelmina-01</t>
        </is>
      </c>
      <c r="D220" s="29" t="inlineStr">
        <is>
          <t>https://commons.wikimedia.org/wiki/File:Wilhelminaplein_6-7_Eindhoven.JPG</t>
        </is>
      </c>
      <c r="E220" s="29" t="inlineStr">
        <is>
          <t>File:Wilhelminaplein 6-7 Eindhoven.JPG</t>
        </is>
      </c>
      <c r="F220" s="29" t="inlineStr">
        <is>
          <t>Rosemoon</t>
        </is>
      </c>
      <c r="G220" s="29" t="inlineStr">
        <is>
          <t>CC BY-SA 3.0</t>
        </is>
      </c>
      <c r="H220" s="29" t="inlineStr">
        <is>
          <t>https://creativecommons.org/licenses/by-sa/3.0/</t>
        </is>
      </c>
      <c r="I220" s="29" t="inlineStr">
        <is>
          <t>Creative Commons Attribution-Share Alike 3.0</t>
        </is>
      </c>
      <c r="J220" s="29" t="inlineStr">
        <is>
          <t>Rosemoon · CC BY-SA 3.0 · Wikimedia Commons</t>
        </is>
      </c>
      <c r="K220" s="29" t="n"/>
      <c r="L220" s="49" t="n">
        <v>46317</v>
      </c>
      <c r="M220" s="29" t="inlineStr">
        <is>
          <t>Bekliyor</t>
        </is>
      </c>
      <c r="N220" s="29" t="inlineStr">
        <is>
          <t>Bekliyor</t>
        </is>
      </c>
      <c r="O220" s="29" t="inlineStr">
        <is>
          <t>Fotoğraflar/eindhoven_cafe-wilhelmina_01.jpg</t>
        </is>
      </c>
      <c r="P220" s="29" t="inlineStr">
        <is>
          <t>Kademeli alınlıklı tuğla bina, üstte 'Dommelsch' yazısı, çizgili tenteler, pencerelerde çelenkler; zemin katta solda 'Wilhelmina', sağda 'Hendrik' tabelası; önde koyu tente altında hasır sandalyeli boş teras ve piknik masaları; bulutlu</t>
        </is>
      </c>
      <c r="Q220" s="29" t="inlineStr">
        <is>
          <t>Bekliyor</t>
        </is>
      </c>
      <c r="R220" s="29" t="inlineStr">
        <is>
          <t>Wikimedia Commons dosya sayfasındaki lisans: CC BY-SA 3.0</t>
        </is>
      </c>
      <c r="S220" s="29" t="n"/>
      <c r="T220" s="29" t="n"/>
      <c r="U220" s="29" t="n"/>
      <c r="V220" s="29" t="n"/>
      <c r="W220" s="29" t="inlineStr">
        <is>
          <t>{"source_url": "https://commons.wikimedia.org/wiki/File:Wilhelminaplein_6-7_Eindhoven.JPG", "author": "Rosemoon", "license": "CC BY-SA 3.0", "license_url": "https://creativecommons.org/licenses/by-sa/3.0/", "original_api_record": {"size": 4945831, "width": 3240, "height": 4320, "thumburl": "https://thumb.wikimedia.org/wikipedia/commons/thumb/8/8d/Wilhelminaplein_6-7_Eindhoven.JPG/1280px-Wilhelminaplein_6-7_Eindhoven.JPG", "thumbwidth": 1280, "thumbheight": 1707, "responsiveUrls": {"2": "https://upload.wikimedia.org/wikipedia/commons/8/8d/Wilhelminaplein_6-7_Eindhoven.JPG"}, "thumbattribs": {"src": "https://thumb.wikimedia.org/wikipedia/commons/thumb/8/8d/Wilhelminaplein_6-7_Eindhoven.JPG/1280px-Wilhelminaplein_6-7_Eindhoven.JPG", "decoding": "async", "loading": "lazy", "width": 1280, "height": 1707, "srcset": "https://upload.wikimedia.org/wikipedia/commons/8/8d/Wilhelminaplein_6-7_Eindhoven.JPG 2x"}, "url": "https://upload.wikimedia.org/wikipedia/commons/8/8d/Wilhelminaplein_6-7_Eindhoven.JPG", "descriptionurl": "https://commons.wikimedia.org/wiki/File:Wilhelminaplein_6-7_Eindhoven.JPG", "descriptionshorturl": "https://commons.wikimedia.org/w/index.php?curid=23604057", "sha1": "71536d8b5163e4f305739503ac23fd3ac5694ad5", "extmetadata": {"DateTime": {"value": "2013-01-05 08:52:08", "source": "mediawiki-metadata", "hidden": ""}, "ObjectName": {"value": "Wilhelminaplein 6-7 Eindhoven", "source": "mediawiki-metadata"}, "CommonsMetadataExtension": {"value": 1.2, "source": "extension", "hidden": ""}, "Categories": {"value": "Taken with Panasonic Lumix DMC-TZ20|Gemeentelijke monumenten in Eindhoven|Dommelsch|Self-published work|2012 in Eindhoven|Cafés in Eindhoven|Netherlands photographs taken on 2012-12-28|Files with coordinates missing SDC location of creation (51° N, 5° E)|Wilhelminaplein 6-7, Eindhoven", "source": "commons-categories", "hidden": ""}, "Assessments": {"value": "", "source": "commons-categories", "hidden": ""}, "GPSLatitude": {"value": "51.437929", "source": "commons-desc-page"}, "GPSLongitude": {"value": "5.471755", "source": "commons-desc-page"}, "GPSMapDatum": {"value": "WGS-84", "source": "commons-desc-page", "hidden": ""}, "ImageDescription": {"value": "Wilhelminaplein 6-7 Eindhoven GM", "source": "commons-desc-page"}, "DateTimeOriginal": {"value": "2012-12-28 11:57:08",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"https://thumb.wikimedia.org/wikipedia/commons/thumb/8/8d/Wilhelminaplein_6-7_Eindhoven.JPG/1280px-Wilhelminaplein_6-7_Eindhoven.JPG"}, "retrieved_on": "2026-10-23"}</t>
        </is>
      </c>
    </row>
    <row r="221" ht="54" customHeight="1">
      <c r="A221" s="29" t="inlineStr">
        <is>
          <t>eindhoven:evidence:altstadt-eindhoven-01</t>
        </is>
      </c>
      <c r="B221" s="29" t="inlineStr">
        <is>
          <t>eindhoven</t>
        </is>
      </c>
      <c r="C221" s="29" t="inlineStr">
        <is>
          <t>eindhoven:photo:altstadt-eindhoven-01</t>
        </is>
      </c>
      <c r="D221" s="29" t="inlineStr">
        <is>
          <t>https://commons.wikimedia.org/wiki/File:Stratumseind_Eindhoven_-_Centrum_1803-78.jpg</t>
        </is>
      </c>
      <c r="E221" s="29" t="inlineStr">
        <is>
          <t>File:Stratumseind Eindhoven - Centrum 1803-78.jpg</t>
        </is>
      </c>
      <c r="F221" s="29" t="inlineStr">
        <is>
          <t>Jan Geerling</t>
        </is>
      </c>
      <c r="G221" s="29" t="inlineStr">
        <is>
          <t>CC BY-SA 4.0</t>
        </is>
      </c>
      <c r="H221" s="29" t="inlineStr">
        <is>
          <t>https://creativecommons.org/licenses/by-sa/4.0/</t>
        </is>
      </c>
      <c r="I221" s="29" t="inlineStr">
        <is>
          <t>Creative Commons Attribution-Share Alike 4.0</t>
        </is>
      </c>
      <c r="J221" s="29" t="inlineStr">
        <is>
          <t>Jan Geerling · CC BY-SA 4.0 · Wikimedia Commons</t>
        </is>
      </c>
      <c r="K221" s="29" t="n"/>
      <c r="L221" s="49" t="n">
        <v>46317</v>
      </c>
      <c r="M221" s="29" t="inlineStr">
        <is>
          <t>Bekliyor</t>
        </is>
      </c>
      <c r="N221" s="29" t="inlineStr">
        <is>
          <t>Bekliyor</t>
        </is>
      </c>
      <c r="O221" s="29" t="inlineStr">
        <is>
          <t>Fotoğraflar/eindhoven_altstadt-eindhoven_01.jpg</t>
        </is>
      </c>
      <c r="P221" s="29" t="inlineStr">
        <is>
          <t>Beyaz cephede turuncu 'altstadt' harfleri ve yeşil 'Eindhoven' panosu, 'café altstadt' yazılı koyu tente, önde hasır sandalyeli teras; Stratumseind boyunca diğer kafeler; koyu mavi gök; insan yok</t>
        </is>
      </c>
      <c r="Q221" s="29" t="inlineStr">
        <is>
          <t>Bekliyor</t>
        </is>
      </c>
      <c r="R221" s="29" t="inlineStr">
        <is>
          <t>Wikimedia Commons dosya sayfasındaki lisans: CC BY-SA 4.0</t>
        </is>
      </c>
      <c r="S221" s="29" t="n"/>
      <c r="T221" s="29" t="n"/>
      <c r="U221" s="29" t="n"/>
      <c r="V221" s="29" t="n"/>
      <c r="W221" s="29" t="inlineStr">
        <is>
          <t>{"source_url": "https://commons.wikimedia.org/wiki/File:Stratumseind_Eindhoven_-_Centrum_1803-78.jpg", "author": "Jan Geerling", "license": "CC BY-SA 4.0", "license_url": "https://creativecommons.org/licenses/by-sa/4.0/", "original_api_record": {"size": 2897844, "width": 4503, "height": 3652, "thumburl": "https://thumb.wikimedia.org/wikipedia/commons/thumb/e/e5/Stratumseind_Eindhoven_-_Centrum_1803-78.jpg/1280px-Stratumseind_Eindhoven_-_Centrum_1803-78.jpg", "thumbwidth": 1280, "thumbheight": 1038, "responsiveUrls": {"2": "https://thumb.wikimedia.org/wikipedia/commons/thumb/e/e5/Stratumseind_Eindhoven_-_Centrum_1803-78.jpg/3840px-Stratumseind_Eindhoven_-_Centrum_1803-78.jpg"}, "thumbattribs": {"src": "https://thumb.wikimedia.org/wikipedia/commons/thumb/e/e5/Stratumseind_Eindhoven_-_Centrum_1803-78.jpg/1280px-Stratumseind_Eindhoven_-_Centrum_1803-78.jpg", "decoding": "async", "loading": "lazy", "width": 1280, "height": 1038, "srcset": "https://thumb.wikimedia.org/wikipedia/commons/thumb/e/e5/Stratumseind_Eindhoven_-_Centrum_1803-78.jpg/3840px-Stratumseind_Eindhoven_-_Centrum_1803-78.jpg 2x"}, "url": "https://upload.wikimedia.org/wikipedia/commons/e/e5/Stratumseind_Eindhoven_-_Centrum_1803-78.jpg", "descriptionurl": "https://commons.wikimedia.org/wiki/File:Stratumseind_Eindhoven_-_Centrum_1803-78.jpg", "descriptionshorturl": "https://commons.wikimedia.org/w/index.php?curid=103740975", "sha1": "8cd07f521b1308f3d33f0644b5423bc9cd0a4515", "extmetadata": {"DateTime": {"value": "2021-04-16 08:25:11", "source": "mediawiki-metadata", "hidden": ""}, "ObjectName": {"value": "Stratumseind Eindhoven - Centrum 1803-78", "source": "mediawiki-metadata"}, "CommonsMetadataExtension": {"value": 1.2, "source": "extension", "hidden": ""}, "Categories": {"value": "Uploaded with pattypan|Stratumseind|Files with coordinates missing SDC location of creation (51° N, 5° E)|Photographs by Jan Geerling contributed in 2021|Photographs by Jan Geerling in Eindhoven", "source": "commons-categories", "hidden": ""}, "Assessments": {"value": "", "source": "commons-categories", "hidden": ""}, "GPSLatitude": {"value": "51.436291", "source": "commons-desc-page"}, "GPSLongitude": {"value": "5.482076", "source": "commons-desc-page"}, "GPSMapDatum": {"value": "WGS-84", "source": "commons-desc-page", "hidden": ""}, "Artist": {"value": "&lt;bdi&gt;&lt;a href=\"https://www.wikidata.org/wiki/Q88378993\" class=\"extiw\" title=\"d:Q88378993\"&gt;&lt;span title=\"Dutch photographer\"&gt;Jan Geerling&lt;/span&gt;&lt;/a&gt;&lt;/bdi&gt;", "source": "commons-desc-page"}, "ImageDescription": {"value": "Café Altstadt.", "source": "commons-desc-page"}, "DateTimeOriginal": {"value": "Tue Mar 20 15:05:00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"https://thumb.wikimedia.org/wikipedia/commons/thumb/e/e5/Stratumseind_Eindhoven_-_Centrum_1803-78.jpg/1280px-Stratumseind_Eindhoven_-_Centrum_1803-78.jpg"}, "retrieved_on": "2026-10-23"}</t>
        </is>
      </c>
    </row>
    <row r="222" ht="54" customHeight="1">
      <c r="A222" s="29" t="inlineStr">
        <is>
          <t>eindhoven:evidence:altstadt-eindhoven-02</t>
        </is>
      </c>
      <c r="B222" s="29" t="inlineStr">
        <is>
          <t>eindhoven</t>
        </is>
      </c>
      <c r="C222" s="29" t="inlineStr">
        <is>
          <t>eindhoven:photo:altstadt-eindhoven-02</t>
        </is>
      </c>
      <c r="D222" s="29" t="inlineStr">
        <is>
          <t>https://commons.wikimedia.org/wiki/File:Stratumseind_71,_Eindhoven.JPG</t>
        </is>
      </c>
      <c r="E222" s="29" t="inlineStr">
        <is>
          <t>File:Stratumseind 71, Eindhoven.JPG</t>
        </is>
      </c>
      <c r="F222" s="29" t="inlineStr">
        <is>
          <t>Rosemoon</t>
        </is>
      </c>
      <c r="G222" s="29" t="inlineStr">
        <is>
          <t>CC BY-SA 3.0</t>
        </is>
      </c>
      <c r="H222" s="29" t="inlineStr">
        <is>
          <t>https://creativecommons.org/licenses/by-sa/3.0/</t>
        </is>
      </c>
      <c r="I222" s="29" t="inlineStr">
        <is>
          <t>Creative Commons Attribution-Share Alike 3.0</t>
        </is>
      </c>
      <c r="J222" s="29" t="inlineStr">
        <is>
          <t>Rosemoon · CC BY-SA 3.0 · Wikimedia Commons</t>
        </is>
      </c>
      <c r="K222" s="29" t="n"/>
      <c r="L222" s="49" t="n">
        <v>46317</v>
      </c>
      <c r="M222" s="29" t="inlineStr">
        <is>
          <t>Bekliyor</t>
        </is>
      </c>
      <c r="N222" s="29" t="inlineStr">
        <is>
          <t>Bekliyor</t>
        </is>
      </c>
      <c r="O222" s="29" t="inlineStr">
        <is>
          <t>Fotoğraflar/eindhoven_altstadt-eindhoven_02.jpg</t>
        </is>
      </c>
      <c r="P222" s="29" t="inlineStr">
        <is>
          <t>Açık yeşil iki katlı cephe, üstte kırmızı 'altstadt' harfleri; koyu zemin kat, önde istiflenmiş hasır sandalyeler, ahşap yüksek masalar ve kara tahta; sağda sarı komşu bina; mavi gök; insan yok</t>
        </is>
      </c>
      <c r="Q222" s="29" t="inlineStr">
        <is>
          <t>Bekliyor</t>
        </is>
      </c>
      <c r="R222" s="29" t="inlineStr">
        <is>
          <t>Wikimedia Commons dosya sayfasındaki lisans: CC BY-SA 3.0</t>
        </is>
      </c>
      <c r="S222" s="29" t="n"/>
      <c r="T222" s="29" t="n"/>
      <c r="U222" s="29" t="n"/>
      <c r="V222" s="29" t="n"/>
      <c r="W222" s="29" t="inlineStr">
        <is>
          <t>{"source_url": "https://commons.wikimedia.org/wiki/File:Stratumseind_71,_Eindhoven.JPG", "author": "Rosemoon", "license": "CC BY-SA 3.0", "license_url": "https://creativecommons.org/licenses/by-sa/3.0/", "original_api_record": {"size": 5961728, "width": 4320, "height": 3240, "thumburl": "https://thumb.wikimedia.org/wikipedia/commons/thumb/b/b2/Stratumseind_71%2C_Eindhoven.JPG/1920px-Stratumseind_71%2C_Eindhoven.JPG?utm_source=commons.wikimedia.org&amp;utm_campaign=imageinfo&amp;utm_content=thumbnail", "thumbwidth": 1600, "thumbheight": 1200, "responsiveUrls": {"2": "https://thumb.wikimedia.org/wikipedia/commons/thumb/b/b2/Stratumseind_71%2C_Eindhoven.JPG/3840px-Stratumseind_71%2C_Eindhoven.JPG?utm_source=commons.wikimedia.org&amp;utm_campaign=imageinfo&amp;utm_content=thumbnail"}, "thumbattribs": {"src": "https://thumb.wikimedia.org/wikipedia/commons/thumb/b/b2/Stratumseind_71%2C_Eindhoven.JPG/1920px-Stratumseind_71%2C_Eindhoven.JPG?utm_source=commons.wikimedia.org&amp;utm_campaign=imageinfo&amp;utm_content=thumbnail", "decoding": "async", "loading": "lazy", "width": 1600, "height": 1200, "srcset": "https://thumb.wikimedia.org/wikipedia/commons/thumb/b/b2/Stratumseind_71%2C_Eindhoven.JPG/3840px-Stratumseind_71%2C_Eindhoven.JPG?utm_source=commons.wikimedia.org&amp;utm_campaign=imageinfo&amp;utm_content=thumbnail 2x"}, "url": "https://upload.wikimedia.org/wikipedia/commons/b/b2/Stratumseind_71%2C_Eindhoven.JPG?utm_source=commons.wikimedia.org&amp;utm_campaign=imageinfo&amp;utm_content=original", "descriptionurl": "https://commons.wikimedia.org/wiki/File:Stratumseind_71,_Eindhoven.JPG", "descriptionshorturl": "https://commons.wikimedia.org/w/index.php?curid=29662597", "sha1": "b34b28de0b93a948c4a17a1bc5e3ae1442c03c43", "extmetadata": {"DateTime": {"value": "2013-11-16 16:18:36", "source": "mediawiki-metadata", "hidden": ""}, "ObjectName": {"value": "Stratumseind 71, Eindhoven", "source": "mediawiki-metadata"}, "CommonsMetadataExtension": {"value": 1.2, "source": "extension", "hidden": ""}, "Categories": {"value": "Taken with Panasonic Lumix DMC-TZ20|Gemeentelijke monumenten in Eindhoven|Stratumseind|Self-published work|2013 in Eindhoven|Cafés in Eindhoven|Netherlands photographs taken on 2013-04-21|Files with coordinates missing SDC location of creation (51° N, 5° E)", "source": "commons-categories", "hidden": ""}, "Assessments": {"value": "", "source": "commons-categories", "hidden": ""}, "GPSLatitude": {"value": "51.436313", "source": "commons-desc-page"}, "GPSLongitude": {"value": "5.482201", "source": "commons-desc-page"}, "GPSMapDatum": {"value": "WGS-84", "source": "commons-desc-page", "hidden": ""}, "ImageDescription": {"value": "Stratumseind 71, Eindhoven", "source": "commons-desc-page"}, "DateTimeOriginal": {"value": "2013-04-21 10:07:21",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"https://thumb.wikimedia.org/wikipedia/commons/thumb/b/b2/Stratumseind_71%2C_Eindhoven.JPG/1280px-Stratumseind_71%2C_Eindhoven.JPG"}, "retrieved_on": "2026-10-23"}</t>
        </is>
      </c>
    </row>
    <row r="223" ht="54" customHeight="1">
      <c r="A223" s="29" t="inlineStr">
        <is>
          <t>eindhoven:evidence:rugby-club-eindhoven-01</t>
        </is>
      </c>
      <c r="B223" s="29" t="inlineStr">
        <is>
          <t>eindhoven</t>
        </is>
      </c>
      <c r="C223" s="29" t="inlineStr">
        <is>
          <t>eindhoven:photo:rugby-club-eindhoven-01</t>
        </is>
      </c>
      <c r="D223" s="29" t="inlineStr">
        <is>
          <t>https://commons.wikimedia.org/wiki/File:Rugbyclub_Eindhoven_1.jpg</t>
        </is>
      </c>
      <c r="E223" s="29" t="inlineStr">
        <is>
          <t>File:Rugbyclub Eindhoven 1.jpg</t>
        </is>
      </c>
      <c r="F223" s="29" t="inlineStr">
        <is>
          <t>Joris</t>
        </is>
      </c>
      <c r="G223" s="29" t="inlineStr">
        <is>
          <t>CC BY-SA 4.0</t>
        </is>
      </c>
      <c r="H223" s="29" t="inlineStr">
        <is>
          <t>https://creativecommons.org/licenses/by-sa/4.0/</t>
        </is>
      </c>
      <c r="I223" s="29" t="inlineStr">
        <is>
          <t>Creative Commons Attribution-Share Alike 4.0</t>
        </is>
      </c>
      <c r="J223" s="29" t="inlineStr">
        <is>
          <t>Joris · CC BY-SA 4.0 · Wikimedia Commons</t>
        </is>
      </c>
      <c r="K223" s="29" t="n"/>
      <c r="L223" s="49" t="n">
        <v>46317</v>
      </c>
      <c r="M223" s="29" t="inlineStr">
        <is>
          <t>Bekliyor</t>
        </is>
      </c>
      <c r="N223" s="29" t="inlineStr">
        <is>
          <t>Bekliyor</t>
        </is>
      </c>
      <c r="O223" s="29" t="inlineStr">
        <is>
          <t>Fotoğraflar/eindhoven_rugby-club-eindhoven_01.jpg</t>
        </is>
      </c>
      <c r="P223" s="29" t="inlineStr">
        <is>
          <t>Beyaz çizgili geniş çim rugby sahası, sağda yüksek H biçimli kale direkleri; arkada yapraksız ağaç sırası, solda uzakta koyu renkli alçak kulüp binası; uzakta birkaç kişi; açık mavi gök</t>
        </is>
      </c>
      <c r="Q223" s="29" t="inlineStr">
        <is>
          <t>Bekliyor</t>
        </is>
      </c>
      <c r="R223" s="29" t="inlineStr">
        <is>
          <t>Wikimedia Commons dosya sayfasındaki lisans: CC BY-SA 4.0</t>
        </is>
      </c>
      <c r="S223" s="29" t="n"/>
      <c r="T223" s="29" t="n"/>
      <c r="U223" s="29" t="n"/>
      <c r="V223" s="29" t="n"/>
      <c r="W223" s="29" t="inlineStr">
        <is>
          <t>{"source_url": "https://commons.wikimedia.org/wiki/File:Rugbyclub_Eindhoven_1.jpg", "author": "Joris", "license": "CC BY-SA 4.0", "license_url": "https://creativecommons.org/licenses/by-sa/4.0/", "original_api_record": {"size": 5396985, "width": 4624, "height": 2604, "thumburl": "https://thumb.wikimedia.org/wikipedia/commons/thumb/1/10/Rugbyclub_Eindhoven_1.jpg/1920px-Rugbyclub_Eindhoven_1.jpg?utm_source=commons.wikimedia.org&amp;utm_campaign=imageinfo&amp;utm_content=thumbnail", "thumbwidth": 1600, "thumbheight": 901, "responsiveUrls": {"2": "https://thumb.wikimedia.org/wikipedia/commons/thumb/1/10/Rugbyclub_Eindhoven_1.jpg/3840px-Rugbyclub_Eindhoven_1.jpg?utm_source=commons.wikimedia.org&amp;utm_campaign=imageinfo&amp;utm_content=thumbnail"}, "thumbattribs": {"src": "https://thumb.wikimedia.org/wikipedia/commons/thumb/1/10/Rugbyclub_Eindhoven_1.jpg/1920px-Rugbyclub_Eindhoven_1.jpg?utm_source=commons.wikimedia.org&amp;utm_campaign=imageinfo&amp;utm_content=thumbnail", "decoding": "async", "loading": "lazy", "width": 1600, "height": 901, "srcset": "https://thumb.wikimedia.org/wikipedia/commons/thumb/1/10/Rugbyclub_Eindhoven_1.jpg/3840px-Rugbyclub_Eindhoven_1.jpg?utm_source=commons.wikimedia.org&amp;utm_campaign=imageinfo&amp;utm_content=thumbnail 2x"}, "url": "https://upload.wikimedia.org/wikipedia/commons/1/10/Rugbyclub_Eindhoven_1.jpg?utm_source=commons.wikimedia.org&amp;utm_campaign=imageinfo&amp;utm_content=original", "descriptionurl": "https://commons.wikimedia.org/wiki/File:Rugbyclub_Eindhoven_1.jpg", "descriptionshorturl": "https://commons.wikimedia.org/w/index.php?curid=155716482", "sha1": "ff123f1f2d700f3f01d723addb4495e3d9349e50", "extmetadata": {"DateTime": {"value": "2024-11-24 21:55:40", "source": "mediawiki-metadata", "hidden": ""}, "ObjectName": {"value": "Rugbyclub Eindhoven 1", "source": "mediawiki-metadata"}, "CommonsMetadataExtension": {"value": 1.2, "source": "extension", "hidden": ""}, "Categories": {"value": "Self-published work|Files with coordinates missing SDC location of creation (51° N, 5° E)|Rugbyclub Eindhoven", "source": "commons-categories", "hidden": ""}, "Assessments": {"value": "", "source": "commons-categories", "hidden": ""}, "GPSLatitude": {"value": "51.474280", "source": "commons-desc-page"}, "GPSLongitude": {"value": "5.454284", "source": "commons-desc-page"}, "GPSMapDatum": {"value": "WGS-84", "source": "commons-desc-page", "hidden": ""}, "ImageDescription": {"value": "Rugbyclub Eindhoven", "source": "commons-desc-page"}, "DateTimeOriginal": {"value": "2023-04-15 11:04:19", "source": "commons-desc-page"}, "Credit": {"value": "&lt;span class=\"int-own-work\" lang=\"en\"&gt;Own work&lt;/span&gt;", "source": "commons-desc-page"}, "Artist": {"value": "&lt;a href=\"//commons.wikimedia.org/wiki/User:Joris\" title=\"User:Joris\"&gt;Joris&lt;/a&gt;",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"https://thumb.wikimedia.org/wikipedia/commons/thumb/1/10/Rugbyclub_Eindhoven_1.jpg/1280px-Rugbyclub_Eindhoven_1.jpg"}, "retrieved_on": "2026-10-23"}</t>
        </is>
      </c>
    </row>
    <row r="224" ht="54" customHeight="1">
      <c r="A224" s="29" t="inlineStr">
        <is>
          <t>eindhoven:evidence:rugby-club-eindhoven-02</t>
        </is>
      </c>
      <c r="B224" s="29" t="inlineStr">
        <is>
          <t>eindhoven</t>
        </is>
      </c>
      <c r="C224" s="29" t="inlineStr">
        <is>
          <t>eindhoven:photo:rugby-club-eindhoven-02</t>
        </is>
      </c>
      <c r="D224" s="29" t="inlineStr">
        <is>
          <t>https://commons.wikimedia.org/wiki/File:Rugbyclub_Eindhoven_2.jpg</t>
        </is>
      </c>
      <c r="E224" s="29" t="inlineStr">
        <is>
          <t>File:Rugbyclub Eindhoven 2.jpg</t>
        </is>
      </c>
      <c r="F224" s="29" t="inlineStr">
        <is>
          <t>Joris</t>
        </is>
      </c>
      <c r="G224" s="29" t="inlineStr">
        <is>
          <t>CC BY-SA 4.0</t>
        </is>
      </c>
      <c r="H224" s="29" t="inlineStr">
        <is>
          <t>https://creativecommons.org/licenses/by-sa/4.0/</t>
        </is>
      </c>
      <c r="I224" s="29" t="inlineStr">
        <is>
          <t>Creative Commons Attribution-Share Alike 4.0</t>
        </is>
      </c>
      <c r="J224" s="29" t="inlineStr">
        <is>
          <t>Joris · CC BY-SA 4.0 · Wikimedia Commons</t>
        </is>
      </c>
      <c r="K224" s="29" t="n"/>
      <c r="L224" s="49" t="n">
        <v>46317</v>
      </c>
      <c r="M224" s="29" t="inlineStr">
        <is>
          <t>Bekliyor</t>
        </is>
      </c>
      <c r="N224" s="29" t="inlineStr">
        <is>
          <t>Bekliyor</t>
        </is>
      </c>
      <c r="O224" s="29" t="inlineStr">
        <is>
          <t>Fotoğraflar/eindhoven_rugby-club-eindhoven_02.jpg</t>
        </is>
      </c>
      <c r="P224" s="29" t="inlineStr">
        <is>
          <t>Çim sahanın ardında 'Rugby Club Eindhoven' yazılı, logolu koyu gri tek katlı kulüp binası; önünde toplanmış insanlar (uzakta), piknik masaları, bisikletler, yapraksız ağaçlar ve arabalar</t>
        </is>
      </c>
      <c r="Q224" s="29" t="inlineStr">
        <is>
          <t>Bekliyor</t>
        </is>
      </c>
      <c r="R224" s="29" t="inlineStr">
        <is>
          <t>Wikimedia Commons dosya sayfasındaki lisans: CC BY-SA 4.0</t>
        </is>
      </c>
      <c r="S224" s="29" t="n"/>
      <c r="T224" s="29" t="n"/>
      <c r="U224" s="29" t="n"/>
      <c r="V224" s="29" t="n"/>
      <c r="W224" s="29" t="inlineStr">
        <is>
          <t>{"source_url": "https://commons.wikimedia.org/wiki/File:Rugbyclub_Eindhoven_2.jpg", "author": "Joris", "license": "CC BY-SA 4.0", "license_url": "https://creativecommons.org/licenses/by-sa/4.0/", "original_api_record": {"size": 7293615, "width": 4624, "height": 2604, "thumburl": "https://thumb.wikimedia.org/wikipedia/commons/thumb/2/28/Rugbyclub_Eindhoven_2.jpg/1920px-Rugbyclub_Eindhoven_2.jpg?utm_source=commons.wikimedia.org&amp;utm_campaign=imageinfo&amp;utm_content=thumbnail", "thumbwidth": 1600, "thumbheight": 901, "responsiveUrls": {"2": "https://thumb.wikimedia.org/wikipedia/commons/thumb/2/28/Rugbyclub_Eindhoven_2.jpg/3840px-Rugbyclub_Eindhoven_2.jpg?utm_source=commons.wikimedia.org&amp;utm_campaign=imageinfo&amp;utm_content=thumbnail"}, "thumbattribs": {"src": "https://thumb.wikimedia.org/wikipedia/commons/thumb/2/28/Rugbyclub_Eindhoven_2.jpg/1920px-Rugbyclub_Eindhoven_2.jpg?utm_source=commons.wikimedia.org&amp;utm_campaign=imageinfo&amp;utm_content=thumbnail", "decoding": "async", "loading": "lazy", "width": 1600, "height": 901, "srcset": "https://thumb.wikimedia.org/wikipedia/commons/thumb/2/28/Rugbyclub_Eindhoven_2.jpg/3840px-Rugbyclub_Eindhoven_2.jpg?utm_source=commons.wikimedia.org&amp;utm_campaign=imageinfo&amp;utm_content=thumbnail 2x"}, "url": "https://upload.wikimedia.org/wikipedia/commons/2/28/Rugbyclub_Eindhoven_2.jpg?utm_source=commons.wikimedia.org&amp;utm_campaign=imageinfo&amp;utm_content=original", "descriptionurl": "https://commons.wikimedia.org/wiki/File:Rugbyclub_Eindhoven_2.jpg", "descriptionshorturl": "https://commons.wikimedia.org/w/index.php?curid=155716481", "sha1": "a35afac7a63d4b414d7a42f32935b19ecc7e2df7", "extmetadata": {"DateTime": {"value": "2024-11-24 21:55:40", "source": "mediawiki-metadata", "hidden": ""}, "ObjectName": {"value": "Rugbyclub Eindhoven 2", "source": "mediawiki-metadata"}, "CommonsMetadataExtension": {"value": 1.2, "source": "extension", "hidden": ""}, "Categories": {"value": "Self-published work|Files with coordinates missing SDC location of creation (51° N, 5° E)|Rugbyclub Eindhoven", "source": "commons-categories", "hidden": ""}, "Assessments": {"value": "", "source": "commons-categories", "hidden": ""}, "GPSLatitude": {"value": "51.474655", "source": "commons-desc-page"}, "GPSLongitude": {"value": "5.455160", "source": "commons-desc-page"}, "GPSMapDatum": {"value": "WGS-84", "source": "commons-desc-page", "hidden": ""}, "ImageDescription": {"value": "Rugbyclub Eindhoven", "source": "commons-desc-page"}, "DateTimeOriginal": {"value": "2023-04-15 11:05:34", "source": "commons-desc-page"}, "Credit": {"value": "&lt;span class=\"int-own-work\" lang=\"en\"&gt;Own work&lt;/span&gt;", "source": "commons-desc-page"}, "Artist": {"value": "&lt;a href=\"//commons.wikimedia.org/wiki/User:Joris\" title=\"User:Joris\"&gt;Joris&lt;/a&gt;",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"https://thumb.wikimedia.org/wikipedia/commons/thumb/2/28/Rugbyclub_Eindhoven_2.jpg/1280px-Rugbyclub_Eindhoven_2.jpg"}, "retrieved_on": "2026-10-23"}</t>
        </is>
      </c>
    </row>
    <row r="225" ht="54" customHeight="1">
      <c r="A225" s="29" t="inlineStr">
        <is>
          <t>eindhoven:evidence:hc-oranje-rood-01</t>
        </is>
      </c>
      <c r="B225" s="29" t="inlineStr">
        <is>
          <t>eindhoven</t>
        </is>
      </c>
      <c r="C225" s="29" t="inlineStr">
        <is>
          <t>eindhoven:photo:hc-oranje-rood-01</t>
        </is>
      </c>
      <c r="D225" s="29" t="inlineStr">
        <is>
          <t>https://commons.wikimedia.org/wiki/File:Oranje-rood-stadion.jpg</t>
        </is>
      </c>
      <c r="E225" s="29" t="inlineStr">
        <is>
          <t>File:Oranje-rood-stadion.jpg</t>
        </is>
      </c>
      <c r="F225" s="29" t="inlineStr">
        <is>
          <t>de:Benutzer:Feathil</t>
        </is>
      </c>
      <c r="G225" s="29" t="inlineStr">
        <is>
          <t>CC BY-SA 3.0 de</t>
        </is>
      </c>
      <c r="H225" s="29" t="inlineStr">
        <is>
          <t>https://creativecommons.org/licenses/by-sa/3.0/de/deed.en/</t>
        </is>
      </c>
      <c r="I225" s="29" t="inlineStr">
        <is>
          <t>Creative Commons Attribution-Share Alike 3.0 de</t>
        </is>
      </c>
      <c r="J225" s="29" t="inlineStr">
        <is>
          <t>de:Benutzer:Feathil · CC BY-SA 3.0 de · Wikimedia Commons</t>
        </is>
      </c>
      <c r="K225" s="29" t="n"/>
      <c r="L225" s="49" t="n">
        <v>46317</v>
      </c>
      <c r="M225" s="29" t="inlineStr">
        <is>
          <t>Bekliyor</t>
        </is>
      </c>
      <c r="N225" s="29" t="inlineStr">
        <is>
          <t>Bekliyor</t>
        </is>
      </c>
      <c r="O225" s="29" t="inlineStr">
        <is>
          <t>Fotoğraflar/eindhoven_hc-oranje-rood_01.jpg</t>
        </is>
      </c>
      <c r="P225" s="29" t="inlineStr">
        <is>
          <t>Yeşil sentetik hokey sahasında beyaz ve koyu formalı oyuncular; arkada seyircilerle dolu tribün, üstünde gri modern kulüp binası, ışık direkleri, mavi şemsiyeler; bulutlu</t>
        </is>
      </c>
      <c r="Q225" s="29" t="inlineStr">
        <is>
          <t>Bekliyor</t>
        </is>
      </c>
      <c r="R225" s="29" t="inlineStr">
        <is>
          <t>Wikimedia Commons dosya sayfasındaki lisans: CC BY-SA 3.0 de</t>
        </is>
      </c>
      <c r="S225" s="29" t="n"/>
      <c r="T225" s="29" t="n"/>
      <c r="U225" s="29" t="n"/>
      <c r="V225" s="29" t="n"/>
      <c r="W225" s="29" t="inlineStr">
        <is>
          <t>{"source_url": "https://commons.wikimedia.org/wiki/File:Oranje-rood-stadion.jpg", "author": "de:Benutzer:Feathil", "license": "CC BY-SA 3.0 de", "license_url": "https://creativecommons.org/licenses/by-sa/3.0/de/deed.en/", "original_api_record": {"size": 1060591, "width": 3000, "height": 2000, "thumburl": "https://thumb.wikimedia.org/wikipedia/commons/thumb/4/43/Oranje-rood-stadion.jpg/1280px-Oranje-rood-stadion.jpg", "thumbwidth": 1280, "thumbheight": 853, "responsiveUrls": {"2": "https://upload.wikimedia.org/wikipedia/commons/4/43/Oranje-rood-stadion.jpg"}, "thumbattribs": {"src": "https://thumb.wikimedia.org/wikipedia/commons/thumb/4/43/Oranje-rood-stadion.jpg/1280px-Oranje-rood-stadion.jpg", "decoding": "async", "loading": "lazy", "width": 1280, "height": 853, "srcset": "https://upload.wikimedia.org/wikipedia/commons/4/43/Oranje-rood-stadion.jpg 2x"}, "url": "https://upload.wikimedia.org/wikipedia/commons/4/43/Oranje-rood-stadion.jpg", "descriptionurl": "https://commons.wikimedia.org/wiki/File:Oranje-rood-stadion.jpg", "descriptionshorturl": "https://commons.wikimedia.org/w/index.php?curid=58105141", "sha1": "6d80b1b60578677cf8d8748ff6818426835b901a", "extmetadata": {"DateTime": {"value": "2017-04-17 11:27:23", "source": "mediawiki-metadata", "hidden": ""}, "ObjectName": {"value": "Oranje-rood-stadion", "source": "mediawiki-metadata"}, "CommonsMetadataExtension": {"value": 1.2, "source": "extension", "hidden": ""}, "Categories": {"value": "GFDL|License migration not eligible|2017 in field hockey|Euro Hockey League|Field hockey venues in the Netherlands", "source": "commons-categories", "hidden": ""}, "Assessments": {"value": "", "source": "commons-categories", "hidden": ""}, "ImageDescription": {"value": "Tribüne und Clubhaus des HC Oranje-Rood", "source": "commons-desc-page"}, "DateTimeOriginal": {"value": "2017-04-14", "source": "commons-desc-page"}, "Credit": {"value": "&lt;span class=\"int-own-work\" lang=\"en\"&gt;Own work&lt;/span&gt; (&lt;span lang=\"en\" dir=\"ltr\"&gt;Original text: &lt;i&gt;&lt;bdi lang=\"\"&gt;eigene Fotographie&lt;/bdi&gt;&lt;/i&gt;&lt;/span&gt;)", "source": "commons-desc-page"}, "Artist": {"value": "&lt;a href=\"https://de.wikipedia.org/wiki/Benutzer:Feathil\" class=\"extiw\" title=\"de:Benutzer:Feathil\"&gt;de:Benutzer:Feathil&lt;/a&gt;", "source": "commons-desc-page"}, "LicenseShortName": {"value": "CC BY-SA 3.0 de", "source": "commons-desc-page", "hidden": ""}, "UsageTerms": {"value": "Creative Commons Attribution-Share Alike 3.0 de", "source": "commons-desc-page"}, "AttributionRequired": {"value": "true", "source": "commons-desc-page", "hidden": ""}, "LicenseUrl": {"value": "https://creativecommons.org/licenses/by-sa/3.0/de/deed.en", "source": "commons-desc-page"}, "Copyrighted": {"value": "True", "source": "commons-desc-page", "hidden": ""}, "Restrictions": {"value": "", "source": "commons-desc-page", "hidden": ""}, "License": {"value": "cc-by-sa-3.0-de", "source": "commons-templates", "hidden": ""}}, "mime": "image/jpeg"}, "delivered_file": {"url": "https://thumb.wikimedia.org/wikipedia/commons/thumb/4/43/Oranje-rood-stadion.jpg/1280px-Oranje-rood-stadion.jpg"}, "retrieved_on": "2026-10-23"}</t>
        </is>
      </c>
    </row>
    <row r="226" ht="54" customHeight="1">
      <c r="A226" s="29" t="inlineStr">
        <is>
          <t>eindhoven:evidence:kapak-01</t>
        </is>
      </c>
      <c r="B226" s="29" t="inlineStr">
        <is>
          <t>eindhoven</t>
        </is>
      </c>
      <c r="C226" s="29" t="inlineStr">
        <is>
          <t>eindhoven:photo:kapak-01</t>
        </is>
      </c>
      <c r="D226" s="29" t="inlineStr">
        <is>
          <t>https://commons.wikimedia.org/wiki/File:13-06-28-eindhoven-by-RalfR-16.jpg</t>
        </is>
      </c>
      <c r="E226" s="29" t="inlineStr">
        <is>
          <t>File:13-06-28-eindhoven-by-RalfR-16.jpg</t>
        </is>
      </c>
      <c r="F226" s="29" t="inlineStr">
        <is>
          <t>Ralf Roletschek</t>
        </is>
      </c>
      <c r="G226" s="29" t="inlineStr">
        <is>
          <t>CC BY 3.0</t>
        </is>
      </c>
      <c r="H226" s="29" t="inlineStr">
        <is>
          <t>https://creativecommons.org/licenses/by/3.0/</t>
        </is>
      </c>
      <c r="I226" s="29" t="inlineStr">
        <is>
          <t>Creative Commons Attribution 3.0</t>
        </is>
      </c>
      <c r="J226" s="29" t="inlineStr">
        <is>
          <t>Ralf Roletschek · CC BY 3.0 · Wikimedia Commons</t>
        </is>
      </c>
      <c r="K226" s="29" t="n"/>
      <c r="L226" s="49" t="n">
        <v>46317</v>
      </c>
      <c r="M226" s="29" t="inlineStr">
        <is>
          <t>Bekliyor</t>
        </is>
      </c>
      <c r="N226" s="29" t="inlineStr">
        <is>
          <t>Bekliyor</t>
        </is>
      </c>
      <c r="O226" s="29" t="inlineStr">
        <is>
          <t>Fotoğraflar/eindhoven_kapak_01.jpg</t>
        </is>
      </c>
      <c r="P226" s="29" t="inlineStr">
        <is>
          <t>Bulutlu havada geniş taş meydan; ortada cam kubbe, sağda beyaz eğik yapı, küçük ölçekte yürüyen insanlar ve bisikletliler, belirgin yüz yok</t>
        </is>
      </c>
      <c r="Q226" s="29" t="inlineStr">
        <is>
          <t>Bekliyor</t>
        </is>
      </c>
      <c r="R226" s="29" t="inlineStr">
        <is>
          <t>Wikimedia Commons dosya sayfasındaki lisans: CC BY 3.0</t>
        </is>
      </c>
      <c r="S226" s="29" t="n"/>
      <c r="T226" s="29" t="n"/>
      <c r="U226" s="29" t="n"/>
      <c r="V226" s="29" t="n"/>
      <c r="W226" s="29" t="inlineStr">
        <is>
          <t>{"source_url": "https://commons.wikimedia.org/wiki/File:13-06-28-eindhoven-by-RalfR-16.jpg", "author": "Ralf Roletschek", "license": "CC BY 3.0", "license_url": "https://creativecommons.org/licenses/by/3.0/", "original_api_record": {"size": 8696924, "width": 4288, "height": 2848, "thumburl": "https://thumb.wikimedia.org/wikipedia/commons/thumb/5/57/13-06-28-eindhoven-by-RalfR-16.jpg/1920px-13-06-28-eindhoven-by-RalfR-16.jpg?utm_source=commons.wikimedia.org&amp;utm_campaign=imageinfo&amp;utm_content=thumbnail", "thumbwidth": 1600, "thumbheight": 1063, "responsiveUrls": {"2": "https://thumb.wikimedia.org/wikipedia/commons/thumb/5/57/13-06-28-eindhoven-by-RalfR-16.jpg/3840px-13-06-28-eindhoven-by-RalfR-16.jpg?utm_source=commons.wikimedia.org&amp;utm_campaign=imageinfo&amp;utm_content=thumbnail"}, "thumbattribs": {"src": "https://thumb.wikimedia.org/wikipedia/commons/thumb/5/57/13-06-28-eindhoven-by-RalfR-16.jpg/1920px-13-06-28-eindhoven-by-RalfR-16.jpg?utm_source=commons.wikimedia.org&amp;utm_campaign=imageinfo&amp;utm_content=thumbnail", "decoding": "async", "loading": "lazy", "width": 1600, "height": 1063, "srcset": "https://thumb.wikimedia.org/wikipedia/commons/thumb/5/57/13-06-28-eindhoven-by-RalfR-16.jpg/3840px-13-06-28-eindhoven-by-RalfR-16.jpg?utm_source=commons.wikimedia.org&amp;utm_campaign=imageinfo&amp;utm_content=thumbnail 2x"}, "url": "https://upload.wikimedia.org/wikipedia/commons/5/57/13-06-28-eindhoven-by-RalfR-16.jpg?utm_source=commons.wikimedia.org&amp;utm_campaign=imageinfo&amp;utm_content=original", "descriptionurl": "https://commons.wikimedia.org/wiki/File:13-06-28-eindhoven-by-RalfR-16.jpg", "descriptionshorturl": "https://commons.wikimedia.org/w/index.php?curid=26941459", "sha1": "5f98dc6301fba3f667a6ecb663a9c7fee8b1b125", "extmetadata": {"DateTime": {"value": "2013-06-28 20:32:11", "source": "mediawiki-metadata", "hidden": ""}, "ObjectName": {"value": "13-06-28-eindhoven-by-RalfR-16", "source": "mediawiki-metadata"}, "CommonsMetadataExtension": {"value": 1.2, "source": "extension", "hidden": ""}, "Categories": {"value": "GFDL|Taken with Nikon D300s|License migration redundant|18 Septemberplein (Eindhoven)|Self-published work|Supported by Wikimedia Deutschland|Supported by Wikimedia Österreich|Images by Ralf Roletschek/x|2013 in Eindhoven|Netherlands photographs taken on 2013-06-28|Files with coordinates missing SDC location of creation (51° N, 5° E)|Fotoaktion Robocup 2013", "source": "commons-categories", "hidden": ""}, "Assessments": {"value": "", "source": "commons-categories", "hidden": ""}, "GPSLatitude": {"value": "51.440953", "source": "commons-desc-page"}, "GPSLongitude": {"value": "5.477738", "source": "commons-desc-page"}, "GPSMapDatum": {"value": "WGS-84", "source": "commons-desc-page", "hidden": ""}, "ImageDescription": {"value": "Eindhoven, Niederlande, Stadtzentrum", "source": "commons-desc-page"}, "DateTimeOriginal": {"value": "2013-06-28 15:19:19",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"https://thumb.wikimedia.org/wikipedia/commons/thumb/5/57/13-06-28-eindhoven-by-RalfR-16.jpg/1280px-13-06-28-eindhoven-by-RalfR-16.jpg"}, "retrieved_on": "2026-10-23"}</t>
        </is>
      </c>
    </row>
    <row r="227" ht="54" customHeight="1">
      <c r="A227" s="29" t="inlineStr">
        <is>
          <t>eindhoven:evidence:kapak-02</t>
        </is>
      </c>
      <c r="B227" s="29" t="inlineStr">
        <is>
          <t>eindhoven</t>
        </is>
      </c>
      <c r="C227" s="29" t="inlineStr">
        <is>
          <t>eindhoven:photo:kapak-02</t>
        </is>
      </c>
      <c r="D227" s="29" t="inlineStr">
        <is>
          <t>https://commons.wikimedia.org/wiki/File:Klokgebouw_Eindhoven.jpg</t>
        </is>
      </c>
      <c r="E227" s="29" t="inlineStr">
        <is>
          <t>File:Klokgebouw Eindhoven.jpg</t>
        </is>
      </c>
      <c r="F227" s="29" t="inlineStr">
        <is>
          <t>Choinowski</t>
        </is>
      </c>
      <c r="G227" s="29" t="inlineStr">
        <is>
          <t>CC BY-SA 4.0</t>
        </is>
      </c>
      <c r="H227" s="29" t="inlineStr">
        <is>
          <t>https://creativecommons.org/licenses/by-sa/4.0/</t>
        </is>
      </c>
      <c r="I227" s="29" t="inlineStr">
        <is>
          <t>Creative Commons Attribution-Share Alike 4.0</t>
        </is>
      </c>
      <c r="J227" s="29" t="inlineStr">
        <is>
          <t>Choinowski · CC BY-SA 4.0 · Wikimedia Commons</t>
        </is>
      </c>
      <c r="K227" s="29" t="n"/>
      <c r="L227" s="49" t="n">
        <v>46317</v>
      </c>
      <c r="M227" s="29" t="inlineStr">
        <is>
          <t>Bekliyor</t>
        </is>
      </c>
      <c r="N227" s="29" t="inlineStr">
        <is>
          <t>Bekliyor</t>
        </is>
      </c>
      <c r="O227" s="29" t="inlineStr">
        <is>
          <t>Fotoğraflar/eindhoven_kapak_02.jpg</t>
        </is>
      </c>
      <c r="P227" s="29" t="inlineStr">
        <is>
          <t>Mavi gökyüzü ve bulutlar, güneşli uzun beyaz fabrika binası, solda saatli kule, önde gölgeli çimenlik</t>
        </is>
      </c>
      <c r="Q227" s="29" t="inlineStr">
        <is>
          <t>Bekliyor</t>
        </is>
      </c>
      <c r="R227" s="29" t="inlineStr">
        <is>
          <t>Wikimedia Commons dosya sayfasındaki lisans: CC BY-SA 4.0</t>
        </is>
      </c>
      <c r="S227" s="29" t="n"/>
      <c r="T227" s="29" t="n"/>
      <c r="U227" s="29" t="n"/>
      <c r="V227" s="29" t="n"/>
      <c r="W227" s="29" t="inlineStr">
        <is>
          <t>{"source_url": "https://commons.wikimedia.org/wiki/File:Klokgebouw_Eindhoven.jpg", "author": "Choinowski", "license": "CC BY-SA 4.0", "license_url": "https://creativecommons.org/licenses/by-sa/4.0/", "original_api_record": {"size": 3856026, "width": 5059, "height": 3373, "thumburl": "https://thumb.wikimedia.org/wikipedia/commons/thumb/8/8e/Klokgebouw_Eindhoven.jpg/1920px-Klokgebouw_Eindhoven.jpg?utm_source=commons.wikimedia.org&amp;utm_campaign=imageinfo&amp;utm_content=thumbnail", "thumbwidth": 1600, "thumbheight": 1067, "responsiveUrls": {"2": "https://thumb.wikimedia.org/wikipedia/commons/thumb/8/8e/Klokgebouw_Eindhoven.jpg/3840px-Klokgebouw_Eindhoven.jpg?utm_source=commons.wikimedia.org&amp;utm_campaign=imageinfo&amp;utm_content=thumbnail"}, "thumbattribs": {"src": "https://thumb.wikimedia.org/wikipedia/commons/thumb/8/8e/Klokgebouw_Eindhoven.jpg/1920px-Klokgebouw_Eindhoven.jpg?utm_source=commons.wikimedia.org&amp;utm_campaign=imageinfo&amp;utm_content=thumbnail", "decoding": "async", "loading": "lazy", "width": 1600, "height": 1067, "srcset": "https://thumb.wikimedia.org/wikipedia/commons/thumb/8/8e/Klokgebouw_Eindhoven.jpg/3840px-Klokgebouw_Eindhoven.jpg?utm_source=commons.wikimedia.org&amp;utm_campaign=imageinfo&amp;utm_content=thumbnail 2x"}, "url": "https://upload.wikimedia.org/wikipedia/commons/8/8e/Klokgebouw_Eindhoven.jpg?utm_source=commons.wikimedia.org&amp;utm_campaign=imageinfo&amp;utm_content=original", "descriptionurl": "https://commons.wikimedia.org/wiki/File:Klokgebouw_Eindhoven.jpg", "descriptionshorturl": "https://commons.wikimedia.org/w/index.php?curid=165689744", "sha1": "b0607abb6c8a84ef34476da5066d675222a21e05", "extmetadata": {"DateTime": {"value": "2025-05-20 19:15:46", "source": "mediawiki-metadata", "hidden": ""}, "ObjectName": {"value": "Klokgebouw Eindhoven", "source": "mediawiki-metadata"}, "CommonsMetadataExtension": {"value": 1.2, "source": "extension", "hidden": ""}, "Categories": {"value": "Klokgebouw (Philipsgebouw SA), Eindhoven|Self-published work|Netherlands photographs taken on 2016-09-06|2016 in Eindhoven", "source": "commons-categories", "hidden": ""}, "Assessments": {"value": "", "source": "commons-categories", "hidden": ""}, "ImageDescription": {"value": "Het Klokgebouw in Eindhoven in 2016 na de renovatie in 2014.", "source": "commons-desc-page"}, "DateTimeOriginal": {"value": "2016-09-06 14:23:34",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"https://thumb.wikimedia.org/wikipedia/commons/thumb/8/8e/Klokgebouw_Eindhoven.jpg/1280px-Klokgebouw_Eindhoven.jpg"}, "retrieved_on": "2026-10-23"}</t>
        </is>
      </c>
    </row>
    <row r="228" ht="54" customHeight="1">
      <c r="A228" s="29" t="inlineStr">
        <is>
          <t>eindhoven:evidence:kapak-03</t>
        </is>
      </c>
      <c r="B228" s="29" t="inlineStr">
        <is>
          <t>eindhoven</t>
        </is>
      </c>
      <c r="C228" s="29" t="inlineStr">
        <is>
          <t>eindhoven:photo:kapak-03</t>
        </is>
      </c>
      <c r="D228" s="29" t="inlineStr">
        <is>
          <t>https://commons.wikimedia.org/wiki/File:Uitbreiding_Van_Abbemuseum.jpg</t>
        </is>
      </c>
      <c r="E228" s="29" t="inlineStr">
        <is>
          <t>File:Uitbreiding Van Abbemuseum.jpg</t>
        </is>
      </c>
      <c r="F228" s="29" t="inlineStr">
        <is>
          <t>Choinowski</t>
        </is>
      </c>
      <c r="G228" s="29" t="inlineStr">
        <is>
          <t>CC BY-SA 4.0</t>
        </is>
      </c>
      <c r="H228" s="29" t="inlineStr">
        <is>
          <t>https://creativecommons.org/licenses/by-sa/4.0/</t>
        </is>
      </c>
      <c r="I228" s="29" t="inlineStr">
        <is>
          <t>Creative Commons Attribution-Share Alike 4.0</t>
        </is>
      </c>
      <c r="J228" s="29" t="inlineStr">
        <is>
          <t>Choinowski · CC BY-SA 4.0 · Wikimedia Commons</t>
        </is>
      </c>
      <c r="K228" s="29" t="n"/>
      <c r="L228" s="49" t="n">
        <v>46317</v>
      </c>
      <c r="M228" s="29" t="inlineStr">
        <is>
          <t>Bekliyor</t>
        </is>
      </c>
      <c r="N228" s="29" t="inlineStr">
        <is>
          <t>Bekliyor</t>
        </is>
      </c>
      <c r="O228" s="29" t="inlineStr">
        <is>
          <t>Fotoğraflar/eindhoven_kapak_03.jpg</t>
        </is>
      </c>
      <c r="P228" s="29" t="inlineStr">
        <is>
          <t>Güneşli, masmavi gökyüzü; gri taş kaplı köşeli müze binası, çatı kenarında ad yazısı, önde sazlık ve su, sağda çok katlı bina</t>
        </is>
      </c>
      <c r="Q228" s="29" t="inlineStr">
        <is>
          <t>Bekliyor</t>
        </is>
      </c>
      <c r="R228" s="29" t="inlineStr">
        <is>
          <t>Wikimedia Commons dosya sayfasındaki lisans: CC BY-SA 4.0</t>
        </is>
      </c>
      <c r="S228" s="29" t="n"/>
      <c r="T228" s="29" t="n"/>
      <c r="U228" s="29" t="n"/>
      <c r="V228" s="29" t="n"/>
      <c r="W228" s="29" t="inlineStr">
        <is>
          <t>{"source_url": "https://commons.wikimedia.org/wiki/File:Uitbreiding_Van_Abbemuseum.jpg", "author": "Choinowski", "license": "CC BY-SA 4.0", "license_url": "https://creativecommons.org/licenses/by-sa/4.0/", "original_api_record": {"size": 5253986, "width": 5351, "height": 3567, "thumburl": "https://thumb.wikimedia.org/wikipedia/commons/thumb/b/bd/Uitbreiding_Van_Abbemuseum.jpg/1920px-Uitbreiding_Van_Abbemuseum.jpg?utm_source=commons.wikimedia.org&amp;utm_campaign=imageinfo&amp;utm_content=thumbnail", "thumbwidth": 1600, "thumbheight": 1067, "responsiveUrls": {"2": "https://thumb.wikimedia.org/wikipedia/commons/thumb/b/bd/Uitbreiding_Van_Abbemuseum.jpg/3840px-Uitbreiding_Van_Abbemuseum.jpg?utm_source=commons.wikimedia.org&amp;utm_campaign=imageinfo&amp;utm_content=thumbnail"}, "thumbattribs": {"src": "https://thumb.wikimedia.org/wikipedia/commons/thumb/b/bd/Uitbreiding_Van_Abbemuseum.jpg/1920px-Uitbreiding_Van_Abbemuseum.jpg?utm_source=commons.wikimedia.org&amp;utm_campaign=imageinfo&amp;utm_content=thumbnail", "decoding": "async", "loading": "lazy", "width": 1600, "height": 1067, "srcset": "https://thumb.wikimedia.org/wikipedia/commons/thumb/b/bd/Uitbreiding_Van_Abbemuseum.jpg/3840px-Uitbreiding_Van_Abbemuseum.jpg?utm_source=commons.wikimedia.org&amp;utm_campaign=imageinfo&amp;utm_content=thumbnail 2x"}, "url": "https://upload.wikimedia.org/wikipedia/commons/b/bd/Uitbreiding_Van_Abbemuseum.jpg?utm_source=commons.wikimedia.org&amp;utm_campaign=imageinfo&amp;utm_content=original", "descriptionurl": "https://commons.wikimedia.org/wiki/File:Uitbreiding_Van_Abbemuseum.jpg", "descriptionshorturl": "https://commons.wikimedia.org/w/index.php?curid=150048140", "sha1": "e5e48385d7d5e96419e79d1989d6b1c0c0a18254", "extmetadata": {"DateTime": {"value": "2024-07-05 19:57:50", "source": "mediawiki-metadata", "hidden": ""}, "ObjectName": {"value": "Uitbreiding Van Abbemuseum", "source": "mediawiki-metadata"}, "CommonsMetadataExtension": {"value": 1.2, "source": "extension", "hidden": ""}, "Categories": {"value": "Van Abbemuseum|Self-published work|Deconstructivist architecture|Netherlands photographs taken on 2015-01-17|2015 in Eindhoven", "source": "commons-categories", "hidden": ""}, "Assessments": {"value": "", "source": "commons-categories", "hidden": ""}, "ImageDescription": {"value": "Uitbreiding Van Abbemuseum uit 2003\narchitect: Abel Cahen", "source": "commons-desc-page"}, "DateTimeOriginal": {"value": "2015-01-17 13:24:25",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"https://thumb.wikimedia.org/wikipedia/commons/thumb/b/bd/Uitbreiding_Van_Abbemuseum.jpg/1280px-Uitbreiding_Van_Abbemuseum.jpg"}, "retrieved_on": "2026-10-23"}</t>
        </is>
      </c>
    </row>
    <row r="229" ht="54" customHeight="1">
      <c r="A229" s="29" t="inlineStr">
        <is>
          <t>eindhoven:evidence:kapak-04</t>
        </is>
      </c>
      <c r="B229" s="29" t="inlineStr">
        <is>
          <t>eindhoven</t>
        </is>
      </c>
      <c r="C229" s="29" t="inlineStr">
        <is>
          <t>eindhoven:photo:kapak-04</t>
        </is>
      </c>
      <c r="D229" s="29" t="inlineStr">
        <is>
          <t>https://commons.wikimedia.org/wiki/File:HenriDunantPark.jpg</t>
        </is>
      </c>
      <c r="E229" s="29" t="inlineStr">
        <is>
          <t>File:HenriDunantPark.jpg</t>
        </is>
      </c>
      <c r="F229" s="29" t="inlineStr">
        <is>
          <t>WVDW95</t>
        </is>
      </c>
      <c r="G229" s="29" t="inlineStr">
        <is>
          <t>CC0 1.0</t>
        </is>
      </c>
      <c r="H229" s="29" t="inlineStr">
        <is>
          <t>https://creativecommons.org/publicdomain/zero/1.0/</t>
        </is>
      </c>
      <c r="I229" s="29" t="inlineStr">
        <is>
          <t>Creative Commons Zero, Public Domain Dedication</t>
        </is>
      </c>
      <c r="J229" s="29" t="inlineStr">
        <is>
          <t>WVDW95 · CC0 1.0 · Wikimedia Commons</t>
        </is>
      </c>
      <c r="K229" s="29" t="n"/>
      <c r="L229" s="49" t="n">
        <v>46317</v>
      </c>
      <c r="M229" s="29" t="inlineStr">
        <is>
          <t>Bekliyor</t>
        </is>
      </c>
      <c r="N229" s="29" t="inlineStr">
        <is>
          <t>Bekliyor</t>
        </is>
      </c>
      <c r="O229" s="29" t="inlineStr">
        <is>
          <t>Fotoğraflar/eindhoven_kapak_04.jpg</t>
        </is>
      </c>
      <c r="P229" s="29" t="inlineStr">
        <is>
          <t>Akşam ışığında ağaçlarla çevrili gölet, kıyıda parlayan gümüş sütunlu heykel ve suda yansıması, sağda dallar</t>
        </is>
      </c>
      <c r="Q229" s="29" t="inlineStr">
        <is>
          <t>Bekliyor</t>
        </is>
      </c>
      <c r="R229" s="29" t="inlineStr">
        <is>
          <t>Wikimedia Commons dosya sayfasındaki lisans: CC0 1.0</t>
        </is>
      </c>
      <c r="S229" s="29" t="n"/>
      <c r="T229" s="29" t="n"/>
      <c r="U229" s="29" t="n"/>
      <c r="V229" s="29" t="n"/>
      <c r="W229" s="29" t="inlineStr">
        <is>
          <t>{"source_url": "https://commons.wikimedia.org/wiki/File:HenriDunantPark.jpg", "author": "WVDW95", "license": "CC0 1.0", "license_url": "https://creativecommons.org/publicdomain/zero/1.0/", "original_api_record": {"size": 3239013, "width": 5234, "height": 3473, "thumburl": "https://thumb.wikimedia.org/wikipedia/commons/thumb/0/06/HenriDunantPark.jpg/1920px-HenriDunantPark.jpg?utm_source=commons.wikimedia.org&amp;utm_campaign=imageinfo&amp;utm_content=thumbnail", "thumbwidth": 1600, "thumbheight": 1062, "responsiveUrls": {"2": "https://thumb.wikimedia.org/wikipedia/commons/thumb/0/06/HenriDunantPark.jpg/3840px-HenriDunantPark.jpg?utm_source=commons.wikimedia.org&amp;utm_campaign=imageinfo&amp;utm_content=thumbnail"}, "thumbattribs": {"src": "https://thumb.wikimedia.org/wikipedia/commons/thumb/0/06/HenriDunantPark.jpg/1920px-HenriDunantPark.jpg?utm_source=commons.wikimedia.org&amp;utm_campaign=imageinfo&amp;utm_content=thumbnail", "decoding": "async", "loading": "lazy", "width": 1600, "height": 1062, "srcset": "https://thumb.wikimedia.org/wikipedia/commons/thumb/0/06/HenriDunantPark.jpg/3840px-HenriDunantPark.jpg?utm_source=commons.wikimedia.org&amp;utm_campaign=imageinfo&amp;utm_content=thumbnail 2x"}, "url": "https://upload.wikimedia.org/wikipedia/commons/0/06/HenriDunantPark.jpg?utm_source=commons.wikimedia.org&amp;utm_campaign=imageinfo&amp;utm_content=original", "descriptionurl": "https://commons.wikimedia.org/wiki/File:HenriDunantPark.jpg", "descriptionshorturl": "https://commons.wikimedia.org/w/index.php?curid=188436384", "sha1": "d923caa752d48061b1503feb376d029a838e6557", "extmetadata": {"DateTime": {"value": "2026-04-08 13:02:17", "source": "mediawiki-metadata", "hidden": ""}, "ObjectName": {"value": "HenriDunantPark", "source": "mediawiki-metadata"}, "CommonsMetadataExtension": {"value": 1.2, "source": "extension", "hidden": ""}, "Categories": {"value": "CC-Zero|Frans Gast|Self-published work|Henri Dunantpark (Eindhoven)", "source": "commons-categories", "hidden": ""}, "Assessments": {"value": "", "source": "commons-categories", "hidden": ""}, "ImageDescription": {"value": "Henri Dunant Park", "source": "commons-desc-page"}, "DateTimeOriginal": {"value": "2026-04-07 19:57:47", "source": "commons-desc-page"}, "Credit": {"value": "&lt;span class=\"int-own-work\" lang=\"en\"&gt;Own work&lt;/span&gt;", "source": "commons-desc-page"}, "Artist": {"value": "&lt;a href=\"//commons.wikimedia.org/w/index.php?title=User:WVDW95&amp;amp;action=edit&amp;amp;redlink=1\" class=\"new\" title=\"User:WVDW95 (page does not exist)\"&gt;WVDW95&lt;/a&gt;",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"https://thumb.wikimedia.org/wikipedia/commons/thumb/0/06/HenriDunantPark.jpg/1280px-HenriDunantPark.jpg"}, "retrieved_on": "2026-10-23"}</t>
        </is>
      </c>
    </row>
    <row r="230" ht="54" customHeight="1">
      <c r="A230" s="29" t="inlineStr">
        <is>
          <t>eindhoven:evidence:kapak-05</t>
        </is>
      </c>
      <c r="B230" s="29" t="inlineStr">
        <is>
          <t>eindhoven</t>
        </is>
      </c>
      <c r="C230" s="29" t="inlineStr">
        <is>
          <t>eindhoven:photo:kapak-05</t>
        </is>
      </c>
      <c r="D230" s="29" t="inlineStr">
        <is>
          <t>https://commons.wikimedia.org/wiki/File:De_Laak_2012-09-20_15-05-20.jpg</t>
        </is>
      </c>
      <c r="E230" s="29" t="inlineStr">
        <is>
          <t>File:De Laak 2012-09-20 15-05-20.jpg</t>
        </is>
      </c>
      <c r="F230" s="29" t="inlineStr">
        <is>
          <t>VriendHuug</t>
        </is>
      </c>
      <c r="G230" s="29" t="inlineStr">
        <is>
          <t>CC BY-SA 3.0 nl</t>
        </is>
      </c>
      <c r="H230" s="29" t="inlineStr">
        <is>
          <t>https://creativecommons.org/licenses/by-sa/3.0/nl/deed.en/</t>
        </is>
      </c>
      <c r="I230" s="29" t="inlineStr">
        <is>
          <t>Creative Commons Attribution-Share Alike 3.0 nl</t>
        </is>
      </c>
      <c r="J230" s="29" t="inlineStr">
        <is>
          <t>VriendHuug · CC BY-SA 3.0 nl · Wikimedia Commons</t>
        </is>
      </c>
      <c r="K230" s="29" t="n"/>
      <c r="L230" s="49" t="n">
        <v>46317</v>
      </c>
      <c r="M230" s="29" t="inlineStr">
        <is>
          <t>Bekliyor</t>
        </is>
      </c>
      <c r="N230" s="29" t="inlineStr">
        <is>
          <t>Bekliyor</t>
        </is>
      </c>
      <c r="O230" s="29" t="inlineStr">
        <is>
          <t>Fotoğraflar/eindhoven_kapak_05.jpg</t>
        </is>
      </c>
      <c r="P230" s="29" t="inlineStr">
        <is>
          <t>Masmavi gökyüzü, geniş çimenlik, ağaçlar arasında tuğla villa, beyaz şemsiyeler; uzakta birkaç küçük insan</t>
        </is>
      </c>
      <c r="Q230" s="29" t="inlineStr">
        <is>
          <t>Bekliyor</t>
        </is>
      </c>
      <c r="R230" s="29" t="inlineStr">
        <is>
          <t>Wikimedia Commons dosya sayfasındaki lisans: CC BY-SA 3.0 nl</t>
        </is>
      </c>
      <c r="S230" s="29" t="n"/>
      <c r="T230" s="29" t="n"/>
      <c r="U230" s="29" t="n"/>
      <c r="V230" s="29" t="n"/>
      <c r="W230" s="29" t="inlineStr">
        <is>
          <t>{"source_url": "https://commons.wikimedia.org/wiki/File:De_Laak_2012-09-20_15-05-20.jpg", "author": "VriendHuug", "license": "CC BY-SA 3.0 nl", "license_url": "https://creativecommons.org/licenses/by-sa/3.0/nl/deed.en/", "original_api_record": {"size": 2166505, "width": 2592, "height": 1944, "thumburl": "https://thumb.wikimedia.org/wikipedia/commons/thumb/1/16/De_Laak_2012-09-20_15-05-20.jpg/1920px-De_Laak_2012-09-20_15-05-20.jpg?utm_source=commons.wikimedia.org&amp;utm_campaign=imageinfo&amp;utm_content=thumbnail", "thumbwidth": 1600, "thumbheight": 1200, "responsiveUrls": {"2": "https://upload.wikimedia.org/wikipedia/commons/1/16/De_Laak_2012-09-20_15-05-20.jpg?utm_source=commons.wikimedia.org&amp;utm_campaign=imageinfo&amp;utm_content=thumbnail_unscaled"}, "thumbattribs": {"src": "https://thumb.wikimedia.org/wikipedia/commons/thumb/1/16/De_Laak_2012-09-20_15-05-20.jpg/1920px-De_Laak_2012-09-20_15-05-20.jpg?utm_source=commons.wikimedia.org&amp;utm_campaign=imageinfo&amp;utm_content=thumbnail", "decoding": "async", "loading": "lazy", "width": 1600, "height": 1200, "srcset": "https://upload.wikimedia.org/wikipedia/commons/1/16/De_Laak_2012-09-20_15-05-20.jpg?utm_source=commons.wikimedia.org&amp;utm_campaign=imageinfo&amp;utm_content=thumbnail_unscaled 2x"}, "url": "https://upload.wikimedia.org/wikipedia/commons/1/16/De_Laak_2012-09-20_15-05-20.jpg?utm_source=commons.wikimedia.org&amp;utm_campaign=imageinfo&amp;utm_content=original", "descriptionurl": "https://commons.wikimedia.org/wiki/File:De_Laak_2012-09-20_15-05-20.jpg", "descriptionshorturl": "https://commons.wikimedia.org/w/index.php?curid=21483590", "sha1": "1d6b3f4fe6337235fe141d37a91176e94ce51d25", "extmetadata": {"DateTime": {"value": "2012-09-20 13:09:12", "source": "mediawiki-metadata", "hidden": ""}, "ObjectName": {"value": "De Laak 2012-09-20 15-05-20", "source": "mediawiki-metadata"}, "CommonsMetadataExtension": {"value": 1.2, "source": "extension", "hidden": ""}, "Categories": {"value": "Taken with Galaxy Nexus|Self-published work|Rijksmonumenten with known IDs|Images from Wiki Loves Monuments 2012|Images from Wiki Loves Monuments 2012 in the Netherlands|Uploaded with Android WLM App|Netherlands photographs taken on 2012-09-20|Mobile to desktop upload|Huize De Laak, manufacturer's villa", "source": "commons-categories", "hidden": ""}, "Assessments": {"value": "", "source": "commons-categories", "hidden": ""}, "GPSLatitude": {"value": "51.441090", "source": "commons-desc-page"}, "GPSLongitude": {"value": "5.486320", "source": "commons-desc-page"}, "GPSMapDatum": {"value": "WGS-84", "source": "commons-desc-page", "hidden": ""}, "ImageDescription": {"value": "De Laak", "source": "commons-desc-page"}, "DateTimeOriginal": {"value": "2012-09-20", "source": "commons-desc-page"}, "Credit": {"value": "&lt;p&gt;&lt;span class=\"int-own-work\" lang=\"en\"&gt;Own work&lt;/span&gt;\n&lt;/p&gt;\n&lt;div dir=\"ltr\"&gt;\n&lt;table cellspacing=\"0\" style=\"min-width:40em; color:#000; background:#ddd; border:1px solid #bbb; margin:.1em;\" class=\"layouttemplate\"&gt;\n&lt;tbody&gt;&lt;tr&gt;\n&lt;td style=\"width:1.2em;height:1.2em;padding:.2em\"&gt;&lt;span typeof=\"mw:File\"&gt;&lt;a href=\"//commons.wikimedia.org/wiki/File:Wiki_Loves_Monuments_Logo_notext.svg\" class=\"mw-file-description\"&gt;&lt;img src=\"https://thumb.wikimedia.org/wikipedia/commons/thumb/c/ca/Wiki_Loves_Monuments_Logo_notext.svg/40px-Wiki_Loves_Monuments_Logo_notext.svg.png?utm_source=commons.wikimedia.org&amp;amp;utm_campaign=parser&amp;amp;utm_content=thumbnail\" decoding=\"async\" loading=\"lazy\" width=\"32\" height=\"29\" class=\"mw-file-element\" srcset=\"https://thumb.wikimedia.org/wikipedia/commons/thumb/c/ca/Wiki_Loves_Monuments_Logo_notext.svg/120px-Wiki_Loves_Monuments_Logo_notext.svg.png?utm_source=commons.wikimedia.org&amp;amp;utm_campaign=parser&amp;amp;utm_content=thumbnail 2x\" data-file-width=\"352\" data-file-height=\"320\"&gt;&lt;/a&gt;&lt;/span&gt;\n&lt;/td&gt;\n&lt;td style=\"font-size:.85em; padding:.2em; vertical-align:middle\"&gt;This photo was uploaded with &lt;a href=\"https://www.mediawiki.org/wiki/Wiki_Loves_Monuments_mobile_application\" class=\"extiw\" title=\"mw:Wiki Loves Monuments mobile application\"&gt;Wiki Loves Monuments mobile&lt;/a&gt; 1.2.3-1 (Android).\n&lt;/td&gt;&lt;/tr&gt;&lt;/tbody&gt;&lt;/table&gt;&lt;/div&gt;", "source": "commons-desc-page"}, "Artist": {"value": "&lt;a href=\"//commons.wikimedia.org/w/index.php?title=User:VriendHuug&amp;amp;action=edit&amp;amp;redlink=1\" class=\"new\" title=\"User:VriendHuug (page does not exist)\"&gt;VriendHuug&lt;/a&gt;",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"https://thumb.wikimedia.org/wikipedia/commons/thumb/1/16/De_Laak_2012-09-20_15-05-20.jpg/1280px-De_Laak_2012-09-20_15-05-20.jpg"}, "retrieved_on": "2026-10-23"}</t>
        </is>
      </c>
    </row>
    <row r="231" ht="54" customHeight="1">
      <c r="A231" s="29" t="inlineStr">
        <is>
          <t>eindhoven:evidence:kapak-06</t>
        </is>
      </c>
      <c r="B231" s="29" t="inlineStr">
        <is>
          <t>eindhoven</t>
        </is>
      </c>
      <c r="C231" s="29" t="inlineStr">
        <is>
          <t>eindhoven:photo:kapak-06</t>
        </is>
      </c>
      <c r="D231" s="29" t="inlineStr">
        <is>
          <t>https://commons.wikimedia.org/wiki/File:13-06-29-eindhoven-50mm-04.jpg</t>
        </is>
      </c>
      <c r="E231" s="29" t="inlineStr">
        <is>
          <t>File:13-06-29-eindhoven-50mm-04.jpg</t>
        </is>
      </c>
      <c r="F231" s="29" t="inlineStr">
        <is>
          <t>Ralf Roletschek</t>
        </is>
      </c>
      <c r="G231" s="29" t="inlineStr">
        <is>
          <t>CC BY 3.0</t>
        </is>
      </c>
      <c r="H231" s="29" t="inlineStr">
        <is>
          <t>https://creativecommons.org/licenses/by/3.0/</t>
        </is>
      </c>
      <c r="I231" s="29" t="inlineStr">
        <is>
          <t>Creative Commons Attribution 3.0</t>
        </is>
      </c>
      <c r="J231" s="29" t="inlineStr">
        <is>
          <t>Ralf Roletschek · CC BY 3.0 · Wikimedia Commons</t>
        </is>
      </c>
      <c r="K231" s="29" t="n"/>
      <c r="L231" s="49" t="n">
        <v>46317</v>
      </c>
      <c r="M231" s="29" t="inlineStr">
        <is>
          <t>Bekliyor</t>
        </is>
      </c>
      <c r="N231" s="29" t="inlineStr">
        <is>
          <t>Bekliyor</t>
        </is>
      </c>
      <c r="O231" s="29" t="inlineStr">
        <is>
          <t>Fotoğraflar/eindhoven_kapak_06.jpg</t>
        </is>
      </c>
      <c r="P231" s="29" t="inlineStr">
        <is>
          <t>Yüksekten ağaçlı cadde, sonunda çelik kafesli stadyum çatısı ve 'Stadion' yazısı; bulutlu ama aydınlık</t>
        </is>
      </c>
      <c r="Q231" s="29" t="inlineStr">
        <is>
          <t>Bekliyor</t>
        </is>
      </c>
      <c r="R231" s="29" t="inlineStr">
        <is>
          <t>Wikimedia Commons dosya sayfasındaki lisans: CC BY 3.0</t>
        </is>
      </c>
      <c r="S231" s="29" t="n"/>
      <c r="T231" s="29" t="n"/>
      <c r="U231" s="29" t="n"/>
      <c r="V231" s="29" t="n"/>
      <c r="W231" s="29" t="inlineStr">
        <is>
          <t>{"source_url": "https://commons.wikimedia.org/wiki/File:13-06-29-eindhoven-50mm-04.jpg", "author": "Ralf Roletschek", "license": "CC BY 3.0", "license_url": "https://creativecommons.org/licenses/by/3.0/", "original_api_record": {"size": 8763462, "width": 4288, "height": 2848, "thumburl": "https://thumb.wikimedia.org/wikipedia/commons/thumb/9/95/13-06-29-eindhoven-50mm-04.jpg/1920px-13-06-29-eindhoven-50mm-04.jpg?utm_source=commons.wikimedia.org&amp;utm_campaign=imageinfo&amp;utm_content=thumbnail", "thumbwidth": 1600, "thumbheight": 1063, "responsiveUrls": {"2": "https://thumb.wikimedia.org/wikipedia/commons/thumb/9/95/13-06-29-eindhoven-50mm-04.jpg/3840px-13-06-29-eindhoven-50mm-04.jpg?utm_source=commons.wikimedia.org&amp;utm_campaign=imageinfo&amp;utm_content=thumbnail"}, "thumbattribs": {"src": "https://thumb.wikimedia.org/wikipedia/commons/thumb/9/95/13-06-29-eindhoven-50mm-04.jpg/1920px-13-06-29-eindhoven-50mm-04.jpg?utm_source=commons.wikimedia.org&amp;utm_campaign=imageinfo&amp;utm_content=thumbnail", "decoding": "async", "loading": "lazy", "width": 1600, "height": 1063, "srcset": "https://thumb.wikimedia.org/wikipedia/commons/thumb/9/95/13-06-29-eindhoven-50mm-04.jpg/3840px-13-06-29-eindhoven-50mm-04.jpg?utm_source=commons.wikimedia.org&amp;utm_campaign=imageinfo&amp;utm_content=thumbnail 2x"}, "url": "https://upload.wikimedia.org/wikipedia/commons/9/95/13-06-29-eindhoven-50mm-04.jpg?utm_source=commons.wikimedia.org&amp;utm_campaign=imageinfo&amp;utm_content=original", "descriptionurl": "https://commons.wikimedia.org/wiki/File:13-06-29-eindhoven-50mm-04.jpg", "descriptionshorturl": "https://commons.wikimedia.org/w/index.php?curid=26959246", "sha1": "8007338b89955f191a356be352d7905308072996", "extmetadata": {"DateTime": {"value": "2013-06-29 20:52:00", "source": "mediawiki-metadata", "hidden": ""}, "ObjectName": {"value": "13-06-29-eindhoven-50mm-04", "source": "mediawiki-metadata"}, "CommonsMetadataExtension": {"value": 1.2, "source": "extension", "hidden": ""}, "Categories": {"value": "GFDL|Taken with Nikon D300s|Philips Stadion|Buildings in Eindhoven|License migration redundant|Self-published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"51.441150", "source": "commons-desc-page"}, "GPSLongitude": {"value": "5.475537", "source": "commons-desc-page"}, "GPSMapDatum": {"value": "WGS-84", "source": "commons-desc-page", "hidden": ""}, "ImageDescription": {"value": "Eindhoven, Niederlande, 2013", "source": "commons-desc-page"}, "DateTimeOriginal": {"value": "2013-06-29 16:23:18",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"https://thumb.wikimedia.org/wikipedia/commons/thumb/9/95/13-06-29-eindhoven-50mm-04.jpg/1280px-13-06-29-eindhoven-50mm-04.jpg"}, "retrieved_on": "2026-10-23"}</t>
        </is>
      </c>
    </row>
    <row r="232" ht="54" customHeight="1">
      <c r="A232" s="29" t="inlineStr">
        <is>
          <t>eindhoven:evidence:kapak-07</t>
        </is>
      </c>
      <c r="B232" s="29" t="inlineStr">
        <is>
          <t>eindhoven</t>
        </is>
      </c>
      <c r="C232" s="29" t="inlineStr">
        <is>
          <t>eindhoven:photo:kapak-07</t>
        </is>
      </c>
      <c r="D232" s="29" t="inlineStr">
        <is>
          <t>https://commons.wikimedia.org/wiki/File:Centraal_Station_Eindhoven_-_Centrum_1803-100.jpg</t>
        </is>
      </c>
      <c r="E232" s="29" t="inlineStr">
        <is>
          <t>File:Centraal Station Eindhoven - Centrum 1803-100.jpg</t>
        </is>
      </c>
      <c r="F232" s="29" t="inlineStr">
        <is>
          <t>Jan Geerling</t>
        </is>
      </c>
      <c r="G232" s="29" t="inlineStr">
        <is>
          <t>CC BY-SA 4.0</t>
        </is>
      </c>
      <c r="H232" s="29" t="inlineStr">
        <is>
          <t>https://creativecommons.org/licenses/by-sa/4.0/</t>
        </is>
      </c>
      <c r="I232" s="29" t="inlineStr">
        <is>
          <t>Creative Commons Attribution-Share Alike 4.0</t>
        </is>
      </c>
      <c r="J232" s="29" t="inlineStr">
        <is>
          <t>Jan Geerling · CC BY-SA 4.0 · Wikimedia Commons</t>
        </is>
      </c>
      <c r="K232" s="29" t="n"/>
      <c r="L232" s="49" t="n">
        <v>46317</v>
      </c>
      <c r="M232" s="29" t="inlineStr">
        <is>
          <t>Bekliyor</t>
        </is>
      </c>
      <c r="N232" s="29" t="inlineStr">
        <is>
          <t>Bekliyor</t>
        </is>
      </c>
      <c r="O232" s="29" t="inlineStr">
        <is>
          <t>Fotoğraflar/eindhoven_kapak_07.jpg</t>
        </is>
      </c>
      <c r="P232" s="29" t="inlineStr">
        <is>
          <t>Güneşli, masmavi gökyüzü; 'Eindhoven' yazılı cam cepheli istasyon, büyük saat, arkada cam kule, önde arabalar ve küçük ölçekte yolcular</t>
        </is>
      </c>
      <c r="Q232" s="29" t="inlineStr">
        <is>
          <t>Bekliyor</t>
        </is>
      </c>
      <c r="R232" s="29" t="inlineStr">
        <is>
          <t>Wikimedia Commons dosya sayfasındaki lisans: CC BY-SA 4.0</t>
        </is>
      </c>
      <c r="S232" s="29" t="n"/>
      <c r="T232" s="29" t="n"/>
      <c r="U232" s="29" t="n"/>
      <c r="V232" s="29" t="n"/>
      <c r="W232" s="29" t="inlineStr">
        <is>
          <t>{"source_url": "https://commons.wikimedia.org/wiki/File:Centraal_Station_Eindhoven_-_Centrum_1803-100.jpg", "author": "Jan Geerling", "license": "CC BY-SA 4.0", "license_url": "https://creativecommons.org/licenses/by-sa/4.0/", "original_api_record": {"size": 2156275, "width": 4359, "height": 2452, "thumburl": "https://thumb.wikimedia.org/wikipedia/commons/thumb/0/01/Centraal_Station_Eindhoven_-_Centrum_1803-100.jpg/1920px-Centraal_Station_Eindhoven_-_Centrum_1803-100.jpg?utm_source=commons.wikimedia.org&amp;utm_campaign=imageinfo&amp;utm_content=thumbnail", "thumbwidth": 1600, "thumbheight": 900, "responsiveUrls": {"2": "https://thumb.wikimedia.org/wikipedia/commons/thumb/0/01/Centraal_Station_Eindhoven_-_Centrum_1803-100.jpg/3840px-Centraal_Station_Eindhoven_-_Centrum_1803-100.jpg?utm_source=commons.wikimedia.org&amp;utm_campaign=imageinfo&amp;utm_content=thumbnail"}, "thumbattribs": {"src": "https://thumb.wikimedia.org/wikipedia/commons/thumb/0/01/Centraal_Station_Eindhoven_-_Centrum_1803-100.jpg/1920px-Centraal_Station_Eindhoven_-_Centrum_1803-100.jpg?utm_source=commons.wikimedia.org&amp;utm_campaign=imageinfo&amp;utm_content=thumbnail", "decoding": "async", "loading": "lazy", "width": 1600, "height": 900, "srcset": "https://thumb.wikimedia.org/wikipedia/commons/thumb/0/01/Centraal_Station_Eindhoven_-_Centrum_1803-100.jpg/3840px-Centraal_Station_Eindhoven_-_Centrum_1803-100.jpg?utm_source=commons.wikimedia.org&amp;utm_campaign=imageinfo&amp;utm_content=thumbnail 2x"}, "url": "https://upload.wikimedia.org/wikipedia/commons/0/01/Centraal_Station_Eindhoven_-_Centrum_1803-100.jpg?utm_source=commons.wikimedia.org&amp;utm_campaign=imageinfo&amp;utm_content=original", "descriptionurl": "https://commons.wikimedia.org/wiki/File:Centraal_Station_Eindhoven_-_Centrum_1803-100.jpg", "descriptionshorturl": "https://commons.wikimedia.org/w/index.php?curid=103741354", "sha1": "98672d8d33a35bf26d7bba3a0ff381b1e469c43e", "extmetadata": {"DateTime": {"value": "2021-04-16 08:32:58", "source": "mediawiki-metadata", "hidden": ""}, "ObjectName": {"value": "Centraal Station Eindhoven - Centrum 1803-100", "source": "mediawiki-metadata"}, "CommonsMetadataExtension": {"value": 1.2, "source": "extension", "hidden": ""}, "Categories": {"value": "Stationsplein (Eindhoven)|Eindhoven Central station|Uploaded with pattypan|Files with coordinates missing SDC location of creation (51° N, 5° E)|Photographs by Jan Geerling contributed in 2021|Photographs by Jan Geerling in Eindhoven", "source": "commons-categories", "hidden": ""}, "Assessments": {"value": "", "source": "commons-categories", "hidden": ""}, "GPSLatitude": {"value": "51.441734", "source": "commons-desc-page"}, "GPSLongitude": {"value": "5.479656", "source": "commons-desc-page"}, "GPSMapDatum": {"value": "WGS-84", "source": "commons-desc-page", "hidden": ""}, "Artist": {"value": "&lt;bdi&gt;&lt;a href=\"https://www.wikidata.org/wiki/Q88378993\" class=\"extiw\" title=\"d:Q88378993\"&gt;&lt;span title=\"Dutch photographer\"&gt;Jan Geerling&lt;/span&gt;&lt;/a&gt;&lt;/bdi&gt;", "source": "commons-desc-page"}, "ImageDescription": {"value": "Centraal Station.", "source": "commons-desc-page"}, "DateTimeOriginal": {"value": "Tue Mar 20 15:27:00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"https://thumb.wikimedia.org/wikipedia/commons/thumb/0/01/Centraal_Station_Eindhoven_-_Centrum_1803-100.jpg/1280px-Centraal_Station_Eindhoven_-_Centrum_1803-100.jpg"}, "retrieved_on": "2026-10-23"}</t>
        </is>
      </c>
    </row>
    <row r="233" ht="54" customHeight="1">
      <c r="A233" s="29" t="inlineStr">
        <is>
          <t>eindhoven:evidence:kapak-08</t>
        </is>
      </c>
      <c r="B233" s="29" t="inlineStr">
        <is>
          <t>eindhoven</t>
        </is>
      </c>
      <c r="C233" s="29" t="inlineStr">
        <is>
          <t>eindhoven:photo:kapak-08</t>
        </is>
      </c>
      <c r="D233" s="29" t="inlineStr">
        <is>
          <t>https://commons.wikimedia.org/wiki/File:Anton_loft_building_in_Strip-S_-_panoramio.jpg</t>
        </is>
      </c>
      <c r="E233" s="29" t="inlineStr">
        <is>
          <t>File:Anton loft building in Strip-S - panoramio.jpg</t>
        </is>
      </c>
      <c r="F233" s="29" t="inlineStr">
        <is>
          <t>point'n'shoot</t>
        </is>
      </c>
      <c r="G233" s="29" t="inlineStr">
        <is>
          <t>CC BY-SA 3.0</t>
        </is>
      </c>
      <c r="H233" s="29" t="inlineStr">
        <is>
          <t>https://creativecommons.org/licenses/by-sa/3.0/</t>
        </is>
      </c>
      <c r="I233" s="29" t="inlineStr">
        <is>
          <t>Creative Commons Attribution-Share Alike 3.0</t>
        </is>
      </c>
      <c r="J233" s="29" t="inlineStr">
        <is>
          <t>point'n'shoot · CC BY-SA 3.0 · Wikimedia Commons</t>
        </is>
      </c>
      <c r="K233" s="29" t="n"/>
      <c r="L233" s="49" t="n">
        <v>46317</v>
      </c>
      <c r="M233" s="29" t="inlineStr">
        <is>
          <t>Bekliyor</t>
        </is>
      </c>
      <c r="N233" s="29" t="inlineStr">
        <is>
          <t>Bekliyor</t>
        </is>
      </c>
      <c r="O233" s="29" t="inlineStr">
        <is>
          <t>Fotoğraflar/eindhoven_kapak_08.jpg</t>
        </is>
      </c>
      <c r="P233" s="29" t="inlineStr">
        <is>
          <t>Gece; ışıklı pencereli uzun endüstri binası, önünde boru köprüsü, solda turuncu ışıklı yol, alt yarıda karanlık ıslak boş alan</t>
        </is>
      </c>
      <c r="Q233" s="29" t="inlineStr">
        <is>
          <t>Bekliyor</t>
        </is>
      </c>
      <c r="R233" s="29" t="inlineStr">
        <is>
          <t>Wikimedia Commons dosya sayfasındaki lisans: CC BY-SA 3.0</t>
        </is>
      </c>
      <c r="S233" s="29" t="n"/>
      <c r="T233" s="29" t="n"/>
      <c r="U233" s="29" t="n"/>
      <c r="V233" s="29" t="n"/>
      <c r="W233" s="29" t="inlineStr">
        <is>
          <t>{"source_url": "https://commons.wikimedia.org/wiki/File:Anton_loft_building_in_Strip-S_-_panoramio.jpg", "author": "point'n'shoot", "license": "CC BY-SA 3.0", "license_url": "https://creativecommons.org/licenses/by-sa/3.0/", "original_api_record": {"size": 2281199, "width": 4000, "height": 2664, "thumburl": "https://thumb.wikimedia.org/wikipedia/commons/thumb/d/d7/Anton_loft_building_in_Strip-S_-_panoramio.jpg/1920px-Anton_loft_building_in_Strip-S_-_panoramio.jpg?utm_source=commons.wikimedia.org&amp;utm_campaign=imageinfo&amp;utm_content=thumbnail", "thumbwidth": 1600, "thumbheight": 1066, "responsiveUrls": {"2": "https://thumb.wikimedia.org/wikipedia/commons/thumb/d/d7/Anton_loft_building_in_Strip-S_-_panoramio.jpg/3840px-Anton_loft_building_in_Strip-S_-_panoramio.jpg?utm_source=commons.wikimedia.org&amp;utm_campaign=imageinfo&amp;utm_content=thumbnail"}, "thumbattribs": {"src": "https://thumb.wikimedia.org/wikipedia/commons/thumb/d/d7/Anton_loft_building_in_Strip-S_-_panoramio.jpg/1920px-Anton_loft_building_in_Strip-S_-_panoramio.jpg?utm_source=commons.wikimedia.org&amp;utm_campaign=imageinfo&amp;utm_content=thumbnail", "decoding": "async", "loading": "lazy", "width": 1600, "height": 1066, "srcset": "https://thumb.wikimedia.org/wikipedia/commons/thumb/d/d7/Anton_loft_building_in_Strip-S_-_panoramio.jpg/3840px-Anton_loft_building_in_Strip-S_-_panoramio.jpg?utm_source=commons.wikimedia.org&amp;utm_campaign=imageinfo&amp;utm_content=thumbnail 2x"}, "url": "https://upload.wikimedia.org/wikipedia/commons/d/d7/Anton_loft_building_in_Strip-S_-_panoramio.jpg?utm_source=commons.wikimedia.org&amp;utm_campaign=imageinfo&amp;utm_content=original", "descriptionurl": "https://commons.wikimedia.org/wiki/File:Anton_loft_building_in_Strip-S_-_panoramio.jpg", "descriptionshorturl": "https://commons.wikimedia.org/w/index.php?curid=55975653", "sha1": "45388e38186c57d4d450bd4479a581a9c56ab688", "extmetadata": {"DateTime": {"value": "2017-02-06 23:20:02", "source": "mediawiki-metadata", "hidden": ""}, "ObjectName": {"value": "Anton loft building in Strip-S - panoramio", "source": "mediawiki-metadata"}, "CommonsMetadataExtension": {"value": 1.2, "source": "extension", "hidden": ""}, "Categories": {"value": "Strijp-S|Panoramio files uploaded by Panoramio upload bot|Night in the Netherlands|Panoramio images reviewed by trusted users|Photos from Panoramio|Netherlands photographs taken on 2013-01-27|Media needing category review as of 6 February 2017|Files with coordinates missing SDC location of creation (51° N, 5° E)", "source": "commons-categories", "hidden": ""}, "Assessments": {"value": "", "source": "commons-categories", "hidden": ""}, "GPSLatitude": {"value": "51.447798", "source": "commons-desc-page"}, "GPSLongitude": {"value": "5.458503", "source": "commons-desc-page"}, "GPSMapDatum": {"value": "WGS-84", "source": "commons-desc-page", "hidden": ""}, "ImageDescription": {"value": "Anton loft building in Strip-S", "source": "commons-desc-page"}, "DateTimeOriginal": {"value": "Taken on 27 January 2013", "source": "commons-desc-page"}, "Credit": {"value": "&lt;a rel=\"nofollow\" class=\"external free\" href=\"https://web.archive.org/web/20161024102213/http://www.panoramio.com/photo/85605272\"&gt;https://web.archive.org/web/20161024102213/http://www.panoramio.com/photo/85605272&lt;/a&gt;", "source": "commons-desc-page"}, "Artist": {"value": "&lt;a rel=\"nofollow\" class=\"external text\" href=\"https://web.archive.org/web/20161024102204/http://www.panoramio.com/user/5753243?with_photo_id=85605272\"&gt;point'n'shoot&lt;/a&gt;",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class=\"licensetpl_attr\"&gt;point'n'shoot&lt;/div&gt;&lt;/div&gt;&lt;div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6 February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"point'n'shoot",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"https://thumb.wikimedia.org/wikipedia/commons/thumb/d/d7/Anton_loft_building_in_Strip-S_-_panoramio.jpg/1280px-Anton_loft_building_in_Strip-S_-_panoramio.jpg"}, "retrieved_on": "2026-10-23"}</t>
        </is>
      </c>
    </row>
    <row r="234" ht="54" customHeight="1">
      <c r="A234" s="29" t="n"/>
      <c r="B234" s="29" t="n"/>
      <c r="C234" s="29" t="n"/>
      <c r="D234" s="29" t="n"/>
      <c r="E234" s="29" t="n"/>
      <c r="F234" s="29" t="n"/>
      <c r="G234" s="29" t="n"/>
      <c r="H234" s="29" t="n"/>
      <c r="I234" s="29" t="n"/>
      <c r="J234" s="29" t="n"/>
      <c r="K234" s="29" t="n"/>
      <c r="L234" s="49" t="n"/>
      <c r="M234" s="29" t="n"/>
      <c r="N234" s="29" t="n"/>
      <c r="O234" s="29" t="n"/>
      <c r="P234" s="29" t="n"/>
      <c r="Q234" s="29" t="n"/>
      <c r="R234" s="29" t="n"/>
      <c r="S234" s="29" t="n"/>
      <c r="T234" s="29" t="n"/>
      <c r="U234" s="29" t="n"/>
      <c r="V234" s="29" t="n"/>
      <c r="W234" s="29" t="n"/>
    </row>
    <row r="235" ht="54" customHeight="1">
      <c r="A235" s="29" t="n"/>
      <c r="B235" s="29" t="n"/>
      <c r="C235" s="29" t="n"/>
      <c r="D235" s="29" t="n"/>
      <c r="E235" s="29" t="n"/>
      <c r="F235" s="29" t="n"/>
      <c r="G235" s="29" t="n"/>
      <c r="H235" s="29" t="n"/>
      <c r="I235" s="29" t="n"/>
      <c r="J235" s="29" t="n"/>
      <c r="K235" s="29" t="n"/>
      <c r="L235" s="49" t="n"/>
      <c r="M235" s="29" t="n"/>
      <c r="N235" s="29" t="n"/>
      <c r="O235" s="29" t="n"/>
      <c r="P235" s="29" t="n"/>
      <c r="Q235" s="29" t="n"/>
      <c r="R235" s="29" t="n"/>
      <c r="S235" s="29" t="n"/>
      <c r="T235" s="29" t="n"/>
      <c r="U235" s="29" t="n"/>
      <c r="V235" s="29" t="n"/>
      <c r="W235" s="29" t="n"/>
    </row>
    <row r="236" ht="54" customHeight="1">
      <c r="A236" s="29" t="n"/>
      <c r="B236" s="29" t="n"/>
      <c r="C236" s="29" t="n"/>
      <c r="D236" s="29" t="n"/>
      <c r="E236" s="29" t="n"/>
      <c r="F236" s="29" t="n"/>
      <c r="G236" s="29" t="n"/>
      <c r="H236" s="29" t="n"/>
      <c r="I236" s="29" t="n"/>
      <c r="J236" s="29" t="n"/>
      <c r="K236" s="29" t="n"/>
      <c r="L236" s="49" t="n"/>
      <c r="M236" s="29" t="n"/>
      <c r="N236" s="29" t="n"/>
      <c r="O236" s="29" t="n"/>
      <c r="P236" s="29" t="n"/>
      <c r="Q236" s="29" t="n"/>
      <c r="R236" s="29" t="n"/>
      <c r="S236" s="29" t="n"/>
      <c r="T236" s="29" t="n"/>
      <c r="U236" s="29" t="n"/>
      <c r="V236" s="29" t="n"/>
      <c r="W236" s="29" t="n"/>
    </row>
    <row r="237" ht="54" customHeight="1">
      <c r="A237" s="29" t="n"/>
      <c r="B237" s="29" t="n"/>
      <c r="C237" s="29" t="n"/>
      <c r="D237" s="29" t="n"/>
      <c r="E237" s="29" t="n"/>
      <c r="F237" s="29" t="n"/>
      <c r="G237" s="29" t="n"/>
      <c r="H237" s="29" t="n"/>
      <c r="I237" s="29" t="n"/>
      <c r="J237" s="29" t="n"/>
      <c r="K237" s="29" t="n"/>
      <c r="L237" s="49" t="n"/>
      <c r="M237" s="29" t="n"/>
      <c r="N237" s="29" t="n"/>
      <c r="O237" s="29" t="n"/>
      <c r="P237" s="29" t="n"/>
      <c r="Q237" s="29" t="n"/>
      <c r="R237" s="29" t="n"/>
      <c r="S237" s="29" t="n"/>
      <c r="T237" s="29" t="n"/>
      <c r="U237" s="29" t="n"/>
      <c r="V237" s="29" t="n"/>
      <c r="W237" s="29" t="n"/>
    </row>
    <row r="238" ht="54" customHeight="1">
      <c r="A238" s="29" t="n"/>
      <c r="B238" s="29" t="n"/>
      <c r="C238" s="29" t="n"/>
      <c r="D238" s="29" t="n"/>
      <c r="E238" s="29" t="n"/>
      <c r="F238" s="29" t="n"/>
      <c r="G238" s="29" t="n"/>
      <c r="H238" s="29" t="n"/>
      <c r="I238" s="29" t="n"/>
      <c r="J238" s="29" t="n"/>
      <c r="K238" s="29" t="n"/>
      <c r="L238" s="49" t="n"/>
      <c r="M238" s="29" t="n"/>
      <c r="N238" s="29" t="n"/>
      <c r="O238" s="29" t="n"/>
      <c r="P238" s="29" t="n"/>
      <c r="Q238" s="29" t="n"/>
      <c r="R238" s="29" t="n"/>
      <c r="S238" s="29" t="n"/>
      <c r="T238" s="29" t="n"/>
      <c r="U238" s="29" t="n"/>
      <c r="V238" s="29" t="n"/>
      <c r="W238" s="29" t="n"/>
    </row>
    <row r="239" ht="54" customHeight="1">
      <c r="A239" s="29" t="n"/>
      <c r="B239" s="29" t="n"/>
      <c r="C239" s="29" t="n"/>
      <c r="D239" s="29" t="n"/>
      <c r="E239" s="29" t="n"/>
      <c r="F239" s="29" t="n"/>
      <c r="G239" s="29" t="n"/>
      <c r="H239" s="29" t="n"/>
      <c r="I239" s="29" t="n"/>
      <c r="J239" s="29" t="n"/>
      <c r="K239" s="29" t="n"/>
      <c r="L239" s="49" t="n"/>
      <c r="M239" s="29" t="n"/>
      <c r="N239" s="29" t="n"/>
      <c r="O239" s="29" t="n"/>
      <c r="P239" s="29" t="n"/>
      <c r="Q239" s="29" t="n"/>
      <c r="R239" s="29" t="n"/>
      <c r="S239" s="29" t="n"/>
      <c r="T239" s="29" t="n"/>
      <c r="U239" s="29" t="n"/>
      <c r="V239" s="29" t="n"/>
      <c r="W239" s="29" t="n"/>
    </row>
    <row r="240" ht="54" customHeight="1">
      <c r="A240" s="29" t="n"/>
      <c r="B240" s="29" t="n"/>
      <c r="C240" s="29" t="n"/>
      <c r="D240" s="29" t="n"/>
      <c r="E240" s="29" t="n"/>
      <c r="F240" s="29" t="n"/>
      <c r="G240" s="29" t="n"/>
      <c r="H240" s="29" t="n"/>
      <c r="I240" s="29" t="n"/>
      <c r="J240" s="29" t="n"/>
      <c r="K240" s="29" t="n"/>
      <c r="L240" s="49" t="n"/>
      <c r="M240" s="29" t="n"/>
      <c r="N240" s="29" t="n"/>
      <c r="O240" s="29" t="n"/>
      <c r="P240" s="29" t="n"/>
      <c r="Q240" s="29" t="n"/>
      <c r="R240" s="29" t="n"/>
      <c r="S240" s="29" t="n"/>
      <c r="T240" s="29" t="n"/>
      <c r="U240" s="29" t="n"/>
      <c r="V240" s="29" t="n"/>
      <c r="W240" s="29" t="n"/>
    </row>
    <row r="241" ht="54" customHeight="1">
      <c r="A241" s="29" t="n"/>
      <c r="B241" s="29" t="n"/>
      <c r="C241" s="29" t="n"/>
      <c r="D241" s="29" t="n"/>
      <c r="E241" s="29" t="n"/>
      <c r="F241" s="29" t="n"/>
      <c r="G241" s="29" t="n"/>
      <c r="H241" s="29" t="n"/>
      <c r="I241" s="29" t="n"/>
      <c r="J241" s="29" t="n"/>
      <c r="K241" s="29" t="n"/>
      <c r="L241" s="49" t="n"/>
      <c r="M241" s="29" t="n"/>
      <c r="N241" s="29" t="n"/>
      <c r="O241" s="29" t="n"/>
      <c r="P241" s="29" t="n"/>
      <c r="Q241" s="29" t="n"/>
      <c r="R241" s="29" t="n"/>
      <c r="S241" s="29" t="n"/>
      <c r="T241" s="29" t="n"/>
      <c r="U241" s="29" t="n"/>
      <c r="V241" s="29" t="n"/>
      <c r="W241" s="29" t="n"/>
    </row>
    <row r="242" ht="54" customHeight="1">
      <c r="A242" s="29" t="n"/>
      <c r="B242" s="29" t="n"/>
      <c r="C242" s="29" t="n"/>
      <c r="D242" s="29" t="n"/>
      <c r="E242" s="29" t="n"/>
      <c r="F242" s="29" t="n"/>
      <c r="G242" s="29" t="n"/>
      <c r="H242" s="29" t="n"/>
      <c r="I242" s="29" t="n"/>
      <c r="J242" s="29" t="n"/>
      <c r="K242" s="29" t="n"/>
      <c r="L242" s="49" t="n"/>
      <c r="M242" s="29" t="n"/>
      <c r="N242" s="29" t="n"/>
      <c r="O242" s="29" t="n"/>
      <c r="P242" s="29" t="n"/>
      <c r="Q242" s="29" t="n"/>
      <c r="R242" s="29" t="n"/>
      <c r="S242" s="29" t="n"/>
      <c r="T242" s="29" t="n"/>
      <c r="U242" s="29" t="n"/>
      <c r="V242" s="29" t="n"/>
      <c r="W242" s="29" t="n"/>
    </row>
    <row r="243" ht="54" customHeight="1">
      <c r="A243" s="29" t="n"/>
      <c r="B243" s="29" t="n"/>
      <c r="C243" s="29" t="n"/>
      <c r="D243" s="29" t="n"/>
      <c r="E243" s="29" t="n"/>
      <c r="F243" s="29" t="n"/>
      <c r="G243" s="29" t="n"/>
      <c r="H243" s="29" t="n"/>
      <c r="I243" s="29" t="n"/>
      <c r="J243" s="29" t="n"/>
      <c r="K243" s="29" t="n"/>
      <c r="L243" s="49" t="n"/>
      <c r="M243" s="29" t="n"/>
      <c r="N243" s="29" t="n"/>
      <c r="O243" s="29" t="n"/>
      <c r="P243" s="29" t="n"/>
      <c r="Q243" s="29" t="n"/>
      <c r="R243" s="29" t="n"/>
      <c r="S243" s="29" t="n"/>
      <c r="T243" s="29" t="n"/>
      <c r="U243" s="29" t="n"/>
      <c r="V243" s="29" t="n"/>
      <c r="W243" s="29" t="n"/>
    </row>
    <row r="244" ht="54" customHeight="1">
      <c r="A244" s="29" t="n"/>
      <c r="B244" s="29" t="n"/>
      <c r="C244" s="29" t="n"/>
      <c r="D244" s="29" t="n"/>
      <c r="E244" s="29" t="n"/>
      <c r="F244" s="29" t="n"/>
      <c r="G244" s="29" t="n"/>
      <c r="H244" s="29" t="n"/>
      <c r="I244" s="29" t="n"/>
      <c r="J244" s="29" t="n"/>
      <c r="K244" s="29" t="n"/>
      <c r="L244" s="49" t="n"/>
      <c r="M244" s="29" t="n"/>
      <c r="N244" s="29" t="n"/>
      <c r="O244" s="29" t="n"/>
      <c r="P244" s="29" t="n"/>
      <c r="Q244" s="29" t="n"/>
      <c r="R244" s="29" t="n"/>
      <c r="S244" s="29" t="n"/>
      <c r="T244" s="29" t="n"/>
      <c r="U244" s="29" t="n"/>
      <c r="V244" s="29" t="n"/>
      <c r="W244" s="29" t="n"/>
    </row>
    <row r="245" ht="54" customHeight="1">
      <c r="A245" s="29" t="n"/>
      <c r="B245" s="29" t="n"/>
      <c r="C245" s="29" t="n"/>
      <c r="D245" s="29" t="n"/>
      <c r="E245" s="29" t="n"/>
      <c r="F245" s="29" t="n"/>
      <c r="G245" s="29" t="n"/>
      <c r="H245" s="29" t="n"/>
      <c r="I245" s="29" t="n"/>
      <c r="J245" s="29" t="n"/>
      <c r="K245" s="29" t="n"/>
      <c r="L245" s="49" t="n"/>
      <c r="M245" s="29" t="n"/>
      <c r="N245" s="29" t="n"/>
      <c r="O245" s="29" t="n"/>
      <c r="P245" s="29" t="n"/>
      <c r="Q245" s="29" t="n"/>
      <c r="R245" s="29" t="n"/>
      <c r="S245" s="29" t="n"/>
      <c r="T245" s="29" t="n"/>
      <c r="U245" s="29" t="n"/>
      <c r="V245" s="29" t="n"/>
      <c r="W245" s="29" t="n"/>
    </row>
    <row r="246" ht="54" customHeight="1">
      <c r="A246" s="29" t="n"/>
      <c r="B246" s="29" t="n"/>
      <c r="C246" s="29" t="n"/>
      <c r="D246" s="29" t="n"/>
      <c r="E246" s="29" t="n"/>
      <c r="F246" s="29" t="n"/>
      <c r="G246" s="29" t="n"/>
      <c r="H246" s="29" t="n"/>
      <c r="I246" s="29" t="n"/>
      <c r="J246" s="29" t="n"/>
      <c r="K246" s="29" t="n"/>
      <c r="L246" s="49" t="n"/>
      <c r="M246" s="29" t="n"/>
      <c r="N246" s="29" t="n"/>
      <c r="O246" s="29" t="n"/>
      <c r="P246" s="29" t="n"/>
      <c r="Q246" s="29" t="n"/>
      <c r="R246" s="29" t="n"/>
      <c r="S246" s="29" t="n"/>
      <c r="T246" s="29" t="n"/>
      <c r="U246" s="29" t="n"/>
      <c r="V246" s="29" t="n"/>
      <c r="W246" s="29" t="n"/>
    </row>
    <row r="247" ht="54" customHeight="1">
      <c r="A247" s="29" t="n"/>
      <c r="B247" s="29" t="n"/>
      <c r="C247" s="29" t="n"/>
      <c r="D247" s="29" t="n"/>
      <c r="E247" s="29" t="n"/>
      <c r="F247" s="29" t="n"/>
      <c r="G247" s="29" t="n"/>
      <c r="H247" s="29" t="n"/>
      <c r="I247" s="29" t="n"/>
      <c r="J247" s="29" t="n"/>
      <c r="K247" s="29" t="n"/>
      <c r="L247" s="49" t="n"/>
      <c r="M247" s="29" t="n"/>
      <c r="N247" s="29" t="n"/>
      <c r="O247" s="29" t="n"/>
      <c r="P247" s="29" t="n"/>
      <c r="Q247" s="29" t="n"/>
      <c r="R247" s="29" t="n"/>
      <c r="S247" s="29" t="n"/>
      <c r="T247" s="29" t="n"/>
      <c r="U247" s="29" t="n"/>
      <c r="V247" s="29" t="n"/>
      <c r="W247" s="29" t="n"/>
    </row>
    <row r="248" ht="54" customHeight="1">
      <c r="A248" s="29" t="n"/>
      <c r="B248" s="29" t="n"/>
      <c r="C248" s="29" t="n"/>
      <c r="D248" s="29" t="n"/>
      <c r="E248" s="29" t="n"/>
      <c r="F248" s="29" t="n"/>
      <c r="G248" s="29" t="n"/>
      <c r="H248" s="29" t="n"/>
      <c r="I248" s="29" t="n"/>
      <c r="J248" s="29" t="n"/>
      <c r="K248" s="29" t="n"/>
      <c r="L248" s="49" t="n"/>
      <c r="M248" s="29" t="n"/>
      <c r="N248" s="29" t="n"/>
      <c r="O248" s="29" t="n"/>
      <c r="P248" s="29" t="n"/>
      <c r="Q248" s="29" t="n"/>
      <c r="R248" s="29" t="n"/>
      <c r="S248" s="29" t="n"/>
      <c r="T248" s="29" t="n"/>
      <c r="U248" s="29" t="n"/>
      <c r="V248" s="29" t="n"/>
      <c r="W248" s="29" t="n"/>
    </row>
    <row r="249" ht="54" customHeight="1">
      <c r="A249" s="29" t="n"/>
      <c r="B249" s="29" t="n"/>
      <c r="C249" s="29" t="n"/>
      <c r="D249" s="29" t="n"/>
      <c r="E249" s="29" t="n"/>
      <c r="F249" s="29" t="n"/>
      <c r="G249" s="29" t="n"/>
      <c r="H249" s="29" t="n"/>
      <c r="I249" s="29" t="n"/>
      <c r="J249" s="29" t="n"/>
      <c r="K249" s="29" t="n"/>
      <c r="L249" s="49" t="n"/>
      <c r="M249" s="29" t="n"/>
      <c r="N249" s="29" t="n"/>
      <c r="O249" s="29" t="n"/>
      <c r="P249" s="29" t="n"/>
      <c r="Q249" s="29" t="n"/>
      <c r="R249" s="29" t="n"/>
      <c r="S249" s="29" t="n"/>
      <c r="T249" s="29" t="n"/>
      <c r="U249" s="29" t="n"/>
      <c r="V249" s="29" t="n"/>
      <c r="W249" s="29" t="n"/>
    </row>
    <row r="250" ht="54" customHeight="1">
      <c r="A250" s="29" t="n"/>
      <c r="B250" s="29" t="n"/>
      <c r="C250" s="29" t="n"/>
      <c r="D250" s="29" t="n"/>
      <c r="E250" s="29" t="n"/>
      <c r="F250" s="29" t="n"/>
      <c r="G250" s="29" t="n"/>
      <c r="H250" s="29" t="n"/>
      <c r="I250" s="29" t="n"/>
      <c r="J250" s="29" t="n"/>
      <c r="K250" s="29" t="n"/>
      <c r="L250" s="49" t="n"/>
      <c r="M250" s="29" t="n"/>
      <c r="N250" s="29" t="n"/>
      <c r="O250" s="29" t="n"/>
      <c r="P250" s="29" t="n"/>
      <c r="Q250" s="29" t="n"/>
      <c r="R250" s="29" t="n"/>
      <c r="S250" s="29" t="n"/>
      <c r="T250" s="29" t="n"/>
      <c r="U250" s="29" t="n"/>
      <c r="V250" s="29" t="n"/>
      <c r="W250" s="29" t="n"/>
    </row>
    <row r="251" ht="54" customHeight="1">
      <c r="A251" s="29" t="n"/>
      <c r="B251" s="29" t="n"/>
      <c r="C251" s="29" t="n"/>
      <c r="D251" s="29" t="n"/>
      <c r="E251" s="29" t="n"/>
      <c r="F251" s="29" t="n"/>
      <c r="G251" s="29" t="n"/>
      <c r="H251" s="29" t="n"/>
      <c r="I251" s="29" t="n"/>
      <c r="J251" s="29" t="n"/>
      <c r="K251" s="29" t="n"/>
      <c r="L251" s="49" t="n"/>
      <c r="M251" s="29" t="n"/>
      <c r="N251" s="29" t="n"/>
      <c r="O251" s="29" t="n"/>
      <c r="P251" s="29" t="n"/>
      <c r="Q251" s="29" t="n"/>
      <c r="R251" s="29" t="n"/>
      <c r="S251" s="29" t="n"/>
      <c r="T251" s="29" t="n"/>
      <c r="U251" s="29" t="n"/>
      <c r="V251" s="29" t="n"/>
      <c r="W251" s="29" t="n"/>
    </row>
    <row r="252" ht="54" customHeight="1">
      <c r="A252" s="29" t="n"/>
      <c r="B252" s="29" t="n"/>
      <c r="C252" s="29" t="n"/>
      <c r="D252" s="29" t="n"/>
      <c r="E252" s="29" t="n"/>
      <c r="F252" s="29" t="n"/>
      <c r="G252" s="29" t="n"/>
      <c r="H252" s="29" t="n"/>
      <c r="I252" s="29" t="n"/>
      <c r="J252" s="29" t="n"/>
      <c r="K252" s="29" t="n"/>
      <c r="L252" s="49" t="n"/>
      <c r="M252" s="29" t="n"/>
      <c r="N252" s="29" t="n"/>
      <c r="O252" s="29" t="n"/>
      <c r="P252" s="29" t="n"/>
      <c r="Q252" s="29" t="n"/>
      <c r="R252" s="29" t="n"/>
      <c r="S252" s="29" t="n"/>
      <c r="T252" s="29" t="n"/>
      <c r="U252" s="29" t="n"/>
      <c r="V252" s="29" t="n"/>
      <c r="W252" s="29" t="n"/>
    </row>
    <row r="253" ht="54" customHeight="1">
      <c r="A253" s="29" t="n"/>
      <c r="B253" s="29" t="n"/>
      <c r="C253" s="29" t="n"/>
      <c r="D253" s="29" t="n"/>
      <c r="E253" s="29" t="n"/>
      <c r="F253" s="29" t="n"/>
      <c r="G253" s="29" t="n"/>
      <c r="H253" s="29" t="n"/>
      <c r="I253" s="29" t="n"/>
      <c r="J253" s="29" t="n"/>
      <c r="K253" s="29" t="n"/>
      <c r="L253" s="49" t="n"/>
      <c r="M253" s="29" t="n"/>
      <c r="N253" s="29" t="n"/>
      <c r="O253" s="29" t="n"/>
      <c r="P253" s="29" t="n"/>
      <c r="Q253" s="29" t="n"/>
      <c r="R253" s="29" t="n"/>
      <c r="S253" s="29" t="n"/>
      <c r="T253" s="29" t="n"/>
      <c r="U253" s="29" t="n"/>
      <c r="V253" s="29" t="n"/>
      <c r="W253" s="29" t="n"/>
    </row>
    <row r="254" ht="54" customHeight="1">
      <c r="A254" s="29" t="n"/>
      <c r="B254" s="29" t="n"/>
      <c r="C254" s="29" t="n"/>
      <c r="D254" s="29" t="n"/>
      <c r="E254" s="29" t="n"/>
      <c r="F254" s="29" t="n"/>
      <c r="G254" s="29" t="n"/>
      <c r="H254" s="29" t="n"/>
      <c r="I254" s="29" t="n"/>
      <c r="J254" s="29" t="n"/>
      <c r="K254" s="29" t="n"/>
      <c r="L254" s="49" t="n"/>
      <c r="M254" s="29" t="n"/>
      <c r="N254" s="29" t="n"/>
      <c r="O254" s="29" t="n"/>
      <c r="P254" s="29" t="n"/>
      <c r="Q254" s="29" t="n"/>
      <c r="R254" s="29" t="n"/>
      <c r="S254" s="29" t="n"/>
      <c r="T254" s="29" t="n"/>
      <c r="U254" s="29" t="n"/>
      <c r="V254" s="29" t="n"/>
      <c r="W254" s="29" t="n"/>
    </row>
    <row r="255" ht="54" customHeight="1">
      <c r="A255" s="29" t="n"/>
      <c r="B255" s="29" t="n"/>
      <c r="C255" s="29" t="n"/>
      <c r="D255" s="29" t="n"/>
      <c r="E255" s="29" t="n"/>
      <c r="F255" s="29" t="n"/>
      <c r="G255" s="29" t="n"/>
      <c r="H255" s="29" t="n"/>
      <c r="I255" s="29" t="n"/>
      <c r="J255" s="29" t="n"/>
      <c r="K255" s="29" t="n"/>
      <c r="L255" s="49" t="n"/>
      <c r="M255" s="29" t="n"/>
      <c r="N255" s="29" t="n"/>
      <c r="O255" s="29" t="n"/>
      <c r="P255" s="29" t="n"/>
      <c r="Q255" s="29" t="n"/>
      <c r="R255" s="29" t="n"/>
      <c r="S255" s="29" t="n"/>
      <c r="T255" s="29" t="n"/>
      <c r="U255" s="29" t="n"/>
      <c r="V255" s="29" t="n"/>
      <c r="W255" s="29" t="n"/>
    </row>
    <row r="256" ht="54" customHeight="1">
      <c r="A256" s="29" t="n"/>
      <c r="B256" s="29" t="n"/>
      <c r="C256" s="29" t="n"/>
      <c r="D256" s="29" t="n"/>
      <c r="E256" s="29" t="n"/>
      <c r="F256" s="29" t="n"/>
      <c r="G256" s="29" t="n"/>
      <c r="H256" s="29" t="n"/>
      <c r="I256" s="29" t="n"/>
      <c r="J256" s="29" t="n"/>
      <c r="K256" s="29" t="n"/>
      <c r="L256" s="49" t="n"/>
      <c r="M256" s="29" t="n"/>
      <c r="N256" s="29" t="n"/>
      <c r="O256" s="29" t="n"/>
      <c r="P256" s="29" t="n"/>
      <c r="Q256" s="29" t="n"/>
      <c r="R256" s="29" t="n"/>
      <c r="S256" s="29" t="n"/>
      <c r="T256" s="29" t="n"/>
      <c r="U256" s="29" t="n"/>
      <c r="V256" s="29" t="n"/>
      <c r="W256" s="29" t="n"/>
    </row>
    <row r="257" ht="54" customHeight="1">
      <c r="A257" s="29" t="n"/>
      <c r="B257" s="29" t="n"/>
      <c r="C257" s="29" t="n"/>
      <c r="D257" s="29" t="n"/>
      <c r="E257" s="29" t="n"/>
      <c r="F257" s="29" t="n"/>
      <c r="G257" s="29" t="n"/>
      <c r="H257" s="29" t="n"/>
      <c r="I257" s="29" t="n"/>
      <c r="J257" s="29" t="n"/>
      <c r="K257" s="29" t="n"/>
      <c r="L257" s="49" t="n"/>
      <c r="M257" s="29" t="n"/>
      <c r="N257" s="29" t="n"/>
      <c r="O257" s="29" t="n"/>
      <c r="P257" s="29" t="n"/>
      <c r="Q257" s="29" t="n"/>
      <c r="R257" s="29" t="n"/>
      <c r="S257" s="29" t="n"/>
      <c r="T257" s="29" t="n"/>
      <c r="U257" s="29" t="n"/>
      <c r="V257" s="29" t="n"/>
      <c r="W257" s="29" t="n"/>
    </row>
    <row r="258" ht="54" customHeight="1">
      <c r="A258" s="29" t="n"/>
      <c r="B258" s="29" t="n"/>
      <c r="C258" s="29" t="n"/>
      <c r="D258" s="29" t="n"/>
      <c r="E258" s="29" t="n"/>
      <c r="F258" s="29" t="n"/>
      <c r="G258" s="29" t="n"/>
      <c r="H258" s="29" t="n"/>
      <c r="I258" s="29" t="n"/>
      <c r="J258" s="29" t="n"/>
      <c r="K258" s="29" t="n"/>
      <c r="L258" s="49" t="n"/>
      <c r="M258" s="29" t="n"/>
      <c r="N258" s="29" t="n"/>
      <c r="O258" s="29" t="n"/>
      <c r="P258" s="29" t="n"/>
      <c r="Q258" s="29" t="n"/>
      <c r="R258" s="29" t="n"/>
      <c r="S258" s="29" t="n"/>
      <c r="T258" s="29" t="n"/>
      <c r="U258" s="29" t="n"/>
      <c r="V258" s="29" t="n"/>
      <c r="W258" s="29" t="n"/>
    </row>
    <row r="259" ht="54" customHeight="1">
      <c r="A259" s="29" t="n"/>
      <c r="B259" s="29" t="n"/>
      <c r="C259" s="29" t="n"/>
      <c r="D259" s="29" t="n"/>
      <c r="E259" s="29" t="n"/>
      <c r="F259" s="29" t="n"/>
      <c r="G259" s="29" t="n"/>
      <c r="H259" s="29" t="n"/>
      <c r="I259" s="29" t="n"/>
      <c r="J259" s="29" t="n"/>
      <c r="K259" s="29" t="n"/>
      <c r="L259" s="49" t="n"/>
      <c r="M259" s="29" t="n"/>
      <c r="N259" s="29" t="n"/>
      <c r="O259" s="29" t="n"/>
      <c r="P259" s="29" t="n"/>
      <c r="Q259" s="29" t="n"/>
      <c r="R259" s="29" t="n"/>
      <c r="S259" s="29" t="n"/>
      <c r="T259" s="29" t="n"/>
      <c r="U259" s="29" t="n"/>
      <c r="V259" s="29" t="n"/>
      <c r="W259" s="29" t="n"/>
    </row>
    <row r="260" ht="54" customHeight="1">
      <c r="A260" s="29" t="n"/>
      <c r="B260" s="29" t="n"/>
      <c r="C260" s="29" t="n"/>
      <c r="D260" s="29" t="n"/>
      <c r="E260" s="29" t="n"/>
      <c r="F260" s="29" t="n"/>
      <c r="G260" s="29" t="n"/>
      <c r="H260" s="29" t="n"/>
      <c r="I260" s="29" t="n"/>
      <c r="J260" s="29" t="n"/>
      <c r="K260" s="29" t="n"/>
      <c r="L260" s="49" t="n"/>
      <c r="M260" s="29" t="n"/>
      <c r="N260" s="29" t="n"/>
      <c r="O260" s="29" t="n"/>
      <c r="P260" s="29" t="n"/>
      <c r="Q260" s="29" t="n"/>
      <c r="R260" s="29" t="n"/>
      <c r="S260" s="29" t="n"/>
      <c r="T260" s="29" t="n"/>
      <c r="U260" s="29" t="n"/>
      <c r="V260" s="29" t="n"/>
      <c r="W260" s="29" t="n"/>
    </row>
    <row r="261" ht="54" customHeight="1">
      <c r="A261" s="29" t="n"/>
      <c r="B261" s="29" t="n"/>
      <c r="C261" s="29" t="n"/>
      <c r="D261" s="29" t="n"/>
      <c r="E261" s="29" t="n"/>
      <c r="F261" s="29" t="n"/>
      <c r="G261" s="29" t="n"/>
      <c r="H261" s="29" t="n"/>
      <c r="I261" s="29" t="n"/>
      <c r="J261" s="29" t="n"/>
      <c r="K261" s="29" t="n"/>
      <c r="L261" s="49" t="n"/>
      <c r="M261" s="29" t="n"/>
      <c r="N261" s="29" t="n"/>
      <c r="O261" s="29" t="n"/>
      <c r="P261" s="29" t="n"/>
      <c r="Q261" s="29" t="n"/>
      <c r="R261" s="29" t="n"/>
      <c r="S261" s="29" t="n"/>
      <c r="T261" s="29" t="n"/>
      <c r="U261" s="29" t="n"/>
      <c r="V261" s="29" t="n"/>
      <c r="W261" s="29" t="n"/>
    </row>
    <row r="262" ht="54" customHeight="1">
      <c r="A262" s="29" t="n"/>
      <c r="B262" s="29" t="n"/>
      <c r="C262" s="29" t="n"/>
      <c r="D262" s="29" t="n"/>
      <c r="E262" s="29" t="n"/>
      <c r="F262" s="29" t="n"/>
      <c r="G262" s="29" t="n"/>
      <c r="H262" s="29" t="n"/>
      <c r="I262" s="29" t="n"/>
      <c r="J262" s="29" t="n"/>
      <c r="K262" s="29" t="n"/>
      <c r="L262" s="49" t="n"/>
      <c r="M262" s="29" t="n"/>
      <c r="N262" s="29" t="n"/>
      <c r="O262" s="29" t="n"/>
      <c r="P262" s="29" t="n"/>
      <c r="Q262" s="29" t="n"/>
      <c r="R262" s="29" t="n"/>
      <c r="S262" s="29" t="n"/>
      <c r="T262" s="29" t="n"/>
      <c r="U262" s="29" t="n"/>
      <c r="V262" s="29" t="n"/>
      <c r="W262" s="29" t="n"/>
    </row>
    <row r="263" ht="54" customHeight="1">
      <c r="A263" s="29" t="n"/>
      <c r="B263" s="29" t="n"/>
      <c r="C263" s="29" t="n"/>
      <c r="D263" s="29" t="n"/>
      <c r="E263" s="29" t="n"/>
      <c r="F263" s="29" t="n"/>
      <c r="G263" s="29" t="n"/>
      <c r="H263" s="29" t="n"/>
      <c r="I263" s="29" t="n"/>
      <c r="J263" s="29" t="n"/>
      <c r="K263" s="29" t="n"/>
      <c r="L263" s="49" t="n"/>
      <c r="M263" s="29" t="n"/>
      <c r="N263" s="29" t="n"/>
      <c r="O263" s="29" t="n"/>
      <c r="P263" s="29" t="n"/>
      <c r="Q263" s="29" t="n"/>
      <c r="R263" s="29" t="n"/>
      <c r="S263" s="29" t="n"/>
      <c r="T263" s="29" t="n"/>
      <c r="U263" s="29" t="n"/>
      <c r="V263" s="29" t="n"/>
      <c r="W263" s="29" t="n"/>
    </row>
    <row r="264" ht="54" customHeight="1">
      <c r="A264" s="29" t="n"/>
      <c r="B264" s="29" t="n"/>
      <c r="C264" s="29" t="n"/>
      <c r="D264" s="29" t="n"/>
      <c r="E264" s="29" t="n"/>
      <c r="F264" s="29" t="n"/>
      <c r="G264" s="29" t="n"/>
      <c r="H264" s="29" t="n"/>
      <c r="I264" s="29" t="n"/>
      <c r="J264" s="29" t="n"/>
      <c r="K264" s="29" t="n"/>
      <c r="L264" s="49" t="n"/>
      <c r="M264" s="29" t="n"/>
      <c r="N264" s="29" t="n"/>
      <c r="O264" s="29" t="n"/>
      <c r="P264" s="29" t="n"/>
      <c r="Q264" s="29" t="n"/>
      <c r="R264" s="29" t="n"/>
      <c r="S264" s="29" t="n"/>
      <c r="T264" s="29" t="n"/>
      <c r="U264" s="29" t="n"/>
      <c r="V264" s="29" t="n"/>
      <c r="W264" s="29" t="n"/>
    </row>
    <row r="265" ht="54" customHeight="1">
      <c r="A265" s="29" t="n"/>
      <c r="B265" s="29" t="n"/>
      <c r="C265" s="29" t="n"/>
      <c r="D265" s="29" t="n"/>
      <c r="E265" s="29" t="n"/>
      <c r="F265" s="29" t="n"/>
      <c r="G265" s="29" t="n"/>
      <c r="H265" s="29" t="n"/>
      <c r="I265" s="29" t="n"/>
      <c r="J265" s="29" t="n"/>
      <c r="K265" s="29" t="n"/>
      <c r="L265" s="49" t="n"/>
      <c r="M265" s="29" t="n"/>
      <c r="N265" s="29" t="n"/>
      <c r="O265" s="29" t="n"/>
      <c r="P265" s="29" t="n"/>
      <c r="Q265" s="29" t="n"/>
      <c r="R265" s="29" t="n"/>
      <c r="S265" s="29" t="n"/>
      <c r="T265" s="29" t="n"/>
      <c r="U265" s="29" t="n"/>
      <c r="V265" s="29" t="n"/>
      <c r="W265" s="29" t="n"/>
    </row>
    <row r="266" ht="54" customHeight="1">
      <c r="A266" s="29" t="n"/>
      <c r="B266" s="29" t="n"/>
      <c r="C266" s="29" t="n"/>
      <c r="D266" s="29" t="n"/>
      <c r="E266" s="29" t="n"/>
      <c r="F266" s="29" t="n"/>
      <c r="G266" s="29" t="n"/>
      <c r="H266" s="29" t="n"/>
      <c r="I266" s="29" t="n"/>
      <c r="J266" s="29" t="n"/>
      <c r="K266" s="29" t="n"/>
      <c r="L266" s="49" t="n"/>
      <c r="M266" s="29" t="n"/>
      <c r="N266" s="29" t="n"/>
      <c r="O266" s="29" t="n"/>
      <c r="P266" s="29" t="n"/>
      <c r="Q266" s="29" t="n"/>
      <c r="R266" s="29" t="n"/>
      <c r="S266" s="29" t="n"/>
      <c r="T266" s="29" t="n"/>
      <c r="U266" s="29" t="n"/>
      <c r="V266" s="29" t="n"/>
      <c r="W266" s="29" t="n"/>
    </row>
    <row r="267" ht="54" customHeight="1">
      <c r="A267" s="29" t="n"/>
      <c r="B267" s="29" t="n"/>
      <c r="C267" s="29" t="n"/>
      <c r="D267" s="29" t="n"/>
      <c r="E267" s="29" t="n"/>
      <c r="F267" s="29" t="n"/>
      <c r="G267" s="29" t="n"/>
      <c r="H267" s="29" t="n"/>
      <c r="I267" s="29" t="n"/>
      <c r="J267" s="29" t="n"/>
      <c r="K267" s="29" t="n"/>
      <c r="L267" s="49" t="n"/>
      <c r="M267" s="29" t="n"/>
      <c r="N267" s="29" t="n"/>
      <c r="O267" s="29" t="n"/>
      <c r="P267" s="29" t="n"/>
      <c r="Q267" s="29" t="n"/>
      <c r="R267" s="29" t="n"/>
      <c r="S267" s="29" t="n"/>
      <c r="T267" s="29" t="n"/>
      <c r="U267" s="29" t="n"/>
      <c r="V267" s="29" t="n"/>
      <c r="W267" s="29" t="n"/>
    </row>
    <row r="268" ht="54" customHeight="1">
      <c r="A268" s="29" t="n"/>
      <c r="B268" s="29" t="n"/>
      <c r="C268" s="29" t="n"/>
      <c r="D268" s="29" t="n"/>
      <c r="E268" s="29" t="n"/>
      <c r="F268" s="29" t="n"/>
      <c r="G268" s="29" t="n"/>
      <c r="H268" s="29" t="n"/>
      <c r="I268" s="29" t="n"/>
      <c r="J268" s="29" t="n"/>
      <c r="K268" s="29" t="n"/>
      <c r="L268" s="49" t="n"/>
      <c r="M268" s="29" t="n"/>
      <c r="N268" s="29" t="n"/>
      <c r="O268" s="29" t="n"/>
      <c r="P268" s="29" t="n"/>
      <c r="Q268" s="29" t="n"/>
      <c r="R268" s="29" t="n"/>
      <c r="S268" s="29" t="n"/>
      <c r="T268" s="29" t="n"/>
      <c r="U268" s="29" t="n"/>
      <c r="V268" s="29" t="n"/>
      <c r="W268" s="29" t="n"/>
    </row>
    <row r="269" ht="54" customHeight="1">
      <c r="A269" s="29" t="n"/>
      <c r="B269" s="29" t="n"/>
      <c r="C269" s="29" t="n"/>
      <c r="D269" s="29" t="n"/>
      <c r="E269" s="29" t="n"/>
      <c r="F269" s="29" t="n"/>
      <c r="G269" s="29" t="n"/>
      <c r="H269" s="29" t="n"/>
      <c r="I269" s="29" t="n"/>
      <c r="J269" s="29" t="n"/>
      <c r="K269" s="29" t="n"/>
      <c r="L269" s="49" t="n"/>
      <c r="M269" s="29" t="n"/>
      <c r="N269" s="29" t="n"/>
      <c r="O269" s="29" t="n"/>
      <c r="P269" s="29" t="n"/>
      <c r="Q269" s="29" t="n"/>
      <c r="R269" s="29" t="n"/>
      <c r="S269" s="29" t="n"/>
      <c r="T269" s="29" t="n"/>
      <c r="U269" s="29" t="n"/>
      <c r="V269" s="29" t="n"/>
      <c r="W269" s="29" t="n"/>
    </row>
    <row r="270" ht="54" customHeight="1">
      <c r="A270" s="29" t="n"/>
      <c r="B270" s="29" t="n"/>
      <c r="C270" s="29" t="n"/>
      <c r="D270" s="29" t="n"/>
      <c r="E270" s="29" t="n"/>
      <c r="F270" s="29" t="n"/>
      <c r="G270" s="29" t="n"/>
      <c r="H270" s="29" t="n"/>
      <c r="I270" s="29" t="n"/>
      <c r="J270" s="29" t="n"/>
      <c r="K270" s="29" t="n"/>
      <c r="L270" s="49" t="n"/>
      <c r="M270" s="29" t="n"/>
      <c r="N270" s="29" t="n"/>
      <c r="O270" s="29" t="n"/>
      <c r="P270" s="29" t="n"/>
      <c r="Q270" s="29" t="n"/>
      <c r="R270" s="29" t="n"/>
      <c r="S270" s="29" t="n"/>
      <c r="T270" s="29" t="n"/>
      <c r="U270" s="29" t="n"/>
      <c r="V270" s="29" t="n"/>
      <c r="W270" s="29" t="n"/>
    </row>
    <row r="271" ht="54" customHeight="1">
      <c r="A271" s="29" t="n"/>
      <c r="B271" s="29" t="n"/>
      <c r="C271" s="29" t="n"/>
      <c r="D271" s="29" t="n"/>
      <c r="E271" s="29" t="n"/>
      <c r="F271" s="29" t="n"/>
      <c r="G271" s="29" t="n"/>
      <c r="H271" s="29" t="n"/>
      <c r="I271" s="29" t="n"/>
      <c r="J271" s="29" t="n"/>
      <c r="K271" s="29" t="n"/>
      <c r="L271" s="49" t="n"/>
      <c r="M271" s="29" t="n"/>
      <c r="N271" s="29" t="n"/>
      <c r="O271" s="29" t="n"/>
      <c r="P271" s="29" t="n"/>
      <c r="Q271" s="29" t="n"/>
      <c r="R271" s="29" t="n"/>
      <c r="S271" s="29" t="n"/>
      <c r="T271" s="29" t="n"/>
      <c r="U271" s="29" t="n"/>
      <c r="V271" s="29" t="n"/>
      <c r="W271" s="29" t="n"/>
    </row>
    <row r="272" ht="54" customHeight="1">
      <c r="A272" s="29" t="n"/>
      <c r="B272" s="29" t="n"/>
      <c r="C272" s="29" t="n"/>
      <c r="D272" s="29" t="n"/>
      <c r="E272" s="29" t="n"/>
      <c r="F272" s="29" t="n"/>
      <c r="G272" s="29" t="n"/>
      <c r="H272" s="29" t="n"/>
      <c r="I272" s="29" t="n"/>
      <c r="J272" s="29" t="n"/>
      <c r="K272" s="29" t="n"/>
      <c r="L272" s="49" t="n"/>
      <c r="M272" s="29" t="n"/>
      <c r="N272" s="29" t="n"/>
      <c r="O272" s="29" t="n"/>
      <c r="P272" s="29" t="n"/>
      <c r="Q272" s="29" t="n"/>
      <c r="R272" s="29" t="n"/>
      <c r="S272" s="29" t="n"/>
      <c r="T272" s="29" t="n"/>
      <c r="U272" s="29" t="n"/>
      <c r="V272" s="29" t="n"/>
      <c r="W272" s="29" t="n"/>
    </row>
    <row r="273" ht="54" customHeight="1">
      <c r="A273" s="29" t="n"/>
      <c r="B273" s="29" t="n"/>
      <c r="C273" s="29" t="n"/>
      <c r="D273" s="29" t="n"/>
      <c r="E273" s="29" t="n"/>
      <c r="F273" s="29" t="n"/>
      <c r="G273" s="29" t="n"/>
      <c r="H273" s="29" t="n"/>
      <c r="I273" s="29" t="n"/>
      <c r="J273" s="29" t="n"/>
      <c r="K273" s="29" t="n"/>
      <c r="L273" s="49" t="n"/>
      <c r="M273" s="29" t="n"/>
      <c r="N273" s="29" t="n"/>
      <c r="O273" s="29" t="n"/>
      <c r="P273" s="29" t="n"/>
      <c r="Q273" s="29" t="n"/>
      <c r="R273" s="29" t="n"/>
      <c r="S273" s="29" t="n"/>
      <c r="T273" s="29" t="n"/>
      <c r="U273" s="29" t="n"/>
      <c r="V273" s="29" t="n"/>
      <c r="W273" s="29" t="n"/>
    </row>
    <row r="274" ht="54" customHeight="1">
      <c r="A274" s="29" t="n"/>
      <c r="B274" s="29" t="n"/>
      <c r="C274" s="29" t="n"/>
      <c r="D274" s="29" t="n"/>
      <c r="E274" s="29" t="n"/>
      <c r="F274" s="29" t="n"/>
      <c r="G274" s="29" t="n"/>
      <c r="H274" s="29" t="n"/>
      <c r="I274" s="29" t="n"/>
      <c r="J274" s="29" t="n"/>
      <c r="K274" s="29" t="n"/>
      <c r="L274" s="49" t="n"/>
      <c r="M274" s="29" t="n"/>
      <c r="N274" s="29" t="n"/>
      <c r="O274" s="29" t="n"/>
      <c r="P274" s="29" t="n"/>
      <c r="Q274" s="29" t="n"/>
      <c r="R274" s="29" t="n"/>
      <c r="S274" s="29" t="n"/>
      <c r="T274" s="29" t="n"/>
      <c r="U274" s="29" t="n"/>
      <c r="V274" s="29" t="n"/>
      <c r="W274" s="29" t="n"/>
    </row>
    <row r="275" ht="54" customHeight="1">
      <c r="A275" s="29" t="n"/>
      <c r="B275" s="29" t="n"/>
      <c r="C275" s="29" t="n"/>
      <c r="D275" s="29" t="n"/>
      <c r="E275" s="29" t="n"/>
      <c r="F275" s="29" t="n"/>
      <c r="G275" s="29" t="n"/>
      <c r="H275" s="29" t="n"/>
      <c r="I275" s="29" t="n"/>
      <c r="J275" s="29" t="n"/>
      <c r="K275" s="29" t="n"/>
      <c r="L275" s="49" t="n"/>
      <c r="M275" s="29" t="n"/>
      <c r="N275" s="29" t="n"/>
      <c r="O275" s="29" t="n"/>
      <c r="P275" s="29" t="n"/>
      <c r="Q275" s="29" t="n"/>
      <c r="R275" s="29" t="n"/>
      <c r="S275" s="29" t="n"/>
      <c r="T275" s="29" t="n"/>
      <c r="U275" s="29" t="n"/>
      <c r="V275" s="29" t="n"/>
      <c r="W275" s="29" t="n"/>
    </row>
    <row r="276" ht="54" customHeight="1">
      <c r="A276" s="29" t="n"/>
      <c r="B276" s="29" t="n"/>
      <c r="C276" s="29" t="n"/>
      <c r="D276" s="29" t="n"/>
      <c r="E276" s="29" t="n"/>
      <c r="F276" s="29" t="n"/>
      <c r="G276" s="29" t="n"/>
      <c r="H276" s="29" t="n"/>
      <c r="I276" s="29" t="n"/>
      <c r="J276" s="29" t="n"/>
      <c r="K276" s="29" t="n"/>
      <c r="L276" s="49" t="n"/>
      <c r="M276" s="29" t="n"/>
      <c r="N276" s="29" t="n"/>
      <c r="O276" s="29" t="n"/>
      <c r="P276" s="29" t="n"/>
      <c r="Q276" s="29" t="n"/>
      <c r="R276" s="29" t="n"/>
      <c r="S276" s="29" t="n"/>
      <c r="T276" s="29" t="n"/>
      <c r="U276" s="29" t="n"/>
      <c r="V276" s="29" t="n"/>
      <c r="W276" s="29" t="n"/>
    </row>
    <row r="277" ht="54" customHeight="1">
      <c r="A277" s="29" t="n"/>
      <c r="B277" s="29" t="n"/>
      <c r="C277" s="29" t="n"/>
      <c r="D277" s="29" t="n"/>
      <c r="E277" s="29" t="n"/>
      <c r="F277" s="29" t="n"/>
      <c r="G277" s="29" t="n"/>
      <c r="H277" s="29" t="n"/>
      <c r="I277" s="29" t="n"/>
      <c r="J277" s="29" t="n"/>
      <c r="K277" s="29" t="n"/>
      <c r="L277" s="49" t="n"/>
      <c r="M277" s="29" t="n"/>
      <c r="N277" s="29" t="n"/>
      <c r="O277" s="29" t="n"/>
      <c r="P277" s="29" t="n"/>
      <c r="Q277" s="29" t="n"/>
      <c r="R277" s="29" t="n"/>
      <c r="S277" s="29" t="n"/>
      <c r="T277" s="29" t="n"/>
      <c r="U277" s="29" t="n"/>
      <c r="V277" s="29" t="n"/>
      <c r="W277" s="29" t="n"/>
    </row>
    <row r="278" ht="54" customHeight="1">
      <c r="A278" s="29" t="n"/>
      <c r="B278" s="29" t="n"/>
      <c r="C278" s="29" t="n"/>
      <c r="D278" s="29" t="n"/>
      <c r="E278" s="29" t="n"/>
      <c r="F278" s="29" t="n"/>
      <c r="G278" s="29" t="n"/>
      <c r="H278" s="29" t="n"/>
      <c r="I278" s="29" t="n"/>
      <c r="J278" s="29" t="n"/>
      <c r="K278" s="29" t="n"/>
      <c r="L278" s="49" t="n"/>
      <c r="M278" s="29" t="n"/>
      <c r="N278" s="29" t="n"/>
      <c r="O278" s="29" t="n"/>
      <c r="P278" s="29" t="n"/>
      <c r="Q278" s="29" t="n"/>
      <c r="R278" s="29" t="n"/>
      <c r="S278" s="29" t="n"/>
      <c r="T278" s="29" t="n"/>
      <c r="U278" s="29" t="n"/>
      <c r="V278" s="29" t="n"/>
      <c r="W278" s="29" t="n"/>
    </row>
    <row r="279" ht="54" customHeight="1">
      <c r="A279" s="29" t="n"/>
      <c r="B279" s="29" t="n"/>
      <c r="C279" s="29" t="n"/>
      <c r="D279" s="29" t="n"/>
      <c r="E279" s="29" t="n"/>
      <c r="F279" s="29" t="n"/>
      <c r="G279" s="29" t="n"/>
      <c r="H279" s="29" t="n"/>
      <c r="I279" s="29" t="n"/>
      <c r="J279" s="29" t="n"/>
      <c r="K279" s="29" t="n"/>
      <c r="L279" s="49" t="n"/>
      <c r="M279" s="29" t="n"/>
      <c r="N279" s="29" t="n"/>
      <c r="O279" s="29" t="n"/>
      <c r="P279" s="29" t="n"/>
      <c r="Q279" s="29" t="n"/>
      <c r="R279" s="29" t="n"/>
      <c r="S279" s="29" t="n"/>
      <c r="T279" s="29" t="n"/>
      <c r="U279" s="29" t="n"/>
      <c r="V279" s="29" t="n"/>
      <c r="W279" s="29" t="n"/>
    </row>
    <row r="280" ht="54" customHeight="1">
      <c r="A280" s="29" t="n"/>
      <c r="B280" s="29" t="n"/>
      <c r="C280" s="29" t="n"/>
      <c r="D280" s="29" t="n"/>
      <c r="E280" s="29" t="n"/>
      <c r="F280" s="29" t="n"/>
      <c r="G280" s="29" t="n"/>
      <c r="H280" s="29" t="n"/>
      <c r="I280" s="29" t="n"/>
      <c r="J280" s="29" t="n"/>
      <c r="K280" s="29" t="n"/>
      <c r="L280" s="49" t="n"/>
      <c r="M280" s="29" t="n"/>
      <c r="N280" s="29" t="n"/>
      <c r="O280" s="29" t="n"/>
      <c r="P280" s="29" t="n"/>
      <c r="Q280" s="29" t="n"/>
      <c r="R280" s="29" t="n"/>
      <c r="S280" s="29" t="n"/>
      <c r="T280" s="29" t="n"/>
      <c r="U280" s="29" t="n"/>
      <c r="V280" s="29" t="n"/>
      <c r="W280" s="29" t="n"/>
    </row>
    <row r="281" ht="54" customHeight="1">
      <c r="A281" s="29" t="n"/>
      <c r="B281" s="29" t="n"/>
      <c r="C281" s="29" t="n"/>
      <c r="D281" s="29" t="n"/>
      <c r="E281" s="29" t="n"/>
      <c r="F281" s="29" t="n"/>
      <c r="G281" s="29" t="n"/>
      <c r="H281" s="29" t="n"/>
      <c r="I281" s="29" t="n"/>
      <c r="J281" s="29" t="n"/>
      <c r="K281" s="29" t="n"/>
      <c r="L281" s="49" t="n"/>
      <c r="M281" s="29" t="n"/>
      <c r="N281" s="29" t="n"/>
      <c r="O281" s="29" t="n"/>
      <c r="P281" s="29" t="n"/>
      <c r="Q281" s="29" t="n"/>
      <c r="R281" s="29" t="n"/>
      <c r="S281" s="29" t="n"/>
      <c r="T281" s="29" t="n"/>
      <c r="U281" s="29" t="n"/>
      <c r="V281" s="29" t="n"/>
      <c r="W281" s="29" t="n"/>
    </row>
    <row r="282" ht="54" customHeight="1">
      <c r="A282" s="29" t="n"/>
      <c r="B282" s="29" t="n"/>
      <c r="C282" s="29" t="n"/>
      <c r="D282" s="29" t="n"/>
      <c r="E282" s="29" t="n"/>
      <c r="F282" s="29" t="n"/>
      <c r="G282" s="29" t="n"/>
      <c r="H282" s="29" t="n"/>
      <c r="I282" s="29" t="n"/>
      <c r="J282" s="29" t="n"/>
      <c r="K282" s="29" t="n"/>
      <c r="L282" s="49" t="n"/>
      <c r="M282" s="29" t="n"/>
      <c r="N282" s="29" t="n"/>
      <c r="O282" s="29" t="n"/>
      <c r="P282" s="29" t="n"/>
      <c r="Q282" s="29" t="n"/>
      <c r="R282" s="29" t="n"/>
      <c r="S282" s="29" t="n"/>
      <c r="T282" s="29" t="n"/>
      <c r="U282" s="29" t="n"/>
      <c r="V282" s="29" t="n"/>
      <c r="W282" s="29" t="n"/>
    </row>
    <row r="283" ht="54" customHeight="1">
      <c r="A283" s="29" t="n"/>
      <c r="B283" s="29" t="n"/>
      <c r="C283" s="29" t="n"/>
      <c r="D283" s="29" t="n"/>
      <c r="E283" s="29" t="n"/>
      <c r="F283" s="29" t="n"/>
      <c r="G283" s="29" t="n"/>
      <c r="H283" s="29" t="n"/>
      <c r="I283" s="29" t="n"/>
      <c r="J283" s="29" t="n"/>
      <c r="K283" s="29" t="n"/>
      <c r="L283" s="49" t="n"/>
      <c r="M283" s="29" t="n"/>
      <c r="N283" s="29" t="n"/>
      <c r="O283" s="29" t="n"/>
      <c r="P283" s="29" t="n"/>
      <c r="Q283" s="29" t="n"/>
      <c r="R283" s="29" t="n"/>
      <c r="S283" s="29" t="n"/>
      <c r="T283" s="29" t="n"/>
      <c r="U283" s="29" t="n"/>
      <c r="V283" s="29" t="n"/>
      <c r="W283" s="29" t="n"/>
    </row>
    <row r="284" ht="54" customHeight="1">
      <c r="A284" s="29" t="n"/>
      <c r="B284" s="29" t="n"/>
      <c r="C284" s="29" t="n"/>
      <c r="D284" s="29" t="n"/>
      <c r="E284" s="29" t="n"/>
      <c r="F284" s="29" t="n"/>
      <c r="G284" s="29" t="n"/>
      <c r="H284" s="29" t="n"/>
      <c r="I284" s="29" t="n"/>
      <c r="J284" s="29" t="n"/>
      <c r="K284" s="29" t="n"/>
      <c r="L284" s="49" t="n"/>
      <c r="M284" s="29" t="n"/>
      <c r="N284" s="29" t="n"/>
      <c r="O284" s="29" t="n"/>
      <c r="P284" s="29" t="n"/>
      <c r="Q284" s="29" t="n"/>
      <c r="R284" s="29" t="n"/>
      <c r="S284" s="29" t="n"/>
      <c r="T284" s="29" t="n"/>
      <c r="U284" s="29" t="n"/>
      <c r="V284" s="29" t="n"/>
      <c r="W284" s="29" t="n"/>
    </row>
    <row r="285" ht="54" customHeight="1">
      <c r="A285" s="29" t="n"/>
      <c r="B285" s="29" t="n"/>
      <c r="C285" s="29" t="n"/>
      <c r="D285" s="29" t="n"/>
      <c r="E285" s="29" t="n"/>
      <c r="F285" s="29" t="n"/>
      <c r="G285" s="29" t="n"/>
      <c r="H285" s="29" t="n"/>
      <c r="I285" s="29" t="n"/>
      <c r="J285" s="29" t="n"/>
      <c r="K285" s="29" t="n"/>
      <c r="L285" s="49" t="n"/>
      <c r="M285" s="29" t="n"/>
      <c r="N285" s="29" t="n"/>
      <c r="O285" s="29" t="n"/>
      <c r="P285" s="29" t="n"/>
      <c r="Q285" s="29" t="n"/>
      <c r="R285" s="29" t="n"/>
      <c r="S285" s="29" t="n"/>
      <c r="T285" s="29" t="n"/>
      <c r="U285" s="29" t="n"/>
      <c r="V285" s="29" t="n"/>
      <c r="W285" s="29" t="n"/>
    </row>
    <row r="286" ht="54" customHeight="1">
      <c r="A286" s="29" t="n"/>
      <c r="B286" s="29" t="n"/>
      <c r="C286" s="29" t="n"/>
      <c r="D286" s="29" t="n"/>
      <c r="E286" s="29" t="n"/>
      <c r="F286" s="29" t="n"/>
      <c r="G286" s="29" t="n"/>
      <c r="H286" s="29" t="n"/>
      <c r="I286" s="29" t="n"/>
      <c r="J286" s="29" t="n"/>
      <c r="K286" s="29" t="n"/>
      <c r="L286" s="49" t="n"/>
      <c r="M286" s="29" t="n"/>
      <c r="N286" s="29" t="n"/>
      <c r="O286" s="29" t="n"/>
      <c r="P286" s="29" t="n"/>
      <c r="Q286" s="29" t="n"/>
      <c r="R286" s="29" t="n"/>
      <c r="S286" s="29" t="n"/>
      <c r="T286" s="29" t="n"/>
      <c r="U286" s="29" t="n"/>
      <c r="V286" s="29" t="n"/>
      <c r="W286" s="29" t="n"/>
    </row>
    <row r="287" ht="54" customHeight="1">
      <c r="A287" s="29" t="n"/>
      <c r="B287" s="29" t="n"/>
      <c r="C287" s="29" t="n"/>
      <c r="D287" s="29" t="n"/>
      <c r="E287" s="29" t="n"/>
      <c r="F287" s="29" t="n"/>
      <c r="G287" s="29" t="n"/>
      <c r="H287" s="29" t="n"/>
      <c r="I287" s="29" t="n"/>
      <c r="J287" s="29" t="n"/>
      <c r="K287" s="29" t="n"/>
      <c r="L287" s="49" t="n"/>
      <c r="M287" s="29" t="n"/>
      <c r="N287" s="29" t="n"/>
      <c r="O287" s="29" t="n"/>
      <c r="P287" s="29" t="n"/>
      <c r="Q287" s="29" t="n"/>
      <c r="R287" s="29" t="n"/>
      <c r="S287" s="29" t="n"/>
      <c r="T287" s="29" t="n"/>
      <c r="U287" s="29" t="n"/>
      <c r="V287" s="29" t="n"/>
      <c r="W287" s="29" t="n"/>
    </row>
    <row r="288" ht="54" customHeight="1">
      <c r="A288" s="29" t="n"/>
      <c r="B288" s="29" t="n"/>
      <c r="C288" s="29" t="n"/>
      <c r="D288" s="29" t="n"/>
      <c r="E288" s="29" t="n"/>
      <c r="F288" s="29" t="n"/>
      <c r="G288" s="29" t="n"/>
      <c r="H288" s="29" t="n"/>
      <c r="I288" s="29" t="n"/>
      <c r="J288" s="29" t="n"/>
      <c r="K288" s="29" t="n"/>
      <c r="L288" s="49" t="n"/>
      <c r="M288" s="29" t="n"/>
      <c r="N288" s="29" t="n"/>
      <c r="O288" s="29" t="n"/>
      <c r="P288" s="29" t="n"/>
      <c r="Q288" s="29" t="n"/>
      <c r="R288" s="29" t="n"/>
      <c r="S288" s="29" t="n"/>
      <c r="T288" s="29" t="n"/>
      <c r="U288" s="29" t="n"/>
      <c r="V288" s="29" t="n"/>
      <c r="W288" s="29" t="n"/>
    </row>
    <row r="289" ht="54" customHeight="1">
      <c r="A289" s="29" t="n"/>
      <c r="B289" s="29" t="n"/>
      <c r="C289" s="29" t="n"/>
      <c r="D289" s="29" t="n"/>
      <c r="E289" s="29" t="n"/>
      <c r="F289" s="29" t="n"/>
      <c r="G289" s="29" t="n"/>
      <c r="H289" s="29" t="n"/>
      <c r="I289" s="29" t="n"/>
      <c r="J289" s="29" t="n"/>
      <c r="K289" s="29" t="n"/>
      <c r="L289" s="49" t="n"/>
      <c r="M289" s="29" t="n"/>
      <c r="N289" s="29" t="n"/>
      <c r="O289" s="29" t="n"/>
      <c r="P289" s="29" t="n"/>
      <c r="Q289" s="29" t="n"/>
      <c r="R289" s="29" t="n"/>
      <c r="S289" s="29" t="n"/>
      <c r="T289" s="29" t="n"/>
      <c r="U289" s="29" t="n"/>
      <c r="V289" s="29" t="n"/>
      <c r="W289" s="29" t="n"/>
    </row>
    <row r="290" ht="54" customHeight="1">
      <c r="A290" s="29" t="n"/>
      <c r="B290" s="29" t="n"/>
      <c r="C290" s="29" t="n"/>
      <c r="D290" s="29" t="n"/>
      <c r="E290" s="29" t="n"/>
      <c r="F290" s="29" t="n"/>
      <c r="G290" s="29" t="n"/>
      <c r="H290" s="29" t="n"/>
      <c r="I290" s="29" t="n"/>
      <c r="J290" s="29" t="n"/>
      <c r="K290" s="29" t="n"/>
      <c r="L290" s="49" t="n"/>
      <c r="M290" s="29" t="n"/>
      <c r="N290" s="29" t="n"/>
      <c r="O290" s="29" t="n"/>
      <c r="P290" s="29" t="n"/>
      <c r="Q290" s="29" t="n"/>
      <c r="R290" s="29" t="n"/>
      <c r="S290" s="29" t="n"/>
      <c r="T290" s="29" t="n"/>
      <c r="U290" s="29" t="n"/>
      <c r="V290" s="29" t="n"/>
      <c r="W290" s="29" t="n"/>
    </row>
    <row r="291" ht="54" customHeight="1">
      <c r="A291" s="29" t="n"/>
      <c r="B291" s="29" t="n"/>
      <c r="C291" s="29" t="n"/>
      <c r="D291" s="29" t="n"/>
      <c r="E291" s="29" t="n"/>
      <c r="F291" s="29" t="n"/>
      <c r="G291" s="29" t="n"/>
      <c r="H291" s="29" t="n"/>
      <c r="I291" s="29" t="n"/>
      <c r="J291" s="29" t="n"/>
      <c r="K291" s="29" t="n"/>
      <c r="L291" s="49" t="n"/>
      <c r="M291" s="29" t="n"/>
      <c r="N291" s="29" t="n"/>
      <c r="O291" s="29" t="n"/>
      <c r="P291" s="29" t="n"/>
      <c r="Q291" s="29" t="n"/>
      <c r="R291" s="29" t="n"/>
      <c r="S291" s="29" t="n"/>
      <c r="T291" s="29" t="n"/>
      <c r="U291" s="29" t="n"/>
      <c r="V291" s="29" t="n"/>
      <c r="W291" s="29" t="n"/>
    </row>
    <row r="292" ht="54" customHeight="1">
      <c r="A292" s="29" t="n"/>
      <c r="B292" s="29" t="n"/>
      <c r="C292" s="29" t="n"/>
      <c r="D292" s="29" t="n"/>
      <c r="E292" s="29" t="n"/>
      <c r="F292" s="29" t="n"/>
      <c r="G292" s="29" t="n"/>
      <c r="H292" s="29" t="n"/>
      <c r="I292" s="29" t="n"/>
      <c r="J292" s="29" t="n"/>
      <c r="K292" s="29" t="n"/>
      <c r="L292" s="49" t="n"/>
      <c r="M292" s="29" t="n"/>
      <c r="N292" s="29" t="n"/>
      <c r="O292" s="29" t="n"/>
      <c r="P292" s="29" t="n"/>
      <c r="Q292" s="29" t="n"/>
      <c r="R292" s="29" t="n"/>
      <c r="S292" s="29" t="n"/>
      <c r="T292" s="29" t="n"/>
      <c r="U292" s="29" t="n"/>
      <c r="V292" s="29" t="n"/>
      <c r="W292" s="29" t="n"/>
    </row>
    <row r="293" ht="54" customHeight="1">
      <c r="A293" s="29" t="n"/>
      <c r="B293" s="29" t="n"/>
      <c r="C293" s="29" t="n"/>
      <c r="D293" s="29" t="n"/>
      <c r="E293" s="29" t="n"/>
      <c r="F293" s="29" t="n"/>
      <c r="G293" s="29" t="n"/>
      <c r="H293" s="29" t="n"/>
      <c r="I293" s="29" t="n"/>
      <c r="J293" s="29" t="n"/>
      <c r="K293" s="29" t="n"/>
      <c r="L293" s="49" t="n"/>
      <c r="M293" s="29" t="n"/>
      <c r="N293" s="29" t="n"/>
      <c r="O293" s="29" t="n"/>
      <c r="P293" s="29" t="n"/>
      <c r="Q293" s="29" t="n"/>
      <c r="R293" s="29" t="n"/>
      <c r="S293" s="29" t="n"/>
      <c r="T293" s="29" t="n"/>
      <c r="U293" s="29" t="n"/>
      <c r="V293" s="29" t="n"/>
      <c r="W293" s="29" t="n"/>
    </row>
    <row r="294" ht="54" customHeight="1">
      <c r="A294" s="29" t="n"/>
      <c r="B294" s="29" t="n"/>
      <c r="C294" s="29" t="n"/>
      <c r="D294" s="29" t="n"/>
      <c r="E294" s="29" t="n"/>
      <c r="F294" s="29" t="n"/>
      <c r="G294" s="29" t="n"/>
      <c r="H294" s="29" t="n"/>
      <c r="I294" s="29" t="n"/>
      <c r="J294" s="29" t="n"/>
      <c r="K294" s="29" t="n"/>
      <c r="L294" s="49" t="n"/>
      <c r="M294" s="29" t="n"/>
      <c r="N294" s="29" t="n"/>
      <c r="O294" s="29" t="n"/>
      <c r="P294" s="29" t="n"/>
      <c r="Q294" s="29" t="n"/>
      <c r="R294" s="29" t="n"/>
      <c r="S294" s="29" t="n"/>
      <c r="T294" s="29" t="n"/>
      <c r="U294" s="29" t="n"/>
      <c r="V294" s="29" t="n"/>
      <c r="W294" s="29" t="n"/>
    </row>
    <row r="295" ht="54" customHeight="1">
      <c r="A295" s="29" t="n"/>
      <c r="B295" s="29" t="n"/>
      <c r="C295" s="29" t="n"/>
      <c r="D295" s="29" t="n"/>
      <c r="E295" s="29" t="n"/>
      <c r="F295" s="29" t="n"/>
      <c r="G295" s="29" t="n"/>
      <c r="H295" s="29" t="n"/>
      <c r="I295" s="29" t="n"/>
      <c r="J295" s="29" t="n"/>
      <c r="K295" s="29" t="n"/>
      <c r="L295" s="49" t="n"/>
      <c r="M295" s="29" t="n"/>
      <c r="N295" s="29" t="n"/>
      <c r="O295" s="29" t="n"/>
      <c r="P295" s="29" t="n"/>
      <c r="Q295" s="29" t="n"/>
      <c r="R295" s="29" t="n"/>
      <c r="S295" s="29" t="n"/>
      <c r="T295" s="29" t="n"/>
      <c r="U295" s="29" t="n"/>
      <c r="V295" s="29" t="n"/>
      <c r="W295" s="29" t="n"/>
    </row>
    <row r="296" ht="54" customHeight="1">
      <c r="A296" s="29" t="n"/>
      <c r="B296" s="29" t="n"/>
      <c r="C296" s="29" t="n"/>
      <c r="D296" s="29" t="n"/>
      <c r="E296" s="29" t="n"/>
      <c r="F296" s="29" t="n"/>
      <c r="G296" s="29" t="n"/>
      <c r="H296" s="29" t="n"/>
      <c r="I296" s="29" t="n"/>
      <c r="J296" s="29" t="n"/>
      <c r="K296" s="29" t="n"/>
      <c r="L296" s="49" t="n"/>
      <c r="M296" s="29" t="n"/>
      <c r="N296" s="29" t="n"/>
      <c r="O296" s="29" t="n"/>
      <c r="P296" s="29" t="n"/>
      <c r="Q296" s="29" t="n"/>
      <c r="R296" s="29" t="n"/>
      <c r="S296" s="29" t="n"/>
      <c r="T296" s="29" t="n"/>
      <c r="U296" s="29" t="n"/>
      <c r="V296" s="29" t="n"/>
      <c r="W296" s="29" t="n"/>
    </row>
    <row r="297" ht="54" customHeight="1">
      <c r="A297" s="29" t="n"/>
      <c r="B297" s="29" t="n"/>
      <c r="C297" s="29" t="n"/>
      <c r="D297" s="29" t="n"/>
      <c r="E297" s="29" t="n"/>
      <c r="F297" s="29" t="n"/>
      <c r="G297" s="29" t="n"/>
      <c r="H297" s="29" t="n"/>
      <c r="I297" s="29" t="n"/>
      <c r="J297" s="29" t="n"/>
      <c r="K297" s="29" t="n"/>
      <c r="L297" s="49" t="n"/>
      <c r="M297" s="29" t="n"/>
      <c r="N297" s="29" t="n"/>
      <c r="O297" s="29" t="n"/>
      <c r="P297" s="29" t="n"/>
      <c r="Q297" s="29" t="n"/>
      <c r="R297" s="29" t="n"/>
      <c r="S297" s="29" t="n"/>
      <c r="T297" s="29" t="n"/>
      <c r="U297" s="29" t="n"/>
      <c r="V297" s="29" t="n"/>
      <c r="W297" s="29" t="n"/>
    </row>
    <row r="298" ht="54" customHeight="1">
      <c r="A298" s="29" t="n"/>
      <c r="B298" s="29" t="n"/>
      <c r="C298" s="29" t="n"/>
      <c r="D298" s="29" t="n"/>
      <c r="E298" s="29" t="n"/>
      <c r="F298" s="29" t="n"/>
      <c r="G298" s="29" t="n"/>
      <c r="H298" s="29" t="n"/>
      <c r="I298" s="29" t="n"/>
      <c r="J298" s="29" t="n"/>
      <c r="K298" s="29" t="n"/>
      <c r="L298" s="49" t="n"/>
      <c r="M298" s="29" t="n"/>
      <c r="N298" s="29" t="n"/>
      <c r="O298" s="29" t="n"/>
      <c r="P298" s="29" t="n"/>
      <c r="Q298" s="29" t="n"/>
      <c r="R298" s="29" t="n"/>
      <c r="S298" s="29" t="n"/>
      <c r="T298" s="29" t="n"/>
      <c r="U298" s="29" t="n"/>
      <c r="V298" s="29" t="n"/>
      <c r="W298" s="29" t="n"/>
    </row>
    <row r="299" ht="54" customHeight="1">
      <c r="A299" s="29" t="n"/>
      <c r="B299" s="29" t="n"/>
      <c r="C299" s="29" t="n"/>
      <c r="D299" s="29" t="n"/>
      <c r="E299" s="29" t="n"/>
      <c r="F299" s="29" t="n"/>
      <c r="G299" s="29" t="n"/>
      <c r="H299" s="29" t="n"/>
      <c r="I299" s="29" t="n"/>
      <c r="J299" s="29" t="n"/>
      <c r="K299" s="29" t="n"/>
      <c r="L299" s="49" t="n"/>
      <c r="M299" s="29" t="n"/>
      <c r="N299" s="29" t="n"/>
      <c r="O299" s="29" t="n"/>
      <c r="P299" s="29" t="n"/>
      <c r="Q299" s="29" t="n"/>
      <c r="R299" s="29" t="n"/>
      <c r="S299" s="29" t="n"/>
      <c r="T299" s="29" t="n"/>
      <c r="U299" s="29" t="n"/>
      <c r="V299" s="29" t="n"/>
      <c r="W299" s="29" t="n"/>
    </row>
    <row r="300" ht="54" customHeight="1">
      <c r="A300" s="29" t="n"/>
      <c r="B300" s="29" t="n"/>
      <c r="C300" s="29" t="n"/>
      <c r="D300" s="29" t="n"/>
      <c r="E300" s="29" t="n"/>
      <c r="F300" s="29" t="n"/>
      <c r="G300" s="29" t="n"/>
      <c r="H300" s="29" t="n"/>
      <c r="I300" s="29" t="n"/>
      <c r="J300" s="29" t="n"/>
      <c r="K300" s="29" t="n"/>
      <c r="L300" s="49" t="n"/>
      <c r="M300" s="29" t="n"/>
      <c r="N300" s="29" t="n"/>
      <c r="O300" s="29" t="n"/>
      <c r="P300" s="29" t="n"/>
      <c r="Q300" s="29" t="n"/>
      <c r="R300" s="29" t="n"/>
      <c r="S300" s="29" t="n"/>
      <c r="T300" s="29" t="n"/>
      <c r="U300" s="29" t="n"/>
      <c r="V300" s="29" t="n"/>
      <c r="W300" s="29" t="n"/>
    </row>
    <row r="301" ht="54" customHeight="1">
      <c r="A301" s="29" t="n"/>
      <c r="B301" s="29" t="n"/>
      <c r="C301" s="29" t="n"/>
      <c r="D301" s="29" t="n"/>
      <c r="E301" s="29" t="n"/>
      <c r="F301" s="29" t="n"/>
      <c r="G301" s="29" t="n"/>
      <c r="H301" s="29" t="n"/>
      <c r="I301" s="29" t="n"/>
      <c r="J301" s="29" t="n"/>
      <c r="K301" s="29" t="n"/>
      <c r="L301" s="49" t="n"/>
      <c r="M301" s="29" t="n"/>
      <c r="N301" s="29" t="n"/>
      <c r="O301" s="29" t="n"/>
      <c r="P301" s="29" t="n"/>
      <c r="Q301" s="29" t="n"/>
      <c r="R301" s="29" t="n"/>
      <c r="S301" s="29" t="n"/>
      <c r="T301" s="29" t="n"/>
      <c r="U301" s="29" t="n"/>
      <c r="V301" s="29" t="n"/>
      <c r="W301" s="29" t="n"/>
    </row>
    <row r="302" ht="54" customHeight="1">
      <c r="A302" s="29" t="n"/>
      <c r="B302" s="29" t="n"/>
      <c r="C302" s="29" t="n"/>
      <c r="D302" s="29" t="n"/>
      <c r="E302" s="29" t="n"/>
      <c r="F302" s="29" t="n"/>
      <c r="G302" s="29" t="n"/>
      <c r="H302" s="29" t="n"/>
      <c r="I302" s="29" t="n"/>
      <c r="J302" s="29" t="n"/>
      <c r="K302" s="29" t="n"/>
      <c r="L302" s="49" t="n"/>
      <c r="M302" s="29" t="n"/>
      <c r="N302" s="29" t="n"/>
      <c r="O302" s="29" t="n"/>
      <c r="P302" s="29" t="n"/>
      <c r="Q302" s="29" t="n"/>
      <c r="R302" s="29" t="n"/>
      <c r="S302" s="29" t="n"/>
      <c r="T302" s="29" t="n"/>
      <c r="U302" s="29" t="n"/>
      <c r="V302" s="29" t="n"/>
      <c r="W302" s="29" t="n"/>
    </row>
    <row r="303" ht="54" customHeight="1">
      <c r="A303" s="29" t="n"/>
      <c r="B303" s="29" t="n"/>
      <c r="C303" s="29" t="n"/>
      <c r="D303" s="29" t="n"/>
      <c r="E303" s="29" t="n"/>
      <c r="F303" s="29" t="n"/>
      <c r="G303" s="29" t="n"/>
      <c r="H303" s="29" t="n"/>
      <c r="I303" s="29" t="n"/>
      <c r="J303" s="29" t="n"/>
      <c r="K303" s="29" t="n"/>
      <c r="L303" s="49" t="n"/>
      <c r="M303" s="29" t="n"/>
      <c r="N303" s="29" t="n"/>
      <c r="O303" s="29" t="n"/>
      <c r="P303" s="29" t="n"/>
      <c r="Q303" s="29" t="n"/>
      <c r="R303" s="29" t="n"/>
      <c r="S303" s="29" t="n"/>
      <c r="T303" s="29" t="n"/>
      <c r="U303" s="29" t="n"/>
      <c r="V303" s="29" t="n"/>
      <c r="W303" s="29" t="n"/>
    </row>
    <row r="304" ht="54" customHeight="1">
      <c r="A304" s="29" t="n"/>
      <c r="B304" s="29" t="n"/>
      <c r="C304" s="29" t="n"/>
      <c r="D304" s="29" t="n"/>
      <c r="E304" s="29" t="n"/>
      <c r="F304" s="29" t="n"/>
      <c r="G304" s="29" t="n"/>
      <c r="H304" s="29" t="n"/>
      <c r="I304" s="29" t="n"/>
      <c r="J304" s="29" t="n"/>
      <c r="K304" s="29" t="n"/>
      <c r="L304" s="49" t="n"/>
      <c r="M304" s="29" t="n"/>
      <c r="N304" s="29" t="n"/>
      <c r="O304" s="29" t="n"/>
      <c r="P304" s="29" t="n"/>
      <c r="Q304" s="29" t="n"/>
      <c r="R304" s="29" t="n"/>
      <c r="S304" s="29" t="n"/>
      <c r="T304" s="29" t="n"/>
      <c r="U304" s="29" t="n"/>
      <c r="V304" s="29" t="n"/>
      <c r="W304" s="29" t="n"/>
    </row>
    <row r="305" ht="54" customHeight="1">
      <c r="A305" s="29" t="n"/>
      <c r="B305" s="29" t="n"/>
      <c r="C305" s="29" t="n"/>
      <c r="D305" s="29" t="n"/>
      <c r="E305" s="29" t="n"/>
      <c r="F305" s="29" t="n"/>
      <c r="G305" s="29" t="n"/>
      <c r="H305" s="29" t="n"/>
      <c r="I305" s="29" t="n"/>
      <c r="J305" s="29" t="n"/>
      <c r="K305" s="29" t="n"/>
      <c r="L305" s="49" t="n"/>
      <c r="M305" s="29" t="n"/>
      <c r="N305" s="29" t="n"/>
      <c r="O305" s="29" t="n"/>
      <c r="P305" s="29" t="n"/>
      <c r="Q305" s="29" t="n"/>
      <c r="R305" s="29" t="n"/>
      <c r="S305" s="29" t="n"/>
      <c r="T305" s="29" t="n"/>
      <c r="U305" s="29" t="n"/>
      <c r="V305" s="29" t="n"/>
      <c r="W305" s="29" t="n"/>
    </row>
    <row r="306" ht="54" customHeight="1">
      <c r="A306" s="29" t="n"/>
      <c r="B306" s="29" t="n"/>
      <c r="C306" s="29" t="n"/>
      <c r="D306" s="29" t="n"/>
      <c r="E306" s="29" t="n"/>
      <c r="F306" s="29" t="n"/>
      <c r="G306" s="29" t="n"/>
      <c r="H306" s="29" t="n"/>
      <c r="I306" s="29" t="n"/>
      <c r="J306" s="29" t="n"/>
      <c r="K306" s="29" t="n"/>
      <c r="L306" s="49" t="n"/>
      <c r="M306" s="29" t="n"/>
      <c r="N306" s="29" t="n"/>
      <c r="O306" s="29" t="n"/>
      <c r="P306" s="29" t="n"/>
      <c r="Q306" s="29" t="n"/>
      <c r="R306" s="29" t="n"/>
      <c r="S306" s="29" t="n"/>
      <c r="T306" s="29" t="n"/>
      <c r="U306" s="29" t="n"/>
      <c r="V306" s="29" t="n"/>
      <c r="W306" s="29" t="n"/>
    </row>
    <row r="307" ht="54" customHeight="1">
      <c r="A307" s="29" t="n"/>
      <c r="B307" s="29" t="n"/>
      <c r="C307" s="29" t="n"/>
      <c r="D307" s="29" t="n"/>
      <c r="E307" s="29" t="n"/>
      <c r="F307" s="29" t="n"/>
      <c r="G307" s="29" t="n"/>
      <c r="H307" s="29" t="n"/>
      <c r="I307" s="29" t="n"/>
      <c r="J307" s="29" t="n"/>
      <c r="K307" s="29" t="n"/>
      <c r="L307" s="49" t="n"/>
      <c r="M307" s="29" t="n"/>
      <c r="N307" s="29" t="n"/>
      <c r="O307" s="29" t="n"/>
      <c r="P307" s="29" t="n"/>
      <c r="Q307" s="29" t="n"/>
      <c r="R307" s="29" t="n"/>
      <c r="S307" s="29" t="n"/>
      <c r="T307" s="29" t="n"/>
      <c r="U307" s="29" t="n"/>
      <c r="V307" s="29" t="n"/>
      <c r="W307" s="29" t="n"/>
    </row>
    <row r="308" ht="54" customHeight="1">
      <c r="A308" s="29" t="n"/>
      <c r="B308" s="29" t="n"/>
      <c r="C308" s="29" t="n"/>
      <c r="D308" s="29" t="n"/>
      <c r="E308" s="29" t="n"/>
      <c r="F308" s="29" t="n"/>
      <c r="G308" s="29" t="n"/>
      <c r="H308" s="29" t="n"/>
      <c r="I308" s="29" t="n"/>
      <c r="J308" s="29" t="n"/>
      <c r="K308" s="29" t="n"/>
      <c r="L308" s="49" t="n"/>
      <c r="M308" s="29" t="n"/>
      <c r="N308" s="29" t="n"/>
      <c r="O308" s="29" t="n"/>
      <c r="P308" s="29" t="n"/>
      <c r="Q308" s="29" t="n"/>
      <c r="R308" s="29" t="n"/>
      <c r="S308" s="29" t="n"/>
      <c r="T308" s="29" t="n"/>
      <c r="U308" s="29" t="n"/>
      <c r="V308" s="29" t="n"/>
      <c r="W308" s="29" t="n"/>
    </row>
    <row r="309" ht="54" customHeight="1">
      <c r="A309" s="29" t="n"/>
      <c r="B309" s="29" t="n"/>
      <c r="C309" s="29" t="n"/>
      <c r="D309" s="29" t="n"/>
      <c r="E309" s="29" t="n"/>
      <c r="F309" s="29" t="n"/>
      <c r="G309" s="29" t="n"/>
      <c r="H309" s="29" t="n"/>
      <c r="I309" s="29" t="n"/>
      <c r="J309" s="29" t="n"/>
      <c r="K309" s="29" t="n"/>
      <c r="L309" s="49" t="n"/>
      <c r="M309" s="29" t="n"/>
      <c r="N309" s="29" t="n"/>
      <c r="O309" s="29" t="n"/>
      <c r="P309" s="29" t="n"/>
      <c r="Q309" s="29" t="n"/>
      <c r="R309" s="29" t="n"/>
      <c r="S309" s="29" t="n"/>
      <c r="T309" s="29" t="n"/>
      <c r="U309" s="29" t="n"/>
      <c r="V309" s="29" t="n"/>
      <c r="W309" s="29" t="n"/>
    </row>
    <row r="310" ht="54" customHeight="1">
      <c r="A310" s="29" t="n"/>
      <c r="B310" s="29" t="n"/>
      <c r="C310" s="29" t="n"/>
      <c r="D310" s="29" t="n"/>
      <c r="E310" s="29" t="n"/>
      <c r="F310" s="29" t="n"/>
      <c r="G310" s="29" t="n"/>
      <c r="H310" s="29" t="n"/>
      <c r="I310" s="29" t="n"/>
      <c r="J310" s="29" t="n"/>
      <c r="K310" s="29" t="n"/>
      <c r="L310" s="49" t="n"/>
      <c r="M310" s="29" t="n"/>
      <c r="N310" s="29" t="n"/>
      <c r="O310" s="29" t="n"/>
      <c r="P310" s="29" t="n"/>
      <c r="Q310" s="29" t="n"/>
      <c r="R310" s="29" t="n"/>
      <c r="S310" s="29" t="n"/>
      <c r="T310" s="29" t="n"/>
      <c r="U310" s="29" t="n"/>
      <c r="V310" s="29" t="n"/>
      <c r="W310" s="29" t="n"/>
    </row>
    <row r="311" ht="54" customHeight="1">
      <c r="A311" s="29" t="n"/>
      <c r="B311" s="29" t="n"/>
      <c r="C311" s="29" t="n"/>
      <c r="D311" s="29" t="n"/>
      <c r="E311" s="29" t="n"/>
      <c r="F311" s="29" t="n"/>
      <c r="G311" s="29" t="n"/>
      <c r="H311" s="29" t="n"/>
      <c r="I311" s="29" t="n"/>
      <c r="J311" s="29" t="n"/>
      <c r="K311" s="29" t="n"/>
      <c r="L311" s="49" t="n"/>
      <c r="M311" s="29" t="n"/>
      <c r="N311" s="29" t="n"/>
      <c r="O311" s="29" t="n"/>
      <c r="P311" s="29" t="n"/>
      <c r="Q311" s="29" t="n"/>
      <c r="R311" s="29" t="n"/>
      <c r="S311" s="29" t="n"/>
      <c r="T311" s="29" t="n"/>
      <c r="U311" s="29" t="n"/>
      <c r="V311" s="29" t="n"/>
      <c r="W311" s="29" t="n"/>
    </row>
    <row r="312" ht="54" customHeight="1">
      <c r="A312" s="29" t="n"/>
      <c r="B312" s="29" t="n"/>
      <c r="C312" s="29" t="n"/>
      <c r="D312" s="29" t="n"/>
      <c r="E312" s="29" t="n"/>
      <c r="F312" s="29" t="n"/>
      <c r="G312" s="29" t="n"/>
      <c r="H312" s="29" t="n"/>
      <c r="I312" s="29" t="n"/>
      <c r="J312" s="29" t="n"/>
      <c r="K312" s="29" t="n"/>
      <c r="L312" s="49" t="n"/>
      <c r="M312" s="29" t="n"/>
      <c r="N312" s="29" t="n"/>
      <c r="O312" s="29" t="n"/>
      <c r="P312" s="29" t="n"/>
      <c r="Q312" s="29" t="n"/>
      <c r="R312" s="29" t="n"/>
      <c r="S312" s="29" t="n"/>
      <c r="T312" s="29" t="n"/>
      <c r="U312" s="29" t="n"/>
      <c r="V312" s="29" t="n"/>
      <c r="W312" s="29" t="n"/>
    </row>
    <row r="313" ht="54" customHeight="1">
      <c r="A313" s="29" t="n"/>
      <c r="B313" s="29" t="n"/>
      <c r="C313" s="29" t="n"/>
      <c r="D313" s="29" t="n"/>
      <c r="E313" s="29" t="n"/>
      <c r="F313" s="29" t="n"/>
      <c r="G313" s="29" t="n"/>
      <c r="H313" s="29" t="n"/>
      <c r="I313" s="29" t="n"/>
      <c r="J313" s="29" t="n"/>
      <c r="K313" s="29" t="n"/>
      <c r="L313" s="49" t="n"/>
      <c r="M313" s="29" t="n"/>
      <c r="N313" s="29" t="n"/>
      <c r="O313" s="29" t="n"/>
      <c r="P313" s="29" t="n"/>
      <c r="Q313" s="29" t="n"/>
      <c r="R313" s="29" t="n"/>
      <c r="S313" s="29" t="n"/>
      <c r="T313" s="29" t="n"/>
      <c r="U313" s="29" t="n"/>
      <c r="V313" s="29" t="n"/>
      <c r="W313" s="29" t="n"/>
    </row>
    <row r="314" ht="54" customHeight="1">
      <c r="A314" s="29" t="n"/>
      <c r="B314" s="29" t="n"/>
      <c r="C314" s="29" t="n"/>
      <c r="D314" s="29" t="n"/>
      <c r="E314" s="29" t="n"/>
      <c r="F314" s="29" t="n"/>
      <c r="G314" s="29" t="n"/>
      <c r="H314" s="29" t="n"/>
      <c r="I314" s="29" t="n"/>
      <c r="J314" s="29" t="n"/>
      <c r="K314" s="29" t="n"/>
      <c r="L314" s="49" t="n"/>
      <c r="M314" s="29" t="n"/>
      <c r="N314" s="29" t="n"/>
      <c r="O314" s="29" t="n"/>
      <c r="P314" s="29" t="n"/>
      <c r="Q314" s="29" t="n"/>
      <c r="R314" s="29" t="n"/>
      <c r="S314" s="29" t="n"/>
      <c r="T314" s="29" t="n"/>
      <c r="U314" s="29" t="n"/>
      <c r="V314" s="29" t="n"/>
      <c r="W314" s="29" t="n"/>
    </row>
    <row r="315" ht="54" customHeight="1">
      <c r="A315" s="29" t="n"/>
      <c r="B315" s="29" t="n"/>
      <c r="C315" s="29" t="n"/>
      <c r="D315" s="29" t="n"/>
      <c r="E315" s="29" t="n"/>
      <c r="F315" s="29" t="n"/>
      <c r="G315" s="29" t="n"/>
      <c r="H315" s="29" t="n"/>
      <c r="I315" s="29" t="n"/>
      <c r="J315" s="29" t="n"/>
      <c r="K315" s="29" t="n"/>
      <c r="L315" s="49" t="n"/>
      <c r="M315" s="29" t="n"/>
      <c r="N315" s="29" t="n"/>
      <c r="O315" s="29" t="n"/>
      <c r="P315" s="29" t="n"/>
      <c r="Q315" s="29" t="n"/>
      <c r="R315" s="29" t="n"/>
      <c r="S315" s="29" t="n"/>
      <c r="T315" s="29" t="n"/>
      <c r="U315" s="29" t="n"/>
      <c r="V315" s="29" t="n"/>
      <c r="W315" s="29" t="n"/>
    </row>
    <row r="316" ht="54" customHeight="1">
      <c r="A316" s="29" t="n"/>
      <c r="B316" s="29" t="n"/>
      <c r="C316" s="29" t="n"/>
      <c r="D316" s="29" t="n"/>
      <c r="E316" s="29" t="n"/>
      <c r="F316" s="29" t="n"/>
      <c r="G316" s="29" t="n"/>
      <c r="H316" s="29" t="n"/>
      <c r="I316" s="29" t="n"/>
      <c r="J316" s="29" t="n"/>
      <c r="K316" s="29" t="n"/>
      <c r="L316" s="49" t="n"/>
      <c r="M316" s="29" t="n"/>
      <c r="N316" s="29" t="n"/>
      <c r="O316" s="29" t="n"/>
      <c r="P316" s="29" t="n"/>
      <c r="Q316" s="29" t="n"/>
      <c r="R316" s="29" t="n"/>
      <c r="S316" s="29" t="n"/>
      <c r="T316" s="29" t="n"/>
      <c r="U316" s="29" t="n"/>
      <c r="V316" s="29" t="n"/>
      <c r="W316" s="29" t="n"/>
    </row>
    <row r="317" ht="54" customHeight="1">
      <c r="A317" s="29" t="n"/>
      <c r="B317" s="29" t="n"/>
      <c r="C317" s="29" t="n"/>
      <c r="D317" s="29" t="n"/>
      <c r="E317" s="29" t="n"/>
      <c r="F317" s="29" t="n"/>
      <c r="G317" s="29" t="n"/>
      <c r="H317" s="29" t="n"/>
      <c r="I317" s="29" t="n"/>
      <c r="J317" s="29" t="n"/>
      <c r="K317" s="29" t="n"/>
      <c r="L317" s="49" t="n"/>
      <c r="M317" s="29" t="n"/>
      <c r="N317" s="29" t="n"/>
      <c r="O317" s="29" t="n"/>
      <c r="P317" s="29" t="n"/>
      <c r="Q317" s="29" t="n"/>
      <c r="R317" s="29" t="n"/>
      <c r="S317" s="29" t="n"/>
      <c r="T317" s="29" t="n"/>
      <c r="U317" s="29" t="n"/>
      <c r="V317" s="29" t="n"/>
      <c r="W317" s="29" t="n"/>
    </row>
    <row r="318" ht="54" customHeight="1">
      <c r="A318" s="29" t="n"/>
      <c r="B318" s="29" t="n"/>
      <c r="C318" s="29" t="n"/>
      <c r="D318" s="29" t="n"/>
      <c r="E318" s="29" t="n"/>
      <c r="F318" s="29" t="n"/>
      <c r="G318" s="29" t="n"/>
      <c r="H318" s="29" t="n"/>
      <c r="I318" s="29" t="n"/>
      <c r="J318" s="29" t="n"/>
      <c r="K318" s="29" t="n"/>
      <c r="L318" s="49" t="n"/>
      <c r="M318" s="29" t="n"/>
      <c r="N318" s="29" t="n"/>
      <c r="O318" s="29" t="n"/>
      <c r="P318" s="29" t="n"/>
      <c r="Q318" s="29" t="n"/>
      <c r="R318" s="29" t="n"/>
      <c r="S318" s="29" t="n"/>
      <c r="T318" s="29" t="n"/>
      <c r="U318" s="29" t="n"/>
      <c r="V318" s="29" t="n"/>
      <c r="W318" s="29" t="n"/>
    </row>
    <row r="319" ht="54" customHeight="1">
      <c r="A319" s="29" t="n"/>
      <c r="B319" s="29" t="n"/>
      <c r="C319" s="29" t="n"/>
      <c r="D319" s="29" t="n"/>
      <c r="E319" s="29" t="n"/>
      <c r="F319" s="29" t="n"/>
      <c r="G319" s="29" t="n"/>
      <c r="H319" s="29" t="n"/>
      <c r="I319" s="29" t="n"/>
      <c r="J319" s="29" t="n"/>
      <c r="K319" s="29" t="n"/>
      <c r="L319" s="49" t="n"/>
      <c r="M319" s="29" t="n"/>
      <c r="N319" s="29" t="n"/>
      <c r="O319" s="29" t="n"/>
      <c r="P319" s="29" t="n"/>
      <c r="Q319" s="29" t="n"/>
      <c r="R319" s="29" t="n"/>
      <c r="S319" s="29" t="n"/>
      <c r="T319" s="29" t="n"/>
      <c r="U319" s="29" t="n"/>
      <c r="V319" s="29" t="n"/>
      <c r="W319" s="29" t="n"/>
    </row>
    <row r="320" ht="54" customHeight="1">
      <c r="A320" s="29" t="n"/>
      <c r="B320" s="29" t="n"/>
      <c r="C320" s="29" t="n"/>
      <c r="D320" s="29" t="n"/>
      <c r="E320" s="29" t="n"/>
      <c r="F320" s="29" t="n"/>
      <c r="G320" s="29" t="n"/>
      <c r="H320" s="29" t="n"/>
      <c r="I320" s="29" t="n"/>
      <c r="J320" s="29" t="n"/>
      <c r="K320" s="29" t="n"/>
      <c r="L320" s="49" t="n"/>
      <c r="M320" s="29" t="n"/>
      <c r="N320" s="29" t="n"/>
      <c r="O320" s="29" t="n"/>
      <c r="P320" s="29" t="n"/>
      <c r="Q320" s="29" t="n"/>
      <c r="R320" s="29" t="n"/>
      <c r="S320" s="29" t="n"/>
      <c r="T320" s="29" t="n"/>
      <c r="U320" s="29" t="n"/>
      <c r="V320" s="29" t="n"/>
      <c r="W320" s="29" t="n"/>
    </row>
    <row r="321" ht="54" customHeight="1">
      <c r="A321" s="29" t="n"/>
      <c r="B321" s="29" t="n"/>
      <c r="C321" s="29" t="n"/>
      <c r="D321" s="29" t="n"/>
      <c r="E321" s="29" t="n"/>
      <c r="F321" s="29" t="n"/>
      <c r="G321" s="29" t="n"/>
      <c r="H321" s="29" t="n"/>
      <c r="I321" s="29" t="n"/>
      <c r="J321" s="29" t="n"/>
      <c r="K321" s="29" t="n"/>
      <c r="L321" s="49" t="n"/>
      <c r="M321" s="29" t="n"/>
      <c r="N321" s="29" t="n"/>
      <c r="O321" s="29" t="n"/>
      <c r="P321" s="29" t="n"/>
      <c r="Q321" s="29" t="n"/>
      <c r="R321" s="29" t="n"/>
      <c r="S321" s="29" t="n"/>
      <c r="T321" s="29" t="n"/>
      <c r="U321" s="29" t="n"/>
      <c r="V321" s="29" t="n"/>
      <c r="W321" s="29" t="n"/>
    </row>
    <row r="322" ht="54" customHeight="1">
      <c r="A322" s="29" t="n"/>
      <c r="B322" s="29" t="n"/>
      <c r="C322" s="29" t="n"/>
      <c r="D322" s="29" t="n"/>
      <c r="E322" s="29" t="n"/>
      <c r="F322" s="29" t="n"/>
      <c r="G322" s="29" t="n"/>
      <c r="H322" s="29" t="n"/>
      <c r="I322" s="29" t="n"/>
      <c r="J322" s="29" t="n"/>
      <c r="K322" s="29" t="n"/>
      <c r="L322" s="49" t="n"/>
      <c r="M322" s="29" t="n"/>
      <c r="N322" s="29" t="n"/>
      <c r="O322" s="29" t="n"/>
      <c r="P322" s="29" t="n"/>
      <c r="Q322" s="29" t="n"/>
      <c r="R322" s="29" t="n"/>
      <c r="S322" s="29" t="n"/>
      <c r="T322" s="29" t="n"/>
      <c r="U322" s="29" t="n"/>
      <c r="V322" s="29" t="n"/>
      <c r="W322" s="29" t="n"/>
    </row>
    <row r="323" ht="54" customHeight="1">
      <c r="A323" s="29" t="n"/>
      <c r="B323" s="29" t="n"/>
      <c r="C323" s="29" t="n"/>
      <c r="D323" s="29" t="n"/>
      <c r="E323" s="29" t="n"/>
      <c r="F323" s="29" t="n"/>
      <c r="G323" s="29" t="n"/>
      <c r="H323" s="29" t="n"/>
      <c r="I323" s="29" t="n"/>
      <c r="J323" s="29" t="n"/>
      <c r="K323" s="29" t="n"/>
      <c r="L323" s="49" t="n"/>
      <c r="M323" s="29" t="n"/>
      <c r="N323" s="29" t="n"/>
      <c r="O323" s="29" t="n"/>
      <c r="P323" s="29" t="n"/>
      <c r="Q323" s="29" t="n"/>
      <c r="R323" s="29" t="n"/>
      <c r="S323" s="29" t="n"/>
      <c r="T323" s="29" t="n"/>
      <c r="U323" s="29" t="n"/>
      <c r="V323" s="29" t="n"/>
      <c r="W323" s="29" t="n"/>
    </row>
    <row r="324" ht="54" customHeight="1">
      <c r="A324" s="29" t="n"/>
      <c r="B324" s="29" t="n"/>
      <c r="C324" s="29" t="n"/>
      <c r="D324" s="29" t="n"/>
      <c r="E324" s="29" t="n"/>
      <c r="F324" s="29" t="n"/>
      <c r="G324" s="29" t="n"/>
      <c r="H324" s="29" t="n"/>
      <c r="I324" s="29" t="n"/>
      <c r="J324" s="29" t="n"/>
      <c r="K324" s="29" t="n"/>
      <c r="L324" s="49" t="n"/>
      <c r="M324" s="29" t="n"/>
      <c r="N324" s="29" t="n"/>
      <c r="O324" s="29" t="n"/>
      <c r="P324" s="29" t="n"/>
      <c r="Q324" s="29" t="n"/>
      <c r="R324" s="29" t="n"/>
      <c r="S324" s="29" t="n"/>
      <c r="T324" s="29" t="n"/>
      <c r="U324" s="29" t="n"/>
      <c r="V324" s="29" t="n"/>
      <c r="W324" s="29" t="n"/>
    </row>
    <row r="325" ht="54" customHeight="1">
      <c r="A325" s="29" t="n"/>
      <c r="B325" s="29" t="n"/>
      <c r="C325" s="29" t="n"/>
      <c r="D325" s="29" t="n"/>
      <c r="E325" s="29" t="n"/>
      <c r="F325" s="29" t="n"/>
      <c r="G325" s="29" t="n"/>
      <c r="H325" s="29" t="n"/>
      <c r="I325" s="29" t="n"/>
      <c r="J325" s="29" t="n"/>
      <c r="K325" s="29" t="n"/>
      <c r="L325" s="49" t="n"/>
      <c r="M325" s="29" t="n"/>
      <c r="N325" s="29" t="n"/>
      <c r="O325" s="29" t="n"/>
      <c r="P325" s="29" t="n"/>
      <c r="Q325" s="29" t="n"/>
      <c r="R325" s="29" t="n"/>
      <c r="S325" s="29" t="n"/>
      <c r="T325" s="29" t="n"/>
      <c r="U325" s="29" t="n"/>
      <c r="V325" s="29" t="n"/>
      <c r="W325" s="29" t="n"/>
    </row>
    <row r="326" ht="54" customHeight="1">
      <c r="A326" s="29" t="n"/>
      <c r="B326" s="29" t="n"/>
      <c r="C326" s="29" t="n"/>
      <c r="D326" s="29" t="n"/>
      <c r="E326" s="29" t="n"/>
      <c r="F326" s="29" t="n"/>
      <c r="G326" s="29" t="n"/>
      <c r="H326" s="29" t="n"/>
      <c r="I326" s="29" t="n"/>
      <c r="J326" s="29" t="n"/>
      <c r="K326" s="29" t="n"/>
      <c r="L326" s="49" t="n"/>
      <c r="M326" s="29" t="n"/>
      <c r="N326" s="29" t="n"/>
      <c r="O326" s="29" t="n"/>
      <c r="P326" s="29" t="n"/>
      <c r="Q326" s="29" t="n"/>
      <c r="R326" s="29" t="n"/>
      <c r="S326" s="29" t="n"/>
      <c r="T326" s="29" t="n"/>
      <c r="U326" s="29" t="n"/>
      <c r="V326" s="29" t="n"/>
      <c r="W326" s="29" t="n"/>
    </row>
    <row r="327" ht="54" customHeight="1">
      <c r="A327" s="29" t="n"/>
      <c r="B327" s="29" t="n"/>
      <c r="C327" s="29" t="n"/>
      <c r="D327" s="29" t="n"/>
      <c r="E327" s="29" t="n"/>
      <c r="F327" s="29" t="n"/>
      <c r="G327" s="29" t="n"/>
      <c r="H327" s="29" t="n"/>
      <c r="I327" s="29" t="n"/>
      <c r="J327" s="29" t="n"/>
      <c r="K327" s="29" t="n"/>
      <c r="L327" s="49" t="n"/>
      <c r="M327" s="29" t="n"/>
      <c r="N327" s="29" t="n"/>
      <c r="O327" s="29" t="n"/>
      <c r="P327" s="29" t="n"/>
      <c r="Q327" s="29" t="n"/>
      <c r="R327" s="29" t="n"/>
      <c r="S327" s="29" t="n"/>
      <c r="T327" s="29" t="n"/>
      <c r="U327" s="29" t="n"/>
      <c r="V327" s="29" t="n"/>
      <c r="W327" s="29" t="n"/>
    </row>
    <row r="328" ht="54" customHeight="1">
      <c r="A328" s="29" t="n"/>
      <c r="B328" s="29" t="n"/>
      <c r="C328" s="29" t="n"/>
      <c r="D328" s="29" t="n"/>
      <c r="E328" s="29" t="n"/>
      <c r="F328" s="29" t="n"/>
      <c r="G328" s="29" t="n"/>
      <c r="H328" s="29" t="n"/>
      <c r="I328" s="29" t="n"/>
      <c r="J328" s="29" t="n"/>
      <c r="K328" s="29" t="n"/>
      <c r="L328" s="49" t="n"/>
      <c r="M328" s="29" t="n"/>
      <c r="N328" s="29" t="n"/>
      <c r="O328" s="29" t="n"/>
      <c r="P328" s="29" t="n"/>
      <c r="Q328" s="29" t="n"/>
      <c r="R328" s="29" t="n"/>
      <c r="S328" s="29" t="n"/>
      <c r="T328" s="29" t="n"/>
      <c r="U328" s="29" t="n"/>
      <c r="V328" s="29" t="n"/>
      <c r="W328" s="29" t="n"/>
    </row>
    <row r="329" ht="54" customHeight="1">
      <c r="A329" s="29" t="n"/>
      <c r="B329" s="29" t="n"/>
      <c r="C329" s="29" t="n"/>
      <c r="D329" s="29" t="n"/>
      <c r="E329" s="29" t="n"/>
      <c r="F329" s="29" t="n"/>
      <c r="G329" s="29" t="n"/>
      <c r="H329" s="29" t="n"/>
      <c r="I329" s="29" t="n"/>
      <c r="J329" s="29" t="n"/>
      <c r="K329" s="29" t="n"/>
      <c r="L329" s="49" t="n"/>
      <c r="M329" s="29" t="n"/>
      <c r="N329" s="29" t="n"/>
      <c r="O329" s="29" t="n"/>
      <c r="P329" s="29" t="n"/>
      <c r="Q329" s="29" t="n"/>
      <c r="R329" s="29" t="n"/>
      <c r="S329" s="29" t="n"/>
      <c r="T329" s="29" t="n"/>
      <c r="U329" s="29" t="n"/>
      <c r="V329" s="29" t="n"/>
      <c r="W329" s="29" t="n"/>
    </row>
    <row r="330" ht="54" customHeight="1">
      <c r="A330" s="29" t="n"/>
      <c r="B330" s="29" t="n"/>
      <c r="C330" s="29" t="n"/>
      <c r="D330" s="29" t="n"/>
      <c r="E330" s="29" t="n"/>
      <c r="F330" s="29" t="n"/>
      <c r="G330" s="29" t="n"/>
      <c r="H330" s="29" t="n"/>
      <c r="I330" s="29" t="n"/>
      <c r="J330" s="29" t="n"/>
      <c r="K330" s="29" t="n"/>
      <c r="L330" s="49" t="n"/>
      <c r="M330" s="29" t="n"/>
      <c r="N330" s="29" t="n"/>
      <c r="O330" s="29" t="n"/>
      <c r="P330" s="29" t="n"/>
      <c r="Q330" s="29" t="n"/>
      <c r="R330" s="29" t="n"/>
      <c r="S330" s="29" t="n"/>
      <c r="T330" s="29" t="n"/>
      <c r="U330" s="29" t="n"/>
      <c r="V330" s="29" t="n"/>
      <c r="W330" s="29" t="n"/>
    </row>
    <row r="331" ht="54" customHeight="1">
      <c r="A331" s="29" t="n"/>
      <c r="B331" s="29" t="n"/>
      <c r="C331" s="29" t="n"/>
      <c r="D331" s="29" t="n"/>
      <c r="E331" s="29" t="n"/>
      <c r="F331" s="29" t="n"/>
      <c r="G331" s="29" t="n"/>
      <c r="H331" s="29" t="n"/>
      <c r="I331" s="29" t="n"/>
      <c r="J331" s="29" t="n"/>
      <c r="K331" s="29" t="n"/>
      <c r="L331" s="49" t="n"/>
      <c r="M331" s="29" t="n"/>
      <c r="N331" s="29" t="n"/>
      <c r="O331" s="29" t="n"/>
      <c r="P331" s="29" t="n"/>
      <c r="Q331" s="29" t="n"/>
      <c r="R331" s="29" t="n"/>
      <c r="S331" s="29" t="n"/>
      <c r="T331" s="29" t="n"/>
      <c r="U331" s="29" t="n"/>
      <c r="V331" s="29" t="n"/>
      <c r="W331" s="29" t="n"/>
    </row>
    <row r="332" ht="54" customHeight="1">
      <c r="A332" s="29" t="n"/>
      <c r="B332" s="29" t="n"/>
      <c r="C332" s="29" t="n"/>
      <c r="D332" s="29" t="n"/>
      <c r="E332" s="29" t="n"/>
      <c r="F332" s="29" t="n"/>
      <c r="G332" s="29" t="n"/>
      <c r="H332" s="29" t="n"/>
      <c r="I332" s="29" t="n"/>
      <c r="J332" s="29" t="n"/>
      <c r="K332" s="29" t="n"/>
      <c r="L332" s="49" t="n"/>
      <c r="M332" s="29" t="n"/>
      <c r="N332" s="29" t="n"/>
      <c r="O332" s="29" t="n"/>
      <c r="P332" s="29" t="n"/>
      <c r="Q332" s="29" t="n"/>
      <c r="R332" s="29" t="n"/>
      <c r="S332" s="29" t="n"/>
      <c r="T332" s="29" t="n"/>
      <c r="U332" s="29" t="n"/>
      <c r="V332" s="29" t="n"/>
      <c r="W332" s="29" t="n"/>
    </row>
    <row r="333" ht="54" customHeight="1">
      <c r="A333" s="29" t="n"/>
      <c r="B333" s="29" t="n"/>
      <c r="C333" s="29" t="n"/>
      <c r="D333" s="29" t="n"/>
      <c r="E333" s="29" t="n"/>
      <c r="F333" s="29" t="n"/>
      <c r="G333" s="29" t="n"/>
      <c r="H333" s="29" t="n"/>
      <c r="I333" s="29" t="n"/>
      <c r="J333" s="29" t="n"/>
      <c r="K333" s="29" t="n"/>
      <c r="L333" s="49" t="n"/>
      <c r="M333" s="29" t="n"/>
      <c r="N333" s="29" t="n"/>
      <c r="O333" s="29" t="n"/>
      <c r="P333" s="29" t="n"/>
      <c r="Q333" s="29" t="n"/>
      <c r="R333" s="29" t="n"/>
      <c r="S333" s="29" t="n"/>
      <c r="T333" s="29" t="n"/>
      <c r="U333" s="29" t="n"/>
      <c r="V333" s="29" t="n"/>
      <c r="W333" s="29" t="n"/>
    </row>
    <row r="334" ht="54" customHeight="1">
      <c r="A334" s="29" t="n"/>
      <c r="B334" s="29" t="n"/>
      <c r="C334" s="29" t="n"/>
      <c r="D334" s="29" t="n"/>
      <c r="E334" s="29" t="n"/>
      <c r="F334" s="29" t="n"/>
      <c r="G334" s="29" t="n"/>
      <c r="H334" s="29" t="n"/>
      <c r="I334" s="29" t="n"/>
      <c r="J334" s="29" t="n"/>
      <c r="K334" s="29" t="n"/>
      <c r="L334" s="49" t="n"/>
      <c r="M334" s="29" t="n"/>
      <c r="N334" s="29" t="n"/>
      <c r="O334" s="29" t="n"/>
      <c r="P334" s="29" t="n"/>
      <c r="Q334" s="29" t="n"/>
      <c r="R334" s="29" t="n"/>
      <c r="S334" s="29" t="n"/>
      <c r="T334" s="29" t="n"/>
      <c r="U334" s="29" t="n"/>
      <c r="V334" s="29" t="n"/>
      <c r="W334" s="29" t="n"/>
    </row>
    <row r="335" ht="54" customHeight="1">
      <c r="A335" s="29" t="n"/>
      <c r="B335" s="29" t="n"/>
      <c r="C335" s="29" t="n"/>
      <c r="D335" s="29" t="n"/>
      <c r="E335" s="29" t="n"/>
      <c r="F335" s="29" t="n"/>
      <c r="G335" s="29" t="n"/>
      <c r="H335" s="29" t="n"/>
      <c r="I335" s="29" t="n"/>
      <c r="J335" s="29" t="n"/>
      <c r="K335" s="29" t="n"/>
      <c r="L335" s="49" t="n"/>
      <c r="M335" s="29" t="n"/>
      <c r="N335" s="29" t="n"/>
      <c r="O335" s="29" t="n"/>
      <c r="P335" s="29" t="n"/>
      <c r="Q335" s="29" t="n"/>
      <c r="R335" s="29" t="n"/>
      <c r="S335" s="29" t="n"/>
      <c r="T335" s="29" t="n"/>
      <c r="U335" s="29" t="n"/>
      <c r="V335" s="29" t="n"/>
      <c r="W335" s="29" t="n"/>
    </row>
    <row r="336" ht="54" customHeight="1">
      <c r="A336" s="29" t="n"/>
      <c r="B336" s="29" t="n"/>
      <c r="C336" s="29" t="n"/>
      <c r="D336" s="29" t="n"/>
      <c r="E336" s="29" t="n"/>
      <c r="F336" s="29" t="n"/>
      <c r="G336" s="29" t="n"/>
      <c r="H336" s="29" t="n"/>
      <c r="I336" s="29" t="n"/>
      <c r="J336" s="29" t="n"/>
      <c r="K336" s="29" t="n"/>
      <c r="L336" s="49" t="n"/>
      <c r="M336" s="29" t="n"/>
      <c r="N336" s="29" t="n"/>
      <c r="O336" s="29" t="n"/>
      <c r="P336" s="29" t="n"/>
      <c r="Q336" s="29" t="n"/>
      <c r="R336" s="29" t="n"/>
      <c r="S336" s="29" t="n"/>
      <c r="T336" s="29" t="n"/>
      <c r="U336" s="29" t="n"/>
      <c r="V336" s="29" t="n"/>
      <c r="W336" s="29" t="n"/>
    </row>
    <row r="337" ht="54" customHeight="1">
      <c r="A337" s="29" t="n"/>
      <c r="B337" s="29" t="n"/>
      <c r="C337" s="29" t="n"/>
      <c r="D337" s="29" t="n"/>
      <c r="E337" s="29" t="n"/>
      <c r="F337" s="29" t="n"/>
      <c r="G337" s="29" t="n"/>
      <c r="H337" s="29" t="n"/>
      <c r="I337" s="29" t="n"/>
      <c r="J337" s="29" t="n"/>
      <c r="K337" s="29" t="n"/>
      <c r="L337" s="49" t="n"/>
      <c r="M337" s="29" t="n"/>
      <c r="N337" s="29" t="n"/>
      <c r="O337" s="29" t="n"/>
      <c r="P337" s="29" t="n"/>
      <c r="Q337" s="29" t="n"/>
      <c r="R337" s="29" t="n"/>
      <c r="S337" s="29" t="n"/>
      <c r="T337" s="29" t="n"/>
      <c r="U337" s="29" t="n"/>
      <c r="V337" s="29" t="n"/>
      <c r="W337" s="29" t="n"/>
    </row>
    <row r="338" ht="54" customHeight="1">
      <c r="A338" s="29" t="n"/>
      <c r="B338" s="29" t="n"/>
      <c r="C338" s="29" t="n"/>
      <c r="D338" s="29" t="n"/>
      <c r="E338" s="29" t="n"/>
      <c r="F338" s="29" t="n"/>
      <c r="G338" s="29" t="n"/>
      <c r="H338" s="29" t="n"/>
      <c r="I338" s="29" t="n"/>
      <c r="J338" s="29" t="n"/>
      <c r="K338" s="29" t="n"/>
      <c r="L338" s="49" t="n"/>
      <c r="M338" s="29" t="n"/>
      <c r="N338" s="29" t="n"/>
      <c r="O338" s="29" t="n"/>
      <c r="P338" s="29" t="n"/>
      <c r="Q338" s="29" t="n"/>
      <c r="R338" s="29" t="n"/>
      <c r="S338" s="29" t="n"/>
      <c r="T338" s="29" t="n"/>
      <c r="U338" s="29" t="n"/>
      <c r="V338" s="29" t="n"/>
      <c r="W338" s="29" t="n"/>
    </row>
    <row r="339" ht="54" customHeight="1">
      <c r="A339" s="29" t="n"/>
      <c r="B339" s="29" t="n"/>
      <c r="C339" s="29" t="n"/>
      <c r="D339" s="29" t="n"/>
      <c r="E339" s="29" t="n"/>
      <c r="F339" s="29" t="n"/>
      <c r="G339" s="29" t="n"/>
      <c r="H339" s="29" t="n"/>
      <c r="I339" s="29" t="n"/>
      <c r="J339" s="29" t="n"/>
      <c r="K339" s="29" t="n"/>
      <c r="L339" s="49" t="n"/>
      <c r="M339" s="29" t="n"/>
      <c r="N339" s="29" t="n"/>
      <c r="O339" s="29" t="n"/>
      <c r="P339" s="29" t="n"/>
      <c r="Q339" s="29" t="n"/>
      <c r="R339" s="29" t="n"/>
      <c r="S339" s="29" t="n"/>
      <c r="T339" s="29" t="n"/>
      <c r="U339" s="29" t="n"/>
      <c r="V339" s="29" t="n"/>
      <c r="W339" s="29" t="n"/>
    </row>
    <row r="340" ht="54" customHeight="1">
      <c r="A340" s="29" t="n"/>
      <c r="B340" s="29" t="n"/>
      <c r="C340" s="29" t="n"/>
      <c r="D340" s="29" t="n"/>
      <c r="E340" s="29" t="n"/>
      <c r="F340" s="29" t="n"/>
      <c r="G340" s="29" t="n"/>
      <c r="H340" s="29" t="n"/>
      <c r="I340" s="29" t="n"/>
      <c r="J340" s="29" t="n"/>
      <c r="K340" s="29" t="n"/>
      <c r="L340" s="49" t="n"/>
      <c r="M340" s="29" t="n"/>
      <c r="N340" s="29" t="n"/>
      <c r="O340" s="29" t="n"/>
      <c r="P340" s="29" t="n"/>
      <c r="Q340" s="29" t="n"/>
      <c r="R340" s="29" t="n"/>
      <c r="S340" s="29" t="n"/>
      <c r="T340" s="29" t="n"/>
      <c r="U340" s="29" t="n"/>
      <c r="V340" s="29" t="n"/>
      <c r="W340" s="29" t="n"/>
    </row>
    <row r="341" ht="54" customHeight="1">
      <c r="A341" s="29" t="n"/>
      <c r="B341" s="29" t="n"/>
      <c r="C341" s="29" t="n"/>
      <c r="D341" s="29" t="n"/>
      <c r="E341" s="29" t="n"/>
      <c r="F341" s="29" t="n"/>
      <c r="G341" s="29" t="n"/>
      <c r="H341" s="29" t="n"/>
      <c r="I341" s="29" t="n"/>
      <c r="J341" s="29" t="n"/>
      <c r="K341" s="29" t="n"/>
      <c r="L341" s="49" t="n"/>
      <c r="M341" s="29" t="n"/>
      <c r="N341" s="29" t="n"/>
      <c r="O341" s="29" t="n"/>
      <c r="P341" s="29" t="n"/>
      <c r="Q341" s="29" t="n"/>
      <c r="R341" s="29" t="n"/>
      <c r="S341" s="29" t="n"/>
      <c r="T341" s="29" t="n"/>
      <c r="U341" s="29" t="n"/>
      <c r="V341" s="29" t="n"/>
      <c r="W341" s="29" t="n"/>
    </row>
    <row r="342" ht="54" customHeight="1">
      <c r="A342" s="29" t="n"/>
      <c r="B342" s="29" t="n"/>
      <c r="C342" s="29" t="n"/>
      <c r="D342" s="29" t="n"/>
      <c r="E342" s="29" t="n"/>
      <c r="F342" s="29" t="n"/>
      <c r="G342" s="29" t="n"/>
      <c r="H342" s="29" t="n"/>
      <c r="I342" s="29" t="n"/>
      <c r="J342" s="29" t="n"/>
      <c r="K342" s="29" t="n"/>
      <c r="L342" s="49" t="n"/>
      <c r="M342" s="29" t="n"/>
      <c r="N342" s="29" t="n"/>
      <c r="O342" s="29" t="n"/>
      <c r="P342" s="29" t="n"/>
      <c r="Q342" s="29" t="n"/>
      <c r="R342" s="29" t="n"/>
      <c r="S342" s="29" t="n"/>
      <c r="T342" s="29" t="n"/>
      <c r="U342" s="29" t="n"/>
      <c r="V342" s="29" t="n"/>
      <c r="W342" s="29" t="n"/>
    </row>
    <row r="343" ht="54" customHeight="1">
      <c r="A343" s="29" t="n"/>
      <c r="B343" s="29" t="n"/>
      <c r="C343" s="29" t="n"/>
      <c r="D343" s="29" t="n"/>
      <c r="E343" s="29" t="n"/>
      <c r="F343" s="29" t="n"/>
      <c r="G343" s="29" t="n"/>
      <c r="H343" s="29" t="n"/>
      <c r="I343" s="29" t="n"/>
      <c r="J343" s="29" t="n"/>
      <c r="K343" s="29" t="n"/>
      <c r="L343" s="49" t="n"/>
      <c r="M343" s="29" t="n"/>
      <c r="N343" s="29" t="n"/>
      <c r="O343" s="29" t="n"/>
      <c r="P343" s="29" t="n"/>
      <c r="Q343" s="29" t="n"/>
      <c r="R343" s="29" t="n"/>
      <c r="S343" s="29" t="n"/>
      <c r="T343" s="29" t="n"/>
      <c r="U343" s="29" t="n"/>
      <c r="V343" s="29" t="n"/>
      <c r="W343" s="29" t="n"/>
    </row>
    <row r="344" ht="54" customHeight="1">
      <c r="A344" s="29" t="n"/>
      <c r="B344" s="29" t="n"/>
      <c r="C344" s="29" t="n"/>
      <c r="D344" s="29" t="n"/>
      <c r="E344" s="29" t="n"/>
      <c r="F344" s="29" t="n"/>
      <c r="G344" s="29" t="n"/>
      <c r="H344" s="29" t="n"/>
      <c r="I344" s="29" t="n"/>
      <c r="J344" s="29" t="n"/>
      <c r="K344" s="29" t="n"/>
      <c r="L344" s="49" t="n"/>
      <c r="M344" s="29" t="n"/>
      <c r="N344" s="29" t="n"/>
      <c r="O344" s="29" t="n"/>
      <c r="P344" s="29" t="n"/>
      <c r="Q344" s="29" t="n"/>
      <c r="R344" s="29" t="n"/>
      <c r="S344" s="29" t="n"/>
      <c r="T344" s="29" t="n"/>
      <c r="U344" s="29" t="n"/>
      <c r="V344" s="29" t="n"/>
      <c r="W344" s="29" t="n"/>
    </row>
    <row r="345" ht="54" customHeight="1">
      <c r="A345" s="29" t="n"/>
      <c r="B345" s="29" t="n"/>
      <c r="C345" s="29" t="n"/>
      <c r="D345" s="29" t="n"/>
      <c r="E345" s="29" t="n"/>
      <c r="F345" s="29" t="n"/>
      <c r="G345" s="29" t="n"/>
      <c r="H345" s="29" t="n"/>
      <c r="I345" s="29" t="n"/>
      <c r="J345" s="29" t="n"/>
      <c r="K345" s="29" t="n"/>
      <c r="L345" s="49" t="n"/>
      <c r="M345" s="29" t="n"/>
      <c r="N345" s="29" t="n"/>
      <c r="O345" s="29" t="n"/>
      <c r="P345" s="29" t="n"/>
      <c r="Q345" s="29" t="n"/>
      <c r="R345" s="29" t="n"/>
      <c r="S345" s="29" t="n"/>
      <c r="T345" s="29" t="n"/>
      <c r="U345" s="29" t="n"/>
      <c r="V345" s="29" t="n"/>
      <c r="W345" s="29" t="n"/>
    </row>
    <row r="346" ht="54" customHeight="1">
      <c r="A346" s="29" t="n"/>
      <c r="B346" s="29" t="n"/>
      <c r="C346" s="29" t="n"/>
      <c r="D346" s="29" t="n"/>
      <c r="E346" s="29" t="n"/>
      <c r="F346" s="29" t="n"/>
      <c r="G346" s="29" t="n"/>
      <c r="H346" s="29" t="n"/>
      <c r="I346" s="29" t="n"/>
      <c r="J346" s="29" t="n"/>
      <c r="K346" s="29" t="n"/>
      <c r="L346" s="49" t="n"/>
      <c r="M346" s="29" t="n"/>
      <c r="N346" s="29" t="n"/>
      <c r="O346" s="29" t="n"/>
      <c r="P346" s="29" t="n"/>
      <c r="Q346" s="29" t="n"/>
      <c r="R346" s="29" t="n"/>
      <c r="S346" s="29" t="n"/>
      <c r="T346" s="29" t="n"/>
      <c r="U346" s="29" t="n"/>
      <c r="V346" s="29" t="n"/>
      <c r="W346" s="29" t="n"/>
    </row>
    <row r="347" ht="54" customHeight="1">
      <c r="A347" s="29" t="n"/>
      <c r="B347" s="29" t="n"/>
      <c r="C347" s="29" t="n"/>
      <c r="D347" s="29" t="n"/>
      <c r="E347" s="29" t="n"/>
      <c r="F347" s="29" t="n"/>
      <c r="G347" s="29" t="n"/>
      <c r="H347" s="29" t="n"/>
      <c r="I347" s="29" t="n"/>
      <c r="J347" s="29" t="n"/>
      <c r="K347" s="29" t="n"/>
      <c r="L347" s="49" t="n"/>
      <c r="M347" s="29" t="n"/>
      <c r="N347" s="29" t="n"/>
      <c r="O347" s="29" t="n"/>
      <c r="P347" s="29" t="n"/>
      <c r="Q347" s="29" t="n"/>
      <c r="R347" s="29" t="n"/>
      <c r="S347" s="29" t="n"/>
      <c r="T347" s="29" t="n"/>
      <c r="U347" s="29" t="n"/>
      <c r="V347" s="29" t="n"/>
      <c r="W347" s="29" t="n"/>
    </row>
    <row r="348" ht="54" customHeight="1">
      <c r="A348" s="29" t="n"/>
      <c r="B348" s="29" t="n"/>
      <c r="C348" s="29" t="n"/>
      <c r="D348" s="29" t="n"/>
      <c r="E348" s="29" t="n"/>
      <c r="F348" s="29" t="n"/>
      <c r="G348" s="29" t="n"/>
      <c r="H348" s="29" t="n"/>
      <c r="I348" s="29" t="n"/>
      <c r="J348" s="29" t="n"/>
      <c r="K348" s="29" t="n"/>
      <c r="L348" s="49" t="n"/>
      <c r="M348" s="29" t="n"/>
      <c r="N348" s="29" t="n"/>
      <c r="O348" s="29" t="n"/>
      <c r="P348" s="29" t="n"/>
      <c r="Q348" s="29" t="n"/>
      <c r="R348" s="29" t="n"/>
      <c r="S348" s="29" t="n"/>
      <c r="T348" s="29" t="n"/>
      <c r="U348" s="29" t="n"/>
      <c r="V348" s="29" t="n"/>
      <c r="W348" s="29" t="n"/>
    </row>
    <row r="349" ht="54" customHeight="1">
      <c r="A349" s="29" t="n"/>
      <c r="B349" s="29" t="n"/>
      <c r="C349" s="29" t="n"/>
      <c r="D349" s="29" t="n"/>
      <c r="E349" s="29" t="n"/>
      <c r="F349" s="29" t="n"/>
      <c r="G349" s="29" t="n"/>
      <c r="H349" s="29" t="n"/>
      <c r="I349" s="29" t="n"/>
      <c r="J349" s="29" t="n"/>
      <c r="K349" s="29" t="n"/>
      <c r="L349" s="49" t="n"/>
      <c r="M349" s="29" t="n"/>
      <c r="N349" s="29" t="n"/>
      <c r="O349" s="29" t="n"/>
      <c r="P349" s="29" t="n"/>
      <c r="Q349" s="29" t="n"/>
      <c r="R349" s="29" t="n"/>
      <c r="S349" s="29" t="n"/>
      <c r="T349" s="29" t="n"/>
      <c r="U349" s="29" t="n"/>
      <c r="V349" s="29" t="n"/>
      <c r="W349" s="29" t="n"/>
    </row>
    <row r="350" ht="54" customHeight="1">
      <c r="A350" s="29" t="n"/>
      <c r="B350" s="29" t="n"/>
      <c r="C350" s="29" t="n"/>
      <c r="D350" s="29" t="n"/>
      <c r="E350" s="29" t="n"/>
      <c r="F350" s="29" t="n"/>
      <c r="G350" s="29" t="n"/>
      <c r="H350" s="29" t="n"/>
      <c r="I350" s="29" t="n"/>
      <c r="J350" s="29" t="n"/>
      <c r="K350" s="29" t="n"/>
      <c r="L350" s="49" t="n"/>
      <c r="M350" s="29" t="n"/>
      <c r="N350" s="29" t="n"/>
      <c r="O350" s="29" t="n"/>
      <c r="P350" s="29" t="n"/>
      <c r="Q350" s="29" t="n"/>
      <c r="R350" s="29" t="n"/>
      <c r="S350" s="29" t="n"/>
      <c r="T350" s="29" t="n"/>
      <c r="U350" s="29" t="n"/>
      <c r="V350" s="29" t="n"/>
      <c r="W350" s="29" t="n"/>
    </row>
    <row r="351" ht="54" customHeight="1">
      <c r="A351" s="29" t="n"/>
      <c r="B351" s="29" t="n"/>
      <c r="C351" s="29" t="n"/>
      <c r="D351" s="29" t="n"/>
      <c r="E351" s="29" t="n"/>
      <c r="F351" s="29" t="n"/>
      <c r="G351" s="29" t="n"/>
      <c r="H351" s="29" t="n"/>
      <c r="I351" s="29" t="n"/>
      <c r="J351" s="29" t="n"/>
      <c r="K351" s="29" t="n"/>
      <c r="L351" s="49" t="n"/>
      <c r="M351" s="29" t="n"/>
      <c r="N351" s="29" t="n"/>
      <c r="O351" s="29" t="n"/>
      <c r="P351" s="29" t="n"/>
      <c r="Q351" s="29" t="n"/>
      <c r="R351" s="29" t="n"/>
      <c r="S351" s="29" t="n"/>
      <c r="T351" s="29" t="n"/>
      <c r="U351" s="29" t="n"/>
      <c r="V351" s="29" t="n"/>
      <c r="W351" s="29" t="n"/>
    </row>
    <row r="352" ht="54" customHeight="1">
      <c r="A352" s="29" t="n"/>
      <c r="B352" s="29" t="n"/>
      <c r="C352" s="29" t="n"/>
      <c r="D352" s="29" t="n"/>
      <c r="E352" s="29" t="n"/>
      <c r="F352" s="29" t="n"/>
      <c r="G352" s="29" t="n"/>
      <c r="H352" s="29" t="n"/>
      <c r="I352" s="29" t="n"/>
      <c r="J352" s="29" t="n"/>
      <c r="K352" s="29" t="n"/>
      <c r="L352" s="49" t="n"/>
      <c r="M352" s="29" t="n"/>
      <c r="N352" s="29" t="n"/>
      <c r="O352" s="29" t="n"/>
      <c r="P352" s="29" t="n"/>
      <c r="Q352" s="29" t="n"/>
      <c r="R352" s="29" t="n"/>
      <c r="S352" s="29" t="n"/>
      <c r="T352" s="29" t="n"/>
      <c r="U352" s="29" t="n"/>
      <c r="V352" s="29" t="n"/>
      <c r="W352" s="29" t="n"/>
    </row>
    <row r="353" ht="54" customHeight="1">
      <c r="A353" s="29" t="n"/>
      <c r="B353" s="29" t="n"/>
      <c r="C353" s="29" t="n"/>
      <c r="D353" s="29" t="n"/>
      <c r="E353" s="29" t="n"/>
      <c r="F353" s="29" t="n"/>
      <c r="G353" s="29" t="n"/>
      <c r="H353" s="29" t="n"/>
      <c r="I353" s="29" t="n"/>
      <c r="J353" s="29" t="n"/>
      <c r="K353" s="29" t="n"/>
      <c r="L353" s="49" t="n"/>
      <c r="M353" s="29" t="n"/>
      <c r="N353" s="29" t="n"/>
      <c r="O353" s="29" t="n"/>
      <c r="P353" s="29" t="n"/>
      <c r="Q353" s="29" t="n"/>
      <c r="R353" s="29" t="n"/>
      <c r="S353" s="29" t="n"/>
      <c r="T353" s="29" t="n"/>
      <c r="U353" s="29" t="n"/>
      <c r="V353" s="29" t="n"/>
      <c r="W353" s="29" t="n"/>
    </row>
    <row r="354" ht="54" customHeight="1">
      <c r="A354" s="29" t="n"/>
      <c r="B354" s="29" t="n"/>
      <c r="C354" s="29" t="n"/>
      <c r="D354" s="29" t="n"/>
      <c r="E354" s="29" t="n"/>
      <c r="F354" s="29" t="n"/>
      <c r="G354" s="29" t="n"/>
      <c r="H354" s="29" t="n"/>
      <c r="I354" s="29" t="n"/>
      <c r="J354" s="29" t="n"/>
      <c r="K354" s="29" t="n"/>
      <c r="L354" s="49" t="n"/>
      <c r="M354" s="29" t="n"/>
      <c r="N354" s="29" t="n"/>
      <c r="O354" s="29" t="n"/>
      <c r="P354" s="29" t="n"/>
      <c r="Q354" s="29" t="n"/>
      <c r="R354" s="29" t="n"/>
      <c r="S354" s="29" t="n"/>
      <c r="T354" s="29" t="n"/>
      <c r="U354" s="29" t="n"/>
      <c r="V354" s="29" t="n"/>
      <c r="W354" s="29" t="n"/>
    </row>
    <row r="355" ht="54" customHeight="1">
      <c r="A355" s="29" t="n"/>
      <c r="B355" s="29" t="n"/>
      <c r="C355" s="29" t="n"/>
      <c r="D355" s="29" t="n"/>
      <c r="E355" s="29" t="n"/>
      <c r="F355" s="29" t="n"/>
      <c r="G355" s="29" t="n"/>
      <c r="H355" s="29" t="n"/>
      <c r="I355" s="29" t="n"/>
      <c r="J355" s="29" t="n"/>
      <c r="K355" s="29" t="n"/>
      <c r="L355" s="49" t="n"/>
      <c r="M355" s="29" t="n"/>
      <c r="N355" s="29" t="n"/>
      <c r="O355" s="29" t="n"/>
      <c r="P355" s="29" t="n"/>
      <c r="Q355" s="29" t="n"/>
      <c r="R355" s="29" t="n"/>
      <c r="S355" s="29" t="n"/>
      <c r="T355" s="29" t="n"/>
      <c r="U355" s="29" t="n"/>
      <c r="V355" s="29" t="n"/>
      <c r="W355" s="29" t="n"/>
    </row>
    <row r="356" ht="54" customHeight="1">
      <c r="A356" s="29" t="n"/>
      <c r="B356" s="29" t="n"/>
      <c r="C356" s="29" t="n"/>
      <c r="D356" s="29" t="n"/>
      <c r="E356" s="29" t="n"/>
      <c r="F356" s="29" t="n"/>
      <c r="G356" s="29" t="n"/>
      <c r="H356" s="29" t="n"/>
      <c r="I356" s="29" t="n"/>
      <c r="J356" s="29" t="n"/>
      <c r="K356" s="29" t="n"/>
      <c r="L356" s="49" t="n"/>
      <c r="M356" s="29" t="n"/>
      <c r="N356" s="29" t="n"/>
      <c r="O356" s="29" t="n"/>
      <c r="P356" s="29" t="n"/>
      <c r="Q356" s="29" t="n"/>
      <c r="R356" s="29" t="n"/>
      <c r="S356" s="29" t="n"/>
      <c r="T356" s="29" t="n"/>
      <c r="U356" s="29" t="n"/>
      <c r="V356" s="29" t="n"/>
      <c r="W356" s="29" t="n"/>
    </row>
    <row r="357" ht="54" customHeight="1">
      <c r="A357" s="29" t="n"/>
      <c r="B357" s="29" t="n"/>
      <c r="C357" s="29" t="n"/>
      <c r="D357" s="29" t="n"/>
      <c r="E357" s="29" t="n"/>
      <c r="F357" s="29" t="n"/>
      <c r="G357" s="29" t="n"/>
      <c r="H357" s="29" t="n"/>
      <c r="I357" s="29" t="n"/>
      <c r="J357" s="29" t="n"/>
      <c r="K357" s="29" t="n"/>
      <c r="L357" s="49" t="n"/>
      <c r="M357" s="29" t="n"/>
      <c r="N357" s="29" t="n"/>
      <c r="O357" s="29" t="n"/>
      <c r="P357" s="29" t="n"/>
      <c r="Q357" s="29" t="n"/>
      <c r="R357" s="29" t="n"/>
      <c r="S357" s="29" t="n"/>
      <c r="T357" s="29" t="n"/>
      <c r="U357" s="29" t="n"/>
      <c r="V357" s="29" t="n"/>
      <c r="W357" s="29" t="n"/>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D8:D357">
    <cfRule type="expression" priority="4" dxfId="1">
      <formula>AND($A8&lt;&gt;"",ISBLANK(D8))</formula>
    </cfRule>
  </conditionalFormatting>
  <conditionalFormatting sqref="E8:E357">
    <cfRule type="expression" priority="5" dxfId="1">
      <formula>AND($A8&lt;&gt;"",ISBLANK(E8))</formula>
    </cfRule>
  </conditionalFormatting>
  <conditionalFormatting sqref="F8:F357">
    <cfRule type="expression" priority="6" dxfId="1">
      <formula>AND($A8&lt;&gt;"",ISBLANK(F8))</formula>
    </cfRule>
  </conditionalFormatting>
  <conditionalFormatting sqref="G8:G357">
    <cfRule type="expression" priority="7" dxfId="1">
      <formula>AND($A8&lt;&gt;"",ISBLANK(G8))</formula>
    </cfRule>
  </conditionalFormatting>
  <conditionalFormatting sqref="H8:H357">
    <cfRule type="expression" priority="8" dxfId="1">
      <formula>AND($A8&lt;&gt;"",ISBLANK(H8))</formula>
    </cfRule>
  </conditionalFormatting>
  <conditionalFormatting sqref="I8:I357">
    <cfRule type="expression" priority="9" dxfId="1">
      <formula>AND($A8&lt;&gt;"",ISBLANK(I8))</formula>
    </cfRule>
  </conditionalFormatting>
  <conditionalFormatting sqref="L8:L357">
    <cfRule type="expression" priority="10" dxfId="1">
      <formula>AND($A8&lt;&gt;"",ISBLANK(L8))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Q8:Q357">
    <cfRule type="expression" priority="13" dxfId="1">
      <formula>AND($A8&lt;&gt;"",ISBLANK(Q8))</formula>
    </cfRule>
  </conditionalFormatting>
  <dataValidations count="3">
    <dataValidation sqref="M8:M357" showDropDown="0" showInputMessage="0" showErrorMessage="0" allowBlank="0" type="list">
      <formula1>"Bekliyor,Doğrulandı"</formula1>
    </dataValidation>
    <dataValidation sqref="N8:N357" showDropDown="0" showInputMessage="0" showErrorMessage="0" allowBlank="0" type="list">
      <formula1>"Bekliyor,Doğrulandı"</formula1>
    </dataValidation>
    <dataValidation sqref="Q8:Q357" showDropDown="0" showInputMessage="0" showErrorMessage="0" allowBlank="0" type="list">
      <formula1>"Bekliyor,Bu kare için uygun"</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12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0" customWidth="1" min="7" max="7"/>
  </cols>
  <sheetData>
    <row r="1" ht="30" customHeight="1">
      <c r="A1" s="2" t="n"/>
      <c r="B1" s="2" t="n"/>
      <c r="C1" s="2" t="n"/>
      <c r="D1" s="2" t="n"/>
      <c r="E1" s="2" t="n"/>
      <c r="F1" s="2" t="n"/>
      <c r="G1" s="2" t="n"/>
    </row>
    <row r="2" ht="30" customHeight="1">
      <c r="A2" s="19" t="inlineStr">
        <is>
          <t>Corteqs · Sayfa metinleri ve ek yapılandırma</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 · tarih</t>
        </is>
      </c>
    </row>
    <row r="6" ht="44" customHeight="1">
      <c r="A6" s="25" t="inlineStr">
        <is>
          <t>Alan kimliği</t>
        </is>
      </c>
      <c r="B6" s="25" t="inlineStr">
        <is>
          <t>Şehir kimliği</t>
        </is>
      </c>
      <c r="C6" s="25" t="inlineStr">
        <is>
          <t>Sayfa alanı anahtarı</t>
        </is>
      </c>
      <c r="D6" s="25" t="inlineStr">
        <is>
          <t>Türkçe alan açıklaması</t>
        </is>
      </c>
      <c r="E6" s="25" t="inlineStr">
        <is>
          <t>Değer türü</t>
        </is>
      </c>
      <c r="F6" s="25" t="inlineStr">
        <is>
          <t>Alan değeri</t>
        </is>
      </c>
      <c r="G6" s="25" t="inlineStr">
        <is>
          <t>Alan kontrol tarihi</t>
        </is>
      </c>
    </row>
    <row r="7" ht="32" customHeight="1">
      <c r="A7" s="28" t="inlineStr">
        <is>
          <t>field_id</t>
        </is>
      </c>
      <c r="B7" s="28" t="inlineStr">
        <is>
          <t>city_id</t>
        </is>
      </c>
      <c r="C7" s="28" t="inlineStr">
        <is>
          <t>key</t>
        </is>
      </c>
      <c r="D7" s="28" t="inlineStr">
        <is>
          <t>label</t>
        </is>
      </c>
      <c r="E7" s="28" t="inlineStr">
        <is>
          <t>value_type</t>
        </is>
      </c>
      <c r="F7" s="28" t="inlineStr">
        <is>
          <t>value</t>
        </is>
      </c>
      <c r="G7" s="28" t="inlineStr">
        <is>
          <t>reviewed_on</t>
        </is>
      </c>
    </row>
    <row r="8" ht="54" customHeight="1">
      <c r="A8" s="29" t="inlineStr">
        <is>
          <t>eindhoven:field:hero_kicker</t>
        </is>
      </c>
      <c r="B8" s="29" t="inlineStr">
        <is>
          <t>eindhoven</t>
        </is>
      </c>
      <c r="C8" s="29" t="inlineStr">
        <is>
          <t>hero_kicker</t>
        </is>
      </c>
      <c r="D8" s="29" t="inlineStr">
        <is>
          <t>Üst küçük başlık</t>
        </is>
      </c>
      <c r="E8" s="29" t="inlineStr">
        <is>
          <t>Metin</t>
        </is>
      </c>
      <c r="F8" s="29" t="inlineStr">
        <is>
          <t>HOLLANDA · EINDHOVEN REHBERİ</t>
        </is>
      </c>
      <c r="G8" s="49" t="n">
        <v>46317</v>
      </c>
    </row>
    <row r="9" ht="54" customHeight="1">
      <c r="A9" s="29" t="inlineStr">
        <is>
          <t>eindhoven:field:hero_accent</t>
        </is>
      </c>
      <c r="B9" s="29" t="inlineStr">
        <is>
          <t>eindhoven</t>
        </is>
      </c>
      <c r="C9" s="29" t="inlineStr">
        <is>
          <t>hero_accent</t>
        </is>
      </c>
      <c r="D9" s="29" t="inlineStr">
        <is>
          <t>Ana başlığın vurgu metni</t>
        </is>
      </c>
      <c r="E9" s="29" t="inlineStr">
        <is>
          <t>Metin</t>
        </is>
      </c>
      <c r="F9" s="29" t="inlineStr">
        <is>
          <t>Şimdi senin Eindhoven'in.</t>
        </is>
      </c>
      <c r="G9" s="49" t="n">
        <v>46317</v>
      </c>
    </row>
    <row r="10" ht="54" customHeight="1">
      <c r="A10" s="29" t="inlineStr">
        <is>
          <t>eindhoven:field:hero_note</t>
        </is>
      </c>
      <c r="B10" s="29" t="inlineStr">
        <is>
          <t>eindhoven</t>
        </is>
      </c>
      <c r="C10" s="29" t="inlineStr">
        <is>
          <t>hero_note</t>
        </is>
      </c>
      <c r="D10" s="29" t="inlineStr">
        <is>
          <t>Kapak altı kısa açıklama</t>
        </is>
      </c>
      <c r="E10" s="29" t="inlineStr">
        <is>
          <t>Metin</t>
        </is>
      </c>
      <c r="F10" s="29" t="inlineStr">
        <is>
          <t>Taşınmadan önce, ilk haftalarda ve sonrasında: Eindhoven'da hayatı kurman için gereken bilgiler.</t>
        </is>
      </c>
      <c r="G10" s="49" t="n">
        <v>46317</v>
      </c>
    </row>
    <row r="11" ht="54" customHeight="1">
      <c r="A11" s="29" t="inlineStr">
        <is>
          <t>eindhoven:field:topic_title</t>
        </is>
      </c>
      <c r="B11" s="29" t="inlineStr">
        <is>
          <t>eindhoven</t>
        </is>
      </c>
      <c r="C11" s="29" t="inlineStr">
        <is>
          <t>topic_title</t>
        </is>
      </c>
      <c r="D11" s="29" t="inlineStr">
        <is>
          <t>Bilgi bölümü başlığı</t>
        </is>
      </c>
      <c r="E11" s="29" t="inlineStr">
        <is>
          <t>Metin</t>
        </is>
      </c>
      <c r="F11" s="29" t="inlineStr">
        <is>
          <t>Eindhoven'da neyi halletmek istiyorsun?</t>
        </is>
      </c>
      <c r="G11" s="49" t="n">
        <v>46317</v>
      </c>
    </row>
    <row r="12" ht="54" customHeight="1">
      <c r="A12" s="29" t="inlineStr">
        <is>
          <t>eindhoven:field:topic_intro</t>
        </is>
      </c>
      <c r="B12" s="29" t="inlineStr">
        <is>
          <t>eindhoven</t>
        </is>
      </c>
      <c r="C12" s="29" t="inlineStr">
        <is>
          <t>topic_intro</t>
        </is>
      </c>
      <c r="D12" s="29" t="inlineStr">
        <is>
          <t>Bilgi bölümü açıklaması</t>
        </is>
      </c>
      <c r="E12" s="29" t="inlineStr">
        <is>
          <t>Metin</t>
        </is>
      </c>
      <c r="F12" s="29" t="inlineStr">
        <is>
          <t>Oturum izninden belediye kaydına, ev aramadan aile hekimine kadar kısa ve kaynaklı cevaplara dolanmadan ulaş.</t>
        </is>
      </c>
      <c r="G12" s="49" t="n">
        <v>46317</v>
      </c>
    </row>
    <row r="13" ht="54" customHeight="1">
      <c r="A13" s="29" t="inlineStr">
        <is>
          <t>eindhoven:field:journey_title</t>
        </is>
      </c>
      <c r="B13" s="29" t="inlineStr">
        <is>
          <t>eindhoven</t>
        </is>
      </c>
      <c r="C13" s="29" t="inlineStr">
        <is>
          <t>journey_title</t>
        </is>
      </c>
      <c r="D13" s="29" t="inlineStr">
        <is>
          <t>İlk adımlar başlığı</t>
        </is>
      </c>
      <c r="E13" s="29" t="inlineStr">
        <is>
          <t>Metin</t>
        </is>
      </c>
      <c r="F13" s="29" t="inlineStr">
        <is>
          <t>Eindhoven'da ilk adımların</t>
        </is>
      </c>
      <c r="G13" s="49" t="n">
        <v>46317</v>
      </c>
    </row>
    <row r="14" ht="54" customHeight="1">
      <c r="A14" s="29" t="inlineStr">
        <is>
          <t>eindhoven:field:journey_intro</t>
        </is>
      </c>
      <c r="B14" s="29" t="inlineStr">
        <is>
          <t>eindhoven</t>
        </is>
      </c>
      <c r="C14" s="29" t="inlineStr">
        <is>
          <t>journey_intro</t>
        </is>
      </c>
      <c r="D14" s="29" t="inlineStr">
        <is>
          <t>İlk adımlar açıklaması</t>
        </is>
      </c>
      <c r="E14" s="29" t="inlineStr">
        <is>
          <t>Metin</t>
        </is>
      </c>
      <c r="F14" s="29" t="inlineStr">
        <is>
          <t>Bu bir yol haritası; tek bir zorunlu sıra değil. Belediye kaydında varıştan sonra 5 günlük süre işlediği için ilk işin kayıt randevusu olsun, diğer adımları kendi takvimine göre diz.</t>
        </is>
      </c>
      <c r="G14" s="49" t="n">
        <v>46317</v>
      </c>
    </row>
    <row r="15" ht="54" customHeight="1">
      <c r="A15" s="29" t="inlineStr">
        <is>
          <t>eindhoven:field:neighborhood_title</t>
        </is>
      </c>
      <c r="B15" s="29" t="inlineStr">
        <is>
          <t>eindhoven</t>
        </is>
      </c>
      <c r="C15" s="29" t="inlineStr">
        <is>
          <t>neighborhood_title</t>
        </is>
      </c>
      <c r="D15" s="29" t="inlineStr">
        <is>
          <t>Mahalleler başlığı</t>
        </is>
      </c>
      <c r="E15" s="29" t="inlineStr">
        <is>
          <t>Metin</t>
        </is>
      </c>
      <c r="F15" s="29" t="inlineStr">
        <is>
          <t>Adresinden önce, semtini bul.</t>
        </is>
      </c>
      <c r="G15" s="49" t="n">
        <v>46317</v>
      </c>
    </row>
    <row r="16" ht="54" customHeight="1">
      <c r="A16" s="29" t="inlineStr">
        <is>
          <t>eindhoven:field:neighborhood_intro</t>
        </is>
      </c>
      <c r="B16" s="29" t="inlineStr">
        <is>
          <t>eindhoven</t>
        </is>
      </c>
      <c r="C16" s="29" t="inlineStr">
        <is>
          <t>neighborhood_intro</t>
        </is>
      </c>
      <c r="D16" s="29" t="inlineStr">
        <is>
          <t>Mahalleler açıklaması</t>
        </is>
      </c>
      <c r="E16" s="29" t="inlineStr">
        <is>
          <t>Metin</t>
        </is>
      </c>
      <c r="F16" s="29" t="inlineStr">
        <is>
          <t>Strijp-S'in hareketli havasından çok kültürlü Woensel West'e kadar her semtin ritmi farklı. Ulaşım, konut tipi ve yeşil alana göre karşılaştır.</t>
        </is>
      </c>
      <c r="G16" s="49" t="n">
        <v>46317</v>
      </c>
    </row>
    <row r="17" ht="54" customHeight="1">
      <c r="A17" s="29" t="inlineStr">
        <is>
          <t>eindhoven:field:explore_title</t>
        </is>
      </c>
      <c r="B17" s="29" t="inlineStr">
        <is>
          <t>eindhoven</t>
        </is>
      </c>
      <c r="C17" s="29" t="inlineStr">
        <is>
          <t>explore_title</t>
        </is>
      </c>
      <c r="D17" s="29" t="inlineStr">
        <is>
          <t>Keşif başlığı</t>
        </is>
      </c>
      <c r="E17" s="29" t="inlineStr">
        <is>
          <t>Metin</t>
        </is>
      </c>
      <c r="F17" s="29" t="inlineStr">
        <is>
          <t>İşlerin arasına biraz Eindhoven.</t>
        </is>
      </c>
      <c r="G17" s="49" t="n">
        <v>46317</v>
      </c>
    </row>
    <row r="18" ht="54" customHeight="1">
      <c r="A18" s="29" t="inlineStr">
        <is>
          <t>eindhoven:field:explore_intro</t>
        </is>
      </c>
      <c r="B18" s="29" t="inlineStr">
        <is>
          <t>eindhoven</t>
        </is>
      </c>
      <c r="C18" s="29" t="inlineStr">
        <is>
          <t>explore_intro</t>
        </is>
      </c>
      <c r="D18" s="29" t="inlineStr">
        <is>
          <t>Keşif açıklaması</t>
        </is>
      </c>
      <c r="E18" s="29" t="inlineStr">
        <is>
          <t>Metin</t>
        </is>
      </c>
      <c r="F18" s="29" t="inlineStr">
        <is>
          <t>Müzelerden ve tasarım stüdyolarından Dommel kıyısındaki yürüyüşlere: şehre alışmanın güzel tarafı.</t>
        </is>
      </c>
      <c r="G18" s="49" t="n">
        <v>46317</v>
      </c>
    </row>
    <row r="19" ht="54" customHeight="1">
      <c r="A19" s="29" t="inlineStr">
        <is>
          <t>eindhoven:field:sources_note</t>
        </is>
      </c>
      <c r="B19" s="29" t="inlineStr">
        <is>
          <t>eindhoven</t>
        </is>
      </c>
      <c r="C19" s="29" t="inlineStr">
        <is>
          <t>sources_note</t>
        </is>
      </c>
      <c r="D19" s="29" t="inlineStr">
        <is>
          <t>Kaynak ve kontrol açıklaması</t>
        </is>
      </c>
      <c r="E19" s="29" t="inlineStr">
        <is>
          <t>Metin</t>
        </is>
      </c>
      <c r="F19" s="29" t="inlineStr">
        <is>
          <t>Kartlardaki bilgiler Eindhoven belediyesi, IND, Belastingdienst, UWV ve Holland Expat Center South gibi kurumların sayfalarından derlendi. Her kartta kaynak bağlantıları ve derleme tarihi yer alır; kişisel hukuk, vergi veya sağlık değerlendirmesi gereken durumlarda ilgili uzmandan destek al.</t>
        </is>
      </c>
      <c r="G19" s="49" t="n">
        <v>46317</v>
      </c>
    </row>
    <row r="20" ht="54" customHeight="1">
      <c r="A20" s="29" t="inlineStr">
        <is>
          <t>eindhoven:field:photo_credit</t>
        </is>
      </c>
      <c r="B20" s="29" t="inlineStr">
        <is>
          <t>eindhoven</t>
        </is>
      </c>
      <c r="C20" s="29" t="inlineStr">
        <is>
          <t>photo_credit</t>
        </is>
      </c>
      <c r="D20" s="29" t="inlineStr">
        <is>
          <t>Fotoğraf bölümü genel atıf notu; kare atıflarının yerine geçmez</t>
        </is>
      </c>
      <c r="E20" s="29" t="inlineStr">
        <is>
          <t>Metin</t>
        </is>
      </c>
      <c r="F20" s="29" t="inlineStr">
        <is>
          <t>Eindhoven fotoğraflarının kaynağı, fotoğrafçısı ve kullanım lisansı her karenin altında ve galerilerde yer alır.</t>
        </is>
      </c>
      <c r="G20" s="49" t="n">
        <v>46317</v>
      </c>
    </row>
    <row r="21" ht="54" customHeight="1">
      <c r="A21" s="29" t="inlineStr">
        <is>
          <t>eindhoven:field:arrival_note</t>
        </is>
      </c>
      <c r="B21" s="29" t="inlineStr">
        <is>
          <t>eindhoven</t>
        </is>
      </c>
      <c r="C21" s="29" t="inlineStr">
        <is>
          <t>arrival_note</t>
        </is>
      </c>
      <c r="D21" s="29" t="inlineStr">
        <is>
          <t>Kişisel takvimin yasal süre yerine geçmediğini açıklayan yerel not</t>
        </is>
      </c>
      <c r="E21" s="29" t="inlineStr">
        <is>
          <t>Metin</t>
        </is>
      </c>
      <c r="F21" s="29" t="inlineStr">
        <is>
          <t>Takvimdeki günler kişisel hatırlatıcıdır, yasal süre değildir. Belediye kaydı için varıştan sonra 5 gün, temel sağlık sigortası için varıştan en geç 4 ay süre vardır; oturum izninin bitiş tarihini ayrıca kendin takip et.</t>
        </is>
      </c>
      <c r="G21" s="49" t="n">
        <v>46317</v>
      </c>
    </row>
    <row r="22" ht="54" customHeight="1">
      <c r="A22" s="29" t="inlineStr">
        <is>
          <t>eindhoven:field:emergency_url</t>
        </is>
      </c>
      <c r="B22" s="29" t="inlineStr">
        <is>
          <t>eindhoven</t>
        </is>
      </c>
      <c r="C22" s="29" t="inlineStr">
        <is>
          <t>emergency_url</t>
        </is>
      </c>
      <c r="D22" s="29" t="inlineStr">
        <is>
          <t>Yerel resmî acil yardım açıklamasına bağlantı</t>
        </is>
      </c>
      <c r="E22" s="29" t="inlineStr">
        <is>
          <t>Metin</t>
        </is>
      </c>
      <c r="F22" s="29" t="inlineStr">
        <is>
          <t>https://www.government.nl/documents/question-and-answer/emergency-number-112/when-can-i-call-112</t>
        </is>
      </c>
      <c r="G22" s="49" t="n">
        <v>46317</v>
      </c>
    </row>
    <row r="23" ht="54" customHeight="1">
      <c r="A23" s="29" t="inlineStr">
        <is>
          <t>eindhoven:field:pharmacy_url</t>
        </is>
      </c>
      <c r="B23" s="29" t="inlineStr">
        <is>
          <t>eindhoven</t>
        </is>
      </c>
      <c r="C23" s="29" t="inlineStr">
        <is>
          <t>pharmacy_url</t>
        </is>
      </c>
      <c r="D23" s="29" t="inlineStr">
        <is>
          <t>Yerel resmî nöbetçi eczane/eczane bulma bağlantısı</t>
        </is>
      </c>
      <c r="E23" s="29" t="inlineStr">
        <is>
          <t>Metin</t>
        </is>
      </c>
      <c r="F23" s="29" t="inlineStr">
        <is>
          <t>https://huisartsenpostenoostbrabant.nl/apotheken/centrale-dienstapotheek/</t>
        </is>
      </c>
      <c r="G23" s="49" t="n">
        <v>46317</v>
      </c>
    </row>
    <row r="24" ht="54" customHeight="1">
      <c r="A24" s="29" t="inlineStr">
        <is>
          <t>eindhoven:field:advice_entry</t>
        </is>
      </c>
      <c r="B24" s="29" t="inlineStr">
        <is>
          <t>eindhoven</t>
        </is>
      </c>
      <c r="C24" s="29" t="inlineStr">
        <is>
          <t>advice_entry</t>
        </is>
      </c>
      <c r="D24" s="29" t="inlineStr">
        <is>
          <t>Danışma kartının bu şehirdeki içerik slugı</t>
        </is>
      </c>
      <c r="E24" s="29" t="inlineStr">
        <is>
          <t>Metin</t>
        </is>
      </c>
      <c r="F24" s="29" t="inlineStr">
        <is>
          <t>eindhoven-yeni-gelen-belediye-bilgileri</t>
        </is>
      </c>
      <c r="G24" s="49" t="n">
        <v>46317</v>
      </c>
    </row>
    <row r="25" ht="54" customHeight="1">
      <c r="A25" s="29" t="inlineStr">
        <is>
          <t>eindhoven:field:facts</t>
        </is>
      </c>
      <c r="B25" s="29" t="inlineStr">
        <is>
          <t>eindhoven</t>
        </is>
      </c>
      <c r="C25" s="29" t="inlineStr">
        <is>
          <t>facts</t>
        </is>
      </c>
      <c r="D25" s="29" t="inlineStr">
        <is>
          <t>En az 4 kısa bilgi; her biri aynı şehirde bir içerik slugına gider</t>
        </is>
      </c>
      <c r="E25" s="29" t="inlineStr">
        <is>
          <t>JSON</t>
        </is>
      </c>
      <c r="F25" s="29" t="inlineStr">
        <is>
          <t>[{"value": "5 gün", "label": "Belediye kaydı için varıştan sonra tanınan süre", "entry": "yurt-disindan-eindhoven-kayit"}, {"value": "385 €", "label": "Sağlık sigortası eigen risico · 2026", "entry": "eigen-risico-2026"}, {"value": "112", "label": "Hayati tehlikede acil numara", "entry": "112-ne-zaman-aranir"}, {"value": "088 876 5151", "label": "Gece ve hafta sonu nöbetçi aile hekimi hattı", "entry": "huisartsenpost-eindhoven"}, {"value": "14 040", "label": "Eindhoven belediyesi telefon numarası", "entry": "eindhoven-yeni-gelen-belediye-bilgileri"}, {"value": "4 ay", "label": "Sağlık sigortası için varıştan sonra en geç süre", "entry": "saglik-sigortasi-ne-zaman"}]</t>
        </is>
      </c>
      <c r="G25" s="49" t="n">
        <v>46317</v>
      </c>
    </row>
    <row r="26" ht="54" customHeight="1">
      <c r="A26" s="29" t="inlineStr">
        <is>
          <t>eindhoven:field:quick_links</t>
        </is>
      </c>
      <c r="B26" s="29" t="inlineStr">
        <is>
          <t>eindhoven</t>
        </is>
      </c>
      <c r="C26" s="29" t="inlineStr">
        <is>
          <t>quick_links</t>
        </is>
      </c>
      <c r="D26" s="29" t="inlineStr">
        <is>
          <t>En az 3 hızlı bağlantı; aynı şehirde içerik slugına gider</t>
        </is>
      </c>
      <c r="E26" s="29" t="inlineStr">
        <is>
          <t>JSON</t>
        </is>
      </c>
      <c r="F26" s="29" t="inlineStr">
        <is>
          <t>[{"label": "Belediyeye kayıt", "entry": "yurt-disindan-eindhoven-kayit"}, {"label": "Oturum izni", "entry": "oturum-izni-gerekli-mi-uyruga-gore"}, {"label": "Kiralık ev bulma", "entry": "ozel-sektorde-kiralik-konut-bulma"}, {"label": "Sağlık sigortası", "entry": "saglik-sigortasi-ne-zaman"}, {"label": "Aile hekimi kaydı", "entry": "huisarts-kaydi-nasil-yapilir"}, {"label": "Toplu taşıma ve OVpay", "entry": "ovpay-banka-karti-telefon-ile-binis"}]</t>
        </is>
      </c>
      <c r="G26" s="49" t="n">
        <v>46317</v>
      </c>
    </row>
    <row r="27" ht="54" customHeight="1">
      <c r="A27" s="29" t="inlineStr">
        <is>
          <t>eindhoven:field:timeline</t>
        </is>
      </c>
      <c r="B27" s="29" t="inlineStr">
        <is>
          <t>eindhoven</t>
        </is>
      </c>
      <c r="C27" s="29" t="inlineStr">
        <is>
          <t>timeline</t>
        </is>
      </c>
      <c r="D27" s="29" t="inlineStr">
        <is>
          <t>En az 4 kişisel hazırlık hatırlatıcısı; offset taşınma tarihine göre gün</t>
        </is>
      </c>
      <c r="E27" s="29" t="inlineStr">
        <is>
          <t>JSON</t>
        </is>
      </c>
      <c r="F27" s="29" t="inlineStr">
        <is>
          <t>[{"title": "Oturum izni yolunu netleştir", "note": "Uyruğuna ve gelme amacına göre hangi izin yolunun sana uyduğunu belirle. Bu bir kişisel hazırlık hatırlatıcısıdır.", "offset": -90, "entry": "oturum-izni-gerekli-mi-uyruga-gore"}, {"title": "Belgelerini legalizasyon ve çeviriye hazırla", "note": "Legalizasyon çok zaman alabildiği için bu işe erken başla.", "offset": -60, "entry": "belge-apostil-ceviri-hazirligi"}, {"title": "Kira sözleşmesinin ayrıntılarını netleştir", "note": "Kira bedelini, depozitoyu, giriş tarihini ve sözleşme süresini yazılı olarak gözden geçir.", "offset": -30, "entry": "kira-sozlesmesi-kontrol-listesi"}, {"title": "Belediye kayıt randevunu al", "note": "Kayıt şahsen yapılır; randevu için 14 040'ı ara. Varıştan sonraki 5 günlük süre yasal sınırdır, bu gün yalnızca hatırlatmadır.", "offset": 1, "entry": "yurt-disindan-eindhoven-kayit"}, {"title": "Banka hesabını aç", "note": "Pasaportunu, adres kanıtını (belediye kayıt onayı veya kira sözleşmesi) ve BSN'ini hazırla; birçok banka hesabı online açtırır.", "offset": 10, "entry": "banka-hesabi-acma"}, {"title": "Sağlık sigortanı başlat", "note": "Temel sağlık sigortasını varıştan en geç 4 ay sonrasına kadar yaptırman gerekir; kapsam varış gününden başlar.", "offset": 14, "entry": "saglik-sigortasi-ne-zaman"}, {"title": "Aile hekimine (huisarts) kaydol", "note": "Doktora hemen ihtiyacın olmasa da yerleşir yerleşmez kayıt olman önerilir; kimliğini, BSN'ini ve sigorta bilgilerini götür.", "offset": 21, "entry": "huisarts-kaydi-nasil-yapilir"}]</t>
        </is>
      </c>
      <c r="G27" s="49" t="n">
        <v>46317</v>
      </c>
    </row>
    <row r="28" ht="54" customHeight="1">
      <c r="A28" s="29" t="inlineStr">
        <is>
          <t>eindhoven:field:budget_fields</t>
        </is>
      </c>
      <c r="B28" s="29" t="inlineStr">
        <is>
          <t>eindhoven</t>
        </is>
      </c>
      <c r="C28" s="29" t="inlineStr">
        <is>
          <t>budget_fields</t>
        </is>
      </c>
      <c r="D28" s="29" t="inlineStr">
        <is>
          <t>Bütçe hesaplayıcısının 10 alanı; tutar değil Türkçe başlıklar</t>
        </is>
      </c>
      <c r="E28" s="29" t="inlineStr">
        <is>
          <t>JSON</t>
        </is>
      </c>
      <c r="F28" s="29" t="inlineStr">
        <is>
          <t>[{"key": "income", "label": "Aylık net gelir"}, {"key": "rent", "label": "Kira"}, {"key": "bills", "label": "Enerji, su ve internet faturaları"}, {"key": "food", "label": "Market ve yemek"}, {"key": "transport", "label": "Ulaşım ve bisiklet"}, {"key": "health", "label": "Sağlık sigortası ve sağlık giderleri"}, {"key": "leisure", "label": "Sosyal yaşam"}, {"key": "other", "label": "Diğer aylık giderler"}, {"key": "deposit", "label": "Kira depozitosu"}, {"key": "moving", "label": "Taşınma ve ilk kurulum"}]</t>
        </is>
      </c>
      <c r="G28" s="49" t="n">
        <v>46317</v>
      </c>
    </row>
    <row r="29" ht="54" customHeight="1">
      <c r="A29" s="29" t="inlineStr">
        <is>
          <t>eindhoven:field:place_groups</t>
        </is>
      </c>
      <c r="B29" s="29" t="inlineStr">
        <is>
          <t>eindhoven</t>
        </is>
      </c>
      <c r="C29" s="29" t="inlineStr">
        <is>
          <t>place_groups</t>
        </is>
      </c>
      <c r="D29" s="29" t="inlineStr">
        <is>
          <t>Keşif filtresinin 8 sabit anahtarı ve Türkçe etiketleri</t>
        </is>
      </c>
      <c r="E29" s="29" t="inlineStr">
        <is>
          <t>JSON</t>
        </is>
      </c>
      <c r="F29" s="29" t="inlineStr">
        <is>
          <t>[{"key": "museum", "label": "Müzeler"}, {"key": "art", "label": "Sanat ve sergiler"}, {"key": "stage", "label": "Sahne ve müzik"}, {"key": "sport", "label": "Spor"}, {"key": "nature", "label": "Doğa ve açık hava"}, {"key": "family", "label": "Çocuklarla keşif"}, {"key": "food", "label": "Yeme ve içme"}, {"key": "history", "label": "Tarih ve mimari"}]</t>
        </is>
      </c>
      <c r="G29" s="49" t="n">
        <v>46317</v>
      </c>
    </row>
    <row r="30" ht="54" customHeight="1">
      <c r="A30" s="29" t="inlineStr">
        <is>
          <t>eindhoven:field:emergency</t>
        </is>
      </c>
      <c r="B30" s="29" t="inlineStr">
        <is>
          <t>eindhoven</t>
        </is>
      </c>
      <c r="C30" s="29" t="inlineStr">
        <is>
          <t>emergency</t>
        </is>
      </c>
      <c r="D30" s="29" t="inlineStr">
        <is>
          <t>Yerel resmî kaynaktan doğrulanmış acil telefon kayıtları</t>
        </is>
      </c>
      <c r="E30" s="29" t="inlineStr">
        <is>
          <t>JSON</t>
        </is>
      </c>
      <c r="F30" s="29" t="inlineStr">
        <is>
          <t>[{"tel": "112", "number": "112", "label": "Acil yardım: polis, itfaiye, ambulans", "desc": "Hayatın doğrudan tehlikedeyse, biri ağır yaralanıp hemen tıbbi yardıma ihtiyaç duyuyorsa veya ağır bir suça tanık olduysan ara."}, {"tel": "09008844", "number": "0900-8844", "label": "Polis: acil olmayan hat", "desc": "Acil olmayan ama polise ihtiyaç duyduğun durumlarda ara; 7 gün, günün 24 saati ulaşılır."}, {"tel": "0888765151", "number": "088 876 5151", "label": "Eindhoven huisartsenpost (nöbetçi aile hekimi)", "desc": "Akşam, gece ve hafta sonu acil ama hayati tehlike olmayan sağlık sorunlarında önce ara; randevusuz gitme."}, {"tel": "0402436666", "number": "040-2436666", "label": "Nöbetçi eczane (Centrale Dienstapotheek)", "desc": "Michelangelolaan 2'de, huisartsenpost'un yanında; her akşam ve gece 17:00-8:30 arası, ayrıca cumartesi, pazar ve resmi tatillerde gündüz açık."}, {"tel": "08000113", "number": "0800-0113", "label": "113 Zelfmoordpreventie (intihar önleme hattı)", "desc": "İntihar düşüncelerin varsa gece gündüz ara; görüşmeler anonim ve gizli, 0800-0113 ücretsiz. 113'ü normal arama ücretiyle de arayabilirsin."}]</t>
        </is>
      </c>
      <c r="G30" s="49" t="n">
        <v>46317</v>
      </c>
    </row>
    <row r="31" ht="54" customHeight="1">
      <c r="A31" s="29" t="n"/>
      <c r="B31" s="29" t="n"/>
      <c r="C31" s="29" t="n"/>
      <c r="D31" s="29" t="n"/>
      <c r="E31" s="29" t="n"/>
      <c r="F31" s="29" t="n"/>
      <c r="G31" s="49" t="n"/>
    </row>
    <row r="32" ht="54" customHeight="1">
      <c r="A32" s="29" t="n"/>
      <c r="B32" s="29" t="n"/>
      <c r="C32" s="29" t="n"/>
      <c r="D32" s="29" t="n"/>
      <c r="E32" s="29" t="n"/>
      <c r="F32" s="29" t="n"/>
      <c r="G32" s="49" t="n"/>
    </row>
    <row r="33" ht="54" customHeight="1">
      <c r="A33" s="29" t="n"/>
      <c r="B33" s="29" t="n"/>
      <c r="C33" s="29" t="n"/>
      <c r="D33" s="29" t="n"/>
      <c r="E33" s="29" t="n"/>
      <c r="F33" s="29" t="n"/>
      <c r="G33" s="49" t="n"/>
    </row>
    <row r="34" ht="54" customHeight="1">
      <c r="A34" s="29" t="n"/>
      <c r="B34" s="29" t="n"/>
      <c r="C34" s="29" t="n"/>
      <c r="D34" s="29" t="n"/>
      <c r="E34" s="29" t="n"/>
      <c r="F34" s="29" t="n"/>
      <c r="G34" s="49" t="n"/>
    </row>
    <row r="35" ht="54" customHeight="1">
      <c r="A35" s="29" t="n"/>
      <c r="B35" s="29" t="n"/>
      <c r="C35" s="29" t="n"/>
      <c r="D35" s="29" t="n"/>
      <c r="E35" s="29" t="n"/>
      <c r="F35" s="29" t="n"/>
      <c r="G35" s="49" t="n"/>
    </row>
    <row r="36" ht="54" customHeight="1">
      <c r="A36" s="29" t="n"/>
      <c r="B36" s="29" t="n"/>
      <c r="C36" s="29" t="n"/>
      <c r="D36" s="29" t="n"/>
      <c r="E36" s="29" t="n"/>
      <c r="F36" s="29" t="n"/>
      <c r="G36" s="49" t="n"/>
    </row>
    <row r="37" ht="54" customHeight="1">
      <c r="A37" s="29" t="n"/>
      <c r="B37" s="29" t="n"/>
      <c r="C37" s="29" t="n"/>
      <c r="D37" s="29" t="n"/>
      <c r="E37" s="29" t="n"/>
      <c r="F37" s="29" t="n"/>
      <c r="G37" s="49" t="n"/>
    </row>
    <row r="38" ht="54" customHeight="1">
      <c r="A38" s="29" t="n"/>
      <c r="B38" s="29" t="n"/>
      <c r="C38" s="29" t="n"/>
      <c r="D38" s="29" t="n"/>
      <c r="E38" s="29" t="n"/>
      <c r="F38" s="29" t="n"/>
      <c r="G38" s="49" t="n"/>
    </row>
    <row r="39" ht="54" customHeight="1">
      <c r="A39" s="29" t="n"/>
      <c r="B39" s="29" t="n"/>
      <c r="C39" s="29" t="n"/>
      <c r="D39" s="29" t="n"/>
      <c r="E39" s="29" t="n"/>
      <c r="F39" s="29" t="n"/>
      <c r="G39" s="49" t="n"/>
    </row>
    <row r="40" ht="54" customHeight="1">
      <c r="A40" s="29" t="n"/>
      <c r="B40" s="29" t="n"/>
      <c r="C40" s="29" t="n"/>
      <c r="D40" s="29" t="n"/>
      <c r="E40" s="29" t="n"/>
      <c r="F40" s="29" t="n"/>
      <c r="G40" s="49" t="n"/>
    </row>
    <row r="41" ht="54" customHeight="1">
      <c r="A41" s="29" t="n"/>
      <c r="B41" s="29" t="n"/>
      <c r="C41" s="29" t="n"/>
      <c r="D41" s="29" t="n"/>
      <c r="E41" s="29" t="n"/>
      <c r="F41" s="29" t="n"/>
      <c r="G41" s="49" t="n"/>
    </row>
    <row r="42" ht="54" customHeight="1">
      <c r="A42" s="29" t="n"/>
      <c r="B42" s="29" t="n"/>
      <c r="C42" s="29" t="n"/>
      <c r="D42" s="29" t="n"/>
      <c r="E42" s="29" t="n"/>
      <c r="F42" s="29" t="n"/>
      <c r="G42" s="49" t="n"/>
    </row>
    <row r="43" ht="54" customHeight="1">
      <c r="A43" s="29" t="n"/>
      <c r="B43" s="29" t="n"/>
      <c r="C43" s="29" t="n"/>
      <c r="D43" s="29" t="n"/>
      <c r="E43" s="29" t="n"/>
      <c r="F43" s="29" t="n"/>
      <c r="G43" s="49" t="n"/>
    </row>
    <row r="44" ht="54" customHeight="1">
      <c r="A44" s="29" t="n"/>
      <c r="B44" s="29" t="n"/>
      <c r="C44" s="29" t="n"/>
      <c r="D44" s="29" t="n"/>
      <c r="E44" s="29" t="n"/>
      <c r="F44" s="29" t="n"/>
      <c r="G44" s="49" t="n"/>
    </row>
    <row r="45" ht="54" customHeight="1">
      <c r="A45" s="29" t="n"/>
      <c r="B45" s="29" t="n"/>
      <c r="C45" s="29" t="n"/>
      <c r="D45" s="29" t="n"/>
      <c r="E45" s="29" t="n"/>
      <c r="F45" s="29" t="n"/>
      <c r="G45" s="49" t="n"/>
    </row>
    <row r="46" ht="54" customHeight="1">
      <c r="A46" s="29" t="n"/>
      <c r="B46" s="29" t="n"/>
      <c r="C46" s="29" t="n"/>
      <c r="D46" s="29" t="n"/>
      <c r="E46" s="29" t="n"/>
      <c r="F46" s="29" t="n"/>
      <c r="G46" s="49" t="n"/>
    </row>
    <row r="47" ht="54" customHeight="1">
      <c r="A47" s="29" t="n"/>
      <c r="B47" s="29" t="n"/>
      <c r="C47" s="29" t="n"/>
      <c r="D47" s="29" t="n"/>
      <c r="E47" s="29" t="n"/>
      <c r="F47" s="29" t="n"/>
      <c r="G47" s="49" t="n"/>
    </row>
    <row r="48" ht="54" customHeight="1">
      <c r="A48" s="29" t="n"/>
      <c r="B48" s="29" t="n"/>
      <c r="C48" s="29" t="n"/>
      <c r="D48" s="29" t="n"/>
      <c r="E48" s="29" t="n"/>
      <c r="F48" s="29" t="n"/>
      <c r="G48" s="49" t="n"/>
    </row>
    <row r="49" ht="54" customHeight="1">
      <c r="A49" s="29" t="n"/>
      <c r="B49" s="29" t="n"/>
      <c r="C49" s="29" t="n"/>
      <c r="D49" s="29" t="n"/>
      <c r="E49" s="29" t="n"/>
      <c r="F49" s="29" t="n"/>
      <c r="G49" s="49" t="n"/>
    </row>
    <row r="50" ht="54" customHeight="1">
      <c r="A50" s="29" t="n"/>
      <c r="B50" s="29" t="n"/>
      <c r="C50" s="29" t="n"/>
      <c r="D50" s="29" t="n"/>
      <c r="E50" s="29" t="n"/>
      <c r="F50" s="29" t="n"/>
      <c r="G50" s="49" t="n"/>
    </row>
    <row r="51" ht="54" customHeight="1">
      <c r="A51" s="29" t="n"/>
      <c r="B51" s="29" t="n"/>
      <c r="C51" s="29" t="n"/>
      <c r="D51" s="29" t="n"/>
      <c r="E51" s="29" t="n"/>
      <c r="F51" s="29" t="n"/>
      <c r="G51" s="49" t="n"/>
    </row>
    <row r="52" ht="54" customHeight="1">
      <c r="A52" s="29" t="n"/>
      <c r="B52" s="29" t="n"/>
      <c r="C52" s="29" t="n"/>
      <c r="D52" s="29" t="n"/>
      <c r="E52" s="29" t="n"/>
      <c r="F52" s="29" t="n"/>
      <c r="G52" s="49" t="n"/>
    </row>
    <row r="53" ht="54" customHeight="1">
      <c r="A53" s="29" t="n"/>
      <c r="B53" s="29" t="n"/>
      <c r="C53" s="29" t="n"/>
      <c r="D53" s="29" t="n"/>
      <c r="E53" s="29" t="n"/>
      <c r="F53" s="29" t="n"/>
      <c r="G53" s="49" t="n"/>
    </row>
    <row r="54" ht="54" customHeight="1">
      <c r="A54" s="29" t="n"/>
      <c r="B54" s="29" t="n"/>
      <c r="C54" s="29" t="n"/>
      <c r="D54" s="29" t="n"/>
      <c r="E54" s="29" t="n"/>
      <c r="F54" s="29" t="n"/>
      <c r="G54" s="49" t="n"/>
    </row>
    <row r="55" ht="54" customHeight="1">
      <c r="A55" s="29" t="n"/>
      <c r="B55" s="29" t="n"/>
      <c r="C55" s="29" t="n"/>
      <c r="D55" s="29" t="n"/>
      <c r="E55" s="29" t="n"/>
      <c r="F55" s="29" t="n"/>
      <c r="G55" s="49" t="n"/>
    </row>
    <row r="56" ht="54" customHeight="1">
      <c r="A56" s="29" t="n"/>
      <c r="B56" s="29" t="n"/>
      <c r="C56" s="29" t="n"/>
      <c r="D56" s="29" t="n"/>
      <c r="E56" s="29" t="n"/>
      <c r="F56" s="29" t="n"/>
      <c r="G56" s="49" t="n"/>
    </row>
    <row r="57" ht="54" customHeight="1">
      <c r="A57" s="29" t="n"/>
      <c r="B57" s="29" t="n"/>
      <c r="C57" s="29" t="n"/>
      <c r="D57" s="29" t="n"/>
      <c r="E57" s="29" t="n"/>
      <c r="F57" s="29" t="n"/>
      <c r="G57" s="49" t="n"/>
    </row>
    <row r="58" ht="54" customHeight="1">
      <c r="A58" s="29" t="n"/>
      <c r="B58" s="29" t="n"/>
      <c r="C58" s="29" t="n"/>
      <c r="D58" s="29" t="n"/>
      <c r="E58" s="29" t="n"/>
      <c r="F58" s="29" t="n"/>
      <c r="G58" s="49" t="n"/>
    </row>
    <row r="59" ht="54" customHeight="1">
      <c r="A59" s="29" t="n"/>
      <c r="B59" s="29" t="n"/>
      <c r="C59" s="29" t="n"/>
      <c r="D59" s="29" t="n"/>
      <c r="E59" s="29" t="n"/>
      <c r="F59" s="29" t="n"/>
      <c r="G59" s="49" t="n"/>
    </row>
    <row r="60" ht="54" customHeight="1">
      <c r="A60" s="29" t="n"/>
      <c r="B60" s="29" t="n"/>
      <c r="C60" s="29" t="n"/>
      <c r="D60" s="29" t="n"/>
      <c r="E60" s="29" t="n"/>
      <c r="F60" s="29" t="n"/>
      <c r="G60" s="49" t="n"/>
    </row>
    <row r="61" ht="54" customHeight="1">
      <c r="A61" s="29" t="n"/>
      <c r="B61" s="29" t="n"/>
      <c r="C61" s="29" t="n"/>
      <c r="D61" s="29" t="n"/>
      <c r="E61" s="29" t="n"/>
      <c r="F61" s="29" t="n"/>
      <c r="G61" s="49" t="n"/>
    </row>
    <row r="62" ht="54" customHeight="1">
      <c r="A62" s="29" t="n"/>
      <c r="B62" s="29" t="n"/>
      <c r="C62" s="29" t="n"/>
      <c r="D62" s="29" t="n"/>
      <c r="E62" s="29" t="n"/>
      <c r="F62" s="29" t="n"/>
      <c r="G62" s="49" t="n"/>
    </row>
    <row r="63" ht="54" customHeight="1">
      <c r="A63" s="29" t="n"/>
      <c r="B63" s="29" t="n"/>
      <c r="C63" s="29" t="n"/>
      <c r="D63" s="29" t="n"/>
      <c r="E63" s="29" t="n"/>
      <c r="F63" s="29" t="n"/>
      <c r="G63" s="49" t="n"/>
    </row>
    <row r="64" ht="54" customHeight="1">
      <c r="A64" s="29" t="n"/>
      <c r="B64" s="29" t="n"/>
      <c r="C64" s="29" t="n"/>
      <c r="D64" s="29" t="n"/>
      <c r="E64" s="29" t="n"/>
      <c r="F64" s="29" t="n"/>
      <c r="G64" s="49" t="n"/>
    </row>
    <row r="65" ht="54" customHeight="1">
      <c r="A65" s="29" t="n"/>
      <c r="B65" s="29" t="n"/>
      <c r="C65" s="29" t="n"/>
      <c r="D65" s="29" t="n"/>
      <c r="E65" s="29" t="n"/>
      <c r="F65" s="29" t="n"/>
      <c r="G65" s="49" t="n"/>
    </row>
    <row r="66" ht="54" customHeight="1">
      <c r="A66" s="29" t="n"/>
      <c r="B66" s="29" t="n"/>
      <c r="C66" s="29" t="n"/>
      <c r="D66" s="29" t="n"/>
      <c r="E66" s="29" t="n"/>
      <c r="F66" s="29" t="n"/>
      <c r="G66" s="49" t="n"/>
    </row>
    <row r="67" ht="54" customHeight="1">
      <c r="A67" s="29" t="n"/>
      <c r="B67" s="29" t="n"/>
      <c r="C67" s="29" t="n"/>
      <c r="D67" s="29" t="n"/>
      <c r="E67" s="29" t="n"/>
      <c r="F67" s="29" t="n"/>
      <c r="G67" s="49" t="n"/>
    </row>
    <row r="68" ht="54" customHeight="1">
      <c r="A68" s="29" t="n"/>
      <c r="B68" s="29" t="n"/>
      <c r="C68" s="29" t="n"/>
      <c r="D68" s="29" t="n"/>
      <c r="E68" s="29" t="n"/>
      <c r="F68" s="29" t="n"/>
      <c r="G68" s="49" t="n"/>
    </row>
    <row r="69" ht="54" customHeight="1">
      <c r="A69" s="29" t="n"/>
      <c r="B69" s="29" t="n"/>
      <c r="C69" s="29" t="n"/>
      <c r="D69" s="29" t="n"/>
      <c r="E69" s="29" t="n"/>
      <c r="F69" s="29" t="n"/>
      <c r="G69" s="49" t="n"/>
    </row>
    <row r="70" ht="54" customHeight="1">
      <c r="A70" s="29" t="n"/>
      <c r="B70" s="29" t="n"/>
      <c r="C70" s="29" t="n"/>
      <c r="D70" s="29" t="n"/>
      <c r="E70" s="29" t="n"/>
      <c r="F70" s="29" t="n"/>
      <c r="G70" s="49" t="n"/>
    </row>
    <row r="71" ht="54" customHeight="1">
      <c r="A71" s="29" t="n"/>
      <c r="B71" s="29" t="n"/>
      <c r="C71" s="29" t="n"/>
      <c r="D71" s="29" t="n"/>
      <c r="E71" s="29" t="n"/>
      <c r="F71" s="29" t="n"/>
      <c r="G71" s="49" t="n"/>
    </row>
    <row r="72" ht="54" customHeight="1">
      <c r="A72" s="29" t="n"/>
      <c r="B72" s="29" t="n"/>
      <c r="C72" s="29" t="n"/>
      <c r="D72" s="29" t="n"/>
      <c r="E72" s="29" t="n"/>
      <c r="F72" s="29" t="n"/>
      <c r="G72" s="49" t="n"/>
    </row>
    <row r="73" ht="54" customHeight="1">
      <c r="A73" s="29" t="n"/>
      <c r="B73" s="29" t="n"/>
      <c r="C73" s="29" t="n"/>
      <c r="D73" s="29" t="n"/>
      <c r="E73" s="29" t="n"/>
      <c r="F73" s="29" t="n"/>
      <c r="G73" s="49" t="n"/>
    </row>
    <row r="74" ht="54" customHeight="1">
      <c r="A74" s="29" t="n"/>
      <c r="B74" s="29" t="n"/>
      <c r="C74" s="29" t="n"/>
      <c r="D74" s="29" t="n"/>
      <c r="E74" s="29" t="n"/>
      <c r="F74" s="29" t="n"/>
      <c r="G74" s="49" t="n"/>
    </row>
    <row r="75" ht="54" customHeight="1">
      <c r="A75" s="29" t="n"/>
      <c r="B75" s="29" t="n"/>
      <c r="C75" s="29" t="n"/>
      <c r="D75" s="29" t="n"/>
      <c r="E75" s="29" t="n"/>
      <c r="F75" s="29" t="n"/>
      <c r="G75" s="49" t="n"/>
    </row>
    <row r="76" ht="54" customHeight="1">
      <c r="A76" s="29" t="n"/>
      <c r="B76" s="29" t="n"/>
      <c r="C76" s="29" t="n"/>
      <c r="D76" s="29" t="n"/>
      <c r="E76" s="29" t="n"/>
      <c r="F76" s="29" t="n"/>
      <c r="G76" s="49" t="n"/>
    </row>
    <row r="77" ht="54" customHeight="1">
      <c r="A77" s="29" t="n"/>
      <c r="B77" s="29" t="n"/>
      <c r="C77" s="29" t="n"/>
      <c r="D77" s="29" t="n"/>
      <c r="E77" s="29" t="n"/>
      <c r="F77" s="29" t="n"/>
      <c r="G77" s="49" t="n"/>
    </row>
    <row r="78" ht="54" customHeight="1">
      <c r="A78" s="29" t="n"/>
      <c r="B78" s="29" t="n"/>
      <c r="C78" s="29" t="n"/>
      <c r="D78" s="29" t="n"/>
      <c r="E78" s="29" t="n"/>
      <c r="F78" s="29" t="n"/>
      <c r="G78" s="49" t="n"/>
    </row>
    <row r="79" ht="54" customHeight="1">
      <c r="A79" s="29" t="n"/>
      <c r="B79" s="29" t="n"/>
      <c r="C79" s="29" t="n"/>
      <c r="D79" s="29" t="n"/>
      <c r="E79" s="29" t="n"/>
      <c r="F79" s="29" t="n"/>
      <c r="G79" s="49" t="n"/>
    </row>
    <row r="80" ht="54" customHeight="1">
      <c r="A80" s="29" t="n"/>
      <c r="B80" s="29" t="n"/>
      <c r="C80" s="29" t="n"/>
      <c r="D80" s="29" t="n"/>
      <c r="E80" s="29" t="n"/>
      <c r="F80" s="29" t="n"/>
      <c r="G80" s="49" t="n"/>
    </row>
    <row r="81" ht="54" customHeight="1">
      <c r="A81" s="29" t="n"/>
      <c r="B81" s="29" t="n"/>
      <c r="C81" s="29" t="n"/>
      <c r="D81" s="29" t="n"/>
      <c r="E81" s="29" t="n"/>
      <c r="F81" s="29" t="n"/>
      <c r="G81" s="49" t="n"/>
    </row>
    <row r="82" ht="54" customHeight="1">
      <c r="A82" s="29" t="n"/>
      <c r="B82" s="29" t="n"/>
      <c r="C82" s="29" t="n"/>
      <c r="D82" s="29" t="n"/>
      <c r="E82" s="29" t="n"/>
      <c r="F82" s="29" t="n"/>
      <c r="G82" s="49" t="n"/>
    </row>
    <row r="83" ht="54" customHeight="1">
      <c r="A83" s="29" t="n"/>
      <c r="B83" s="29" t="n"/>
      <c r="C83" s="29" t="n"/>
      <c r="D83" s="29" t="n"/>
      <c r="E83" s="29" t="n"/>
      <c r="F83" s="29" t="n"/>
      <c r="G83" s="49" t="n"/>
    </row>
    <row r="84" ht="54" customHeight="1">
      <c r="A84" s="29" t="n"/>
      <c r="B84" s="29" t="n"/>
      <c r="C84" s="29" t="n"/>
      <c r="D84" s="29" t="n"/>
      <c r="E84" s="29" t="n"/>
      <c r="F84" s="29" t="n"/>
      <c r="G84" s="49" t="n"/>
    </row>
    <row r="85" ht="54" customHeight="1">
      <c r="A85" s="29" t="n"/>
      <c r="B85" s="29" t="n"/>
      <c r="C85" s="29" t="n"/>
      <c r="D85" s="29" t="n"/>
      <c r="E85" s="29" t="n"/>
      <c r="F85" s="29" t="n"/>
      <c r="G85" s="49" t="n"/>
    </row>
    <row r="86" ht="54" customHeight="1">
      <c r="A86" s="29" t="n"/>
      <c r="B86" s="29" t="n"/>
      <c r="C86" s="29" t="n"/>
      <c r="D86" s="29" t="n"/>
      <c r="E86" s="29" t="n"/>
      <c r="F86" s="29" t="n"/>
      <c r="G86" s="49" t="n"/>
    </row>
    <row r="87" ht="54" customHeight="1">
      <c r="A87" s="29" t="n"/>
      <c r="B87" s="29" t="n"/>
      <c r="C87" s="29" t="n"/>
      <c r="D87" s="29" t="n"/>
      <c r="E87" s="29" t="n"/>
      <c r="F87" s="29" t="n"/>
      <c r="G87" s="49" t="n"/>
    </row>
    <row r="88" ht="54" customHeight="1">
      <c r="A88" s="29" t="n"/>
      <c r="B88" s="29" t="n"/>
      <c r="C88" s="29" t="n"/>
      <c r="D88" s="29" t="n"/>
      <c r="E88" s="29" t="n"/>
      <c r="F88" s="29" t="n"/>
      <c r="G88" s="49" t="n"/>
    </row>
    <row r="89" ht="54" customHeight="1">
      <c r="A89" s="29" t="n"/>
      <c r="B89" s="29" t="n"/>
      <c r="C89" s="29" t="n"/>
      <c r="D89" s="29" t="n"/>
      <c r="E89" s="29" t="n"/>
      <c r="F89" s="29" t="n"/>
      <c r="G89" s="49" t="n"/>
    </row>
    <row r="90" ht="54" customHeight="1">
      <c r="A90" s="29" t="n"/>
      <c r="B90" s="29" t="n"/>
      <c r="C90" s="29" t="n"/>
      <c r="D90" s="29" t="n"/>
      <c r="E90" s="29" t="n"/>
      <c r="F90" s="29" t="n"/>
      <c r="G90" s="49" t="n"/>
    </row>
    <row r="91" ht="54" customHeight="1">
      <c r="A91" s="29" t="n"/>
      <c r="B91" s="29" t="n"/>
      <c r="C91" s="29" t="n"/>
      <c r="D91" s="29" t="n"/>
      <c r="E91" s="29" t="n"/>
      <c r="F91" s="29" t="n"/>
      <c r="G91" s="49" t="n"/>
    </row>
    <row r="92" ht="54" customHeight="1">
      <c r="A92" s="29" t="n"/>
      <c r="B92" s="29" t="n"/>
      <c r="C92" s="29" t="n"/>
      <c r="D92" s="29" t="n"/>
      <c r="E92" s="29" t="n"/>
      <c r="F92" s="29" t="n"/>
      <c r="G92" s="49" t="n"/>
    </row>
    <row r="93" ht="54" customHeight="1">
      <c r="A93" s="29" t="n"/>
      <c r="B93" s="29" t="n"/>
      <c r="C93" s="29" t="n"/>
      <c r="D93" s="29" t="n"/>
      <c r="E93" s="29" t="n"/>
      <c r="F93" s="29" t="n"/>
      <c r="G93" s="49" t="n"/>
    </row>
    <row r="94" ht="54" customHeight="1">
      <c r="A94" s="29" t="n"/>
      <c r="B94" s="29" t="n"/>
      <c r="C94" s="29" t="n"/>
      <c r="D94" s="29" t="n"/>
      <c r="E94" s="29" t="n"/>
      <c r="F94" s="29" t="n"/>
      <c r="G94" s="49" t="n"/>
    </row>
    <row r="95" ht="54" customHeight="1">
      <c r="A95" s="29" t="n"/>
      <c r="B95" s="29" t="n"/>
      <c r="C95" s="29" t="n"/>
      <c r="D95" s="29" t="n"/>
      <c r="E95" s="29" t="n"/>
      <c r="F95" s="29" t="n"/>
      <c r="G95" s="49" t="n"/>
    </row>
    <row r="96" ht="54" customHeight="1">
      <c r="A96" s="29" t="n"/>
      <c r="B96" s="29" t="n"/>
      <c r="C96" s="29" t="n"/>
      <c r="D96" s="29" t="n"/>
      <c r="E96" s="29" t="n"/>
      <c r="F96" s="29" t="n"/>
      <c r="G96" s="49" t="n"/>
    </row>
    <row r="97" ht="54" customHeight="1">
      <c r="A97" s="29" t="n"/>
      <c r="B97" s="29" t="n"/>
      <c r="C97" s="29" t="n"/>
      <c r="D97" s="29" t="n"/>
      <c r="E97" s="29" t="n"/>
      <c r="F97" s="29" t="n"/>
      <c r="G97" s="49" t="n"/>
    </row>
    <row r="98" ht="54" customHeight="1">
      <c r="A98" s="29" t="n"/>
      <c r="B98" s="29" t="n"/>
      <c r="C98" s="29" t="n"/>
      <c r="D98" s="29" t="n"/>
      <c r="E98" s="29" t="n"/>
      <c r="F98" s="29" t="n"/>
      <c r="G98" s="49" t="n"/>
    </row>
    <row r="99" ht="54" customHeight="1">
      <c r="A99" s="29" t="n"/>
      <c r="B99" s="29" t="n"/>
      <c r="C99" s="29" t="n"/>
      <c r="D99" s="29" t="n"/>
      <c r="E99" s="29" t="n"/>
      <c r="F99" s="29" t="n"/>
      <c r="G99" s="49" t="n"/>
    </row>
    <row r="100" ht="54" customHeight="1">
      <c r="A100" s="29" t="n"/>
      <c r="B100" s="29" t="n"/>
      <c r="C100" s="29" t="n"/>
      <c r="D100" s="29" t="n"/>
      <c r="E100" s="29" t="n"/>
      <c r="F100" s="29" t="n"/>
      <c r="G100" s="49" t="n"/>
    </row>
    <row r="101" ht="54" customHeight="1">
      <c r="A101" s="29" t="n"/>
      <c r="B101" s="29" t="n"/>
      <c r="C101" s="29" t="n"/>
      <c r="D101" s="29" t="n"/>
      <c r="E101" s="29" t="n"/>
      <c r="F101" s="29" t="n"/>
      <c r="G101" s="49" t="n"/>
    </row>
    <row r="102" ht="54" customHeight="1">
      <c r="A102" s="29" t="n"/>
      <c r="B102" s="29" t="n"/>
      <c r="C102" s="29" t="n"/>
      <c r="D102" s="29" t="n"/>
      <c r="E102" s="29" t="n"/>
      <c r="F102" s="29" t="n"/>
      <c r="G102" s="49" t="n"/>
    </row>
    <row r="103" ht="54" customHeight="1">
      <c r="A103" s="29" t="n"/>
      <c r="B103" s="29" t="n"/>
      <c r="C103" s="29" t="n"/>
      <c r="D103" s="29" t="n"/>
      <c r="E103" s="29" t="n"/>
      <c r="F103" s="29" t="n"/>
      <c r="G103" s="49" t="n"/>
    </row>
    <row r="104" ht="54" customHeight="1">
      <c r="A104" s="29" t="n"/>
      <c r="B104" s="29" t="n"/>
      <c r="C104" s="29" t="n"/>
      <c r="D104" s="29" t="n"/>
      <c r="E104" s="29" t="n"/>
      <c r="F104" s="29" t="n"/>
      <c r="G104" s="49" t="n"/>
    </row>
    <row r="105" ht="54" customHeight="1">
      <c r="A105" s="29" t="n"/>
      <c r="B105" s="29" t="n"/>
      <c r="C105" s="29" t="n"/>
      <c r="D105" s="29" t="n"/>
      <c r="E105" s="29" t="n"/>
      <c r="F105" s="29" t="n"/>
      <c r="G105" s="49" t="n"/>
    </row>
    <row r="106" ht="54" customHeight="1">
      <c r="A106" s="29" t="n"/>
      <c r="B106" s="29" t="n"/>
      <c r="C106" s="29" t="n"/>
      <c r="D106" s="29" t="n"/>
      <c r="E106" s="29" t="n"/>
      <c r="F106" s="29" t="n"/>
      <c r="G106" s="49" t="n"/>
    </row>
    <row r="107" ht="54" customHeight="1">
      <c r="A107" s="29" t="n"/>
      <c r="B107" s="29" t="n"/>
      <c r="C107" s="29" t="n"/>
      <c r="D107" s="29" t="n"/>
      <c r="E107" s="29" t="n"/>
      <c r="F107" s="29" t="n"/>
      <c r="G107" s="49" t="n"/>
    </row>
    <row r="108" ht="54" customHeight="1">
      <c r="A108" s="29" t="n"/>
      <c r="B108" s="29" t="n"/>
      <c r="C108" s="29" t="n"/>
      <c r="D108" s="29" t="n"/>
      <c r="E108" s="29" t="n"/>
      <c r="F108" s="29" t="n"/>
      <c r="G108" s="49" t="n"/>
    </row>
    <row r="109" ht="54" customHeight="1">
      <c r="A109" s="29" t="n"/>
      <c r="B109" s="29" t="n"/>
      <c r="C109" s="29" t="n"/>
      <c r="D109" s="29" t="n"/>
      <c r="E109" s="29" t="n"/>
      <c r="F109" s="29" t="n"/>
      <c r="G109" s="49" t="n"/>
    </row>
    <row r="110" ht="54" customHeight="1">
      <c r="A110" s="29" t="n"/>
      <c r="B110" s="29" t="n"/>
      <c r="C110" s="29" t="n"/>
      <c r="D110" s="29" t="n"/>
      <c r="E110" s="29" t="n"/>
      <c r="F110" s="29" t="n"/>
      <c r="G110" s="49" t="n"/>
    </row>
    <row r="111" ht="54" customHeight="1">
      <c r="A111" s="29" t="n"/>
      <c r="B111" s="29" t="n"/>
      <c r="C111" s="29" t="n"/>
      <c r="D111" s="29" t="n"/>
      <c r="E111" s="29" t="n"/>
      <c r="F111" s="29" t="n"/>
      <c r="G111" s="49" t="n"/>
    </row>
    <row r="112" ht="54" customHeight="1">
      <c r="A112" s="29" t="n"/>
      <c r="B112" s="29" t="n"/>
      <c r="C112" s="29" t="n"/>
      <c r="D112" s="29" t="n"/>
      <c r="E112" s="29" t="n"/>
      <c r="F112" s="29" t="n"/>
      <c r="G112" s="49" t="n"/>
    </row>
    <row r="113" ht="54" customHeight="1">
      <c r="A113" s="29" t="n"/>
      <c r="B113" s="29" t="n"/>
      <c r="C113" s="29" t="n"/>
      <c r="D113" s="29" t="n"/>
      <c r="E113" s="29" t="n"/>
      <c r="F113" s="29" t="n"/>
      <c r="G113" s="49" t="n"/>
    </row>
    <row r="114" ht="54" customHeight="1">
      <c r="A114" s="29" t="n"/>
      <c r="B114" s="29" t="n"/>
      <c r="C114" s="29" t="n"/>
      <c r="D114" s="29" t="n"/>
      <c r="E114" s="29" t="n"/>
      <c r="F114" s="29" t="n"/>
      <c r="G114" s="49" t="n"/>
    </row>
    <row r="115" ht="54" customHeight="1">
      <c r="A115" s="29" t="n"/>
      <c r="B115" s="29" t="n"/>
      <c r="C115" s="29" t="n"/>
      <c r="D115" s="29" t="n"/>
      <c r="E115" s="29" t="n"/>
      <c r="F115" s="29" t="n"/>
      <c r="G115" s="49" t="n"/>
    </row>
    <row r="116" ht="54" customHeight="1">
      <c r="A116" s="29" t="n"/>
      <c r="B116" s="29" t="n"/>
      <c r="C116" s="29" t="n"/>
      <c r="D116" s="29" t="n"/>
      <c r="E116" s="29" t="n"/>
      <c r="F116" s="29" t="n"/>
      <c r="G116" s="49" t="n"/>
    </row>
    <row r="117" ht="54" customHeight="1">
      <c r="A117" s="29" t="n"/>
      <c r="B117" s="29" t="n"/>
      <c r="C117" s="29" t="n"/>
      <c r="D117" s="29" t="n"/>
      <c r="E117" s="29" t="n"/>
      <c r="F117" s="29" t="n"/>
      <c r="G117" s="49" t="n"/>
    </row>
    <row r="118" ht="54" customHeight="1">
      <c r="A118" s="29" t="n"/>
      <c r="B118" s="29" t="n"/>
      <c r="C118" s="29" t="n"/>
      <c r="D118" s="29" t="n"/>
      <c r="E118" s="29" t="n"/>
      <c r="F118" s="29" t="n"/>
      <c r="G118" s="49" t="n"/>
    </row>
    <row r="119" ht="54" customHeight="1">
      <c r="A119" s="29" t="n"/>
      <c r="B119" s="29" t="n"/>
      <c r="C119" s="29" t="n"/>
      <c r="D119" s="29" t="n"/>
      <c r="E119" s="29" t="n"/>
      <c r="F119" s="29" t="n"/>
      <c r="G119" s="49" t="n"/>
    </row>
    <row r="120" ht="54" customHeight="1">
      <c r="A120" s="29" t="n"/>
      <c r="B120" s="29" t="n"/>
      <c r="C120" s="29" t="n"/>
      <c r="D120" s="29" t="n"/>
      <c r="E120" s="29" t="n"/>
      <c r="F120" s="29" t="n"/>
      <c r="G120" s="49" t="n"/>
    </row>
    <row r="121" ht="54" customHeight="1">
      <c r="A121" s="29" t="n"/>
      <c r="B121" s="29" t="n"/>
      <c r="C121" s="29" t="n"/>
      <c r="D121" s="29" t="n"/>
      <c r="E121" s="29" t="n"/>
      <c r="F121" s="29" t="n"/>
      <c r="G121" s="49" t="n"/>
    </row>
    <row r="122" ht="54" customHeight="1">
      <c r="A122" s="29" t="n"/>
      <c r="B122" s="29" t="n"/>
      <c r="C122" s="29" t="n"/>
      <c r="D122" s="29" t="n"/>
      <c r="E122" s="29" t="n"/>
      <c r="F122" s="29" t="n"/>
      <c r="G122" s="49" t="n"/>
    </row>
    <row r="123" ht="54" customHeight="1">
      <c r="A123" s="29" t="n"/>
      <c r="B123" s="29" t="n"/>
      <c r="C123" s="29" t="n"/>
      <c r="D123" s="29" t="n"/>
      <c r="E123" s="29" t="n"/>
      <c r="F123" s="29" t="n"/>
      <c r="G123" s="49" t="n"/>
    </row>
    <row r="124" ht="54" customHeight="1">
      <c r="A124" s="29" t="n"/>
      <c r="B124" s="29" t="n"/>
      <c r="C124" s="29" t="n"/>
      <c r="D124" s="29" t="n"/>
      <c r="E124" s="29" t="n"/>
      <c r="F124" s="29" t="n"/>
      <c r="G124" s="49" t="n"/>
    </row>
    <row r="125" ht="54" customHeight="1">
      <c r="A125" s="29" t="n"/>
      <c r="B125" s="29" t="n"/>
      <c r="C125" s="29" t="n"/>
      <c r="D125" s="29" t="n"/>
      <c r="E125" s="29" t="n"/>
      <c r="F125" s="29" t="n"/>
      <c r="G125" s="49" t="n"/>
    </row>
    <row r="126" ht="54" customHeight="1">
      <c r="A126" s="29" t="n"/>
      <c r="B126" s="29" t="n"/>
      <c r="C126" s="29" t="n"/>
      <c r="D126" s="29" t="n"/>
      <c r="E126" s="29" t="n"/>
      <c r="F126" s="29" t="n"/>
      <c r="G126" s="49" t="n"/>
    </row>
    <row r="127" ht="54" customHeight="1">
      <c r="A127" s="29" t="n"/>
      <c r="B127" s="29" t="n"/>
      <c r="C127" s="29" t="n"/>
      <c r="D127" s="29" t="n"/>
      <c r="E127" s="29" t="n"/>
      <c r="F127" s="29" t="n"/>
      <c r="G127" s="49" t="n"/>
    </row>
  </sheetData>
  <mergeCells count="1">
    <mergeCell ref="A3:G3"/>
  </mergeCells>
  <conditionalFormatting sqref="A8:A127">
    <cfRule type="expression" priority="1" dxfId="1">
      <formula>AND($A8&lt;&gt;"",ISBLANK(A8))</formula>
    </cfRule>
  </conditionalFormatting>
  <conditionalFormatting sqref="B8:B127">
    <cfRule type="expression" priority="2" dxfId="1">
      <formula>AND($A8&lt;&gt;"",ISBLANK(B8))</formula>
    </cfRule>
  </conditionalFormatting>
  <conditionalFormatting sqref="C8:C127">
    <cfRule type="expression" priority="3" dxfId="1">
      <formula>AND($A8&lt;&gt;"",ISBLANK(C8))</formula>
    </cfRule>
  </conditionalFormatting>
  <conditionalFormatting sqref="D8:D127">
    <cfRule type="expression" priority="4" dxfId="1">
      <formula>AND($A8&lt;&gt;"",ISBLANK(D8))</formula>
    </cfRule>
  </conditionalFormatting>
  <conditionalFormatting sqref="E8:E127">
    <cfRule type="expression" priority="5" dxfId="1">
      <formula>AND($A8&lt;&gt;"",ISBLANK(E8))</formula>
    </cfRule>
  </conditionalFormatting>
  <conditionalFormatting sqref="F8:F127">
    <cfRule type="expression" priority="6" dxfId="1">
      <formula>AND($A8&lt;&gt;"",ISBLANK(F8))</formula>
    </cfRule>
  </conditionalFormatting>
  <conditionalFormatting sqref="G8:G127">
    <cfRule type="expression" priority="7" dxfId="1">
      <formula>AND($A8&lt;&gt;"",ISBLANK(G8))</formula>
    </cfRule>
  </conditionalFormatting>
  <dataValidations count="1">
    <dataValidation sqref="E8:E12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G2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32" customWidth="1" min="4" max="4"/>
    <col width="28" customWidth="1" min="5" max="5"/>
    <col width="28" customWidth="1" min="6" max="6"/>
    <col width="58" customWidth="1" min="7" max="7"/>
  </cols>
  <sheetData>
    <row r="1" ht="30" customHeight="1">
      <c r="A1" s="2" t="n"/>
      <c r="B1" s="2" t="n"/>
      <c r="C1" s="2" t="n"/>
      <c r="D1" s="2" t="n"/>
      <c r="E1" s="2" t="n"/>
      <c r="F1" s="2" t="n"/>
      <c r="G1" s="2" t="n"/>
    </row>
    <row r="2" ht="30" customHeight="1">
      <c r="A2" s="19" t="inlineStr">
        <is>
          <t>Corteqs · Ek kart alanları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Detay kimliği</t>
        </is>
      </c>
      <c r="B6" s="25" t="inlineStr">
        <is>
          <t>Şehir kimliği</t>
        </is>
      </c>
      <c r="C6" s="25" t="inlineStr">
        <is>
          <t>İçerik kimliği</t>
        </is>
      </c>
      <c r="D6" s="25" t="inlineStr">
        <is>
          <t>Detay anahtarı</t>
        </is>
      </c>
      <c r="E6" s="25" t="inlineStr">
        <is>
          <t>Türkçe alan açıklaması</t>
        </is>
      </c>
      <c r="F6" s="25" t="inlineStr">
        <is>
          <t>Değer türü</t>
        </is>
      </c>
      <c r="G6" s="25" t="inlineStr">
        <is>
          <t>Alan değeri</t>
        </is>
      </c>
    </row>
    <row r="7" ht="32" customHeight="1">
      <c r="A7" s="28" t="inlineStr">
        <is>
          <t>detail_id</t>
        </is>
      </c>
      <c r="B7" s="28" t="inlineStr">
        <is>
          <t>city_id</t>
        </is>
      </c>
      <c r="C7" s="28" t="inlineStr">
        <is>
          <t>entry_id</t>
        </is>
      </c>
      <c r="D7" s="28" t="inlineStr">
        <is>
          <t>key</t>
        </is>
      </c>
      <c r="E7" s="28" t="inlineStr">
        <is>
          <t>label</t>
        </is>
      </c>
      <c r="F7" s="28" t="inlineStr">
        <is>
          <t>value_type</t>
        </is>
      </c>
      <c r="G7" s="28" t="inlineStr">
        <is>
          <t>value</t>
        </is>
      </c>
    </row>
    <row r="8" ht="54" customHeight="1">
      <c r="A8" s="29" t="n"/>
      <c r="B8" s="29" t="n"/>
      <c r="C8" s="29" t="n"/>
      <c r="D8" s="29" t="n"/>
      <c r="E8" s="29" t="n"/>
      <c r="F8" s="29" t="n"/>
      <c r="G8" s="29" t="n"/>
    </row>
    <row r="9" ht="54" customHeight="1">
      <c r="A9" s="29" t="n"/>
      <c r="B9" s="29" t="n"/>
      <c r="C9" s="29" t="n"/>
      <c r="D9" s="29" t="n"/>
      <c r="E9" s="29" t="n"/>
      <c r="F9" s="29" t="n"/>
      <c r="G9" s="29" t="n"/>
    </row>
    <row r="10" ht="54" customHeight="1">
      <c r="A10" s="29" t="n"/>
      <c r="B10" s="29" t="n"/>
      <c r="C10" s="29" t="n"/>
      <c r="D10" s="29" t="n"/>
      <c r="E10" s="29" t="n"/>
      <c r="F10" s="29" t="n"/>
      <c r="G10" s="29" t="n"/>
    </row>
    <row r="11" ht="54" customHeight="1">
      <c r="A11" s="29" t="n"/>
      <c r="B11" s="29" t="n"/>
      <c r="C11" s="29" t="n"/>
      <c r="D11" s="29" t="n"/>
      <c r="E11" s="29" t="n"/>
      <c r="F11" s="29" t="n"/>
      <c r="G11" s="29" t="n"/>
    </row>
    <row r="12" ht="54" customHeight="1">
      <c r="A12" s="29" t="n"/>
      <c r="B12" s="29" t="n"/>
      <c r="C12" s="29" t="n"/>
      <c r="D12" s="29" t="n"/>
      <c r="E12" s="29" t="n"/>
      <c r="F12" s="29" t="n"/>
      <c r="G12" s="29" t="n"/>
    </row>
    <row r="13" ht="54" customHeight="1">
      <c r="A13" s="29" t="n"/>
      <c r="B13" s="29" t="n"/>
      <c r="C13" s="29" t="n"/>
      <c r="D13" s="29" t="n"/>
      <c r="E13" s="29" t="n"/>
      <c r="F13" s="29" t="n"/>
      <c r="G13" s="29" t="n"/>
    </row>
    <row r="14" ht="54" customHeight="1">
      <c r="A14" s="29" t="n"/>
      <c r="B14" s="29" t="n"/>
      <c r="C14" s="29" t="n"/>
      <c r="D14" s="29" t="n"/>
      <c r="E14" s="29" t="n"/>
      <c r="F14" s="29" t="n"/>
      <c r="G14" s="29" t="n"/>
    </row>
    <row r="15" ht="54" customHeight="1">
      <c r="A15" s="29" t="n"/>
      <c r="B15" s="29" t="n"/>
      <c r="C15" s="29" t="n"/>
      <c r="D15" s="29" t="n"/>
      <c r="E15" s="29" t="n"/>
      <c r="F15" s="29" t="n"/>
      <c r="G15" s="29" t="n"/>
    </row>
    <row r="16" ht="54" customHeight="1">
      <c r="A16" s="29" t="n"/>
      <c r="B16" s="29" t="n"/>
      <c r="C16" s="29" t="n"/>
      <c r="D16" s="29" t="n"/>
      <c r="E16" s="29" t="n"/>
      <c r="F16" s="29" t="n"/>
      <c r="G16" s="29" t="n"/>
    </row>
    <row r="17" ht="54" customHeight="1">
      <c r="A17" s="29" t="n"/>
      <c r="B17" s="29" t="n"/>
      <c r="C17" s="29" t="n"/>
      <c r="D17" s="29" t="n"/>
      <c r="E17" s="29" t="n"/>
      <c r="F17" s="29" t="n"/>
      <c r="G17" s="29" t="n"/>
    </row>
    <row r="18" ht="54" customHeight="1">
      <c r="A18" s="29" t="n"/>
      <c r="B18" s="29" t="n"/>
      <c r="C18" s="29" t="n"/>
      <c r="D18" s="29" t="n"/>
      <c r="E18" s="29" t="n"/>
      <c r="F18" s="29" t="n"/>
      <c r="G18" s="29" t="n"/>
    </row>
    <row r="19" ht="54" customHeight="1">
      <c r="A19" s="29" t="n"/>
      <c r="B19" s="29" t="n"/>
      <c r="C19" s="29" t="n"/>
      <c r="D19" s="29" t="n"/>
      <c r="E19" s="29" t="n"/>
      <c r="F19" s="29" t="n"/>
      <c r="G19" s="29" t="n"/>
    </row>
    <row r="20" ht="54" customHeight="1">
      <c r="A20" s="29" t="n"/>
      <c r="B20" s="29" t="n"/>
      <c r="C20" s="29" t="n"/>
      <c r="D20" s="29" t="n"/>
      <c r="E20" s="29" t="n"/>
      <c r="F20" s="29" t="n"/>
      <c r="G20" s="29" t="n"/>
    </row>
    <row r="21" ht="54" customHeight="1">
      <c r="A21" s="29" t="n"/>
      <c r="B21" s="29" t="n"/>
      <c r="C21" s="29" t="n"/>
      <c r="D21" s="29" t="n"/>
      <c r="E21" s="29" t="n"/>
      <c r="F21" s="29" t="n"/>
      <c r="G21" s="29" t="n"/>
    </row>
    <row r="22" ht="54" customHeight="1">
      <c r="A22" s="29" t="n"/>
      <c r="B22" s="29" t="n"/>
      <c r="C22" s="29" t="n"/>
      <c r="D22" s="29" t="n"/>
      <c r="E22" s="29" t="n"/>
      <c r="F22" s="29" t="n"/>
      <c r="G22" s="29" t="n"/>
    </row>
    <row r="23" ht="54" customHeight="1">
      <c r="A23" s="29" t="n"/>
      <c r="B23" s="29" t="n"/>
      <c r="C23" s="29" t="n"/>
      <c r="D23" s="29" t="n"/>
      <c r="E23" s="29" t="n"/>
      <c r="F23" s="29" t="n"/>
      <c r="G23" s="29" t="n"/>
    </row>
    <row r="24" ht="54" customHeight="1">
      <c r="A24" s="29" t="n"/>
      <c r="B24" s="29" t="n"/>
      <c r="C24" s="29" t="n"/>
      <c r="D24" s="29" t="n"/>
      <c r="E24" s="29" t="n"/>
      <c r="F24" s="29" t="n"/>
      <c r="G24" s="29" t="n"/>
    </row>
    <row r="25" ht="54" customHeight="1">
      <c r="A25" s="29" t="n"/>
      <c r="B25" s="29" t="n"/>
      <c r="C25" s="29" t="n"/>
      <c r="D25" s="29" t="n"/>
      <c r="E25" s="29" t="n"/>
      <c r="F25" s="29" t="n"/>
      <c r="G25" s="29" t="n"/>
    </row>
    <row r="26" ht="54" customHeight="1">
      <c r="A26" s="29" t="n"/>
      <c r="B26" s="29" t="n"/>
      <c r="C26" s="29" t="n"/>
      <c r="D26" s="29" t="n"/>
      <c r="E26" s="29" t="n"/>
      <c r="F26" s="29" t="n"/>
      <c r="G26" s="29" t="n"/>
    </row>
    <row r="27" ht="54" customHeight="1">
      <c r="A27" s="29" t="n"/>
      <c r="B27" s="29" t="n"/>
      <c r="C27" s="29" t="n"/>
      <c r="D27" s="29" t="n"/>
      <c r="E27" s="29" t="n"/>
      <c r="F27" s="29" t="n"/>
      <c r="G27" s="29" t="n"/>
    </row>
    <row r="28" ht="54" customHeight="1">
      <c r="A28" s="29" t="n"/>
      <c r="B28" s="29" t="n"/>
      <c r="C28" s="29" t="n"/>
      <c r="D28" s="29" t="n"/>
      <c r="E28" s="29" t="n"/>
      <c r="F28" s="29" t="n"/>
      <c r="G28" s="29" t="n"/>
    </row>
    <row r="29" ht="54" customHeight="1">
      <c r="A29" s="29" t="n"/>
      <c r="B29" s="29" t="n"/>
      <c r="C29" s="29" t="n"/>
      <c r="D29" s="29" t="n"/>
      <c r="E29" s="29" t="n"/>
      <c r="F29" s="29" t="n"/>
      <c r="G29" s="29" t="n"/>
    </row>
    <row r="30" ht="54" customHeight="1">
      <c r="A30" s="29" t="n"/>
      <c r="B30" s="29" t="n"/>
      <c r="C30" s="29" t="n"/>
      <c r="D30" s="29" t="n"/>
      <c r="E30" s="29" t="n"/>
      <c r="F30" s="29" t="n"/>
      <c r="G30" s="29" t="n"/>
    </row>
    <row r="31" ht="54" customHeight="1">
      <c r="A31" s="29" t="n"/>
      <c r="B31" s="29" t="n"/>
      <c r="C31" s="29" t="n"/>
      <c r="D31" s="29" t="n"/>
      <c r="E31" s="29" t="n"/>
      <c r="F31" s="29" t="n"/>
      <c r="G31" s="29" t="n"/>
    </row>
    <row r="32" ht="54" customHeight="1">
      <c r="A32" s="29" t="n"/>
      <c r="B32" s="29" t="n"/>
      <c r="C32" s="29" t="n"/>
      <c r="D32" s="29" t="n"/>
      <c r="E32" s="29" t="n"/>
      <c r="F32" s="29" t="n"/>
      <c r="G32" s="29" t="n"/>
    </row>
    <row r="33" ht="54" customHeight="1">
      <c r="A33" s="29" t="n"/>
      <c r="B33" s="29" t="n"/>
      <c r="C33" s="29" t="n"/>
      <c r="D33" s="29" t="n"/>
      <c r="E33" s="29" t="n"/>
      <c r="F33" s="29" t="n"/>
      <c r="G33" s="29" t="n"/>
    </row>
    <row r="34" ht="54" customHeight="1">
      <c r="A34" s="29" t="n"/>
      <c r="B34" s="29" t="n"/>
      <c r="C34" s="29" t="n"/>
      <c r="D34" s="29" t="n"/>
      <c r="E34" s="29" t="n"/>
      <c r="F34" s="29" t="n"/>
      <c r="G34" s="29" t="n"/>
    </row>
    <row r="35" ht="54" customHeight="1">
      <c r="A35" s="29" t="n"/>
      <c r="B35" s="29" t="n"/>
      <c r="C35" s="29" t="n"/>
      <c r="D35" s="29" t="n"/>
      <c r="E35" s="29" t="n"/>
      <c r="F35" s="29" t="n"/>
      <c r="G35" s="29" t="n"/>
    </row>
    <row r="36" ht="54" customHeight="1">
      <c r="A36" s="29" t="n"/>
      <c r="B36" s="29" t="n"/>
      <c r="C36" s="29" t="n"/>
      <c r="D36" s="29" t="n"/>
      <c r="E36" s="29" t="n"/>
      <c r="F36" s="29" t="n"/>
      <c r="G36" s="29" t="n"/>
    </row>
    <row r="37" ht="54" customHeight="1">
      <c r="A37" s="29" t="n"/>
      <c r="B37" s="29" t="n"/>
      <c r="C37" s="29" t="n"/>
      <c r="D37" s="29" t="n"/>
      <c r="E37" s="29" t="n"/>
      <c r="F37" s="29" t="n"/>
      <c r="G37" s="29" t="n"/>
    </row>
    <row r="38" ht="54" customHeight="1">
      <c r="A38" s="29" t="n"/>
      <c r="B38" s="29" t="n"/>
      <c r="C38" s="29" t="n"/>
      <c r="D38" s="29" t="n"/>
      <c r="E38" s="29" t="n"/>
      <c r="F38" s="29" t="n"/>
      <c r="G38" s="29" t="n"/>
    </row>
    <row r="39" ht="54" customHeight="1">
      <c r="A39" s="29" t="n"/>
      <c r="B39" s="29" t="n"/>
      <c r="C39" s="29" t="n"/>
      <c r="D39" s="29" t="n"/>
      <c r="E39" s="29" t="n"/>
      <c r="F39" s="29" t="n"/>
      <c r="G39" s="29" t="n"/>
    </row>
    <row r="40" ht="54" customHeight="1">
      <c r="A40" s="29" t="n"/>
      <c r="B40" s="29" t="n"/>
      <c r="C40" s="29" t="n"/>
      <c r="D40" s="29" t="n"/>
      <c r="E40" s="29" t="n"/>
      <c r="F40" s="29" t="n"/>
      <c r="G40" s="29" t="n"/>
    </row>
    <row r="41" ht="54" customHeight="1">
      <c r="A41" s="29" t="n"/>
      <c r="B41" s="29" t="n"/>
      <c r="C41" s="29" t="n"/>
      <c r="D41" s="29" t="n"/>
      <c r="E41" s="29" t="n"/>
      <c r="F41" s="29" t="n"/>
      <c r="G41" s="29" t="n"/>
    </row>
    <row r="42" ht="54" customHeight="1">
      <c r="A42" s="29" t="n"/>
      <c r="B42" s="29" t="n"/>
      <c r="C42" s="29" t="n"/>
      <c r="D42" s="29" t="n"/>
      <c r="E42" s="29" t="n"/>
      <c r="F42" s="29" t="n"/>
      <c r="G42" s="29" t="n"/>
    </row>
    <row r="43" ht="54" customHeight="1">
      <c r="A43" s="29" t="n"/>
      <c r="B43" s="29" t="n"/>
      <c r="C43" s="29" t="n"/>
      <c r="D43" s="29" t="n"/>
      <c r="E43" s="29" t="n"/>
      <c r="F43" s="29" t="n"/>
      <c r="G43" s="29" t="n"/>
    </row>
    <row r="44" ht="54" customHeight="1">
      <c r="A44" s="29" t="n"/>
      <c r="B44" s="29" t="n"/>
      <c r="C44" s="29" t="n"/>
      <c r="D44" s="29" t="n"/>
      <c r="E44" s="29" t="n"/>
      <c r="F44" s="29" t="n"/>
      <c r="G44" s="29" t="n"/>
    </row>
    <row r="45" ht="54" customHeight="1">
      <c r="A45" s="29" t="n"/>
      <c r="B45" s="29" t="n"/>
      <c r="C45" s="29" t="n"/>
      <c r="D45" s="29" t="n"/>
      <c r="E45" s="29" t="n"/>
      <c r="F45" s="29" t="n"/>
      <c r="G45" s="29" t="n"/>
    </row>
    <row r="46" ht="54" customHeight="1">
      <c r="A46" s="29" t="n"/>
      <c r="B46" s="29" t="n"/>
      <c r="C46" s="29" t="n"/>
      <c r="D46" s="29" t="n"/>
      <c r="E46" s="29" t="n"/>
      <c r="F46" s="29" t="n"/>
      <c r="G46" s="29" t="n"/>
    </row>
    <row r="47" ht="54" customHeight="1">
      <c r="A47" s="29" t="n"/>
      <c r="B47" s="29" t="n"/>
      <c r="C47" s="29" t="n"/>
      <c r="D47" s="29" t="n"/>
      <c r="E47" s="29" t="n"/>
      <c r="F47" s="29" t="n"/>
      <c r="G47" s="29" t="n"/>
    </row>
    <row r="48" ht="54" customHeight="1">
      <c r="A48" s="29" t="n"/>
      <c r="B48" s="29" t="n"/>
      <c r="C48" s="29" t="n"/>
      <c r="D48" s="29" t="n"/>
      <c r="E48" s="29" t="n"/>
      <c r="F48" s="29" t="n"/>
      <c r="G48" s="29" t="n"/>
    </row>
    <row r="49" ht="54" customHeight="1">
      <c r="A49" s="29" t="n"/>
      <c r="B49" s="29" t="n"/>
      <c r="C49" s="29" t="n"/>
      <c r="D49" s="29" t="n"/>
      <c r="E49" s="29" t="n"/>
      <c r="F49" s="29" t="n"/>
      <c r="G49" s="29" t="n"/>
    </row>
    <row r="50" ht="54" customHeight="1">
      <c r="A50" s="29" t="n"/>
      <c r="B50" s="29" t="n"/>
      <c r="C50" s="29" t="n"/>
      <c r="D50" s="29" t="n"/>
      <c r="E50" s="29" t="n"/>
      <c r="F50" s="29" t="n"/>
      <c r="G50" s="29" t="n"/>
    </row>
    <row r="51" ht="54" customHeight="1">
      <c r="A51" s="29" t="n"/>
      <c r="B51" s="29" t="n"/>
      <c r="C51" s="29" t="n"/>
      <c r="D51" s="29" t="n"/>
      <c r="E51" s="29" t="n"/>
      <c r="F51" s="29" t="n"/>
      <c r="G51" s="29" t="n"/>
    </row>
    <row r="52" ht="54" customHeight="1">
      <c r="A52" s="29" t="n"/>
      <c r="B52" s="29" t="n"/>
      <c r="C52" s="29" t="n"/>
      <c r="D52" s="29" t="n"/>
      <c r="E52" s="29" t="n"/>
      <c r="F52" s="29" t="n"/>
      <c r="G52" s="29" t="n"/>
    </row>
    <row r="53" ht="54" customHeight="1">
      <c r="A53" s="29" t="n"/>
      <c r="B53" s="29" t="n"/>
      <c r="C53" s="29" t="n"/>
      <c r="D53" s="29" t="n"/>
      <c r="E53" s="29" t="n"/>
      <c r="F53" s="29" t="n"/>
      <c r="G53" s="29" t="n"/>
    </row>
    <row r="54" ht="54" customHeight="1">
      <c r="A54" s="29" t="n"/>
      <c r="B54" s="29" t="n"/>
      <c r="C54" s="29" t="n"/>
      <c r="D54" s="29" t="n"/>
      <c r="E54" s="29" t="n"/>
      <c r="F54" s="29" t="n"/>
      <c r="G54" s="29" t="n"/>
    </row>
    <row r="55" ht="54" customHeight="1">
      <c r="A55" s="29" t="n"/>
      <c r="B55" s="29" t="n"/>
      <c r="C55" s="29" t="n"/>
      <c r="D55" s="29" t="n"/>
      <c r="E55" s="29" t="n"/>
      <c r="F55" s="29" t="n"/>
      <c r="G55" s="29" t="n"/>
    </row>
    <row r="56" ht="54" customHeight="1">
      <c r="A56" s="29" t="n"/>
      <c r="B56" s="29" t="n"/>
      <c r="C56" s="29" t="n"/>
      <c r="D56" s="29" t="n"/>
      <c r="E56" s="29" t="n"/>
      <c r="F56" s="29" t="n"/>
      <c r="G56" s="29" t="n"/>
    </row>
    <row r="57" ht="54" customHeight="1">
      <c r="A57" s="29" t="n"/>
      <c r="B57" s="29" t="n"/>
      <c r="C57" s="29" t="n"/>
      <c r="D57" s="29" t="n"/>
      <c r="E57" s="29" t="n"/>
      <c r="F57" s="29" t="n"/>
      <c r="G57" s="29" t="n"/>
    </row>
    <row r="58" ht="54" customHeight="1">
      <c r="A58" s="29" t="n"/>
      <c r="B58" s="29" t="n"/>
      <c r="C58" s="29" t="n"/>
      <c r="D58" s="29" t="n"/>
      <c r="E58" s="29" t="n"/>
      <c r="F58" s="29" t="n"/>
      <c r="G58" s="29" t="n"/>
    </row>
    <row r="59" ht="54" customHeight="1">
      <c r="A59" s="29" t="n"/>
      <c r="B59" s="29" t="n"/>
      <c r="C59" s="29" t="n"/>
      <c r="D59" s="29" t="n"/>
      <c r="E59" s="29" t="n"/>
      <c r="F59" s="29" t="n"/>
      <c r="G59" s="29" t="n"/>
    </row>
    <row r="60" ht="54" customHeight="1">
      <c r="A60" s="29" t="n"/>
      <c r="B60" s="29" t="n"/>
      <c r="C60" s="29" t="n"/>
      <c r="D60" s="29" t="n"/>
      <c r="E60" s="29" t="n"/>
      <c r="F60" s="29" t="n"/>
      <c r="G60" s="29" t="n"/>
    </row>
    <row r="61" ht="54" customHeight="1">
      <c r="A61" s="29" t="n"/>
      <c r="B61" s="29" t="n"/>
      <c r="C61" s="29" t="n"/>
      <c r="D61" s="29" t="n"/>
      <c r="E61" s="29" t="n"/>
      <c r="F61" s="29" t="n"/>
      <c r="G61" s="29" t="n"/>
    </row>
    <row r="62" ht="54" customHeight="1">
      <c r="A62" s="29" t="n"/>
      <c r="B62" s="29" t="n"/>
      <c r="C62" s="29" t="n"/>
      <c r="D62" s="29" t="n"/>
      <c r="E62" s="29" t="n"/>
      <c r="F62" s="29" t="n"/>
      <c r="G62" s="29" t="n"/>
    </row>
    <row r="63" ht="54" customHeight="1">
      <c r="A63" s="29" t="n"/>
      <c r="B63" s="29" t="n"/>
      <c r="C63" s="29" t="n"/>
      <c r="D63" s="29" t="n"/>
      <c r="E63" s="29" t="n"/>
      <c r="F63" s="29" t="n"/>
      <c r="G63" s="29" t="n"/>
    </row>
    <row r="64" ht="54" customHeight="1">
      <c r="A64" s="29" t="n"/>
      <c r="B64" s="29" t="n"/>
      <c r="C64" s="29" t="n"/>
      <c r="D64" s="29" t="n"/>
      <c r="E64" s="29" t="n"/>
      <c r="F64" s="29" t="n"/>
      <c r="G64" s="29" t="n"/>
    </row>
    <row r="65" ht="54" customHeight="1">
      <c r="A65" s="29" t="n"/>
      <c r="B65" s="29" t="n"/>
      <c r="C65" s="29" t="n"/>
      <c r="D65" s="29" t="n"/>
      <c r="E65" s="29" t="n"/>
      <c r="F65" s="29" t="n"/>
      <c r="G65" s="29" t="n"/>
    </row>
    <row r="66" ht="54" customHeight="1">
      <c r="A66" s="29" t="n"/>
      <c r="B66" s="29" t="n"/>
      <c r="C66" s="29" t="n"/>
      <c r="D66" s="29" t="n"/>
      <c r="E66" s="29" t="n"/>
      <c r="F66" s="29" t="n"/>
      <c r="G66" s="29" t="n"/>
    </row>
    <row r="67" ht="54" customHeight="1">
      <c r="A67" s="29" t="n"/>
      <c r="B67" s="29" t="n"/>
      <c r="C67" s="29" t="n"/>
      <c r="D67" s="29" t="n"/>
      <c r="E67" s="29" t="n"/>
      <c r="F67" s="29" t="n"/>
      <c r="G67" s="29" t="n"/>
    </row>
    <row r="68" ht="54" customHeight="1">
      <c r="A68" s="29" t="n"/>
      <c r="B68" s="29" t="n"/>
      <c r="C68" s="29" t="n"/>
      <c r="D68" s="29" t="n"/>
      <c r="E68" s="29" t="n"/>
      <c r="F68" s="29" t="n"/>
      <c r="G68" s="29" t="n"/>
    </row>
    <row r="69" ht="54" customHeight="1">
      <c r="A69" s="29" t="n"/>
      <c r="B69" s="29" t="n"/>
      <c r="C69" s="29" t="n"/>
      <c r="D69" s="29" t="n"/>
      <c r="E69" s="29" t="n"/>
      <c r="F69" s="29" t="n"/>
      <c r="G69" s="29" t="n"/>
    </row>
    <row r="70" ht="54" customHeight="1">
      <c r="A70" s="29" t="n"/>
      <c r="B70" s="29" t="n"/>
      <c r="C70" s="29" t="n"/>
      <c r="D70" s="29" t="n"/>
      <c r="E70" s="29" t="n"/>
      <c r="F70" s="29" t="n"/>
      <c r="G70" s="29" t="n"/>
    </row>
    <row r="71" ht="54" customHeight="1">
      <c r="A71" s="29" t="n"/>
      <c r="B71" s="29" t="n"/>
      <c r="C71" s="29" t="n"/>
      <c r="D71" s="29" t="n"/>
      <c r="E71" s="29" t="n"/>
      <c r="F71" s="29" t="n"/>
      <c r="G71" s="29" t="n"/>
    </row>
    <row r="72" ht="54" customHeight="1">
      <c r="A72" s="29" t="n"/>
      <c r="B72" s="29" t="n"/>
      <c r="C72" s="29" t="n"/>
      <c r="D72" s="29" t="n"/>
      <c r="E72" s="29" t="n"/>
      <c r="F72" s="29" t="n"/>
      <c r="G72" s="29" t="n"/>
    </row>
    <row r="73" ht="54" customHeight="1">
      <c r="A73" s="29" t="n"/>
      <c r="B73" s="29" t="n"/>
      <c r="C73" s="29" t="n"/>
      <c r="D73" s="29" t="n"/>
      <c r="E73" s="29" t="n"/>
      <c r="F73" s="29" t="n"/>
      <c r="G73" s="29" t="n"/>
    </row>
    <row r="74" ht="54" customHeight="1">
      <c r="A74" s="29" t="n"/>
      <c r="B74" s="29" t="n"/>
      <c r="C74" s="29" t="n"/>
      <c r="D74" s="29" t="n"/>
      <c r="E74" s="29" t="n"/>
      <c r="F74" s="29" t="n"/>
      <c r="G74" s="29" t="n"/>
    </row>
    <row r="75" ht="54" customHeight="1">
      <c r="A75" s="29" t="n"/>
      <c r="B75" s="29" t="n"/>
      <c r="C75" s="29" t="n"/>
      <c r="D75" s="29" t="n"/>
      <c r="E75" s="29" t="n"/>
      <c r="F75" s="29" t="n"/>
      <c r="G75" s="29" t="n"/>
    </row>
    <row r="76" ht="54" customHeight="1">
      <c r="A76" s="29" t="n"/>
      <c r="B76" s="29" t="n"/>
      <c r="C76" s="29" t="n"/>
      <c r="D76" s="29" t="n"/>
      <c r="E76" s="29" t="n"/>
      <c r="F76" s="29" t="n"/>
      <c r="G76" s="29" t="n"/>
    </row>
    <row r="77" ht="54" customHeight="1">
      <c r="A77" s="29" t="n"/>
      <c r="B77" s="29" t="n"/>
      <c r="C77" s="29" t="n"/>
      <c r="D77" s="29" t="n"/>
      <c r="E77" s="29" t="n"/>
      <c r="F77" s="29" t="n"/>
      <c r="G77" s="29" t="n"/>
    </row>
    <row r="78" ht="54" customHeight="1">
      <c r="A78" s="29" t="n"/>
      <c r="B78" s="29" t="n"/>
      <c r="C78" s="29" t="n"/>
      <c r="D78" s="29" t="n"/>
      <c r="E78" s="29" t="n"/>
      <c r="F78" s="29" t="n"/>
      <c r="G78" s="29" t="n"/>
    </row>
    <row r="79" ht="54" customHeight="1">
      <c r="A79" s="29" t="n"/>
      <c r="B79" s="29" t="n"/>
      <c r="C79" s="29" t="n"/>
      <c r="D79" s="29" t="n"/>
      <c r="E79" s="29" t="n"/>
      <c r="F79" s="29" t="n"/>
      <c r="G79" s="29" t="n"/>
    </row>
    <row r="80" ht="54" customHeight="1">
      <c r="A80" s="29" t="n"/>
      <c r="B80" s="29" t="n"/>
      <c r="C80" s="29" t="n"/>
      <c r="D80" s="29" t="n"/>
      <c r="E80" s="29" t="n"/>
      <c r="F80" s="29" t="n"/>
      <c r="G80" s="29" t="n"/>
    </row>
    <row r="81" ht="54" customHeight="1">
      <c r="A81" s="29" t="n"/>
      <c r="B81" s="29" t="n"/>
      <c r="C81" s="29" t="n"/>
      <c r="D81" s="29" t="n"/>
      <c r="E81" s="29" t="n"/>
      <c r="F81" s="29" t="n"/>
      <c r="G81" s="29" t="n"/>
    </row>
    <row r="82" ht="54" customHeight="1">
      <c r="A82" s="29" t="n"/>
      <c r="B82" s="29" t="n"/>
      <c r="C82" s="29" t="n"/>
      <c r="D82" s="29" t="n"/>
      <c r="E82" s="29" t="n"/>
      <c r="F82" s="29" t="n"/>
      <c r="G82" s="29" t="n"/>
    </row>
    <row r="83" ht="54" customHeight="1">
      <c r="A83" s="29" t="n"/>
      <c r="B83" s="29" t="n"/>
      <c r="C83" s="29" t="n"/>
      <c r="D83" s="29" t="n"/>
      <c r="E83" s="29" t="n"/>
      <c r="F83" s="29" t="n"/>
      <c r="G83" s="29" t="n"/>
    </row>
    <row r="84" ht="54" customHeight="1">
      <c r="A84" s="29" t="n"/>
      <c r="B84" s="29" t="n"/>
      <c r="C84" s="29" t="n"/>
      <c r="D84" s="29" t="n"/>
      <c r="E84" s="29" t="n"/>
      <c r="F84" s="29" t="n"/>
      <c r="G84" s="29" t="n"/>
    </row>
    <row r="85" ht="54" customHeight="1">
      <c r="A85" s="29" t="n"/>
      <c r="B85" s="29" t="n"/>
      <c r="C85" s="29" t="n"/>
      <c r="D85" s="29" t="n"/>
      <c r="E85" s="29" t="n"/>
      <c r="F85" s="29" t="n"/>
      <c r="G85" s="29" t="n"/>
    </row>
    <row r="86" ht="54" customHeight="1">
      <c r="A86" s="29" t="n"/>
      <c r="B86" s="29" t="n"/>
      <c r="C86" s="29" t="n"/>
      <c r="D86" s="29" t="n"/>
      <c r="E86" s="29" t="n"/>
      <c r="F86" s="29" t="n"/>
      <c r="G86" s="29" t="n"/>
    </row>
    <row r="87" ht="54" customHeight="1">
      <c r="A87" s="29" t="n"/>
      <c r="B87" s="29" t="n"/>
      <c r="C87" s="29" t="n"/>
      <c r="D87" s="29" t="n"/>
      <c r="E87" s="29" t="n"/>
      <c r="F87" s="29" t="n"/>
      <c r="G87" s="29" t="n"/>
    </row>
    <row r="88" ht="54" customHeight="1">
      <c r="A88" s="29" t="n"/>
      <c r="B88" s="29" t="n"/>
      <c r="C88" s="29" t="n"/>
      <c r="D88" s="29" t="n"/>
      <c r="E88" s="29" t="n"/>
      <c r="F88" s="29" t="n"/>
      <c r="G88" s="29" t="n"/>
    </row>
    <row r="89" ht="54" customHeight="1">
      <c r="A89" s="29" t="n"/>
      <c r="B89" s="29" t="n"/>
      <c r="C89" s="29" t="n"/>
      <c r="D89" s="29" t="n"/>
      <c r="E89" s="29" t="n"/>
      <c r="F89" s="29" t="n"/>
      <c r="G89" s="29" t="n"/>
    </row>
    <row r="90" ht="54" customHeight="1">
      <c r="A90" s="29" t="n"/>
      <c r="B90" s="29" t="n"/>
      <c r="C90" s="29" t="n"/>
      <c r="D90" s="29" t="n"/>
      <c r="E90" s="29" t="n"/>
      <c r="F90" s="29" t="n"/>
      <c r="G90" s="29" t="n"/>
    </row>
    <row r="91" ht="54" customHeight="1">
      <c r="A91" s="29" t="n"/>
      <c r="B91" s="29" t="n"/>
      <c r="C91" s="29" t="n"/>
      <c r="D91" s="29" t="n"/>
      <c r="E91" s="29" t="n"/>
      <c r="F91" s="29" t="n"/>
      <c r="G91" s="29" t="n"/>
    </row>
    <row r="92" ht="54" customHeight="1">
      <c r="A92" s="29" t="n"/>
      <c r="B92" s="29" t="n"/>
      <c r="C92" s="29" t="n"/>
      <c r="D92" s="29" t="n"/>
      <c r="E92" s="29" t="n"/>
      <c r="F92" s="29" t="n"/>
      <c r="G92" s="29" t="n"/>
    </row>
    <row r="93" ht="54" customHeight="1">
      <c r="A93" s="29" t="n"/>
      <c r="B93" s="29" t="n"/>
      <c r="C93" s="29" t="n"/>
      <c r="D93" s="29" t="n"/>
      <c r="E93" s="29" t="n"/>
      <c r="F93" s="29" t="n"/>
      <c r="G93" s="29" t="n"/>
    </row>
    <row r="94" ht="54" customHeight="1">
      <c r="A94" s="29" t="n"/>
      <c r="B94" s="29" t="n"/>
      <c r="C94" s="29" t="n"/>
      <c r="D94" s="29" t="n"/>
      <c r="E94" s="29" t="n"/>
      <c r="F94" s="29" t="n"/>
      <c r="G94" s="29" t="n"/>
    </row>
    <row r="95" ht="54" customHeight="1">
      <c r="A95" s="29" t="n"/>
      <c r="B95" s="29" t="n"/>
      <c r="C95" s="29" t="n"/>
      <c r="D95" s="29" t="n"/>
      <c r="E95" s="29" t="n"/>
      <c r="F95" s="29" t="n"/>
      <c r="G95" s="29" t="n"/>
    </row>
    <row r="96" ht="54" customHeight="1">
      <c r="A96" s="29" t="n"/>
      <c r="B96" s="29" t="n"/>
      <c r="C96" s="29" t="n"/>
      <c r="D96" s="29" t="n"/>
      <c r="E96" s="29" t="n"/>
      <c r="F96" s="29" t="n"/>
      <c r="G96" s="29" t="n"/>
    </row>
    <row r="97" ht="54" customHeight="1">
      <c r="A97" s="29" t="n"/>
      <c r="B97" s="29" t="n"/>
      <c r="C97" s="29" t="n"/>
      <c r="D97" s="29" t="n"/>
      <c r="E97" s="29" t="n"/>
      <c r="F97" s="29" t="n"/>
      <c r="G97" s="29" t="n"/>
    </row>
    <row r="98" ht="54" customHeight="1">
      <c r="A98" s="29" t="n"/>
      <c r="B98" s="29" t="n"/>
      <c r="C98" s="29" t="n"/>
      <c r="D98" s="29" t="n"/>
      <c r="E98" s="29" t="n"/>
      <c r="F98" s="29" t="n"/>
      <c r="G98" s="29" t="n"/>
    </row>
    <row r="99" ht="54" customHeight="1">
      <c r="A99" s="29" t="n"/>
      <c r="B99" s="29" t="n"/>
      <c r="C99" s="29" t="n"/>
      <c r="D99" s="29" t="n"/>
      <c r="E99" s="29" t="n"/>
      <c r="F99" s="29" t="n"/>
      <c r="G99" s="29" t="n"/>
    </row>
    <row r="100" ht="54" customHeight="1">
      <c r="A100" s="29" t="n"/>
      <c r="B100" s="29" t="n"/>
      <c r="C100" s="29" t="n"/>
      <c r="D100" s="29" t="n"/>
      <c r="E100" s="29" t="n"/>
      <c r="F100" s="29" t="n"/>
      <c r="G100" s="29" t="n"/>
    </row>
    <row r="101" ht="54" customHeight="1">
      <c r="A101" s="29" t="n"/>
      <c r="B101" s="29" t="n"/>
      <c r="C101" s="29" t="n"/>
      <c r="D101" s="29" t="n"/>
      <c r="E101" s="29" t="n"/>
      <c r="F101" s="29" t="n"/>
      <c r="G101" s="29" t="n"/>
    </row>
    <row r="102" ht="54" customHeight="1">
      <c r="A102" s="29" t="n"/>
      <c r="B102" s="29" t="n"/>
      <c r="C102" s="29" t="n"/>
      <c r="D102" s="29" t="n"/>
      <c r="E102" s="29" t="n"/>
      <c r="F102" s="29" t="n"/>
      <c r="G102" s="29" t="n"/>
    </row>
    <row r="103" ht="54" customHeight="1">
      <c r="A103" s="29" t="n"/>
      <c r="B103" s="29" t="n"/>
      <c r="C103" s="29" t="n"/>
      <c r="D103" s="29" t="n"/>
      <c r="E103" s="29" t="n"/>
      <c r="F103" s="29" t="n"/>
      <c r="G103" s="29" t="n"/>
    </row>
    <row r="104" ht="54" customHeight="1">
      <c r="A104" s="29" t="n"/>
      <c r="B104" s="29" t="n"/>
      <c r="C104" s="29" t="n"/>
      <c r="D104" s="29" t="n"/>
      <c r="E104" s="29" t="n"/>
      <c r="F104" s="29" t="n"/>
      <c r="G104" s="29" t="n"/>
    </row>
    <row r="105" ht="54" customHeight="1">
      <c r="A105" s="29" t="n"/>
      <c r="B105" s="29" t="n"/>
      <c r="C105" s="29" t="n"/>
      <c r="D105" s="29" t="n"/>
      <c r="E105" s="29" t="n"/>
      <c r="F105" s="29" t="n"/>
      <c r="G105" s="29" t="n"/>
    </row>
    <row r="106" ht="54" customHeight="1">
      <c r="A106" s="29" t="n"/>
      <c r="B106" s="29" t="n"/>
      <c r="C106" s="29" t="n"/>
      <c r="D106" s="29" t="n"/>
      <c r="E106" s="29" t="n"/>
      <c r="F106" s="29" t="n"/>
      <c r="G106" s="29" t="n"/>
    </row>
    <row r="107" ht="54" customHeight="1">
      <c r="A107" s="29" t="n"/>
      <c r="B107" s="29" t="n"/>
      <c r="C107" s="29" t="n"/>
      <c r="D107" s="29" t="n"/>
      <c r="E107" s="29" t="n"/>
      <c r="F107" s="29" t="n"/>
      <c r="G107" s="29" t="n"/>
    </row>
    <row r="108" ht="54" customHeight="1">
      <c r="A108" s="29" t="n"/>
      <c r="B108" s="29" t="n"/>
      <c r="C108" s="29" t="n"/>
      <c r="D108" s="29" t="n"/>
      <c r="E108" s="29" t="n"/>
      <c r="F108" s="29" t="n"/>
      <c r="G108" s="29" t="n"/>
    </row>
    <row r="109" ht="54" customHeight="1">
      <c r="A109" s="29" t="n"/>
      <c r="B109" s="29" t="n"/>
      <c r="C109" s="29" t="n"/>
      <c r="D109" s="29" t="n"/>
      <c r="E109" s="29" t="n"/>
      <c r="F109" s="29" t="n"/>
      <c r="G109" s="29" t="n"/>
    </row>
    <row r="110" ht="54" customHeight="1">
      <c r="A110" s="29" t="n"/>
      <c r="B110" s="29" t="n"/>
      <c r="C110" s="29" t="n"/>
      <c r="D110" s="29" t="n"/>
      <c r="E110" s="29" t="n"/>
      <c r="F110" s="29" t="n"/>
      <c r="G110" s="29" t="n"/>
    </row>
    <row r="111" ht="54" customHeight="1">
      <c r="A111" s="29" t="n"/>
      <c r="B111" s="29" t="n"/>
      <c r="C111" s="29" t="n"/>
      <c r="D111" s="29" t="n"/>
      <c r="E111" s="29" t="n"/>
      <c r="F111" s="29" t="n"/>
      <c r="G111" s="29" t="n"/>
    </row>
    <row r="112" ht="54" customHeight="1">
      <c r="A112" s="29" t="n"/>
      <c r="B112" s="29" t="n"/>
      <c r="C112" s="29" t="n"/>
      <c r="D112" s="29" t="n"/>
      <c r="E112" s="29" t="n"/>
      <c r="F112" s="29" t="n"/>
      <c r="G112" s="29" t="n"/>
    </row>
    <row r="113" ht="54" customHeight="1">
      <c r="A113" s="29" t="n"/>
      <c r="B113" s="29" t="n"/>
      <c r="C113" s="29" t="n"/>
      <c r="D113" s="29" t="n"/>
      <c r="E113" s="29" t="n"/>
      <c r="F113" s="29" t="n"/>
      <c r="G113" s="29" t="n"/>
    </row>
    <row r="114" ht="54" customHeight="1">
      <c r="A114" s="29" t="n"/>
      <c r="B114" s="29" t="n"/>
      <c r="C114" s="29" t="n"/>
      <c r="D114" s="29" t="n"/>
      <c r="E114" s="29" t="n"/>
      <c r="F114" s="29" t="n"/>
      <c r="G114" s="29" t="n"/>
    </row>
    <row r="115" ht="54" customHeight="1">
      <c r="A115" s="29" t="n"/>
      <c r="B115" s="29" t="n"/>
      <c r="C115" s="29" t="n"/>
      <c r="D115" s="29" t="n"/>
      <c r="E115" s="29" t="n"/>
      <c r="F115" s="29" t="n"/>
      <c r="G115" s="29" t="n"/>
    </row>
    <row r="116" ht="54" customHeight="1">
      <c r="A116" s="29" t="n"/>
      <c r="B116" s="29" t="n"/>
      <c r="C116" s="29" t="n"/>
      <c r="D116" s="29" t="n"/>
      <c r="E116" s="29" t="n"/>
      <c r="F116" s="29" t="n"/>
      <c r="G116" s="29" t="n"/>
    </row>
    <row r="117" ht="54" customHeight="1">
      <c r="A117" s="29" t="n"/>
      <c r="B117" s="29" t="n"/>
      <c r="C117" s="29" t="n"/>
      <c r="D117" s="29" t="n"/>
      <c r="E117" s="29" t="n"/>
      <c r="F117" s="29" t="n"/>
      <c r="G117" s="29" t="n"/>
    </row>
    <row r="118" ht="54" customHeight="1">
      <c r="A118" s="29" t="n"/>
      <c r="B118" s="29" t="n"/>
      <c r="C118" s="29" t="n"/>
      <c r="D118" s="29" t="n"/>
      <c r="E118" s="29" t="n"/>
      <c r="F118" s="29" t="n"/>
      <c r="G118" s="29" t="n"/>
    </row>
    <row r="119" ht="54" customHeight="1">
      <c r="A119" s="29" t="n"/>
      <c r="B119" s="29" t="n"/>
      <c r="C119" s="29" t="n"/>
      <c r="D119" s="29" t="n"/>
      <c r="E119" s="29" t="n"/>
      <c r="F119" s="29" t="n"/>
      <c r="G119" s="29" t="n"/>
    </row>
    <row r="120" ht="54" customHeight="1">
      <c r="A120" s="29" t="n"/>
      <c r="B120" s="29" t="n"/>
      <c r="C120" s="29" t="n"/>
      <c r="D120" s="29" t="n"/>
      <c r="E120" s="29" t="n"/>
      <c r="F120" s="29" t="n"/>
      <c r="G120" s="29" t="n"/>
    </row>
    <row r="121" ht="54" customHeight="1">
      <c r="A121" s="29" t="n"/>
      <c r="B121" s="29" t="n"/>
      <c r="C121" s="29" t="n"/>
      <c r="D121" s="29" t="n"/>
      <c r="E121" s="29" t="n"/>
      <c r="F121" s="29" t="n"/>
      <c r="G121" s="29" t="n"/>
    </row>
    <row r="122" ht="54" customHeight="1">
      <c r="A122" s="29" t="n"/>
      <c r="B122" s="29" t="n"/>
      <c r="C122" s="29" t="n"/>
      <c r="D122" s="29" t="n"/>
      <c r="E122" s="29" t="n"/>
      <c r="F122" s="29" t="n"/>
      <c r="G122" s="29" t="n"/>
    </row>
    <row r="123" ht="54" customHeight="1">
      <c r="A123" s="29" t="n"/>
      <c r="B123" s="29" t="n"/>
      <c r="C123" s="29" t="n"/>
      <c r="D123" s="29" t="n"/>
      <c r="E123" s="29" t="n"/>
      <c r="F123" s="29" t="n"/>
      <c r="G123" s="29" t="n"/>
    </row>
    <row r="124" ht="54" customHeight="1">
      <c r="A124" s="29" t="n"/>
      <c r="B124" s="29" t="n"/>
      <c r="C124" s="29" t="n"/>
      <c r="D124" s="29" t="n"/>
      <c r="E124" s="29" t="n"/>
      <c r="F124" s="29" t="n"/>
      <c r="G124" s="29" t="n"/>
    </row>
    <row r="125" ht="54" customHeight="1">
      <c r="A125" s="29" t="n"/>
      <c r="B125" s="29" t="n"/>
      <c r="C125" s="29" t="n"/>
      <c r="D125" s="29" t="n"/>
      <c r="E125" s="29" t="n"/>
      <c r="F125" s="29" t="n"/>
      <c r="G125" s="29" t="n"/>
    </row>
    <row r="126" ht="54" customHeight="1">
      <c r="A126" s="29" t="n"/>
      <c r="B126" s="29" t="n"/>
      <c r="C126" s="29" t="n"/>
      <c r="D126" s="29" t="n"/>
      <c r="E126" s="29" t="n"/>
      <c r="F126" s="29" t="n"/>
      <c r="G126" s="29" t="n"/>
    </row>
    <row r="127" ht="54" customHeight="1">
      <c r="A127" s="29" t="n"/>
      <c r="B127" s="29" t="n"/>
      <c r="C127" s="29" t="n"/>
      <c r="D127" s="29" t="n"/>
      <c r="E127" s="29" t="n"/>
      <c r="F127" s="29" t="n"/>
      <c r="G127" s="29" t="n"/>
    </row>
    <row r="128" ht="54" customHeight="1">
      <c r="A128" s="29" t="n"/>
      <c r="B128" s="29" t="n"/>
      <c r="C128" s="29" t="n"/>
      <c r="D128" s="29" t="n"/>
      <c r="E128" s="29" t="n"/>
      <c r="F128" s="29" t="n"/>
      <c r="G128" s="29" t="n"/>
    </row>
    <row r="129" ht="54" customHeight="1">
      <c r="A129" s="29" t="n"/>
      <c r="B129" s="29" t="n"/>
      <c r="C129" s="29" t="n"/>
      <c r="D129" s="29" t="n"/>
      <c r="E129" s="29" t="n"/>
      <c r="F129" s="29" t="n"/>
      <c r="G129" s="29" t="n"/>
    </row>
    <row r="130" ht="54" customHeight="1">
      <c r="A130" s="29" t="n"/>
      <c r="B130" s="29" t="n"/>
      <c r="C130" s="29" t="n"/>
      <c r="D130" s="29" t="n"/>
      <c r="E130" s="29" t="n"/>
      <c r="F130" s="29" t="n"/>
      <c r="G130" s="29" t="n"/>
    </row>
    <row r="131" ht="54" customHeight="1">
      <c r="A131" s="29" t="n"/>
      <c r="B131" s="29" t="n"/>
      <c r="C131" s="29" t="n"/>
      <c r="D131" s="29" t="n"/>
      <c r="E131" s="29" t="n"/>
      <c r="F131" s="29" t="n"/>
      <c r="G131" s="29" t="n"/>
    </row>
    <row r="132" ht="54" customHeight="1">
      <c r="A132" s="29" t="n"/>
      <c r="B132" s="29" t="n"/>
      <c r="C132" s="29" t="n"/>
      <c r="D132" s="29" t="n"/>
      <c r="E132" s="29" t="n"/>
      <c r="F132" s="29" t="n"/>
      <c r="G132" s="29" t="n"/>
    </row>
    <row r="133" ht="54" customHeight="1">
      <c r="A133" s="29" t="n"/>
      <c r="B133" s="29" t="n"/>
      <c r="C133" s="29" t="n"/>
      <c r="D133" s="29" t="n"/>
      <c r="E133" s="29" t="n"/>
      <c r="F133" s="29" t="n"/>
      <c r="G133" s="29" t="n"/>
    </row>
    <row r="134" ht="54" customHeight="1">
      <c r="A134" s="29" t="n"/>
      <c r="B134" s="29" t="n"/>
      <c r="C134" s="29" t="n"/>
      <c r="D134" s="29" t="n"/>
      <c r="E134" s="29" t="n"/>
      <c r="F134" s="29" t="n"/>
      <c r="G134" s="29" t="n"/>
    </row>
    <row r="135" ht="54" customHeight="1">
      <c r="A135" s="29" t="n"/>
      <c r="B135" s="29" t="n"/>
      <c r="C135" s="29" t="n"/>
      <c r="D135" s="29" t="n"/>
      <c r="E135" s="29" t="n"/>
      <c r="F135" s="29" t="n"/>
      <c r="G135" s="29" t="n"/>
    </row>
    <row r="136" ht="54" customHeight="1">
      <c r="A136" s="29" t="n"/>
      <c r="B136" s="29" t="n"/>
      <c r="C136" s="29" t="n"/>
      <c r="D136" s="29" t="n"/>
      <c r="E136" s="29" t="n"/>
      <c r="F136" s="29" t="n"/>
      <c r="G136" s="29" t="n"/>
    </row>
    <row r="137" ht="54" customHeight="1">
      <c r="A137" s="29" t="n"/>
      <c r="B137" s="29" t="n"/>
      <c r="C137" s="29" t="n"/>
      <c r="D137" s="29" t="n"/>
      <c r="E137" s="29" t="n"/>
      <c r="F137" s="29" t="n"/>
      <c r="G137" s="29" t="n"/>
    </row>
    <row r="138" ht="54" customHeight="1">
      <c r="A138" s="29" t="n"/>
      <c r="B138" s="29" t="n"/>
      <c r="C138" s="29" t="n"/>
      <c r="D138" s="29" t="n"/>
      <c r="E138" s="29" t="n"/>
      <c r="F138" s="29" t="n"/>
      <c r="G138" s="29" t="n"/>
    </row>
    <row r="139" ht="54" customHeight="1">
      <c r="A139" s="29" t="n"/>
      <c r="B139" s="29" t="n"/>
      <c r="C139" s="29" t="n"/>
      <c r="D139" s="29" t="n"/>
      <c r="E139" s="29" t="n"/>
      <c r="F139" s="29" t="n"/>
      <c r="G139" s="29" t="n"/>
    </row>
    <row r="140" ht="54" customHeight="1">
      <c r="A140" s="29" t="n"/>
      <c r="B140" s="29" t="n"/>
      <c r="C140" s="29" t="n"/>
      <c r="D140" s="29" t="n"/>
      <c r="E140" s="29" t="n"/>
      <c r="F140" s="29" t="n"/>
      <c r="G140" s="29" t="n"/>
    </row>
    <row r="141" ht="54" customHeight="1">
      <c r="A141" s="29" t="n"/>
      <c r="B141" s="29" t="n"/>
      <c r="C141" s="29" t="n"/>
      <c r="D141" s="29" t="n"/>
      <c r="E141" s="29" t="n"/>
      <c r="F141" s="29" t="n"/>
      <c r="G141" s="29" t="n"/>
    </row>
    <row r="142" ht="54" customHeight="1">
      <c r="A142" s="29" t="n"/>
      <c r="B142" s="29" t="n"/>
      <c r="C142" s="29" t="n"/>
      <c r="D142" s="29" t="n"/>
      <c r="E142" s="29" t="n"/>
      <c r="F142" s="29" t="n"/>
      <c r="G142" s="29" t="n"/>
    </row>
    <row r="143" ht="54" customHeight="1">
      <c r="A143" s="29" t="n"/>
      <c r="B143" s="29" t="n"/>
      <c r="C143" s="29" t="n"/>
      <c r="D143" s="29" t="n"/>
      <c r="E143" s="29" t="n"/>
      <c r="F143" s="29" t="n"/>
      <c r="G143" s="29" t="n"/>
    </row>
    <row r="144" ht="54" customHeight="1">
      <c r="A144" s="29" t="n"/>
      <c r="B144" s="29" t="n"/>
      <c r="C144" s="29" t="n"/>
      <c r="D144" s="29" t="n"/>
      <c r="E144" s="29" t="n"/>
      <c r="F144" s="29" t="n"/>
      <c r="G144" s="29" t="n"/>
    </row>
    <row r="145" ht="54" customHeight="1">
      <c r="A145" s="29" t="n"/>
      <c r="B145" s="29" t="n"/>
      <c r="C145" s="29" t="n"/>
      <c r="D145" s="29" t="n"/>
      <c r="E145" s="29" t="n"/>
      <c r="F145" s="29" t="n"/>
      <c r="G145" s="29" t="n"/>
    </row>
    <row r="146" ht="54" customHeight="1">
      <c r="A146" s="29" t="n"/>
      <c r="B146" s="29" t="n"/>
      <c r="C146" s="29" t="n"/>
      <c r="D146" s="29" t="n"/>
      <c r="E146" s="29" t="n"/>
      <c r="F146" s="29" t="n"/>
      <c r="G146" s="29" t="n"/>
    </row>
    <row r="147" ht="54" customHeight="1">
      <c r="A147" s="29" t="n"/>
      <c r="B147" s="29" t="n"/>
      <c r="C147" s="29" t="n"/>
      <c r="D147" s="29" t="n"/>
      <c r="E147" s="29" t="n"/>
      <c r="F147" s="29" t="n"/>
      <c r="G147" s="29" t="n"/>
    </row>
    <row r="148" ht="54" customHeight="1">
      <c r="A148" s="29" t="n"/>
      <c r="B148" s="29" t="n"/>
      <c r="C148" s="29" t="n"/>
      <c r="D148" s="29" t="n"/>
      <c r="E148" s="29" t="n"/>
      <c r="F148" s="29" t="n"/>
      <c r="G148" s="29" t="n"/>
    </row>
    <row r="149" ht="54" customHeight="1">
      <c r="A149" s="29" t="n"/>
      <c r="B149" s="29" t="n"/>
      <c r="C149" s="29" t="n"/>
      <c r="D149" s="29" t="n"/>
      <c r="E149" s="29" t="n"/>
      <c r="F149" s="29" t="n"/>
      <c r="G149" s="29" t="n"/>
    </row>
    <row r="150" ht="54" customHeight="1">
      <c r="A150" s="29" t="n"/>
      <c r="B150" s="29" t="n"/>
      <c r="C150" s="29" t="n"/>
      <c r="D150" s="29" t="n"/>
      <c r="E150" s="29" t="n"/>
      <c r="F150" s="29" t="n"/>
      <c r="G150" s="29" t="n"/>
    </row>
    <row r="151" ht="54" customHeight="1">
      <c r="A151" s="29" t="n"/>
      <c r="B151" s="29" t="n"/>
      <c r="C151" s="29" t="n"/>
      <c r="D151" s="29" t="n"/>
      <c r="E151" s="29" t="n"/>
      <c r="F151" s="29" t="n"/>
      <c r="G151" s="29" t="n"/>
    </row>
    <row r="152" ht="54" customHeight="1">
      <c r="A152" s="29" t="n"/>
      <c r="B152" s="29" t="n"/>
      <c r="C152" s="29" t="n"/>
      <c r="D152" s="29" t="n"/>
      <c r="E152" s="29" t="n"/>
      <c r="F152" s="29" t="n"/>
      <c r="G152" s="29" t="n"/>
    </row>
    <row r="153" ht="54" customHeight="1">
      <c r="A153" s="29" t="n"/>
      <c r="B153" s="29" t="n"/>
      <c r="C153" s="29" t="n"/>
      <c r="D153" s="29" t="n"/>
      <c r="E153" s="29" t="n"/>
      <c r="F153" s="29" t="n"/>
      <c r="G153" s="29" t="n"/>
    </row>
    <row r="154" ht="54" customHeight="1">
      <c r="A154" s="29" t="n"/>
      <c r="B154" s="29" t="n"/>
      <c r="C154" s="29" t="n"/>
      <c r="D154" s="29" t="n"/>
      <c r="E154" s="29" t="n"/>
      <c r="F154" s="29" t="n"/>
      <c r="G154" s="29" t="n"/>
    </row>
    <row r="155" ht="54" customHeight="1">
      <c r="A155" s="29" t="n"/>
      <c r="B155" s="29" t="n"/>
      <c r="C155" s="29" t="n"/>
      <c r="D155" s="29" t="n"/>
      <c r="E155" s="29" t="n"/>
      <c r="F155" s="29" t="n"/>
      <c r="G155" s="29" t="n"/>
    </row>
    <row r="156" ht="54" customHeight="1">
      <c r="A156" s="29" t="n"/>
      <c r="B156" s="29" t="n"/>
      <c r="C156" s="29" t="n"/>
      <c r="D156" s="29" t="n"/>
      <c r="E156" s="29" t="n"/>
      <c r="F156" s="29" t="n"/>
      <c r="G156" s="29" t="n"/>
    </row>
    <row r="157" ht="54" customHeight="1">
      <c r="A157" s="29" t="n"/>
      <c r="B157" s="29" t="n"/>
      <c r="C157" s="29" t="n"/>
      <c r="D157" s="29" t="n"/>
      <c r="E157" s="29" t="n"/>
      <c r="F157" s="29" t="n"/>
      <c r="G157" s="29" t="n"/>
    </row>
    <row r="158" ht="54" customHeight="1">
      <c r="A158" s="29" t="n"/>
      <c r="B158" s="29" t="n"/>
      <c r="C158" s="29" t="n"/>
      <c r="D158" s="29" t="n"/>
      <c r="E158" s="29" t="n"/>
      <c r="F158" s="29" t="n"/>
      <c r="G158" s="29" t="n"/>
    </row>
    <row r="159" ht="54" customHeight="1">
      <c r="A159" s="29" t="n"/>
      <c r="B159" s="29" t="n"/>
      <c r="C159" s="29" t="n"/>
      <c r="D159" s="29" t="n"/>
      <c r="E159" s="29" t="n"/>
      <c r="F159" s="29" t="n"/>
      <c r="G159" s="29" t="n"/>
    </row>
    <row r="160" ht="54" customHeight="1">
      <c r="A160" s="29" t="n"/>
      <c r="B160" s="29" t="n"/>
      <c r="C160" s="29" t="n"/>
      <c r="D160" s="29" t="n"/>
      <c r="E160" s="29" t="n"/>
      <c r="F160" s="29" t="n"/>
      <c r="G160" s="29" t="n"/>
    </row>
    <row r="161" ht="54" customHeight="1">
      <c r="A161" s="29" t="n"/>
      <c r="B161" s="29" t="n"/>
      <c r="C161" s="29" t="n"/>
      <c r="D161" s="29" t="n"/>
      <c r="E161" s="29" t="n"/>
      <c r="F161" s="29" t="n"/>
      <c r="G161" s="29" t="n"/>
    </row>
    <row r="162" ht="54" customHeight="1">
      <c r="A162" s="29" t="n"/>
      <c r="B162" s="29" t="n"/>
      <c r="C162" s="29" t="n"/>
      <c r="D162" s="29" t="n"/>
      <c r="E162" s="29" t="n"/>
      <c r="F162" s="29" t="n"/>
      <c r="G162" s="29" t="n"/>
    </row>
    <row r="163" ht="54" customHeight="1">
      <c r="A163" s="29" t="n"/>
      <c r="B163" s="29" t="n"/>
      <c r="C163" s="29" t="n"/>
      <c r="D163" s="29" t="n"/>
      <c r="E163" s="29" t="n"/>
      <c r="F163" s="29" t="n"/>
      <c r="G163" s="29" t="n"/>
    </row>
    <row r="164" ht="54" customHeight="1">
      <c r="A164" s="29" t="n"/>
      <c r="B164" s="29" t="n"/>
      <c r="C164" s="29" t="n"/>
      <c r="D164" s="29" t="n"/>
      <c r="E164" s="29" t="n"/>
      <c r="F164" s="29" t="n"/>
      <c r="G164" s="29" t="n"/>
    </row>
    <row r="165" ht="54" customHeight="1">
      <c r="A165" s="29" t="n"/>
      <c r="B165" s="29" t="n"/>
      <c r="C165" s="29" t="n"/>
      <c r="D165" s="29" t="n"/>
      <c r="E165" s="29" t="n"/>
      <c r="F165" s="29" t="n"/>
      <c r="G165" s="29" t="n"/>
    </row>
    <row r="166" ht="54" customHeight="1">
      <c r="A166" s="29" t="n"/>
      <c r="B166" s="29" t="n"/>
      <c r="C166" s="29" t="n"/>
      <c r="D166" s="29" t="n"/>
      <c r="E166" s="29" t="n"/>
      <c r="F166" s="29" t="n"/>
      <c r="G166" s="29" t="n"/>
    </row>
    <row r="167" ht="54" customHeight="1">
      <c r="A167" s="29" t="n"/>
      <c r="B167" s="29" t="n"/>
      <c r="C167" s="29" t="n"/>
      <c r="D167" s="29" t="n"/>
      <c r="E167" s="29" t="n"/>
      <c r="F167" s="29" t="n"/>
      <c r="G167" s="29" t="n"/>
    </row>
    <row r="168" ht="54" customHeight="1">
      <c r="A168" s="29" t="n"/>
      <c r="B168" s="29" t="n"/>
      <c r="C168" s="29" t="n"/>
      <c r="D168" s="29" t="n"/>
      <c r="E168" s="29" t="n"/>
      <c r="F168" s="29" t="n"/>
      <c r="G168" s="29" t="n"/>
    </row>
    <row r="169" ht="54" customHeight="1">
      <c r="A169" s="29" t="n"/>
      <c r="B169" s="29" t="n"/>
      <c r="C169" s="29" t="n"/>
      <c r="D169" s="29" t="n"/>
      <c r="E169" s="29" t="n"/>
      <c r="F169" s="29" t="n"/>
      <c r="G169" s="29" t="n"/>
    </row>
    <row r="170" ht="54" customHeight="1">
      <c r="A170" s="29" t="n"/>
      <c r="B170" s="29" t="n"/>
      <c r="C170" s="29" t="n"/>
      <c r="D170" s="29" t="n"/>
      <c r="E170" s="29" t="n"/>
      <c r="F170" s="29" t="n"/>
      <c r="G170" s="29" t="n"/>
    </row>
    <row r="171" ht="54" customHeight="1">
      <c r="A171" s="29" t="n"/>
      <c r="B171" s="29" t="n"/>
      <c r="C171" s="29" t="n"/>
      <c r="D171" s="29" t="n"/>
      <c r="E171" s="29" t="n"/>
      <c r="F171" s="29" t="n"/>
      <c r="G171" s="29" t="n"/>
    </row>
    <row r="172" ht="54" customHeight="1">
      <c r="A172" s="29" t="n"/>
      <c r="B172" s="29" t="n"/>
      <c r="C172" s="29" t="n"/>
      <c r="D172" s="29" t="n"/>
      <c r="E172" s="29" t="n"/>
      <c r="F172" s="29" t="n"/>
      <c r="G172" s="29" t="n"/>
    </row>
    <row r="173" ht="54" customHeight="1">
      <c r="A173" s="29" t="n"/>
      <c r="B173" s="29" t="n"/>
      <c r="C173" s="29" t="n"/>
      <c r="D173" s="29" t="n"/>
      <c r="E173" s="29" t="n"/>
      <c r="F173" s="29" t="n"/>
      <c r="G173" s="29" t="n"/>
    </row>
    <row r="174" ht="54" customHeight="1">
      <c r="A174" s="29" t="n"/>
      <c r="B174" s="29" t="n"/>
      <c r="C174" s="29" t="n"/>
      <c r="D174" s="29" t="n"/>
      <c r="E174" s="29" t="n"/>
      <c r="F174" s="29" t="n"/>
      <c r="G174" s="29" t="n"/>
    </row>
    <row r="175" ht="54" customHeight="1">
      <c r="A175" s="29" t="n"/>
      <c r="B175" s="29" t="n"/>
      <c r="C175" s="29" t="n"/>
      <c r="D175" s="29" t="n"/>
      <c r="E175" s="29" t="n"/>
      <c r="F175" s="29" t="n"/>
      <c r="G175" s="29" t="n"/>
    </row>
    <row r="176" ht="54" customHeight="1">
      <c r="A176" s="29" t="n"/>
      <c r="B176" s="29" t="n"/>
      <c r="C176" s="29" t="n"/>
      <c r="D176" s="29" t="n"/>
      <c r="E176" s="29" t="n"/>
      <c r="F176" s="29" t="n"/>
      <c r="G176" s="29" t="n"/>
    </row>
    <row r="177" ht="54" customHeight="1">
      <c r="A177" s="29" t="n"/>
      <c r="B177" s="29" t="n"/>
      <c r="C177" s="29" t="n"/>
      <c r="D177" s="29" t="n"/>
      <c r="E177" s="29" t="n"/>
      <c r="F177" s="29" t="n"/>
      <c r="G177" s="29" t="n"/>
    </row>
    <row r="178" ht="54" customHeight="1">
      <c r="A178" s="29" t="n"/>
      <c r="B178" s="29" t="n"/>
      <c r="C178" s="29" t="n"/>
      <c r="D178" s="29" t="n"/>
      <c r="E178" s="29" t="n"/>
      <c r="F178" s="29" t="n"/>
      <c r="G178" s="29" t="n"/>
    </row>
    <row r="179" ht="54" customHeight="1">
      <c r="A179" s="29" t="n"/>
      <c r="B179" s="29" t="n"/>
      <c r="C179" s="29" t="n"/>
      <c r="D179" s="29" t="n"/>
      <c r="E179" s="29" t="n"/>
      <c r="F179" s="29" t="n"/>
      <c r="G179" s="29" t="n"/>
    </row>
    <row r="180" ht="54" customHeight="1">
      <c r="A180" s="29" t="n"/>
      <c r="B180" s="29" t="n"/>
      <c r="C180" s="29" t="n"/>
      <c r="D180" s="29" t="n"/>
      <c r="E180" s="29" t="n"/>
      <c r="F180" s="29" t="n"/>
      <c r="G180" s="29" t="n"/>
    </row>
    <row r="181" ht="54" customHeight="1">
      <c r="A181" s="29" t="n"/>
      <c r="B181" s="29" t="n"/>
      <c r="C181" s="29" t="n"/>
      <c r="D181" s="29" t="n"/>
      <c r="E181" s="29" t="n"/>
      <c r="F181" s="29" t="n"/>
      <c r="G181" s="29" t="n"/>
    </row>
    <row r="182" ht="54" customHeight="1">
      <c r="A182" s="29" t="n"/>
      <c r="B182" s="29" t="n"/>
      <c r="C182" s="29" t="n"/>
      <c r="D182" s="29" t="n"/>
      <c r="E182" s="29" t="n"/>
      <c r="F182" s="29" t="n"/>
      <c r="G182" s="29" t="n"/>
    </row>
    <row r="183" ht="54" customHeight="1">
      <c r="A183" s="29" t="n"/>
      <c r="B183" s="29" t="n"/>
      <c r="C183" s="29" t="n"/>
      <c r="D183" s="29" t="n"/>
      <c r="E183" s="29" t="n"/>
      <c r="F183" s="29" t="n"/>
      <c r="G183" s="29" t="n"/>
    </row>
    <row r="184" ht="54" customHeight="1">
      <c r="A184" s="29" t="n"/>
      <c r="B184" s="29" t="n"/>
      <c r="C184" s="29" t="n"/>
      <c r="D184" s="29" t="n"/>
      <c r="E184" s="29" t="n"/>
      <c r="F184" s="29" t="n"/>
      <c r="G184" s="29" t="n"/>
    </row>
    <row r="185" ht="54" customHeight="1">
      <c r="A185" s="29" t="n"/>
      <c r="B185" s="29" t="n"/>
      <c r="C185" s="29" t="n"/>
      <c r="D185" s="29" t="n"/>
      <c r="E185" s="29" t="n"/>
      <c r="F185" s="29" t="n"/>
      <c r="G185" s="29" t="n"/>
    </row>
    <row r="186" ht="54" customHeight="1">
      <c r="A186" s="29" t="n"/>
      <c r="B186" s="29" t="n"/>
      <c r="C186" s="29" t="n"/>
      <c r="D186" s="29" t="n"/>
      <c r="E186" s="29" t="n"/>
      <c r="F186" s="29" t="n"/>
      <c r="G186" s="29" t="n"/>
    </row>
    <row r="187" ht="54" customHeight="1">
      <c r="A187" s="29" t="n"/>
      <c r="B187" s="29" t="n"/>
      <c r="C187" s="29" t="n"/>
      <c r="D187" s="29" t="n"/>
      <c r="E187" s="29" t="n"/>
      <c r="F187" s="29" t="n"/>
      <c r="G187" s="29" t="n"/>
    </row>
    <row r="188" ht="54" customHeight="1">
      <c r="A188" s="29" t="n"/>
      <c r="B188" s="29" t="n"/>
      <c r="C188" s="29" t="n"/>
      <c r="D188" s="29" t="n"/>
      <c r="E188" s="29" t="n"/>
      <c r="F188" s="29" t="n"/>
      <c r="G188" s="29" t="n"/>
    </row>
    <row r="189" ht="54" customHeight="1">
      <c r="A189" s="29" t="n"/>
      <c r="B189" s="29" t="n"/>
      <c r="C189" s="29" t="n"/>
      <c r="D189" s="29" t="n"/>
      <c r="E189" s="29" t="n"/>
      <c r="F189" s="29" t="n"/>
      <c r="G189" s="29" t="n"/>
    </row>
    <row r="190" ht="54" customHeight="1">
      <c r="A190" s="29" t="n"/>
      <c r="B190" s="29" t="n"/>
      <c r="C190" s="29" t="n"/>
      <c r="D190" s="29" t="n"/>
      <c r="E190" s="29" t="n"/>
      <c r="F190" s="29" t="n"/>
      <c r="G190" s="29" t="n"/>
    </row>
    <row r="191" ht="54" customHeight="1">
      <c r="A191" s="29" t="n"/>
      <c r="B191" s="29" t="n"/>
      <c r="C191" s="29" t="n"/>
      <c r="D191" s="29" t="n"/>
      <c r="E191" s="29" t="n"/>
      <c r="F191" s="29" t="n"/>
      <c r="G191" s="29" t="n"/>
    </row>
    <row r="192" ht="54" customHeight="1">
      <c r="A192" s="29" t="n"/>
      <c r="B192" s="29" t="n"/>
      <c r="C192" s="29" t="n"/>
      <c r="D192" s="29" t="n"/>
      <c r="E192" s="29" t="n"/>
      <c r="F192" s="29" t="n"/>
      <c r="G192" s="29" t="n"/>
    </row>
    <row r="193" ht="54" customHeight="1">
      <c r="A193" s="29" t="n"/>
      <c r="B193" s="29" t="n"/>
      <c r="C193" s="29" t="n"/>
      <c r="D193" s="29" t="n"/>
      <c r="E193" s="29" t="n"/>
      <c r="F193" s="29" t="n"/>
      <c r="G193" s="29" t="n"/>
    </row>
    <row r="194" ht="54" customHeight="1">
      <c r="A194" s="29" t="n"/>
      <c r="B194" s="29" t="n"/>
      <c r="C194" s="29" t="n"/>
      <c r="D194" s="29" t="n"/>
      <c r="E194" s="29" t="n"/>
      <c r="F194" s="29" t="n"/>
      <c r="G194" s="29" t="n"/>
    </row>
    <row r="195" ht="54" customHeight="1">
      <c r="A195" s="29" t="n"/>
      <c r="B195" s="29" t="n"/>
      <c r="C195" s="29" t="n"/>
      <c r="D195" s="29" t="n"/>
      <c r="E195" s="29" t="n"/>
      <c r="F195" s="29" t="n"/>
      <c r="G195" s="29" t="n"/>
    </row>
    <row r="196" ht="54" customHeight="1">
      <c r="A196" s="29" t="n"/>
      <c r="B196" s="29" t="n"/>
      <c r="C196" s="29" t="n"/>
      <c r="D196" s="29" t="n"/>
      <c r="E196" s="29" t="n"/>
      <c r="F196" s="29" t="n"/>
      <c r="G196" s="29" t="n"/>
    </row>
    <row r="197" ht="54" customHeight="1">
      <c r="A197" s="29" t="n"/>
      <c r="B197" s="29" t="n"/>
      <c r="C197" s="29" t="n"/>
      <c r="D197" s="29" t="n"/>
      <c r="E197" s="29" t="n"/>
      <c r="F197" s="29" t="n"/>
      <c r="G197" s="29" t="n"/>
    </row>
    <row r="198" ht="54" customHeight="1">
      <c r="A198" s="29" t="n"/>
      <c r="B198" s="29" t="n"/>
      <c r="C198" s="29" t="n"/>
      <c r="D198" s="29" t="n"/>
      <c r="E198" s="29" t="n"/>
      <c r="F198" s="29" t="n"/>
      <c r="G198" s="29" t="n"/>
    </row>
    <row r="199" ht="54" customHeight="1">
      <c r="A199" s="29" t="n"/>
      <c r="B199" s="29" t="n"/>
      <c r="C199" s="29" t="n"/>
      <c r="D199" s="29" t="n"/>
      <c r="E199" s="29" t="n"/>
      <c r="F199" s="29" t="n"/>
      <c r="G199" s="29" t="n"/>
    </row>
    <row r="200" ht="54" customHeight="1">
      <c r="A200" s="29" t="n"/>
      <c r="B200" s="29" t="n"/>
      <c r="C200" s="29" t="n"/>
      <c r="D200" s="29" t="n"/>
      <c r="E200" s="29" t="n"/>
      <c r="F200" s="29" t="n"/>
      <c r="G200" s="29" t="n"/>
    </row>
    <row r="201" ht="54" customHeight="1">
      <c r="A201" s="29" t="n"/>
      <c r="B201" s="29" t="n"/>
      <c r="C201" s="29" t="n"/>
      <c r="D201" s="29" t="n"/>
      <c r="E201" s="29" t="n"/>
      <c r="F201" s="29" t="n"/>
      <c r="G201" s="29" t="n"/>
    </row>
    <row r="202" ht="54" customHeight="1">
      <c r="A202" s="29" t="n"/>
      <c r="B202" s="29" t="n"/>
      <c r="C202" s="29" t="n"/>
      <c r="D202" s="29" t="n"/>
      <c r="E202" s="29" t="n"/>
      <c r="F202" s="29" t="n"/>
      <c r="G202" s="29" t="n"/>
    </row>
    <row r="203" ht="54" customHeight="1">
      <c r="A203" s="29" t="n"/>
      <c r="B203" s="29" t="n"/>
      <c r="C203" s="29" t="n"/>
      <c r="D203" s="29" t="n"/>
      <c r="E203" s="29" t="n"/>
      <c r="F203" s="29" t="n"/>
      <c r="G203" s="29" t="n"/>
    </row>
    <row r="204" ht="54" customHeight="1">
      <c r="A204" s="29" t="n"/>
      <c r="B204" s="29" t="n"/>
      <c r="C204" s="29" t="n"/>
      <c r="D204" s="29" t="n"/>
      <c r="E204" s="29" t="n"/>
      <c r="F204" s="29" t="n"/>
      <c r="G204" s="29" t="n"/>
    </row>
    <row r="205" ht="54" customHeight="1">
      <c r="A205" s="29" t="n"/>
      <c r="B205" s="29" t="n"/>
      <c r="C205" s="29" t="n"/>
      <c r="D205" s="29" t="n"/>
      <c r="E205" s="29" t="n"/>
      <c r="F205" s="29" t="n"/>
      <c r="G205" s="29" t="n"/>
    </row>
    <row r="206" ht="54" customHeight="1">
      <c r="A206" s="29" t="n"/>
      <c r="B206" s="29" t="n"/>
      <c r="C206" s="29" t="n"/>
      <c r="D206" s="29" t="n"/>
      <c r="E206" s="29" t="n"/>
      <c r="F206" s="29" t="n"/>
      <c r="G206" s="29" t="n"/>
    </row>
    <row r="207" ht="54" customHeight="1">
      <c r="A207" s="29" t="n"/>
      <c r="B207" s="29" t="n"/>
      <c r="C207" s="29" t="n"/>
      <c r="D207" s="29" t="n"/>
      <c r="E207" s="29" t="n"/>
      <c r="F207" s="29" t="n"/>
      <c r="G207" s="29" t="n"/>
    </row>
  </sheetData>
  <mergeCells count="1">
    <mergeCell ref="A3:G3"/>
  </mergeCells>
  <conditionalFormatting sqref="A8:A207">
    <cfRule type="expression" priority="1" dxfId="1">
      <formula>AND($A8&lt;&gt;"",ISBLANK(A8))</formula>
    </cfRule>
  </conditionalFormatting>
  <conditionalFormatting sqref="B8:B207">
    <cfRule type="expression" priority="2" dxfId="1">
      <formula>AND($A8&lt;&gt;"",ISBLANK(B8))</formula>
    </cfRule>
  </conditionalFormatting>
  <conditionalFormatting sqref="C8:C207">
    <cfRule type="expression" priority="3" dxfId="1">
      <formula>AND($A8&lt;&gt;"",ISBLANK(C8))</formula>
    </cfRule>
  </conditionalFormatting>
  <conditionalFormatting sqref="D8:D207">
    <cfRule type="expression" priority="4" dxfId="1">
      <formula>AND($A8&lt;&gt;"",ISBLANK(D8))</formula>
    </cfRule>
  </conditionalFormatting>
  <conditionalFormatting sqref="E8:E207">
    <cfRule type="expression" priority="5" dxfId="1">
      <formula>AND($A8&lt;&gt;"",ISBLANK(E8))</formula>
    </cfRule>
  </conditionalFormatting>
  <conditionalFormatting sqref="F8:F207">
    <cfRule type="expression" priority="6" dxfId="1">
      <formula>AND($A8&lt;&gt;"",ISBLANK(F8))</formula>
    </cfRule>
  </conditionalFormatting>
  <conditionalFormatting sqref="G8:G207">
    <cfRule type="expression" priority="7" dxfId="1">
      <formula>AND($A8&lt;&gt;"",ISBLANK(G8))</formula>
    </cfRule>
  </conditionalFormatting>
  <dataValidations count="1">
    <dataValidation sqref="F8:F20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tabColor rgb="FFF66C4E"/>
    <outlinePr summaryBelow="1" summaryRight="1"/>
    <pageSetUpPr/>
  </sheetPr>
  <dimension ref="A1:O607"/>
  <sheetViews>
    <sheetView showGridLines="0" workbookViewId="0">
      <pane xSplit="1" ySplit="7" topLeftCell="B8" activePane="bottomRight" state="frozen"/>
      <selection activeCell="A1" sqref="A1"/>
    </sheetView>
  </sheetViews>
  <sheetFormatPr baseColWidth="8" defaultRowHeight="15"/>
  <cols>
    <col width="32" customWidth="1" min="1" max="1"/>
    <col width="48" customWidth="1" min="2" max="2"/>
    <col width="48" customWidth="1" min="3" max="3"/>
    <col width="55" customWidth="1" min="4" max="4"/>
    <col width="55" customWidth="1" min="5" max="5"/>
    <col width="24" customWidth="1" min="6" max="6"/>
    <col width="48" customWidth="1" min="7" max="7"/>
    <col width="40" customWidth="1" min="8" max="8"/>
    <col width="48" customWidth="1" min="9" max="9"/>
    <col width="40" customWidth="1" min="10" max="10"/>
    <col width="20" customWidth="1" min="11" max="11"/>
    <col width="20" customWidth="1" min="12" max="12"/>
    <col width="58" customWidth="1" min="13" max="13"/>
    <col width="30" customWidth="1" min="14" max="14"/>
    <col width="65" customWidth="1" min="15" max="15"/>
  </cols>
  <sheetData>
    <row r="1" ht="54" customHeight="1">
      <c r="A1" s="38" t="n"/>
      <c r="B1" s="38" t="n"/>
      <c r="C1" s="38" t="n"/>
      <c r="D1" s="38" t="n"/>
      <c r="E1" s="38" t="n"/>
      <c r="F1" s="38" t="n"/>
      <c r="G1" s="38" t="n"/>
      <c r="H1" s="38" t="n"/>
      <c r="I1" s="38" t="n"/>
      <c r="J1" s="38" t="n"/>
      <c r="K1" s="38" t="n"/>
      <c r="L1" s="38" t="n"/>
      <c r="M1" s="38" t="n"/>
      <c r="N1" s="38" t="n"/>
      <c r="O1" s="38" t="n"/>
    </row>
    <row r="2" ht="54" customHeight="1">
      <c r="A2" s="39" t="inlineStr">
        <is>
          <t>Corteqs · Fotoğrafın kaynak zinciri · v7</t>
        </is>
      </c>
      <c r="B2" s="38" t="n"/>
      <c r="C2" s="38" t="n"/>
      <c r="D2" s="38" t="n"/>
      <c r="E2" s="38" t="n"/>
      <c r="F2" s="38" t="n"/>
      <c r="G2" s="38" t="n"/>
      <c r="H2" s="38" t="n"/>
      <c r="I2" s="38" t="n"/>
      <c r="J2" s="38" t="n"/>
      <c r="K2" s="38" t="n"/>
      <c r="L2" s="38" t="n"/>
      <c r="M2" s="38" t="n"/>
      <c r="N2" s="38" t="n"/>
      <c r="O2" s="38" t="n"/>
    </row>
    <row r="3" ht="44" customHeight="1">
      <c r="A3" s="38" t="inlineStr">
        <is>
          <t>Her fotoğraf kimliği için bir kayıt. İsim, lisans ve kaynak sayfası Fotoğraflar sayfasında kalır. Bilinmeyen bağlantı veya tarih uydurulmaz.</t>
        </is>
      </c>
      <c r="G3" s="38" t="n"/>
      <c r="H3" s="38" t="n"/>
      <c r="I3" s="38" t="n"/>
      <c r="J3" s="38" t="n"/>
      <c r="K3" s="38" t="n"/>
      <c r="L3" s="38" t="n"/>
      <c r="M3" s="38" t="n"/>
      <c r="N3" s="38" t="n"/>
      <c r="O3" s="38" t="n"/>
    </row>
    <row r="4" ht="54" customHeight="1">
      <c r="A4" s="38" t="n"/>
      <c r="B4" s="38" t="n"/>
      <c r="C4" s="38" t="n"/>
      <c r="D4" s="38" t="n"/>
      <c r="E4" s="38" t="n"/>
      <c r="F4" s="38" t="n"/>
      <c r="G4" s="38" t="n"/>
      <c r="H4" s="38" t="n"/>
      <c r="I4" s="38" t="n"/>
      <c r="J4" s="38" t="n"/>
      <c r="K4" s="38" t="n"/>
      <c r="L4" s="38" t="n"/>
      <c r="M4" s="38" t="n"/>
      <c r="N4" s="38" t="n"/>
      <c r="O4" s="38" t="n"/>
    </row>
    <row r="5" ht="54" customHeight="1">
      <c r="A5" s="38" t="inlineStr">
        <is>
          <t>Zorunlu bağlantı</t>
        </is>
      </c>
      <c r="B5" s="38" t="inlineStr">
        <is>
          <t>Kanıt varsa doldurun</t>
        </is>
      </c>
      <c r="C5" s="38" t="inlineStr">
        <is>
          <t>Kanıt varsa doldurun</t>
        </is>
      </c>
      <c r="D5" s="38" t="inlineStr">
        <is>
          <t>Kanıt varsa doldurun</t>
        </is>
      </c>
      <c r="E5" s="38" t="inlineStr">
        <is>
          <t>Kanıt varsa doldurun</t>
        </is>
      </c>
      <c r="F5" s="38" t="inlineStr">
        <is>
          <t>Kanıt varsa doldurun</t>
        </is>
      </c>
      <c r="G5" s="38" t="inlineStr">
        <is>
          <t>Kanıt varsa doldurun</t>
        </is>
      </c>
      <c r="H5" s="38" t="inlineStr">
        <is>
          <t>Kanıt varsa doldurun</t>
        </is>
      </c>
      <c r="I5" s="38" t="inlineStr">
        <is>
          <t>Kanıt varsa doldurun</t>
        </is>
      </c>
      <c r="J5" s="38" t="inlineStr">
        <is>
          <t>Kanıt varsa doldurun</t>
        </is>
      </c>
      <c r="K5" s="38" t="inlineStr">
        <is>
          <t>Kanıt varsa doldurun</t>
        </is>
      </c>
      <c r="L5" s="38" t="inlineStr">
        <is>
          <t>Kanıt varsa doldurun</t>
        </is>
      </c>
      <c r="M5" s="38" t="inlineStr">
        <is>
          <t>Kanıt varsa doldurun</t>
        </is>
      </c>
      <c r="N5" s="38" t="inlineStr">
        <is>
          <t>Kanıt varsa doldurun</t>
        </is>
      </c>
      <c r="O5" s="38" t="inlineStr">
        <is>
          <t>Kanıt varsa doldurun</t>
        </is>
      </c>
    </row>
    <row r="6" ht="50" customHeight="1">
      <c r="A6" s="41" t="inlineStr">
        <is>
          <t>Fotoğraf kimliği</t>
        </is>
      </c>
      <c r="B6" s="41" t="inlineStr">
        <is>
          <t>Fotoğrafçı profil / portföy bağlantısı</t>
        </is>
      </c>
      <c r="C6" s="41" t="inlineStr">
        <is>
          <t>Görünür fotoğrafçı atıf bağlantısı</t>
        </is>
      </c>
      <c r="D6" s="41" t="inlineStr">
        <is>
          <t>Kaynakta özgün fotoğraf dosyası URL</t>
        </is>
      </c>
      <c r="E6" s="41" t="inlineStr">
        <is>
          <t>Fiilen indirilen dosyanın URL’si</t>
        </is>
      </c>
      <c r="F6" s="41" t="inlineStr">
        <is>
          <t>Kaydedilmiş indirme tarihi</t>
        </is>
      </c>
      <c r="G6" s="41" t="inlineStr">
        <is>
          <t>Korunan mevcut fotoğraf dosyası</t>
        </is>
      </c>
      <c r="H6" s="41" t="inlineStr">
        <is>
          <t>Korunan dosya SHA-256</t>
        </is>
      </c>
      <c r="I6" s="41" t="inlineStr">
        <is>
          <t>Hafif web kopyası (varsa)</t>
        </is>
      </c>
      <c r="J6" s="41" t="inlineStr">
        <is>
          <t>Web kopyası SHA-256</t>
        </is>
      </c>
      <c r="K6" s="41" t="inlineStr">
        <is>
          <t>Web genişliği (px)</t>
        </is>
      </c>
      <c r="L6" s="41" t="inlineStr">
        <is>
          <t>Web yüksekliği (px)</t>
        </is>
      </c>
      <c r="M6" s="41" t="inlineStr">
        <is>
          <t>Dönüştürme kaydı</t>
        </is>
      </c>
      <c r="N6" s="41" t="inlineStr">
        <is>
          <t>Kaynak zinciri kontrolü</t>
        </is>
      </c>
      <c r="O6" s="41" t="inlineStr">
        <is>
          <t>Açık nokta / kanıt açıklaması</t>
        </is>
      </c>
    </row>
    <row r="7" ht="32" customHeight="1">
      <c r="A7" s="43" t="inlineStr">
        <is>
          <t>photo_id</t>
        </is>
      </c>
      <c r="B7" s="43" t="inlineStr">
        <is>
          <t>author_url</t>
        </is>
      </c>
      <c r="C7" s="43" t="inlineStr">
        <is>
          <t>attribution_url</t>
        </is>
      </c>
      <c r="D7" s="43" t="inlineStr">
        <is>
          <t>original_file_url</t>
        </is>
      </c>
      <c r="E7" s="43" t="inlineStr">
        <is>
          <t>downloaded_file_url</t>
        </is>
      </c>
      <c r="F7" s="43" t="inlineStr">
        <is>
          <t>downloaded_on</t>
        </is>
      </c>
      <c r="G7" s="43" t="inlineStr">
        <is>
          <t>original_file</t>
        </is>
      </c>
      <c r="H7" s="43" t="inlineStr">
        <is>
          <t>original_sha256</t>
        </is>
      </c>
      <c r="I7" s="43" t="inlineStr">
        <is>
          <t>web_file</t>
        </is>
      </c>
      <c r="J7" s="43" t="inlineStr">
        <is>
          <t>web_sha256</t>
        </is>
      </c>
      <c r="K7" s="43" t="inlineStr">
        <is>
          <t>web_width</t>
        </is>
      </c>
      <c r="L7" s="43" t="inlineStr">
        <is>
          <t>web_height</t>
        </is>
      </c>
      <c r="M7" s="43" t="inlineStr">
        <is>
          <t>derivation</t>
        </is>
      </c>
      <c r="N7" s="43" t="inlineStr">
        <is>
          <t>provenance_status</t>
        </is>
      </c>
      <c r="O7" s="43" t="inlineStr">
        <is>
          <t>provenance_note</t>
        </is>
      </c>
    </row>
    <row r="8" ht="54" customHeight="1">
      <c r="A8" s="44" t="inlineStr">
        <is>
          <t>eindhoven:photo:van-abbemuseum-01</t>
        </is>
      </c>
      <c r="B8" s="44" t="inlineStr">
        <is>
          <t>https://commons.wikimedia.org/wiki/User:Michielverbeek</t>
        </is>
      </c>
      <c r="C8" s="44" t="inlineStr">
        <is>
          <t>https://commons.wikimedia.org/wiki/User:Michielverbeek</t>
        </is>
      </c>
      <c r="D8" s="44" t="inlineStr">
        <is>
          <t>https://upload.wikimedia.org/wikipedia/commons/f/f2/Eindhoven%2C_het_Van_Abbemuseum_IMG_8587_2019-01-20_10.50.jpg?utm_source=commons.wikimedia.org&amp;utm_campaign=imageinfo&amp;utm_content=original</t>
        </is>
      </c>
      <c r="E8" s="44" t="inlineStr">
        <is>
          <t>https://thumb.wikimedia.org/wikipedia/commons/thumb/f/f2/Eindhoven%2C_het_Van_Abbemuseum_IMG_8587_2019-01-20_10.50.jpg/1280px-Eindhoven%2C_het_Van_Abbemuseum_IMG_8587_2019-01-20_10.50.jpg</t>
        </is>
      </c>
      <c r="F8" s="53" t="n">
        <v>46318</v>
      </c>
      <c r="G8" s="44" t="inlineStr">
        <is>
          <t>Fotoğraflar/eindhoven_van-abbemuseum_01.jpg</t>
        </is>
      </c>
      <c r="H8" s="44" t="inlineStr">
        <is>
          <t>7c80a77a90fe71284b3cf5e9698bcae03d8b1c3a0c853dc1ffc02bf2ff701957</t>
        </is>
      </c>
      <c r="I8" s="44" t="inlineStr">
        <is>
          <t>Teslimler/WebKopyalari/7c80a77a90fe71284b3cf5e9698bcae03d8b1c3a0c853dc1ffc02bf2ff701957.webp</t>
        </is>
      </c>
      <c r="J8" s="44" t="inlineStr">
        <is>
          <t>82ec06d41cf4ea6d622e020071a9637708533117e465fdea7f841196b8f2287b</t>
        </is>
      </c>
      <c r="K8" s="44" t="n">
        <v>1280</v>
      </c>
      <c r="L8" s="44" t="n">
        <v>912</v>
      </c>
      <c r="M8" s="44" t="inlineStr">
        <is>
          <t>Özgün teslim dosyası korundu. EXIF yönü uygulandı; kırpma yapılmadan en çok 1600 px, WebP kalite 84. Önceki kaynak değişiklik notları ayrıca korunur.</t>
        </is>
      </c>
      <c r="N8" s="44" t="inlineStr">
        <is>
          <t>Kayıttan doğrulandı</t>
        </is>
      </c>
      <c r="O8" s="44" t="n"/>
    </row>
    <row r="9" ht="54" customHeight="1">
      <c r="A9" s="44" t="inlineStr">
        <is>
          <t>eindhoven:photo:van-abbemuseum-02</t>
        </is>
      </c>
      <c r="B9" s="44" t="inlineStr">
        <is>
          <t>https://commons.wikimedia.org/wiki/User:G.Lanting</t>
        </is>
      </c>
      <c r="C9" s="44" t="inlineStr">
        <is>
          <t>https://commons.wikimedia.org/wiki/User:G.Lanting</t>
        </is>
      </c>
      <c r="D9" s="44" t="inlineStr">
        <is>
          <t>https://upload.wikimedia.org/wikipedia/commons/b/b1/P1010998van_Abbemuseum.JPG?utm_source=commons.wikimedia.org&amp;utm_campaign=imageinfo&amp;utm_content=original</t>
        </is>
      </c>
      <c r="E9" s="44" t="inlineStr">
        <is>
          <t>https://thumb.wikimedia.org/wikipedia/commons/thumb/b/b1/P1010998van_Abbemuseum.JPG/1280px-P1010998van_Abbemuseum.JPG</t>
        </is>
      </c>
      <c r="F9" s="53" t="n">
        <v>46318</v>
      </c>
      <c r="G9" s="44" t="inlineStr">
        <is>
          <t>Fotoğraflar/eindhoven_van-abbemuseum_02.jpg</t>
        </is>
      </c>
      <c r="H9" s="44" t="inlineStr">
        <is>
          <t>d1a487530503a444ab9b9d0830f0107ae1e2a0a81988d2a37ab9f6374a3b5a12</t>
        </is>
      </c>
      <c r="I9" s="44" t="inlineStr">
        <is>
          <t>Teslimler/WebKopyalari/d1a487530503a444ab9b9d0830f0107ae1e2a0a81988d2a37ab9f6374a3b5a12.webp</t>
        </is>
      </c>
      <c r="J9" s="44" t="inlineStr">
        <is>
          <t>fa8913e3a4fcadfbc32b33fd70b211574dcb02f168a25f9ddf05b53c2fcc1685</t>
        </is>
      </c>
      <c r="K9" s="44" t="n">
        <v>1280</v>
      </c>
      <c r="L9" s="44" t="n">
        <v>960</v>
      </c>
      <c r="M9" s="44" t="inlineStr">
        <is>
          <t>Özgün teslim dosyası korundu. EXIF yönü uygulandı; kırpma yapılmadan en çok 1600 px, WebP kalite 84. Önceki kaynak değişiklik notları ayrıca korunur.</t>
        </is>
      </c>
      <c r="N9" s="44" t="inlineStr">
        <is>
          <t>Kayıttan doğrulandı</t>
        </is>
      </c>
      <c r="O9" s="44" t="n"/>
    </row>
    <row r="10" ht="54" customHeight="1">
      <c r="A10" s="44" t="inlineStr">
        <is>
          <t>eindhoven:photo:van-abbemuseum-03</t>
        </is>
      </c>
      <c r="B10" s="44" t="inlineStr">
        <is>
          <t>https://commons.wikimedia.org/wiki/User:Choinowski</t>
        </is>
      </c>
      <c r="C10" s="44" t="inlineStr">
        <is>
          <t>https://commons.wikimedia.org/wiki/User:Choinowski</t>
        </is>
      </c>
      <c r="D10" s="44" t="inlineStr">
        <is>
          <t>https://upload.wikimedia.org/wikipedia/commons/b/bd/Uitbreiding_Van_Abbemuseum.jpg?utm_source=commons.wikimedia.org&amp;utm_campaign=imageinfo&amp;utm_content=original</t>
        </is>
      </c>
      <c r="E10" s="44" t="inlineStr">
        <is>
          <t>https://thumb.wikimedia.org/wikipedia/commons/thumb/b/bd/Uitbreiding_Van_Abbemuseum.jpg/1280px-Uitbreiding_Van_Abbemuseum.jpg</t>
        </is>
      </c>
      <c r="F10" s="53" t="n">
        <v>46318</v>
      </c>
      <c r="G10" s="44" t="inlineStr">
        <is>
          <t>Fotoğraflar/eindhoven_van-abbemuseum_03.jpg</t>
        </is>
      </c>
      <c r="H10" s="44" t="inlineStr">
        <is>
          <t>5b7bb1a887f86730dcc46c45d232c1db83d9f3240430bda60d90c2e9d1c55d66</t>
        </is>
      </c>
      <c r="I10" s="44" t="inlineStr">
        <is>
          <t>Teslimler/WebKopyalari/5b7bb1a887f86730dcc46c45d232c1db83d9f3240430bda60d90c2e9d1c55d66.webp</t>
        </is>
      </c>
      <c r="J10" s="44" t="inlineStr">
        <is>
          <t>34e5ed06e9684326fb297610865f70698e87e5865b70cd077f1514d14a88f35b</t>
        </is>
      </c>
      <c r="K10" s="44" t="n">
        <v>1280</v>
      </c>
      <c r="L10" s="44" t="n">
        <v>853</v>
      </c>
      <c r="M10" s="44" t="inlineStr">
        <is>
          <t>Özgün teslim dosyası korundu. EXIF yönü uygulandı; kırpma yapılmadan en çok 1600 px, WebP kalite 84. Önceki kaynak değişiklik notları ayrıca korunur.</t>
        </is>
      </c>
      <c r="N10" s="44" t="inlineStr">
        <is>
          <t>Kayıttan doğrulandı</t>
        </is>
      </c>
      <c r="O10" s="44" t="n"/>
    </row>
    <row r="11" ht="54" customHeight="1">
      <c r="A11" s="44" t="inlineStr">
        <is>
          <t>eindhoven:photo:philips-museum-01</t>
        </is>
      </c>
      <c r="B11" s="44" t="inlineStr">
        <is>
          <t>https://www.flickr.com/people/38891071@N00</t>
        </is>
      </c>
      <c r="C11" s="44" t="inlineStr">
        <is>
          <t>https://www.flickr.com/people/38891071@N00</t>
        </is>
      </c>
      <c r="D11" s="44" t="inlineStr">
        <is>
          <t>https://upload.wikimedia.org/wikipedia/commons/2/25/%27Huiskamer_jaren_50%27_%2816183341671%29.jpg?utm_source=commons.wikimedia.org&amp;utm_campaign=imageinfo&amp;utm_content=original</t>
        </is>
      </c>
      <c r="E11" s="44" t="inlineStr">
        <is>
          <t>https://thumb.wikimedia.org/wikipedia/commons/thumb/2/25/%27Huiskamer_jaren_50%27_%2816183341671%29.jpg/1280px-%27Huiskamer_jaren_50%27_%2816183341671%29.jpg</t>
        </is>
      </c>
      <c r="F11" s="53" t="n">
        <v>46318</v>
      </c>
      <c r="G11" s="44" t="inlineStr">
        <is>
          <t>Fotoğraflar/eindhoven_philips-museum_01.jpg</t>
        </is>
      </c>
      <c r="H11" s="44" t="inlineStr">
        <is>
          <t>60e24d3c0ebde63fa619d5f57b7b35a9177bad3580aabc9c91c6fa04192856b7</t>
        </is>
      </c>
      <c r="I11" s="44" t="inlineStr">
        <is>
          <t>Teslimler/WebKopyalari/60e24d3c0ebde63fa619d5f57b7b35a9177bad3580aabc9c91c6fa04192856b7.webp</t>
        </is>
      </c>
      <c r="J11" s="44" t="inlineStr">
        <is>
          <t>7c7096f407162e396f4e1914b7bb74a58c465a70b613a0bbd7e5dc04168d2437</t>
        </is>
      </c>
      <c r="K11" s="44" t="n">
        <v>1280</v>
      </c>
      <c r="L11" s="44" t="n">
        <v>960</v>
      </c>
      <c r="M11" s="44" t="inlineStr">
        <is>
          <t>Özgün teslim dosyası korundu. EXIF yönü uygulandı; kırpma yapılmadan en çok 1600 px, WebP kalite 84. Önceki kaynak değişiklik notları ayrıca korunur.</t>
        </is>
      </c>
      <c r="N11" s="44" t="inlineStr">
        <is>
          <t>Kayıttan doğrulandı</t>
        </is>
      </c>
      <c r="O11" s="44" t="n"/>
    </row>
    <row r="12" ht="54" customHeight="1">
      <c r="A12" s="44" t="inlineStr">
        <is>
          <t>eindhoven:photo:philips-museum-02</t>
        </is>
      </c>
      <c r="B12" s="44" t="inlineStr">
        <is>
          <t>https://www.wikidata.org/wiki/Q15080600</t>
        </is>
      </c>
      <c r="C12" s="44" t="inlineStr">
        <is>
          <t>https://www.wikidata.org/wiki/Q15080600</t>
        </is>
      </c>
      <c r="D12" s="44" t="inlineStr">
        <is>
          <t>https://upload.wikimedia.org/wikipedia/commons/4/4f/13-06-28-eindhoven-by-RalfR-30.jpg?utm_source=commons.wikimedia.org&amp;utm_campaign=imageinfo&amp;utm_content=original</t>
        </is>
      </c>
      <c r="E12" s="44" t="inlineStr">
        <is>
          <t>https://thumb.wikimedia.org/wikipedia/commons/thumb/4/4f/13-06-28-eindhoven-by-RalfR-30.jpg/1280px-13-06-28-eindhoven-by-RalfR-30.jpg</t>
        </is>
      </c>
      <c r="F12" s="53" t="n">
        <v>46318</v>
      </c>
      <c r="G12" s="44" t="inlineStr">
        <is>
          <t>Fotoğraflar/eindhoven_philips-museum_02.jpg</t>
        </is>
      </c>
      <c r="H12" s="44" t="inlineStr">
        <is>
          <t>631d28d214d0ad47704c33838f16b1a12eecfb99f03d0ee673011adb0f753102</t>
        </is>
      </c>
      <c r="I12" s="44" t="inlineStr">
        <is>
          <t>Teslimler/WebKopyalari/631d28d214d0ad47704c33838f16b1a12eecfb99f03d0ee673011adb0f753102.webp</t>
        </is>
      </c>
      <c r="J12" s="44" t="inlineStr">
        <is>
          <t>e3f4f50b18c050e659683fe54274911e87f94341e45fca48e377aa7fbb650766</t>
        </is>
      </c>
      <c r="K12" s="44" t="n">
        <v>1063</v>
      </c>
      <c r="L12" s="44" t="n">
        <v>1600</v>
      </c>
      <c r="M12" s="44" t="inlineStr">
        <is>
          <t>Özgün teslim dosyası korundu. EXIF yönü uygulandı; kırpma yapılmadan en çok 1600 px, WebP kalite 84. Önceki kaynak değişiklik notları ayrıca korunur.</t>
        </is>
      </c>
      <c r="N12" s="44" t="inlineStr">
        <is>
          <t>Kayıttan doğrulandı</t>
        </is>
      </c>
      <c r="O12" s="44" t="n"/>
    </row>
    <row r="13" ht="54" customHeight="1">
      <c r="A13" s="44" t="inlineStr">
        <is>
          <t>eindhoven:photo:philips-museum-03</t>
        </is>
      </c>
      <c r="B13" s="44" t="inlineStr">
        <is>
          <t>https://commons.wikimedia.org/wiki/User:Michielverbeek</t>
        </is>
      </c>
      <c r="C13" s="44" t="inlineStr">
        <is>
          <t>https://commons.wikimedia.org/wiki/User:Michielverbeek</t>
        </is>
      </c>
      <c r="D13" s="44" t="inlineStr">
        <is>
          <t>https://upload.wikimedia.org/wikipedia/commons/4/41/Eindhoven%2C_het_Philps_Museum_IMG_8543_2019-01-20_09.44.jpg?utm_source=commons.wikimedia.org&amp;utm_campaign=imageinfo&amp;utm_content=original</t>
        </is>
      </c>
      <c r="E13" s="44" t="inlineStr">
        <is>
          <t>https://thumb.wikimedia.org/wikipedia/commons/thumb/4/41/Eindhoven%2C_het_Philps_Museum_IMG_8543_2019-01-20_09.44.jpg/1280px-Eindhoven%2C_het_Philps_Museum_IMG_8543_2019-01-20_09.44.jpg</t>
        </is>
      </c>
      <c r="F13" s="53" t="n">
        <v>46318</v>
      </c>
      <c r="G13" s="44" t="inlineStr">
        <is>
          <t>Fotoğraflar/eindhoven_philips-museum_03.jpg</t>
        </is>
      </c>
      <c r="H13" s="44" t="inlineStr">
        <is>
          <t>c08a55aaed020ccb0104adba5b9043aa47bcc488b5911e5a9c1307fa900bc511</t>
        </is>
      </c>
      <c r="I13" s="44" t="inlineStr">
        <is>
          <t>Teslimler/WebKopyalari/c08a55aaed020ccb0104adba5b9043aa47bcc488b5911e5a9c1307fa900bc511.webp</t>
        </is>
      </c>
      <c r="J13" s="44" t="inlineStr">
        <is>
          <t>57a430e557c21bb3779254e8927fbe81cccad7eb9b34578533c7b4b782fa58ba</t>
        </is>
      </c>
      <c r="K13" s="44" t="n">
        <v>1105</v>
      </c>
      <c r="L13" s="44" t="n">
        <v>1600</v>
      </c>
      <c r="M13" s="44" t="inlineStr">
        <is>
          <t>Özgün teslim dosyası korundu. EXIF yönü uygulandı; kırpma yapılmadan en çok 1600 px, WebP kalite 84. Önceki kaynak değişiklik notları ayrıca korunur.</t>
        </is>
      </c>
      <c r="N13" s="44" t="inlineStr">
        <is>
          <t>Kayıttan doğrulandı</t>
        </is>
      </c>
      <c r="O13" s="44" t="n"/>
    </row>
    <row r="14" ht="54" customHeight="1">
      <c r="A14" s="44" t="inlineStr">
        <is>
          <t>eindhoven:photo:daf-museum-01</t>
        </is>
      </c>
      <c r="B14" s="44" t="inlineStr">
        <is>
          <t>https://commons.wikimedia.org/wiki/User:GVR</t>
        </is>
      </c>
      <c r="C14" s="44" t="inlineStr">
        <is>
          <t>https://commons.wikimedia.org/wiki/User:GVR</t>
        </is>
      </c>
      <c r="D14" s="44" t="inlineStr">
        <is>
          <t>https://upload.wikimedia.org/wikipedia/commons/d/de/518825_Stoombierbrouwerij_De_Valk_%28later_DAF_Museum%29.jpg?utm_source=commons.wikimedia.org&amp;utm_campaign=imageinfo&amp;utm_content=original</t>
        </is>
      </c>
      <c r="E14" s="44" t="inlineStr">
        <is>
          <t>https://thumb.wikimedia.org/wikipedia/commons/thumb/d/de/518825_Stoombierbrouwerij_De_Valk_%28later_DAF_Museum%29.jpg/1280px-518825_Stoombierbrouwerij_De_Valk_%28later_DAF_Museum%29.jpg</t>
        </is>
      </c>
      <c r="F14" s="53" t="n">
        <v>46318</v>
      </c>
      <c r="G14" s="44" t="inlineStr">
        <is>
          <t>Fotoğraflar/eindhoven_daf-museum_01.jpg</t>
        </is>
      </c>
      <c r="H14" s="44" t="inlineStr">
        <is>
          <t>76c641e99d2c79c496ff68a4da517f07b4ff9012206789ff2029f130085e0abd</t>
        </is>
      </c>
      <c r="I14" s="44" t="inlineStr">
        <is>
          <t>Teslimler/WebKopyalari/76c641e99d2c79c496ff68a4da517f07b4ff9012206789ff2029f130085e0abd.webp</t>
        </is>
      </c>
      <c r="J14" s="44" t="inlineStr">
        <is>
          <t>789ce132fc8a70629d3f2ee41e5c56eaf95f4dc1fbe2f8f3b06b4067c2209edf</t>
        </is>
      </c>
      <c r="K14" s="44" t="n">
        <v>1280</v>
      </c>
      <c r="L14" s="44" t="n">
        <v>802</v>
      </c>
      <c r="M14" s="44" t="inlineStr">
        <is>
          <t>Özgün teslim dosyası korundu. EXIF yönü uygulandı; kırpma yapılmadan en çok 1600 px, WebP kalite 84. Önceki kaynak değişiklik notları ayrıca korunur.</t>
        </is>
      </c>
      <c r="N14" s="44" t="inlineStr">
        <is>
          <t>Kayıttan doğrulandı</t>
        </is>
      </c>
      <c r="O14" s="44" t="n"/>
    </row>
    <row r="15" ht="54" customHeight="1">
      <c r="A15" s="44" t="inlineStr">
        <is>
          <t>eindhoven:photo:daf-museum-02</t>
        </is>
      </c>
      <c r="B15" s="44" t="inlineStr">
        <is>
          <t>https://commons.wikimedia.org/wiki/User:S._Perquin</t>
        </is>
      </c>
      <c r="C15" s="44" t="inlineStr">
        <is>
          <t>https://commons.wikimedia.org/wiki/User:S._Perquin</t>
        </is>
      </c>
      <c r="D15" s="44" t="inlineStr">
        <is>
          <t>https://upload.wikimedia.org/wikipedia/commons/0/0c/DAF_Museum_%282024%29.jpg?utm_source=commons.wikimedia.org&amp;utm_campaign=imageinfo&amp;utm_content=original</t>
        </is>
      </c>
      <c r="E15" s="44" t="inlineStr">
        <is>
          <t>https://thumb.wikimedia.org/wikipedia/commons/thumb/0/0c/DAF_Museum_%282024%29.jpg/1280px-DAF_Museum_%282024%29.jpg</t>
        </is>
      </c>
      <c r="F15" s="53" t="n">
        <v>46318</v>
      </c>
      <c r="G15" s="44" t="inlineStr">
        <is>
          <t>Fotoğraflar/eindhoven_daf-museum_02.jpg</t>
        </is>
      </c>
      <c r="H15" s="44" t="inlineStr">
        <is>
          <t>d51c139c8fcd3646644be903c783da8b057490059e17e9213dd3331312a84ac7</t>
        </is>
      </c>
      <c r="I15" s="44" t="inlineStr">
        <is>
          <t>Teslimler/WebKopyalari/d51c139c8fcd3646644be903c783da8b057490059e17e9213dd3331312a84ac7.webp</t>
        </is>
      </c>
      <c r="J15" s="44" t="inlineStr">
        <is>
          <t>8828f68680211a83798acaa6ad004dc8442e48fa28f97a3a908f3c0d77bfab87</t>
        </is>
      </c>
      <c r="K15" s="44" t="n">
        <v>1280</v>
      </c>
      <c r="L15" s="44" t="n">
        <v>853</v>
      </c>
      <c r="M15" s="44" t="inlineStr">
        <is>
          <t>Özgün teslim dosyası korundu. EXIF yönü uygulandı; kırpma yapılmadan en çok 1600 px, WebP kalite 84. Önceki kaynak değişiklik notları ayrıca korunur.</t>
        </is>
      </c>
      <c r="N15" s="44" t="inlineStr">
        <is>
          <t>Kayıttan doğrulandı</t>
        </is>
      </c>
      <c r="O15" s="44" t="n"/>
    </row>
    <row r="16" ht="54" customHeight="1">
      <c r="A16" s="44" t="inlineStr">
        <is>
          <t>eindhoven:photo:next-nature-museum-01</t>
        </is>
      </c>
      <c r="B16" s="44" t="n"/>
      <c r="C16" s="44" t="inlineStr">
        <is>
          <t>https://commons.wikimedia.org/wiki/File:Eindhoven-Evoluon-2023.jpg</t>
        </is>
      </c>
      <c r="D16" s="44" t="inlineStr">
        <is>
          <t>https://upload.wikimedia.org/wikipedia/commons/d/db/Eindhoven-Evoluon-2023.jpg?utm_source=commons.wikimedia.org&amp;utm_campaign=imageinfo&amp;utm_content=original</t>
        </is>
      </c>
      <c r="E16" s="44" t="inlineStr">
        <is>
          <t>https://thumb.wikimedia.org/wikipedia/commons/thumb/d/db/Eindhoven-Evoluon-2023.jpg/1280px-Eindhoven-Evoluon-2023.jpg</t>
        </is>
      </c>
      <c r="F16" s="53" t="n">
        <v>46318</v>
      </c>
      <c r="G16" s="44" t="inlineStr">
        <is>
          <t>Fotoğraflar/eindhoven_next-nature-museum_01.jpg</t>
        </is>
      </c>
      <c r="H16" s="44" t="inlineStr">
        <is>
          <t>e26613c4a69b54e61797a970a3410ed3304ab4352690214f4f3ecf9c22a80b5b</t>
        </is>
      </c>
      <c r="I16" s="44" t="inlineStr">
        <is>
          <t>Teslimler/WebKopyalari/e26613c4a69b54e61797a970a3410ed3304ab4352690214f4f3ecf9c22a80b5b.webp</t>
        </is>
      </c>
      <c r="J16" s="44" t="inlineStr">
        <is>
          <t>773c9ac58b5fb3a15252029639053549036192b380b5a5b85c1fdd4c1e5ae0e9</t>
        </is>
      </c>
      <c r="K16" s="44" t="n">
        <v>1280</v>
      </c>
      <c r="L16" s="44" t="n">
        <v>800</v>
      </c>
      <c r="M16" s="44" t="inlineStr">
        <is>
          <t>Özgün teslim dosyası korundu. EXIF yönü uygulandı; kırpma yapılmadan en çok 1600 px, WebP kalite 84. Önceki kaynak değişiklik notları ayrıca korunur.</t>
        </is>
      </c>
      <c r="N16" s="44" t="inlineStr">
        <is>
          <t>Eksik alan var</t>
        </is>
      </c>
      <c r="O16" s="44" t="inlineStr">
        <is>
          <t>Kaynakta ayrı fotoğrafçı profil bağlantısı bulunmadı; fotoğraf kaynak sayfasına atıf korunur. Bağlantı uydurulmaz.</t>
        </is>
      </c>
    </row>
    <row r="17" ht="54" customHeight="1">
      <c r="A17" s="44" t="inlineStr">
        <is>
          <t>eindhoven:photo:next-nature-museum-02</t>
        </is>
      </c>
      <c r="B17" s="44" t="inlineStr">
        <is>
          <t>https://commons.wikimedia.org/wiki/User:Lempkesfabriek</t>
        </is>
      </c>
      <c r="C17" s="44" t="inlineStr">
        <is>
          <t>https://commons.wikimedia.org/wiki/User:Lempkesfabriek</t>
        </is>
      </c>
      <c r="D17" s="44" t="inlineStr">
        <is>
          <t>https://upload.wikimedia.org/wikipedia/commons/3/36/Evoluon_kunstwerk_Carasso02.jpg?utm_source=commons.wikimedia.org&amp;utm_campaign=imageinfo&amp;utm_content=original</t>
        </is>
      </c>
      <c r="E17" s="44" t="inlineStr">
        <is>
          <t>https://thumb.wikimedia.org/wikipedia/commons/thumb/3/36/Evoluon_kunstwerk_Carasso02.jpg/1280px-Evoluon_kunstwerk_Carasso02.jpg</t>
        </is>
      </c>
      <c r="F17" s="53" t="n">
        <v>46318</v>
      </c>
      <c r="G17" s="44" t="inlineStr">
        <is>
          <t>Fotoğraflar/eindhoven_next-nature-museum_02.jpg</t>
        </is>
      </c>
      <c r="H17" s="44" t="inlineStr">
        <is>
          <t>f565390ff7f978a0bd6506ea36f9210a1dffd1a5d5bbb91715fd908eb3f58ceb</t>
        </is>
      </c>
      <c r="I17" s="44" t="inlineStr">
        <is>
          <t>Teslimler/WebKopyalari/f565390ff7f978a0bd6506ea36f9210a1dffd1a5d5bbb91715fd908eb3f58ceb.webp</t>
        </is>
      </c>
      <c r="J17" s="44" t="inlineStr">
        <is>
          <t>12bbbc525da684faf276c2a6b4aeb3b081eac55ffbe1d0bccfb8afb66afefba3</t>
        </is>
      </c>
      <c r="K17" s="44" t="n">
        <v>1280</v>
      </c>
      <c r="L17" s="44" t="n">
        <v>962</v>
      </c>
      <c r="M17" s="44" t="inlineStr">
        <is>
          <t>Özgün teslim dosyası korundu. EXIF yönü uygulandı; kırpma yapılmadan en çok 1600 px, WebP kalite 84. Önceki kaynak değişiklik notları ayrıca korunur.</t>
        </is>
      </c>
      <c r="N17" s="44" t="inlineStr">
        <is>
          <t>Kayıttan doğrulandı</t>
        </is>
      </c>
      <c r="O17" s="44" t="n"/>
    </row>
    <row r="18" ht="54" customHeight="1">
      <c r="A18" s="44" t="inlineStr">
        <is>
          <t>eindhoven:photo:psv-museum-01</t>
        </is>
      </c>
      <c r="B18" s="44" t="inlineStr">
        <is>
          <t>https://www.flickr.com/people/30364433@N05</t>
        </is>
      </c>
      <c r="C18" s="44" t="inlineStr">
        <is>
          <t>https://www.flickr.com/people/30364433@N05</t>
        </is>
      </c>
      <c r="D18" s="44" t="inlineStr">
        <is>
          <t>https://upload.wikimedia.org/wikipedia/commons/4/47/Eendracht_Maakt_Macht_%285020112117%29.jpg?utm_source=commons.wikimedia.org&amp;utm_campaign=imageinfo&amp;utm_content=original</t>
        </is>
      </c>
      <c r="E18" s="44" t="inlineStr">
        <is>
          <t>https://thumb.wikimedia.org/wikipedia/commons/thumb/4/47/Eendracht_Maakt_Macht_%285020112117%29.jpg/1280px-Eendracht_Maakt_Macht_%285020112117%29.jpg</t>
        </is>
      </c>
      <c r="F18" s="53" t="n">
        <v>46318</v>
      </c>
      <c r="G18" s="44" t="inlineStr">
        <is>
          <t>Fotoğraflar/eindhoven_psv-museum_01.jpg</t>
        </is>
      </c>
      <c r="H18" s="44" t="inlineStr">
        <is>
          <t>8d400e1b199307dd9e11be9d626c20299b0feb3b8a0680b9b64f6bfa978768c6</t>
        </is>
      </c>
      <c r="I18" s="44" t="inlineStr">
        <is>
          <t>Teslimler/WebKopyalari/8d400e1b199307dd9e11be9d626c20299b0feb3b8a0680b9b64f6bfa978768c6.webp</t>
        </is>
      </c>
      <c r="J18" s="44" t="inlineStr">
        <is>
          <t>20e12ea442ff2ae32b1480815741e32ee38ed07a655b3ab1937becd965321a86</t>
        </is>
      </c>
      <c r="K18" s="44" t="n">
        <v>1280</v>
      </c>
      <c r="L18" s="44" t="n">
        <v>851</v>
      </c>
      <c r="M18" s="44" t="inlineStr">
        <is>
          <t>Özgün teslim dosyası korundu. EXIF yönü uygulandı; kırpma yapılmadan en çok 1600 px, WebP kalite 84. Önceki kaynak değişiklik notları ayrıca korunur.</t>
        </is>
      </c>
      <c r="N18" s="44" t="inlineStr">
        <is>
          <t>Kayıttan doğrulandı</t>
        </is>
      </c>
      <c r="O18" s="44" t="n"/>
    </row>
    <row r="19" ht="54" customHeight="1">
      <c r="A19" s="44" t="inlineStr">
        <is>
          <t>eindhoven:photo:psv-museum-02</t>
        </is>
      </c>
      <c r="B19" s="44" t="inlineStr">
        <is>
          <t>https://www.flickr.com/people/30364433@N05</t>
        </is>
      </c>
      <c r="C19" s="44" t="inlineStr">
        <is>
          <t>https://www.flickr.com/people/30364433@N05</t>
        </is>
      </c>
      <c r="D19" s="44" t="inlineStr">
        <is>
          <t>https://upload.wikimedia.org/wikipedia/commons/a/a7/Philips_Stadion_%285020111085%29.jpg?utm_source=commons.wikimedia.org&amp;utm_campaign=imageinfo&amp;utm_content=original</t>
        </is>
      </c>
      <c r="E19" s="44" t="inlineStr">
        <is>
          <t>https://thumb.wikimedia.org/wikipedia/commons/thumb/a/a7/Philips_Stadion_%285020111085%29.jpg/1280px-Philips_Stadion_%285020111085%29.jpg</t>
        </is>
      </c>
      <c r="F19" s="53" t="n">
        <v>46318</v>
      </c>
      <c r="G19" s="44" t="inlineStr">
        <is>
          <t>Fotoğraflar/eindhoven_psv-museum_02.jpg</t>
        </is>
      </c>
      <c r="H19" s="44" t="inlineStr">
        <is>
          <t>8c67d2c944784507071114ded9f76608798ba8ce130641caf6b94cf7eb10c8a4</t>
        </is>
      </c>
      <c r="I19" s="44" t="inlineStr">
        <is>
          <t>Teslimler/WebKopyalari/8c67d2c944784507071114ded9f76608798ba8ce130641caf6b94cf7eb10c8a4.webp</t>
        </is>
      </c>
      <c r="J19" s="44" t="inlineStr">
        <is>
          <t>3cd24ac2abf5c88fc7624380a5d0d53177025923d246b9b1490d4b60a5cdeb84</t>
        </is>
      </c>
      <c r="K19" s="44" t="n">
        <v>1280</v>
      </c>
      <c r="L19" s="44" t="n">
        <v>851</v>
      </c>
      <c r="M19" s="44" t="inlineStr">
        <is>
          <t>Özgün teslim dosyası korundu. EXIF yönü uygulandı; kırpma yapılmadan en çok 1600 px, WebP kalite 84. Önceki kaynak değişiklik notları ayrıca korunur.</t>
        </is>
      </c>
      <c r="N19" s="44" t="inlineStr">
        <is>
          <t>Kayıttan doğrulandı</t>
        </is>
      </c>
      <c r="O19" s="44" t="n"/>
    </row>
    <row r="20" ht="54" customHeight="1">
      <c r="A20" s="44" t="inlineStr">
        <is>
          <t>eindhoven:photo:erfgoedhuis-eindhoven-01</t>
        </is>
      </c>
      <c r="B20" s="44" t="inlineStr">
        <is>
          <t>https://commons.wikimedia.org/wiki/User:S._Perquin</t>
        </is>
      </c>
      <c r="C20" s="44" t="inlineStr">
        <is>
          <t>https://commons.wikimedia.org/wiki/User:S._Perquin</t>
        </is>
      </c>
      <c r="D20" s="44" t="inlineStr">
        <is>
          <t>https://upload.wikimedia.org/wikipedia/commons/5/52/Erfgoedhuis_Eindhoven%2C_voorwerpen_1200-1600.jpg?utm_source=commons.wikimedia.org&amp;utm_campaign=imageinfo&amp;utm_content=original</t>
        </is>
      </c>
      <c r="E20" s="44" t="inlineStr">
        <is>
          <t>https://thumb.wikimedia.org/wikipedia/commons/thumb/5/52/Erfgoedhuis_Eindhoven%2C_voorwerpen_1200-1600.jpg/1280px-Erfgoedhuis_Eindhoven%2C_voorwerpen_1200-1600.jpg</t>
        </is>
      </c>
      <c r="F20" s="53" t="n">
        <v>46318</v>
      </c>
      <c r="G20" s="44" t="inlineStr">
        <is>
          <t>Fotoğraflar/eindhoven_erfgoedhuis-eindhoven_01.jpg</t>
        </is>
      </c>
      <c r="H20" s="44" t="inlineStr">
        <is>
          <t>503bcd00360e5495f7df8618253349878598df1e917755465864cf2c3c169b20</t>
        </is>
      </c>
      <c r="I20" s="44" t="inlineStr">
        <is>
          <t>Teslimler/WebKopyalari/503bcd00360e5495f7df8618253349878598df1e917755465864cf2c3c169b20.webp</t>
        </is>
      </c>
      <c r="J20" s="44" t="inlineStr">
        <is>
          <t>6fbe96ee19c4507eb9d3aca7432b031f06eae3eea4f1f4e62a1246d09cd9d23d</t>
        </is>
      </c>
      <c r="K20" s="44" t="n">
        <v>1280</v>
      </c>
      <c r="L20" s="44" t="n">
        <v>853</v>
      </c>
      <c r="M20" s="44" t="inlineStr">
        <is>
          <t>Özgün teslim dosyası korundu. EXIF yönü uygulandı; kırpma yapılmadan en çok 1600 px, WebP kalite 84. Önceki kaynak değişiklik notları ayrıca korunur.</t>
        </is>
      </c>
      <c r="N20" s="44" t="inlineStr">
        <is>
          <t>Kayıttan doğrulandı</t>
        </is>
      </c>
      <c r="O20" s="44" t="n"/>
    </row>
    <row r="21" ht="54" customHeight="1">
      <c r="A21" s="44" t="inlineStr">
        <is>
          <t>eindhoven:photo:dr-a-f-philips-sterrenwacht-01</t>
        </is>
      </c>
      <c r="B21" s="44" t="inlineStr">
        <is>
          <t>https://commons.wikimedia.org/wiki/User:GVR</t>
        </is>
      </c>
      <c r="C21" s="44" t="inlineStr">
        <is>
          <t>https://commons.wikimedia.org/wiki/User:GVR</t>
        </is>
      </c>
      <c r="D21" s="44" t="inlineStr">
        <is>
          <t>https://upload.wikimedia.org/wikipedia/commons/6/63/518824_Dr._A.F._Philips_Observatorium.jpg?utm_source=commons.wikimedia.org&amp;utm_campaign=imageinfo&amp;utm_content=original</t>
        </is>
      </c>
      <c r="E21" s="44" t="inlineStr">
        <is>
          <t>https://thumb.wikimedia.org/wikipedia/commons/thumb/6/63/518824_Dr._A.F._Philips_Observatorium.jpg/1280px-518824_Dr._A.F._Philips_Observatorium.jpg</t>
        </is>
      </c>
      <c r="F21" s="53" t="n">
        <v>46318</v>
      </c>
      <c r="G21" s="44" t="inlineStr">
        <is>
          <t>Fotoğraflar/eindhoven_dr-a-f-philips-sterrenwacht_01.jpg</t>
        </is>
      </c>
      <c r="H21" s="44" t="inlineStr">
        <is>
          <t>9a9f3213888af4b184f6b7af14264fe49f75e05caaf515b8d8552de746a29976</t>
        </is>
      </c>
      <c r="I21" s="44" t="inlineStr">
        <is>
          <t>Teslimler/WebKopyalari/9a9f3213888af4b184f6b7af14264fe49f75e05caaf515b8d8552de746a29976.webp</t>
        </is>
      </c>
      <c r="J21" s="44" t="inlineStr">
        <is>
          <t>8af52c62395443a7a68c7475b70454132b0c2f2ff2c75bf8667d66e4fd8a8975</t>
        </is>
      </c>
      <c r="K21" s="44" t="n">
        <v>1280</v>
      </c>
      <c r="L21" s="44" t="n">
        <v>853</v>
      </c>
      <c r="M21" s="44" t="inlineStr">
        <is>
          <t>Özgün teslim dosyası korundu. EXIF yönü uygulandı; kırpma yapılmadan en çok 1600 px, WebP kalite 84. Önceki kaynak değişiklik notları ayrıca korunur.</t>
        </is>
      </c>
      <c r="N21" s="44" t="inlineStr">
        <is>
          <t>Kayıttan doğrulandı</t>
        </is>
      </c>
      <c r="O21" s="44" t="n"/>
    </row>
    <row r="22" ht="54" customHeight="1">
      <c r="A22" s="44" t="inlineStr">
        <is>
          <t>eindhoven:photo:dr-a-f-philips-sterrenwacht-02</t>
        </is>
      </c>
      <c r="B22" s="44" t="inlineStr">
        <is>
          <t>https://commons.wikimedia.org/wiki/User:Rosemoon</t>
        </is>
      </c>
      <c r="C22" s="44" t="inlineStr">
        <is>
          <t>https://commons.wikimedia.org/wiki/User:Rosemoon</t>
        </is>
      </c>
      <c r="D22" s="44" t="inlineStr">
        <is>
          <t>https://upload.wikimedia.org/wikipedia/commons/1/16/Dr._A.F._Philipsobservatorium_Eindhoven.JPG?utm_source=commons.wikimedia.org&amp;utm_campaign=imageinfo&amp;utm_content=original</t>
        </is>
      </c>
      <c r="E22" s="44" t="inlineStr">
        <is>
          <t>https://thumb.wikimedia.org/wikipedia/commons/thumb/1/16/Dr._A.F._Philipsobservatorium_Eindhoven.JPG/1280px-Dr._A.F._Philipsobservatorium_Eindhoven.JPG</t>
        </is>
      </c>
      <c r="F22" s="53" t="n">
        <v>46318</v>
      </c>
      <c r="G22" s="44" t="inlineStr">
        <is>
          <t>Fotoğraflar/eindhoven_dr-a-f-philips-sterrenwacht_02.jpg</t>
        </is>
      </c>
      <c r="H22" s="44" t="inlineStr">
        <is>
          <t>e12e70bb93f97d240741358104efac7b201bc889d7b6d83c929ddb754f399640</t>
        </is>
      </c>
      <c r="I22" s="44" t="inlineStr">
        <is>
          <t>Teslimler/WebKopyalari/e12e70bb93f97d240741358104efac7b201bc889d7b6d83c929ddb754f399640.webp</t>
        </is>
      </c>
      <c r="J22" s="44" t="inlineStr">
        <is>
          <t>db84e481fa23d28d9e21afc985bf9c5bfc9c43f3e6c67a1e6b65824b6ff39820</t>
        </is>
      </c>
      <c r="K22" s="44" t="n">
        <v>1200</v>
      </c>
      <c r="L22" s="44" t="n">
        <v>1600</v>
      </c>
      <c r="M22" s="44" t="inlineStr">
        <is>
          <t>Özgün teslim dosyası korundu. EXIF yönü uygulandı; kırpma yapılmadan en çok 1600 px, WebP kalite 84. Önceki kaynak değişiklik notları ayrıca korunur.</t>
        </is>
      </c>
      <c r="N22" s="44" t="inlineStr">
        <is>
          <t>Kayıttan doğrulandı</t>
        </is>
      </c>
      <c r="O22" s="44" t="n"/>
    </row>
    <row r="23" ht="54" customHeight="1">
      <c r="A23" s="44" t="inlineStr">
        <is>
          <t>eindhoven:photo:dr-a-f-philips-sterrenwacht-03</t>
        </is>
      </c>
      <c r="B23" s="44" t="n"/>
      <c r="C23" s="44" t="inlineStr">
        <is>
          <t>https://commons.wikimedia.org/wiki/File:Telescoop_Sterrenwacht_Eindhoven.jpg</t>
        </is>
      </c>
      <c r="D23" s="44" t="inlineStr">
        <is>
          <t>https://upload.wikimedia.org/wikipedia/commons/6/6b/Telescoop_Sterrenwacht_Eindhoven.jpg?utm_source=commons.wikimedia.org&amp;utm_campaign=imageinfo&amp;utm_content=original</t>
        </is>
      </c>
      <c r="E23" s="44" t="inlineStr">
        <is>
          <t>https://thumb.wikimedia.org/wikipedia/commons/thumb/6/6b/Telescoop_Sterrenwacht_Eindhoven.jpg/1280px-Telescoop_Sterrenwacht_Eindhoven.jpg</t>
        </is>
      </c>
      <c r="F23" s="53" t="n">
        <v>46318</v>
      </c>
      <c r="G23" s="44" t="inlineStr">
        <is>
          <t>Fotoğraflar/eindhoven_dr-a-f-philips-sterrenwacht_03.jpg</t>
        </is>
      </c>
      <c r="H23" s="44" t="inlineStr">
        <is>
          <t>459b05965f2fa4e731d7394b7731c1d93bfcf103513bd81051208b76c5dbc0d1</t>
        </is>
      </c>
      <c r="I23" s="44" t="inlineStr">
        <is>
          <t>Teslimler/WebKopyalari/459b05965f2fa4e731d7394b7731c1d93bfcf103513bd81051208b76c5dbc0d1.webp</t>
        </is>
      </c>
      <c r="J23" s="44" t="inlineStr">
        <is>
          <t>ded1f8a61caaabd425f2add0be1ee088da5da9dbac7c53bde038a632d088f581</t>
        </is>
      </c>
      <c r="K23" s="44" t="n">
        <v>1067</v>
      </c>
      <c r="L23" s="44" t="n">
        <v>1600</v>
      </c>
      <c r="M23" s="44" t="inlineStr">
        <is>
          <t>Özgün teslim dosyası korundu. EXIF yönü uygulandı; kırpma yapılmadan en çok 1600 px, WebP kalite 84. Önceki kaynak değişiklik notları ayrıca korunur.</t>
        </is>
      </c>
      <c r="N23" s="44" t="inlineStr">
        <is>
          <t>Eksik alan var</t>
        </is>
      </c>
      <c r="O23" s="44" t="inlineStr">
        <is>
          <t>Kaynakta ayrı fotoğrafçı profil bağlantısı bulunmadı; fotoğraf kaynak sayfasına atıf korunur. Bağlantı uydurulmaz.</t>
        </is>
      </c>
    </row>
    <row r="24" ht="54" customHeight="1">
      <c r="A24" s="44" t="inlineStr">
        <is>
          <t>eindhoven:photo:museumpark-vonk-prehistorisch-dorp-01</t>
        </is>
      </c>
      <c r="B24" s="44" t="inlineStr">
        <is>
          <t>https://www.wikidata.org/wiki/Q124428562</t>
        </is>
      </c>
      <c r="C24" s="44" t="inlineStr">
        <is>
          <t>https://www.wikidata.org/wiki/Q124428562</t>
        </is>
      </c>
      <c r="D24" s="44" t="inlineStr">
        <is>
          <t>https://upload.wikimedia.org/wikipedia/commons/c/ce/Gebouw_Museumpark_VONK_%282026%29_%281%29.jpg?utm_source=commons.wikimedia.org&amp;utm_campaign=imageinfo&amp;utm_content=original</t>
        </is>
      </c>
      <c r="E24" s="44" t="inlineStr">
        <is>
          <t>https://thumb.wikimedia.org/wikipedia/commons/thumb/c/ce/Gebouw_Museumpark_VONK_%282026%29_%281%29.jpg/1280px-Gebouw_Museumpark_VONK_%282026%29_%281%29.jpg</t>
        </is>
      </c>
      <c r="F24" s="53" t="n">
        <v>46318</v>
      </c>
      <c r="G24" s="44" t="inlineStr">
        <is>
          <t>Fotoğraflar/eindhoven_museumpark-vonk-prehistorisch-dorp_01.jpg</t>
        </is>
      </c>
      <c r="H24" s="44" t="inlineStr">
        <is>
          <t>40d405c36a973dea828232acbbfc4e73d25c7235997c952a3d1b70225d373fbf</t>
        </is>
      </c>
      <c r="I24" s="44" t="inlineStr">
        <is>
          <t>Teslimler/WebKopyalari/40d405c36a973dea828232acbbfc4e73d25c7235997c952a3d1b70225d373fbf.webp</t>
        </is>
      </c>
      <c r="J24" s="44" t="inlineStr">
        <is>
          <t>2b2813679422b2b36954811ec8f6167832e491b147f1dca6dd08efce6e369d09</t>
        </is>
      </c>
      <c r="K24" s="44" t="n">
        <v>1280</v>
      </c>
      <c r="L24" s="44" t="n">
        <v>853</v>
      </c>
      <c r="M24" s="44" t="inlineStr">
        <is>
          <t>Özgün teslim dosyası korundu. EXIF yönü uygulandı; kırpma yapılmadan en çok 1600 px, WebP kalite 84. Önceki kaynak değişiklik notları ayrıca korunur.</t>
        </is>
      </c>
      <c r="N24" s="44" t="inlineStr">
        <is>
          <t>Kayıttan doğrulandı</t>
        </is>
      </c>
      <c r="O24" s="44" t="n"/>
    </row>
    <row r="25" ht="54" customHeight="1">
      <c r="A25" s="44" t="inlineStr">
        <is>
          <t>eindhoven:photo:museumpark-vonk-prehistorisch-dorp-02</t>
        </is>
      </c>
      <c r="B25" s="44" t="inlineStr">
        <is>
          <t>https://www.wikidata.org/wiki/Q124428562</t>
        </is>
      </c>
      <c r="C25" s="44" t="inlineStr">
        <is>
          <t>https://www.wikidata.org/wiki/Q124428562</t>
        </is>
      </c>
      <c r="D25" s="44" t="inlineStr">
        <is>
          <t>https://upload.wikimedia.org/wikipedia/commons/e/e3/Gebouw_Museumpark_VONK_%282026%29_%282%29.jpg?utm_source=commons.wikimedia.org&amp;utm_campaign=imageinfo&amp;utm_content=original</t>
        </is>
      </c>
      <c r="E25" s="44" t="inlineStr">
        <is>
          <t>https://thumb.wikimedia.org/wikipedia/commons/thumb/e/e3/Gebouw_Museumpark_VONK_%282026%29_%282%29.jpg/1280px-Gebouw_Museumpark_VONK_%282026%29_%282%29.jpg</t>
        </is>
      </c>
      <c r="F25" s="53" t="n">
        <v>46318</v>
      </c>
      <c r="G25" s="44" t="inlineStr">
        <is>
          <t>Fotoğraflar/eindhoven_museumpark-vonk-prehistorisch-dorp_02.jpg</t>
        </is>
      </c>
      <c r="H25" s="44" t="inlineStr">
        <is>
          <t>467d851bedfef77e9be487b79e0ac96ce6357b1e94681fd88e88839f0a3df2bd</t>
        </is>
      </c>
      <c r="I25" s="44" t="inlineStr">
        <is>
          <t>Teslimler/WebKopyalari/467d851bedfef77e9be487b79e0ac96ce6357b1e94681fd88e88839f0a3df2bd.webp</t>
        </is>
      </c>
      <c r="J25" s="44" t="inlineStr">
        <is>
          <t>2467be5b2a156d18292a46db54783f5cc4131c9792c484c9e11036893e04910f</t>
        </is>
      </c>
      <c r="K25" s="44" t="n">
        <v>1280</v>
      </c>
      <c r="L25" s="44" t="n">
        <v>853</v>
      </c>
      <c r="M25" s="44" t="inlineStr">
        <is>
          <t>Özgün teslim dosyası korundu. EXIF yönü uygulandı; kırpma yapılmadan en çok 1600 px, WebP kalite 84. Önceki kaynak değişiklik notları ayrıca korunur.</t>
        </is>
      </c>
      <c r="N25" s="44" t="inlineStr">
        <is>
          <t>Kayıttan doğrulandı</t>
        </is>
      </c>
      <c r="O25" s="44" t="n"/>
    </row>
    <row r="26" ht="54" customHeight="1">
      <c r="A26" s="44" t="inlineStr">
        <is>
          <t>eindhoven:photo:museumpark-vonk-prehistorisch-dorp-03</t>
        </is>
      </c>
      <c r="B26" s="44" t="inlineStr">
        <is>
          <t>https://www.wikidata.org/wiki/Q124428562</t>
        </is>
      </c>
      <c r="C26" s="44" t="inlineStr">
        <is>
          <t>https://www.wikidata.org/wiki/Q124428562</t>
        </is>
      </c>
      <c r="D26" s="44" t="inlineStr">
        <is>
          <t>https://upload.wikimedia.org/wikipedia/commons/c/c8/Gebouw_Museumpark_VONK_%282026%29_%284%29.jpg?utm_source=commons.wikimedia.org&amp;utm_campaign=imageinfo&amp;utm_content=original</t>
        </is>
      </c>
      <c r="E26" s="44" t="inlineStr">
        <is>
          <t>https://thumb.wikimedia.org/wikipedia/commons/thumb/c/c8/Gebouw_Museumpark_VONK_%282026%29_%284%29.jpg/1280px-Gebouw_Museumpark_VONK_%282026%29_%284%29.jpg</t>
        </is>
      </c>
      <c r="F26" s="53" t="n">
        <v>46318</v>
      </c>
      <c r="G26" s="44" t="inlineStr">
        <is>
          <t>Fotoğraflar/eindhoven_museumpark-vonk-prehistorisch-dorp_03.jpg</t>
        </is>
      </c>
      <c r="H26" s="44" t="inlineStr">
        <is>
          <t>9190d4ca4402264ec8755d3bf79acec383300fb1f6979e5efae90e64ad18af76</t>
        </is>
      </c>
      <c r="I26" s="44" t="inlineStr">
        <is>
          <t>Teslimler/WebKopyalari/9190d4ca4402264ec8755d3bf79acec383300fb1f6979e5efae90e64ad18af76.webp</t>
        </is>
      </c>
      <c r="J26" s="44" t="inlineStr">
        <is>
          <t>2ffaa0a3666381cf04712ee46baf97ac786cb6734c96360460e1098b92b0dad3</t>
        </is>
      </c>
      <c r="K26" s="44" t="n">
        <v>1280</v>
      </c>
      <c r="L26" s="44" t="n">
        <v>853</v>
      </c>
      <c r="M26" s="44" t="inlineStr">
        <is>
          <t>Özgün teslim dosyası korundu. EXIF yönü uygulandı; kırpma yapılmadan en çok 1600 px, WebP kalite 84. Önceki kaynak değişiklik notları ayrıca korunur.</t>
        </is>
      </c>
      <c r="N26" s="44" t="inlineStr">
        <is>
          <t>Kayıttan doğrulandı</t>
        </is>
      </c>
      <c r="O26" s="44" t="n"/>
    </row>
    <row r="27" ht="54" customHeight="1">
      <c r="A27" s="44" t="inlineStr">
        <is>
          <t>eindhoven:photo:kevn-kelderman-en-van-noort-01</t>
        </is>
      </c>
      <c r="B27" s="44" t="n"/>
      <c r="C27" s="44" t="inlineStr">
        <is>
          <t>https://commons.wikimedia.org/wiki/File:RM518797_Galileistraat_2,_Eindhoven.jpg</t>
        </is>
      </c>
      <c r="D27" s="44" t="inlineStr">
        <is>
          <t>https://upload.wikimedia.org/wikipedia/commons/0/0d/RM518797_Galileistraat_2%2C_Eindhoven.jpg?utm_source=commons.wikimedia.org&amp;utm_campaign=imageinfo&amp;utm_content=original</t>
        </is>
      </c>
      <c r="E27" s="44" t="inlineStr">
        <is>
          <t>https://thumb.wikimedia.org/wikipedia/commons/thumb/0/0d/RM518797_Galileistraat_2%2C_Eindhoven.jpg/1280px-RM518797_Galileistraat_2%2C_Eindhoven.jpg</t>
        </is>
      </c>
      <c r="F27" s="53" t="n">
        <v>46318</v>
      </c>
      <c r="G27" s="44" t="inlineStr">
        <is>
          <t>Fotoğraflar/eindhoven_kevn-kelderman-en-van-noort_01.jpg</t>
        </is>
      </c>
      <c r="H27" s="44" t="inlineStr">
        <is>
          <t>c93c17d831860a6751db6fb057070db39a8b89092d003b96333a25fe7f6807f4</t>
        </is>
      </c>
      <c r="I27" s="44" t="inlineStr">
        <is>
          <t>Teslimler/WebKopyalari/c93c17d831860a6751db6fb057070db39a8b89092d003b96333a25fe7f6807f4.webp</t>
        </is>
      </c>
      <c r="J27" s="44" t="inlineStr">
        <is>
          <t>f8304450474c0212aa3f89bc12c6ca5d65e7b2e3f86e54e9de0f94813f969cdc</t>
        </is>
      </c>
      <c r="K27" s="44" t="n">
        <v>1280</v>
      </c>
      <c r="L27" s="44" t="n">
        <v>853</v>
      </c>
      <c r="M27" s="44" t="inlineStr">
        <is>
          <t>Özgün teslim dosyası korundu. EXIF yönü uygulandı; kırpma yapılmadan en çok 1600 px, WebP kalite 84. Önceki kaynak değişiklik notları ayrıca korunur.</t>
        </is>
      </c>
      <c r="N27" s="44" t="inlineStr">
        <is>
          <t>Eksik alan var</t>
        </is>
      </c>
      <c r="O27" s="44" t="inlineStr">
        <is>
          <t>Kaynakta ayrı fotoğrafçı profil bağlantısı bulunmadı; fotoğraf kaynak sayfasına atıf korunur. Bağlantı uydurulmaz.</t>
        </is>
      </c>
    </row>
    <row r="28" ht="54" customHeight="1">
      <c r="A28" s="44" t="inlineStr">
        <is>
          <t>eindhoven:photo:baltan-laboratories-01</t>
        </is>
      </c>
      <c r="B28" s="44" t="inlineStr">
        <is>
          <t>https://commons.wikimedia.org/wiki/User:Rosemoon</t>
        </is>
      </c>
      <c r="C28" s="44" t="inlineStr">
        <is>
          <t>https://commons.wikimedia.org/wiki/User:Rosemoon</t>
        </is>
      </c>
      <c r="D28" s="44" t="inlineStr">
        <is>
          <t>https://upload.wikimedia.org/wikipedia/commons/7/70/NatLab_Strijp_S_Eindhoven_ingang_2.JPG?utm_source=commons.wikimedia.org&amp;utm_campaign=imageinfo&amp;utm_content=original</t>
        </is>
      </c>
      <c r="E28" s="44" t="inlineStr">
        <is>
          <t>https://thumb.wikimedia.org/wikipedia/commons/thumb/7/70/NatLab_Strijp_S_Eindhoven_ingang_2.JPG/1280px-NatLab_Strijp_S_Eindhoven_ingang_2.JPG</t>
        </is>
      </c>
      <c r="F28" s="53" t="n">
        <v>46318</v>
      </c>
      <c r="G28" s="44" t="inlineStr">
        <is>
          <t>Fotoğraflar/eindhoven_baltan-laboratories_01.jpg</t>
        </is>
      </c>
      <c r="H28" s="44" t="inlineStr">
        <is>
          <t>aeee38b26a1fc4a59774fc1d28ce0706051c7eb9a2ebb27b454c7f47aac92454</t>
        </is>
      </c>
      <c r="I28" s="44" t="inlineStr">
        <is>
          <t>Teslimler/WebKopyalari/aeee38b26a1fc4a59774fc1d28ce0706051c7eb9a2ebb27b454c7f47aac92454.webp</t>
        </is>
      </c>
      <c r="J28" s="44" t="inlineStr">
        <is>
          <t>046d0db7658606f60720b88552038767485e50cca95a9dcd494a6dc858fd5bd0</t>
        </is>
      </c>
      <c r="K28" s="44" t="n">
        <v>1280</v>
      </c>
      <c r="L28" s="44" t="n">
        <v>960</v>
      </c>
      <c r="M28" s="44" t="inlineStr">
        <is>
          <t>Özgün teslim dosyası korundu. EXIF yönü uygulandı; kırpma yapılmadan en çok 1600 px, WebP kalite 84. Önceki kaynak değişiklik notları ayrıca korunur.</t>
        </is>
      </c>
      <c r="N28" s="44" t="inlineStr">
        <is>
          <t>Kayıttan doğrulandı</t>
        </is>
      </c>
      <c r="O28" s="44" t="n"/>
    </row>
    <row r="29" ht="54" customHeight="1">
      <c r="A29" s="44" t="inlineStr">
        <is>
          <t>eindhoven:photo:baltan-laboratories-02</t>
        </is>
      </c>
      <c r="B29" s="44" t="inlineStr">
        <is>
          <t>https://commons.wikimedia.org/wiki/User:Rosemoon</t>
        </is>
      </c>
      <c r="C29" s="44" t="inlineStr">
        <is>
          <t>https://commons.wikimedia.org/wiki/User:Rosemoon</t>
        </is>
      </c>
      <c r="D29" s="44" t="inlineStr">
        <is>
          <t>https://upload.wikimedia.org/wikipedia/commons/d/d3/NatLab_Strijp_S_Eindhoven_ingang.JPG?utm_source=commons.wikimedia.org&amp;utm_campaign=imageinfo&amp;utm_content=original</t>
        </is>
      </c>
      <c r="E29" s="44" t="inlineStr">
        <is>
          <t>https://thumb.wikimedia.org/wikipedia/commons/thumb/d/d3/NatLab_Strijp_S_Eindhoven_ingang.JPG/1280px-NatLab_Strijp_S_Eindhoven_ingang.JPG</t>
        </is>
      </c>
      <c r="F29" s="53" t="n">
        <v>46318</v>
      </c>
      <c r="G29" s="44" t="inlineStr">
        <is>
          <t>Fotoğraflar/eindhoven_baltan-laboratories_02.jpg</t>
        </is>
      </c>
      <c r="H29" s="44" t="inlineStr">
        <is>
          <t>b4d79294591ded35855bfd40bb67cddc9df435608b28a95fc9e91bd9b9a20f8b</t>
        </is>
      </c>
      <c r="I29" s="44" t="inlineStr">
        <is>
          <t>Teslimler/WebKopyalari/b4d79294591ded35855bfd40bb67cddc9df435608b28a95fc9e91bd9b9a20f8b.webp</t>
        </is>
      </c>
      <c r="J29" s="44" t="inlineStr">
        <is>
          <t>61351608092bb3eb55b436d2e4a054d51254893f82d56e37df39791f1eb4897f</t>
        </is>
      </c>
      <c r="K29" s="44" t="n">
        <v>1280</v>
      </c>
      <c r="L29" s="44" t="n">
        <v>960</v>
      </c>
      <c r="M29" s="44" t="inlineStr">
        <is>
          <t>Özgün teslim dosyası korundu. EXIF yönü uygulandı; kırpma yapılmadan en çok 1600 px, WebP kalite 84. Önceki kaynak değişiklik notları ayrıca korunur.</t>
        </is>
      </c>
      <c r="N29" s="44" t="inlineStr">
        <is>
          <t>Kayıttan doğrulandı</t>
        </is>
      </c>
      <c r="O29" s="44" t="n"/>
    </row>
    <row r="30" ht="54" customHeight="1">
      <c r="A30" s="44" t="inlineStr">
        <is>
          <t>eindhoven:photo:muziekgebouw-eindhoven-01</t>
        </is>
      </c>
      <c r="B30" s="44" t="n"/>
      <c r="C30" s="44" t="inlineStr">
        <is>
          <t>https://commons.wikimedia.org/wiki/File:Grote_Zaal_Muziekgebouw_Eindhoven_door_Bram_Saeys.jpg</t>
        </is>
      </c>
      <c r="D30" s="44" t="inlineStr">
        <is>
          <t>https://upload.wikimedia.org/wikipedia/commons/5/59/Grote_Zaal_Muziekgebouw_Eindhoven_door_Bram_Saeys.jpg?utm_source=commons.wikimedia.org&amp;utm_campaign=imageinfo&amp;utm_content=original</t>
        </is>
      </c>
      <c r="E30" s="44" t="inlineStr">
        <is>
          <t>https://thumb.wikimedia.org/wikipedia/commons/thumb/5/59/Grote_Zaal_Muziekgebouw_Eindhoven_door_Bram_Saeys.jpg/1280px-Grote_Zaal_Muziekgebouw_Eindhoven_door_Bram_Saeys.jpg</t>
        </is>
      </c>
      <c r="F30" s="53" t="n">
        <v>46318</v>
      </c>
      <c r="G30" s="44" t="inlineStr">
        <is>
          <t>Fotoğraflar/eindhoven_muziekgebouw-eindhoven_01.jpg</t>
        </is>
      </c>
      <c r="H30" s="44" t="inlineStr">
        <is>
          <t>4fc58a015241d134f9b1b66424db8de4b2ec247b5baa7d1389dcce9511125088</t>
        </is>
      </c>
      <c r="I30" s="44" t="inlineStr">
        <is>
          <t>Teslimler/WebKopyalari/4fc58a015241d134f9b1b66424db8de4b2ec247b5baa7d1389dcce9511125088.webp</t>
        </is>
      </c>
      <c r="J30" s="44" t="inlineStr">
        <is>
          <t>375c80d00c2397a8fdb5025b93133857c65e3db3300e656501fab5fa0591e3d3</t>
        </is>
      </c>
      <c r="K30" s="44" t="n">
        <v>1280</v>
      </c>
      <c r="L30" s="44" t="n">
        <v>853</v>
      </c>
      <c r="M30" s="44" t="inlineStr">
        <is>
          <t>Özgün teslim dosyası korundu. EXIF yönü uygulandı; kırpma yapılmadan en çok 1600 px, WebP kalite 84. Önceki kaynak değişiklik notları ayrıca korunur.</t>
        </is>
      </c>
      <c r="N30" s="44" t="inlineStr">
        <is>
          <t>Eksik alan var</t>
        </is>
      </c>
      <c r="O30" s="44" t="inlineStr">
        <is>
          <t>Kaynakta ayrı fotoğrafçı profil bağlantısı bulunmadı; fotoğraf kaynak sayfasına atıf korunur. Bağlantı uydurulmaz.</t>
        </is>
      </c>
    </row>
    <row r="31" ht="54" customHeight="1">
      <c r="A31" s="44" t="inlineStr">
        <is>
          <t>eindhoven:photo:muziekgebouw-eindhoven-02</t>
        </is>
      </c>
      <c r="B31" s="44" t="inlineStr">
        <is>
          <t>https://commons.wikimedia.org/wiki/User:Mark_Bergsma</t>
        </is>
      </c>
      <c r="C31" s="44" t="inlineStr">
        <is>
          <t>https://commons.wikimedia.org/wiki/User:Mark_Bergsma</t>
        </is>
      </c>
      <c r="D31" s="44" t="inlineStr">
        <is>
          <t>https://upload.wikimedia.org/wikipedia/commons/7/74/MuziekcentrumFritsPhilipsEindhoven.JPG?utm_source=commons.wikimedia.org&amp;utm_campaign=imageinfo&amp;utm_content=original</t>
        </is>
      </c>
      <c r="E31" s="44" t="inlineStr">
        <is>
          <t>https://thumb.wikimedia.org/wikipedia/commons/thumb/7/74/MuziekcentrumFritsPhilipsEindhoven.JPG/1280px-MuziekcentrumFritsPhilipsEindhoven.JPG</t>
        </is>
      </c>
      <c r="F31" s="53" t="n">
        <v>46318</v>
      </c>
      <c r="G31" s="44" t="inlineStr">
        <is>
          <t>Fotoğraflar/eindhoven_muziekgebouw-eindhoven_02.jpg</t>
        </is>
      </c>
      <c r="H31" s="44" t="inlineStr">
        <is>
          <t>b69a96d56910e95b94b2b594d5041e18858e9a520443b6985949167cd79f5b2c</t>
        </is>
      </c>
      <c r="I31" s="44" t="inlineStr">
        <is>
          <t>Teslimler/WebKopyalari/b69a96d56910e95b94b2b594d5041e18858e9a520443b6985949167cd79f5b2c.webp</t>
        </is>
      </c>
      <c r="J31" s="44" t="inlineStr">
        <is>
          <t>e0410c28c6a73d67eaa9f0dcff33f42722d2b63d0d7cdda9dd502f4f221a1af1</t>
        </is>
      </c>
      <c r="K31" s="44" t="n">
        <v>1280</v>
      </c>
      <c r="L31" s="44" t="n">
        <v>720</v>
      </c>
      <c r="M31" s="44" t="inlineStr">
        <is>
          <t>Özgün teslim dosyası korundu. EXIF yönü uygulandı; kırpma yapılmadan en çok 1600 px, WebP kalite 84. Önceki kaynak değişiklik notları ayrıca korunur.</t>
        </is>
      </c>
      <c r="N31" s="44" t="inlineStr">
        <is>
          <t>Kayıttan doğrulandı</t>
        </is>
      </c>
      <c r="O31" s="44" t="n"/>
    </row>
    <row r="32" ht="54" customHeight="1">
      <c r="A32" s="44" t="inlineStr">
        <is>
          <t>eindhoven:photo:parktheater-eindhoven-01</t>
        </is>
      </c>
      <c r="B32" s="44" t="inlineStr">
        <is>
          <t>https://www.wikidata.org/wiki/Q15080600</t>
        </is>
      </c>
      <c r="C32" s="44" t="inlineStr">
        <is>
          <t>https://www.wikidata.org/wiki/Q15080600</t>
        </is>
      </c>
      <c r="D32" s="44" t="inlineStr">
        <is>
          <t>https://upload.wikimedia.org/wikipedia/commons/b/b8/13-06-29-eindhoven-50mm-52.jpg?utm_source=commons.wikimedia.org&amp;utm_campaign=imageinfo&amp;utm_content=original</t>
        </is>
      </c>
      <c r="E32" s="44" t="inlineStr">
        <is>
          <t>https://thumb.wikimedia.org/wikipedia/commons/thumb/b/b8/13-06-29-eindhoven-50mm-52.jpg/1280px-13-06-29-eindhoven-50mm-52.jpg</t>
        </is>
      </c>
      <c r="F32" s="53" t="n">
        <v>46318</v>
      </c>
      <c r="G32" s="44" t="inlineStr">
        <is>
          <t>Fotoğraflar/eindhoven_parktheater-eindhoven_01.jpg</t>
        </is>
      </c>
      <c r="H32" s="44" t="inlineStr">
        <is>
          <t>f6e0677113568f7726b426c3efa5df2c949a42e219ee90507f9841b45b72efce</t>
        </is>
      </c>
      <c r="I32" s="44" t="inlineStr">
        <is>
          <t>Teslimler/WebKopyalari/f6e0677113568f7726b426c3efa5df2c949a42e219ee90507f9841b45b72efce.webp</t>
        </is>
      </c>
      <c r="J32" s="44" t="inlineStr">
        <is>
          <t>a80b4b0477092b5a9ab5c57712434df4f2328631d37e134358bcb963f567fa20</t>
        </is>
      </c>
      <c r="K32" s="44" t="n">
        <v>1280</v>
      </c>
      <c r="L32" s="44" t="n">
        <v>850</v>
      </c>
      <c r="M32" s="44" t="inlineStr">
        <is>
          <t>Özgün teslim dosyası korundu. EXIF yönü uygulandı; kırpma yapılmadan en çok 1600 px, WebP kalite 84. Önceki kaynak değişiklik notları ayrıca korunur.</t>
        </is>
      </c>
      <c r="N32" s="44" t="inlineStr">
        <is>
          <t>Kayıttan doğrulandı</t>
        </is>
      </c>
      <c r="O32" s="44" t="n"/>
    </row>
    <row r="33" ht="54" customHeight="1">
      <c r="A33" s="44" t="inlineStr">
        <is>
          <t>eindhoven:photo:parktheater-eindhoven-02</t>
        </is>
      </c>
      <c r="B33" s="44" t="inlineStr">
        <is>
          <t>https://www.wikidata.org/wiki/Q15080600</t>
        </is>
      </c>
      <c r="C33" s="44" t="inlineStr">
        <is>
          <t>https://www.wikidata.org/wiki/Q15080600</t>
        </is>
      </c>
      <c r="D33" s="44" t="inlineStr">
        <is>
          <t>https://upload.wikimedia.org/wikipedia/commons/0/02/13-06-29-eindhoven-50mm-53.jpg?utm_source=commons.wikimedia.org&amp;utm_campaign=imageinfo&amp;utm_content=original</t>
        </is>
      </c>
      <c r="E33" s="44" t="inlineStr">
        <is>
          <t>https://thumb.wikimedia.org/wikipedia/commons/thumb/0/02/13-06-29-eindhoven-50mm-53.jpg/1280px-13-06-29-eindhoven-50mm-53.jpg</t>
        </is>
      </c>
      <c r="F33" s="53" t="n">
        <v>46318</v>
      </c>
      <c r="G33" s="44" t="inlineStr">
        <is>
          <t>Fotoğraflar/eindhoven_parktheater-eindhoven_02.jpg</t>
        </is>
      </c>
      <c r="H33" s="44" t="inlineStr">
        <is>
          <t>0d6a502b661dc60d3a0d0d1c4269e72f7976d794f0d8b2b0ecb142350fdc9024</t>
        </is>
      </c>
      <c r="I33" s="44" t="inlineStr">
        <is>
          <t>Teslimler/WebKopyalari/0d6a502b661dc60d3a0d0d1c4269e72f7976d794f0d8b2b0ecb142350fdc9024.webp</t>
        </is>
      </c>
      <c r="J33" s="44" t="inlineStr">
        <is>
          <t>1d266789da343e9a9aa156bf8a5c973054c14d9c432a5b530a2bc1df4efcd176</t>
        </is>
      </c>
      <c r="K33" s="44" t="n">
        <v>1280</v>
      </c>
      <c r="L33" s="44" t="n">
        <v>850</v>
      </c>
      <c r="M33" s="44" t="inlineStr">
        <is>
          <t>Özgün teslim dosyası korundu. EXIF yönü uygulandı; kırpma yapılmadan en çok 1600 px, WebP kalite 84. Önceki kaynak değişiklik notları ayrıca korunur.</t>
        </is>
      </c>
      <c r="N33" s="44" t="inlineStr">
        <is>
          <t>Kayıttan doğrulandı</t>
        </is>
      </c>
      <c r="O33" s="44" t="n"/>
    </row>
    <row r="34" ht="54" customHeight="1">
      <c r="A34" s="44" t="inlineStr">
        <is>
          <t>eindhoven:photo:natlab-01</t>
        </is>
      </c>
      <c r="B34" s="44" t="inlineStr">
        <is>
          <t>https://commons.wikimedia.org/wiki/User:GVR</t>
        </is>
      </c>
      <c r="C34" s="44" t="inlineStr">
        <is>
          <t>https://commons.wikimedia.org/wiki/User:GVR</t>
        </is>
      </c>
      <c r="D34" s="44" t="inlineStr">
        <is>
          <t>https://upload.wikimedia.org/wikipedia/commons/4/49/0772GM0277_Natlab_Eindhoven.jpg?utm_source=commons.wikimedia.org&amp;utm_campaign=imageinfo&amp;utm_content=original</t>
        </is>
      </c>
      <c r="E34" s="44" t="inlineStr">
        <is>
          <t>https://thumb.wikimedia.org/wikipedia/commons/thumb/4/49/0772GM0277_Natlab_Eindhoven.jpg/1280px-0772GM0277_Natlab_Eindhoven.jpg</t>
        </is>
      </c>
      <c r="F34" s="53" t="n">
        <v>46318</v>
      </c>
      <c r="G34" s="44" t="inlineStr">
        <is>
          <t>Fotoğraflar/eindhoven_natlab_01.jpg</t>
        </is>
      </c>
      <c r="H34" s="44" t="inlineStr">
        <is>
          <t>4d8789ca1e6469da9c36cd2a1d42b3585dff0952a3cfcb67151eece679ad24d9</t>
        </is>
      </c>
      <c r="I34" s="44" t="inlineStr">
        <is>
          <t>Teslimler/WebKopyalari/4d8789ca1e6469da9c36cd2a1d42b3585dff0952a3cfcb67151eece679ad24d9.webp</t>
        </is>
      </c>
      <c r="J34" s="44" t="inlineStr">
        <is>
          <t>679438ce4dfb9525ee62ec26f705f940ba4e354f32124c6304c3826a9a5f8db3</t>
        </is>
      </c>
      <c r="K34" s="44" t="n">
        <v>1280</v>
      </c>
      <c r="L34" s="44" t="n">
        <v>853</v>
      </c>
      <c r="M34" s="44" t="inlineStr">
        <is>
          <t>Özgün teslim dosyası korundu. EXIF yönü uygulandı; kırpma yapılmadan en çok 1600 px, WebP kalite 84. Önceki kaynak değişiklik notları ayrıca korunur.</t>
        </is>
      </c>
      <c r="N34" s="44" t="inlineStr">
        <is>
          <t>Kayıttan doğrulandı</t>
        </is>
      </c>
      <c r="O34" s="44" t="n"/>
    </row>
    <row r="35" ht="54" customHeight="1">
      <c r="A35" s="44" t="inlineStr">
        <is>
          <t>eindhoven:photo:natlab-02</t>
        </is>
      </c>
      <c r="B35" s="44" t="inlineStr">
        <is>
          <t>https://commons.wikimedia.org/wiki/User:Rosemoon</t>
        </is>
      </c>
      <c r="C35" s="44" t="inlineStr">
        <is>
          <t>https://commons.wikimedia.org/wiki/User:Rosemoon</t>
        </is>
      </c>
      <c r="D35" s="44" t="inlineStr">
        <is>
          <t>https://upload.wikimedia.org/wikipedia/commons/f/f4/NatLab_Strijp_S_Eindhoven_gevelplaquette.JPG?utm_source=commons.wikimedia.org&amp;utm_campaign=imageinfo&amp;utm_content=original</t>
        </is>
      </c>
      <c r="E35" s="44" t="inlineStr">
        <is>
          <t>https://thumb.wikimedia.org/wikipedia/commons/thumb/f/f4/NatLab_Strijp_S_Eindhoven_gevelplaquette.JPG/1280px-NatLab_Strijp_S_Eindhoven_gevelplaquette.JPG</t>
        </is>
      </c>
      <c r="F35" s="53" t="n">
        <v>46318</v>
      </c>
      <c r="G35" s="44" t="inlineStr">
        <is>
          <t>Fotoğraflar/eindhoven_natlab_02.jpg</t>
        </is>
      </c>
      <c r="H35" s="44" t="inlineStr">
        <is>
          <t>be8be7471b87ce63445a6d4a70ba873e8a791406c669af9800c4a810c76353d9</t>
        </is>
      </c>
      <c r="I35" s="44" t="inlineStr">
        <is>
          <t>Teslimler/WebKopyalari/be8be7471b87ce63445a6d4a70ba873e8a791406c669af9800c4a810c76353d9.webp</t>
        </is>
      </c>
      <c r="J35" s="44" t="inlineStr">
        <is>
          <t>c704572a697690fde1c8a2433dca24f8d96406274b57414c353e46a389218e69</t>
        </is>
      </c>
      <c r="K35" s="44" t="n">
        <v>1200</v>
      </c>
      <c r="L35" s="44" t="n">
        <v>1600</v>
      </c>
      <c r="M35" s="44" t="inlineStr">
        <is>
          <t>Özgün teslim dosyası korundu. EXIF yönü uygulandı; kırpma yapılmadan en çok 1600 px, WebP kalite 84. Önceki kaynak değişiklik notları ayrıca korunur.</t>
        </is>
      </c>
      <c r="N35" s="44" t="inlineStr">
        <is>
          <t>Kayıttan doğrulandı</t>
        </is>
      </c>
      <c r="O35" s="44" t="n"/>
    </row>
    <row r="36" ht="54" customHeight="1">
      <c r="A36" s="44" t="inlineStr">
        <is>
          <t>eindhoven:photo:pathe-eindhoven-01</t>
        </is>
      </c>
      <c r="B36" s="44" t="inlineStr">
        <is>
          <t>https://www.wikidata.org/wiki/Q15080600</t>
        </is>
      </c>
      <c r="C36" s="44" t="inlineStr">
        <is>
          <t>https://www.wikidata.org/wiki/Q15080600</t>
        </is>
      </c>
      <c r="D36" s="44" t="inlineStr">
        <is>
          <t>https://upload.wikimedia.org/wikipedia/commons/9/99/13-06-29-eindhoven-50mm-26.jpg?utm_source=commons.wikimedia.org&amp;utm_campaign=imageinfo&amp;utm_content=original</t>
        </is>
      </c>
      <c r="E36" s="44" t="inlineStr">
        <is>
          <t>https://thumb.wikimedia.org/wikipedia/commons/thumb/9/99/13-06-29-eindhoven-50mm-26.jpg/1280px-13-06-29-eindhoven-50mm-26.jpg</t>
        </is>
      </c>
      <c r="F36" s="53" t="n">
        <v>46318</v>
      </c>
      <c r="G36" s="44" t="inlineStr">
        <is>
          <t>Fotoğraflar/eindhoven_pathe-eindhoven_01.jpg</t>
        </is>
      </c>
      <c r="H36" s="44" t="inlineStr">
        <is>
          <t>606246854794fc26b71c708b5fa0770166197afabfdec785bb6a96b94ed3d510</t>
        </is>
      </c>
      <c r="I36" s="44" t="inlineStr">
        <is>
          <t>Teslimler/WebKopyalari/606246854794fc26b71c708b5fa0770166197afabfdec785bb6a96b94ed3d510.webp</t>
        </is>
      </c>
      <c r="J36" s="44" t="inlineStr">
        <is>
          <t>476e8c84d97214094dfbcdbc8f77b28c805240a9e51a5d85723b76f5aaa4b794</t>
        </is>
      </c>
      <c r="K36" s="44" t="n">
        <v>1063</v>
      </c>
      <c r="L36" s="44" t="n">
        <v>1600</v>
      </c>
      <c r="M36" s="44" t="inlineStr">
        <is>
          <t>Özgün teslim dosyası korundu. EXIF yönü uygulandı; kırpma yapılmadan en çok 1600 px, WebP kalite 84. Önceki kaynak değişiklik notları ayrıca korunur.</t>
        </is>
      </c>
      <c r="N36" s="44" t="inlineStr">
        <is>
          <t>Kayıttan doğrulandı</t>
        </is>
      </c>
      <c r="O36" s="44" t="n"/>
    </row>
    <row r="37" ht="54" customHeight="1">
      <c r="A37" s="44" t="inlineStr">
        <is>
          <t>eindhoven:photo:pathe-eindhoven-02</t>
        </is>
      </c>
      <c r="B37" s="44" t="inlineStr">
        <is>
          <t>https://commons.wikimedia.org/wiki/User:Rosemoon</t>
        </is>
      </c>
      <c r="C37" s="44" t="inlineStr">
        <is>
          <t>https://commons.wikimedia.org/wiki/User:Rosemoon</t>
        </is>
      </c>
      <c r="D37" s="44" t="inlineStr">
        <is>
          <t>https://upload.wikimedia.org/wikipedia/commons/d/d1/Pathe_Eindhoven.JPG?utm_source=commons.wikimedia.org&amp;utm_campaign=imageinfo&amp;utm_content=original</t>
        </is>
      </c>
      <c r="E37" s="44" t="inlineStr">
        <is>
          <t>https://thumb.wikimedia.org/wikipedia/commons/thumb/d/d1/Pathe_Eindhoven.JPG/1280px-Pathe_Eindhoven.JPG</t>
        </is>
      </c>
      <c r="F37" s="53" t="n">
        <v>46318</v>
      </c>
      <c r="G37" s="44" t="inlineStr">
        <is>
          <t>Fotoğraflar/eindhoven_pathe-eindhoven_02.jpg</t>
        </is>
      </c>
      <c r="H37" s="44" t="inlineStr">
        <is>
          <t>ba57ce61ee27911bbde112d8c39904fee42a640c768b0f771bd0bf204e5c3187</t>
        </is>
      </c>
      <c r="I37" s="44" t="inlineStr">
        <is>
          <t>Teslimler/WebKopyalari/ba57ce61ee27911bbde112d8c39904fee42a640c768b0f771bd0bf204e5c3187.webp</t>
        </is>
      </c>
      <c r="J37" s="44" t="inlineStr">
        <is>
          <t>10d34abb683ec5b93b7178855e0376613e8a99799eb6d12cd4aba70b6d751e4b</t>
        </is>
      </c>
      <c r="K37" s="44" t="n">
        <v>1280</v>
      </c>
      <c r="L37" s="44" t="n">
        <v>960</v>
      </c>
      <c r="M37" s="44" t="inlineStr">
        <is>
          <t>Özgün teslim dosyası korundu. EXIF yönü uygulandı; kırpma yapılmadan en çok 1600 px, WebP kalite 84. Önceki kaynak değişiklik notları ayrıca korunur.</t>
        </is>
      </c>
      <c r="N37" s="44" t="inlineStr">
        <is>
          <t>Kayıttan doğrulandı</t>
        </is>
      </c>
      <c r="O37" s="44" t="n"/>
    </row>
    <row r="38" ht="54" customHeight="1">
      <c r="A38" s="44" t="inlineStr">
        <is>
          <t>eindhoven:photo:dynamo-01</t>
        </is>
      </c>
      <c r="B38" s="44" t="inlineStr">
        <is>
          <t>https://commons.wikimedia.org/wiki/User:Rosemoon</t>
        </is>
      </c>
      <c r="C38" s="44" t="inlineStr">
        <is>
          <t>https://commons.wikimedia.org/wiki/User:Rosemoon</t>
        </is>
      </c>
      <c r="D38" s="44" t="inlineStr">
        <is>
          <t>https://upload.wikimedia.org/wikipedia/commons/5/5b/Dynamo_Eindhoven_2.JPG?utm_source=commons.wikimedia.org&amp;utm_campaign=imageinfo&amp;utm_content=original</t>
        </is>
      </c>
      <c r="E38" s="44" t="inlineStr">
        <is>
          <t>https://thumb.wikimedia.org/wikipedia/commons/thumb/5/5b/Dynamo_Eindhoven_2.JPG/1280px-Dynamo_Eindhoven_2.JPG</t>
        </is>
      </c>
      <c r="F38" s="53" t="n">
        <v>46318</v>
      </c>
      <c r="G38" s="44" t="inlineStr">
        <is>
          <t>Fotoğraflar/eindhoven_dynamo_01.jpg</t>
        </is>
      </c>
      <c r="H38" s="44" t="inlineStr">
        <is>
          <t>0057f9399694b6f6a98ac404826a0ba3660f69d8386fe2671533a161bc7a19c2</t>
        </is>
      </c>
      <c r="I38" s="44" t="inlineStr">
        <is>
          <t>Teslimler/WebKopyalari/0057f9399694b6f6a98ac404826a0ba3660f69d8386fe2671533a161bc7a19c2.webp</t>
        </is>
      </c>
      <c r="J38" s="44" t="inlineStr">
        <is>
          <t>aa87253c71b6b8a82bc7546d15fbd0751ff720d1b503ed87e25d17b967705db1</t>
        </is>
      </c>
      <c r="K38" s="44" t="n">
        <v>1280</v>
      </c>
      <c r="L38" s="44" t="n">
        <v>960</v>
      </c>
      <c r="M38" s="44" t="inlineStr">
        <is>
          <t>Özgün teslim dosyası korundu. EXIF yönü uygulandı; kırpma yapılmadan en çok 1600 px, WebP kalite 84. Önceki kaynak değişiklik notları ayrıca korunur.</t>
        </is>
      </c>
      <c r="N38" s="44" t="inlineStr">
        <is>
          <t>Kayıttan doğrulandı</t>
        </is>
      </c>
      <c r="O38" s="44" t="n"/>
    </row>
    <row r="39" ht="54" customHeight="1">
      <c r="A39" s="44" t="inlineStr">
        <is>
          <t>eindhoven:photo:dynamo-02</t>
        </is>
      </c>
      <c r="B39" s="44" t="inlineStr">
        <is>
          <t>https://commons.wikimedia.org/wiki/User:Rosemoon</t>
        </is>
      </c>
      <c r="C39" s="44" t="inlineStr">
        <is>
          <t>https://commons.wikimedia.org/wiki/User:Rosemoon</t>
        </is>
      </c>
      <c r="D39" s="44" t="inlineStr">
        <is>
          <t>https://upload.wikimedia.org/wikipedia/commons/5/5e/Dynamo_Eindhoven.JPG?utm_source=commons.wikimedia.org&amp;utm_campaign=imageinfo&amp;utm_content=original</t>
        </is>
      </c>
      <c r="E39" s="44" t="inlineStr">
        <is>
          <t>https://thumb.wikimedia.org/wikipedia/commons/thumb/5/5e/Dynamo_Eindhoven.JPG/1280px-Dynamo_Eindhoven.JPG</t>
        </is>
      </c>
      <c r="F39" s="53" t="n">
        <v>46318</v>
      </c>
      <c r="G39" s="44" t="inlineStr">
        <is>
          <t>Fotoğraflar/eindhoven_dynamo_02.jpg</t>
        </is>
      </c>
      <c r="H39" s="44" t="inlineStr">
        <is>
          <t>e1b74972cf12ef08edc51c080031f0d7d1a2d60bcc8557f99e4f50a4ae0fabbc</t>
        </is>
      </c>
      <c r="I39" s="44" t="inlineStr">
        <is>
          <t>Teslimler/WebKopyalari/e1b74972cf12ef08edc51c080031f0d7d1a2d60bcc8557f99e4f50a4ae0fabbc.webp</t>
        </is>
      </c>
      <c r="J39" s="44" t="inlineStr">
        <is>
          <t>4388c96d7657188e33150c4bed9d623417ee33305dc3a850bb8637c7aca8538b</t>
        </is>
      </c>
      <c r="K39" s="44" t="n">
        <v>1200</v>
      </c>
      <c r="L39" s="44" t="n">
        <v>1600</v>
      </c>
      <c r="M39" s="44" t="inlineStr">
        <is>
          <t>Özgün teslim dosyası korundu. EXIF yönü uygulandı; kırpma yapılmadan en çok 1600 px, WebP kalite 84. Önceki kaynak değişiklik notları ayrıca korunur.</t>
        </is>
      </c>
      <c r="N39" s="44" t="inlineStr">
        <is>
          <t>Kayıttan doğrulandı</t>
        </is>
      </c>
      <c r="O39" s="44" t="n"/>
    </row>
    <row r="40" ht="54" customHeight="1">
      <c r="A40" s="44" t="inlineStr">
        <is>
          <t>eindhoven:photo:philips-stadion-psv-01</t>
        </is>
      </c>
      <c r="B40" s="44" t="inlineStr">
        <is>
          <t>https://www.wikidata.org/wiki/Q15080600</t>
        </is>
      </c>
      <c r="C40" s="44" t="inlineStr">
        <is>
          <t>https://www.wikidata.org/wiki/Q15080600</t>
        </is>
      </c>
      <c r="D40" s="44" t="inlineStr">
        <is>
          <t>https://upload.wikimedia.org/wikipedia/commons/8/8a/13-06-28-eindhoven-by-RalfR-75.jpg?utm_source=commons.wikimedia.org&amp;utm_campaign=imageinfo&amp;utm_content=original</t>
        </is>
      </c>
      <c r="E40" s="44" t="inlineStr">
        <is>
          <t>https://thumb.wikimedia.org/wikipedia/commons/thumb/8/8a/13-06-28-eindhoven-by-RalfR-75.jpg/1280px-13-06-28-eindhoven-by-RalfR-75.jpg</t>
        </is>
      </c>
      <c r="F40" s="53" t="n">
        <v>46318</v>
      </c>
      <c r="G40" s="44" t="inlineStr">
        <is>
          <t>Fotoğraflar/eindhoven_philips-stadion-psv_01.jpg</t>
        </is>
      </c>
      <c r="H40" s="44" t="inlineStr">
        <is>
          <t>ea39600d49eaf7b6a3a92f06fe7162baad17e3e540bfa3e0f2310279b9ac680c</t>
        </is>
      </c>
      <c r="I40" s="44" t="inlineStr">
        <is>
          <t>Teslimler/WebKopyalari/ea39600d49eaf7b6a3a92f06fe7162baad17e3e540bfa3e0f2310279b9ac680c.webp</t>
        </is>
      </c>
      <c r="J40" s="44" t="inlineStr">
        <is>
          <t>0a9ff584d42437ee51e746c9b7ad6067d2d01a4aca02e6bd611be2abd46bd378</t>
        </is>
      </c>
      <c r="K40" s="44" t="n">
        <v>1280</v>
      </c>
      <c r="L40" s="44" t="n">
        <v>850</v>
      </c>
      <c r="M40" s="44" t="inlineStr">
        <is>
          <t>Özgün teslim dosyası korundu. EXIF yönü uygulandı; kırpma yapılmadan en çok 1600 px, WebP kalite 84. Önceki kaynak değişiklik notları ayrıca korunur.</t>
        </is>
      </c>
      <c r="N40" s="44" t="inlineStr">
        <is>
          <t>Kayıttan doğrulandı</t>
        </is>
      </c>
      <c r="O40" s="44" t="n"/>
    </row>
    <row r="41" ht="54" customHeight="1">
      <c r="A41" s="44" t="inlineStr">
        <is>
          <t>eindhoven:photo:philips-stadion-psv-02</t>
        </is>
      </c>
      <c r="B41" s="44" t="inlineStr">
        <is>
          <t>https://www.wikidata.org/wiki/Q15080600</t>
        </is>
      </c>
      <c r="C41" s="44" t="inlineStr">
        <is>
          <t>https://www.wikidata.org/wiki/Q15080600</t>
        </is>
      </c>
      <c r="D41" s="44" t="inlineStr">
        <is>
          <t>https://upload.wikimedia.org/wikipedia/commons/9/95/13-06-29-eindhoven-50mm-04.jpg?utm_source=commons.wikimedia.org&amp;utm_campaign=imageinfo&amp;utm_content=original</t>
        </is>
      </c>
      <c r="E41" s="44" t="inlineStr">
        <is>
          <t>https://thumb.wikimedia.org/wikipedia/commons/thumb/9/95/13-06-29-eindhoven-50mm-04.jpg/1280px-13-06-29-eindhoven-50mm-04.jpg</t>
        </is>
      </c>
      <c r="F41" s="53" t="n">
        <v>46318</v>
      </c>
      <c r="G41" s="44" t="inlineStr">
        <is>
          <t>Fotoğraflar/eindhoven_philips-stadion-psv_02.jpg</t>
        </is>
      </c>
      <c r="H41" s="44" t="inlineStr">
        <is>
          <t>4df9475b5e7006732e939f16efed5c22127de9e92c3ab2196e853fa9a5db0b10</t>
        </is>
      </c>
      <c r="I41" s="44" t="inlineStr">
        <is>
          <t>Teslimler/WebKopyalari/4df9475b5e7006732e939f16efed5c22127de9e92c3ab2196e853fa9a5db0b10.webp</t>
        </is>
      </c>
      <c r="J41" s="44" t="inlineStr">
        <is>
          <t>be5b14a26f7dbce7916d37c4d441dd1952f4d26bee7c59f8d178073fc9be32a7</t>
        </is>
      </c>
      <c r="K41" s="44" t="n">
        <v>1280</v>
      </c>
      <c r="L41" s="44" t="n">
        <v>850</v>
      </c>
      <c r="M41" s="44" t="inlineStr">
        <is>
          <t>Özgün teslim dosyası korundu. EXIF yönü uygulandı; kırpma yapılmadan en çok 1600 px, WebP kalite 84. Önceki kaynak değişiklik notları ayrıca korunur.</t>
        </is>
      </c>
      <c r="N41" s="44" t="inlineStr">
        <is>
          <t>Kayıttan doğrulandı</t>
        </is>
      </c>
      <c r="O41" s="44" t="n"/>
    </row>
    <row r="42" ht="54" customHeight="1">
      <c r="A42" s="44" t="inlineStr">
        <is>
          <t>eindhoven:photo:nationaal-zwemcentrum-de-tongelreep-01</t>
        </is>
      </c>
      <c r="B42" s="44" t="inlineStr">
        <is>
          <t>https://commons.wikimedia.org/wiki/User:S._Perquin</t>
        </is>
      </c>
      <c r="C42" s="44" t="inlineStr">
        <is>
          <t>https://commons.wikimedia.org/wiki/User:S._Perquin</t>
        </is>
      </c>
      <c r="D42" s="44" t="inlineStr">
        <is>
          <t>https://upload.wikimedia.org/wikipedia/commons/a/a0/Nationaal_Zwemcentrum_de_Tongelreep_%282025%29_%282%29.jpg?utm_source=commons.wikimedia.org&amp;utm_campaign=imageinfo&amp;utm_content=original</t>
        </is>
      </c>
      <c r="E42" s="44" t="inlineStr">
        <is>
          <t>https://thumb.wikimedia.org/wikipedia/commons/thumb/a/a0/Nationaal_Zwemcentrum_de_Tongelreep_%282025%29_%282%29.jpg/1280px-Nationaal_Zwemcentrum_de_Tongelreep_%282025%29_%282%29.jpg</t>
        </is>
      </c>
      <c r="F42" s="53" t="n">
        <v>46318</v>
      </c>
      <c r="G42" s="44" t="inlineStr">
        <is>
          <t>Fotoğraflar/eindhoven_nationaal-zwemcentrum-de-tongelreep_01.jpg</t>
        </is>
      </c>
      <c r="H42" s="44" t="inlineStr">
        <is>
          <t>f2486d5f8ba442cf4626361f84ca6634fa346d3f4c3296b875efa8cc81b430ba</t>
        </is>
      </c>
      <c r="I42" s="44" t="inlineStr">
        <is>
          <t>Teslimler/WebKopyalari/f2486d5f8ba442cf4626361f84ca6634fa346d3f4c3296b875efa8cc81b430ba.webp</t>
        </is>
      </c>
      <c r="J42" s="44" t="inlineStr">
        <is>
          <t>9ddb37f61b27f761faa081039fb9544fa2db5650c4a0be3ed2a01b527230683c</t>
        </is>
      </c>
      <c r="K42" s="44" t="n">
        <v>1280</v>
      </c>
      <c r="L42" s="44" t="n">
        <v>853</v>
      </c>
      <c r="M42" s="44" t="inlineStr">
        <is>
          <t>Özgün teslim dosyası korundu. EXIF yönü uygulandı; kırpma yapılmadan en çok 1600 px, WebP kalite 84. Önceki kaynak değişiklik notları ayrıca korunur.</t>
        </is>
      </c>
      <c r="N42" s="44" t="inlineStr">
        <is>
          <t>Kayıttan doğrulandı</t>
        </is>
      </c>
      <c r="O42" s="44" t="n"/>
    </row>
    <row r="43" ht="54" customHeight="1">
      <c r="A43" s="44" t="inlineStr">
        <is>
          <t>eindhoven:photo:indoor-sportcentrum-eindhoven-01</t>
        </is>
      </c>
      <c r="B43" s="44" t="inlineStr">
        <is>
          <t>https://commons.wikimedia.org/wiki/User:Lempkesfabriek</t>
        </is>
      </c>
      <c r="C43" s="44" t="inlineStr">
        <is>
          <t>https://commons.wikimedia.org/wiki/User:Lempkesfabriek</t>
        </is>
      </c>
      <c r="D43" s="44" t="inlineStr">
        <is>
          <t>https://upload.wikimedia.org/wikipedia/commons/0/0a/Indoor_Sportcentrum_Eindhoven.jpg?utm_source=commons.wikimedia.org&amp;utm_campaign=imageinfo&amp;utm_content=original</t>
        </is>
      </c>
      <c r="E43" s="44" t="inlineStr">
        <is>
          <t>https://upload.wikimedia.org/wikipedia/commons/0/0a/Indoor_Sportcentrum_Eindhoven.jpg</t>
        </is>
      </c>
      <c r="F43" s="53" t="n">
        <v>46318</v>
      </c>
      <c r="G43" s="44" t="inlineStr">
        <is>
          <t>Fotoğraflar/eindhoven_indoor-sportcentrum-eindhoven_01.jpg</t>
        </is>
      </c>
      <c r="H43" s="44" t="inlineStr">
        <is>
          <t>3c3380781b54c44efc4a1d67cefac52346dc76999e7d8e93d43d49f3027dc3e2</t>
        </is>
      </c>
      <c r="I43" s="44" t="inlineStr">
        <is>
          <t>Teslimler/WebKopyalari/3c3380781b54c44efc4a1d67cefac52346dc76999e7d8e93d43d49f3027dc3e2.webp</t>
        </is>
      </c>
      <c r="J43" s="44" t="inlineStr">
        <is>
          <t>0e7c2c8b9b2166becc834ddd12dceae502235d466e66cca89b3b681d8b7ab740</t>
        </is>
      </c>
      <c r="K43" s="44" t="n">
        <v>991</v>
      </c>
      <c r="L43" s="44" t="n">
        <v>745</v>
      </c>
      <c r="M43" s="44" t="inlineStr">
        <is>
          <t>Özgün teslim dosyası korundu. EXIF yönü uygulandı; kırpma yapılmadan en çok 1600 px, WebP kalite 84. Önceki kaynak değişiklik notları ayrıca korunur.</t>
        </is>
      </c>
      <c r="N43" s="44" t="inlineStr">
        <is>
          <t>Kayıttan doğrulandı</t>
        </is>
      </c>
      <c r="O43" s="44" t="n"/>
    </row>
    <row r="44" ht="54" customHeight="1">
      <c r="A44" s="44" t="inlineStr">
        <is>
          <t>eindhoven:photo:indoor-sportcentrum-eindhoven-02</t>
        </is>
      </c>
      <c r="B44" s="44" t="inlineStr">
        <is>
          <t>https://commons.wikimedia.org/wiki/User:Lempkesfabriek</t>
        </is>
      </c>
      <c r="C44" s="44" t="inlineStr">
        <is>
          <t>https://commons.wikimedia.org/wiki/User:Lempkesfabriek</t>
        </is>
      </c>
      <c r="D44" s="44" t="inlineStr">
        <is>
          <t>https://upload.wikimedia.org/wikipedia/commons/8/8c/Indoor_Sportcentrum_Eindhoven02.jpg?utm_source=commons.wikimedia.org&amp;utm_campaign=imageinfo&amp;utm_content=original</t>
        </is>
      </c>
      <c r="E44" s="44" t="inlineStr">
        <is>
          <t>https://upload.wikimedia.org/wikipedia/commons/8/8c/Indoor_Sportcentrum_Eindhoven02.jpg</t>
        </is>
      </c>
      <c r="F44" s="53" t="n">
        <v>46318</v>
      </c>
      <c r="G44" s="44" t="inlineStr">
        <is>
          <t>Fotoğraflar/eindhoven_indoor-sportcentrum-eindhoven_02.jpg</t>
        </is>
      </c>
      <c r="H44" s="44" t="inlineStr">
        <is>
          <t>e3d78d0f7bf6097be9ad40bb93c845d0b03924711368979f95991dd650999bb3</t>
        </is>
      </c>
      <c r="I44" s="44" t="inlineStr">
        <is>
          <t>Teslimler/WebKopyalari/e3d78d0f7bf6097be9ad40bb93c845d0b03924711368979f95991dd650999bb3.webp</t>
        </is>
      </c>
      <c r="J44" s="44" t="inlineStr">
        <is>
          <t>17d8c485d3e50745120e121b5243f0c5ab35c4f358b3760d66ec131532cf83f7</t>
        </is>
      </c>
      <c r="K44" s="44" t="n">
        <v>991</v>
      </c>
      <c r="L44" s="44" t="n">
        <v>745</v>
      </c>
      <c r="M44" s="44" t="inlineStr">
        <is>
          <t>Özgün teslim dosyası korundu. EXIF yönü uygulandı; kırpma yapılmadan en çok 1600 px, WebP kalite 84. Önceki kaynak değişiklik notları ayrıca korunur.</t>
        </is>
      </c>
      <c r="N44" s="44" t="inlineStr">
        <is>
          <t>Kayıttan doğrulandı</t>
        </is>
      </c>
      <c r="O44" s="44" t="n"/>
    </row>
    <row r="45" ht="54" customHeight="1">
      <c r="A45" s="44" t="inlineStr">
        <is>
          <t>eindhoven:photo:ir-ottenbad-01</t>
        </is>
      </c>
      <c r="B45" s="44" t="inlineStr">
        <is>
          <t>https://commons.wikimedia.org/wiki/User:TheGreyWanderer2025</t>
        </is>
      </c>
      <c r="C45" s="44" t="inlineStr">
        <is>
          <t>https://commons.wikimedia.org/wiki/User:TheGreyWanderer2025</t>
        </is>
      </c>
      <c r="D45" s="44" t="inlineStr">
        <is>
          <t>https://upload.wikimedia.org/wikipedia/commons/3/3f/Ir._Ottenbad_001.jpg?utm_source=commons.wikimedia.org&amp;utm_campaign=imageinfo&amp;utm_content=original</t>
        </is>
      </c>
      <c r="E45" s="44" t="inlineStr">
        <is>
          <t>https://thumb.wikimedia.org/wikipedia/commons/thumb/3/3f/Ir._Ottenbad_001.jpg/1280px-Ir._Ottenbad_001.jpg</t>
        </is>
      </c>
      <c r="F45" s="53" t="n">
        <v>46318</v>
      </c>
      <c r="G45" s="44" t="inlineStr">
        <is>
          <t>Fotoğraflar/eindhoven_ir-ottenbad_01.jpg</t>
        </is>
      </c>
      <c r="H45" s="44" t="inlineStr">
        <is>
          <t>626b0dd9e58db1059e321188b99998a866e5f1d4a480430fe2217c64f6aad9ae</t>
        </is>
      </c>
      <c r="I45" s="44" t="inlineStr">
        <is>
          <t>Teslimler/WebKopyalari/626b0dd9e58db1059e321188b99998a866e5f1d4a480430fe2217c64f6aad9ae.webp</t>
        </is>
      </c>
      <c r="J45" s="44" t="inlineStr">
        <is>
          <t>87dde7a7c9ee769eb236cf8cf0bf285b439b64f48aca5b2e37ca8810dc8cb7c0</t>
        </is>
      </c>
      <c r="K45" s="44" t="n">
        <v>1280</v>
      </c>
      <c r="L45" s="44" t="n">
        <v>853</v>
      </c>
      <c r="M45" s="44" t="inlineStr">
        <is>
          <t>Özgün teslim dosyası korundu. EXIF yönü uygulandı; kırpma yapılmadan en çok 1600 px, WebP kalite 84. Önceki kaynak değişiklik notları ayrıca korunur.</t>
        </is>
      </c>
      <c r="N45" s="44" t="inlineStr">
        <is>
          <t>Kayıttan doğrulandı</t>
        </is>
      </c>
      <c r="O45" s="44" t="n"/>
    </row>
    <row r="46" ht="54" customHeight="1">
      <c r="A46" s="44" t="inlineStr">
        <is>
          <t>eindhoven:photo:ir-ottenbad-02</t>
        </is>
      </c>
      <c r="B46" s="44" t="inlineStr">
        <is>
          <t>https://commons.wikimedia.org/wiki/User:TheGreyWanderer2025</t>
        </is>
      </c>
      <c r="C46" s="44" t="inlineStr">
        <is>
          <t>https://commons.wikimedia.org/wiki/User:TheGreyWanderer2025</t>
        </is>
      </c>
      <c r="D46" s="44" t="inlineStr">
        <is>
          <t>https://upload.wikimedia.org/wikipedia/commons/9/9d/Ir._Ottenbad_002.jpg?utm_source=commons.wikimedia.org&amp;utm_campaign=imageinfo&amp;utm_content=original</t>
        </is>
      </c>
      <c r="E46" s="44" t="inlineStr">
        <is>
          <t>https://thumb.wikimedia.org/wikipedia/commons/thumb/9/9d/Ir._Ottenbad_002.jpg/1280px-Ir._Ottenbad_002.jpg</t>
        </is>
      </c>
      <c r="F46" s="53" t="n">
        <v>46318</v>
      </c>
      <c r="G46" s="44" t="inlineStr">
        <is>
          <t>Fotoğraflar/eindhoven_ir-ottenbad_02.jpg</t>
        </is>
      </c>
      <c r="H46" s="44" t="inlineStr">
        <is>
          <t>e99e1a6ed68781a68ecfc1bb6d0f5292d9e217da322c29ce783b73815c20f591</t>
        </is>
      </c>
      <c r="I46" s="44" t="inlineStr">
        <is>
          <t>Teslimler/WebKopyalari/e99e1a6ed68781a68ecfc1bb6d0f5292d9e217da322c29ce783b73815c20f591.webp</t>
        </is>
      </c>
      <c r="J46" s="44" t="inlineStr">
        <is>
          <t>5e734800969ddc16f5ad32a672daed135b2b7df1fbfb9ec6a017047df748cde8</t>
        </is>
      </c>
      <c r="K46" s="44" t="n">
        <v>1280</v>
      </c>
      <c r="L46" s="44" t="n">
        <v>853</v>
      </c>
      <c r="M46" s="44" t="inlineStr">
        <is>
          <t>Özgün teslim dosyası korundu. EXIF yönü uygulandı; kırpma yapılmadan en çok 1600 px, WebP kalite 84. Önceki kaynak değişiklik notları ayrıca korunur.</t>
        </is>
      </c>
      <c r="N46" s="44" t="inlineStr">
        <is>
          <t>Kayıttan doğrulandı</t>
        </is>
      </c>
      <c r="O46" s="44" t="n"/>
    </row>
    <row r="47" ht="54" customHeight="1">
      <c r="A47" s="44" t="inlineStr">
        <is>
          <t>eindhoven:photo:jan-louwers-stadion-01</t>
        </is>
      </c>
      <c r="B47" s="44" t="n"/>
      <c r="C47" s="44" t="inlineStr">
        <is>
          <t>https://commons.wikimedia.org/wiki/File:Jan_Louwers_Stadion_1.jpg</t>
        </is>
      </c>
      <c r="D47" s="44" t="inlineStr">
        <is>
          <t>https://upload.wikimedia.org/wikipedia/commons/d/df/Jan_Louwers_Stadion_1.jpg?utm_source=commons.wikimedia.org&amp;utm_campaign=imageinfo&amp;utm_content=original</t>
        </is>
      </c>
      <c r="E47" s="44" t="inlineStr">
        <is>
          <t>https://thumb.wikimedia.org/wikipedia/commons/thumb/d/df/Jan_Louwers_Stadion_1.jpg/1280px-Jan_Louwers_Stadion_1.jpg</t>
        </is>
      </c>
      <c r="F47" s="53" t="n">
        <v>46318</v>
      </c>
      <c r="G47" s="44" t="inlineStr">
        <is>
          <t>Fotoğraflar/eindhoven_jan-louwers-stadion_01.jpg</t>
        </is>
      </c>
      <c r="H47" s="44" t="inlineStr">
        <is>
          <t>b8d18624a8e2083bcf66f5a2b5aa5f62f18d538d0b81d7571f9029c63feb0c89</t>
        </is>
      </c>
      <c r="I47" s="44" t="inlineStr">
        <is>
          <t>Teslimler/WebKopyalari/b8d18624a8e2083bcf66f5a2b5aa5f62f18d538d0b81d7571f9029c63feb0c89.webp</t>
        </is>
      </c>
      <c r="J47" s="44" t="inlineStr">
        <is>
          <t>df135bcbd74af1de7d3b53045ce0b9be63e6131b5de84a290188da478a899c54</t>
        </is>
      </c>
      <c r="K47" s="44" t="n">
        <v>1280</v>
      </c>
      <c r="L47" s="44" t="n">
        <v>851</v>
      </c>
      <c r="M47" s="44" t="inlineStr">
        <is>
          <t>Özgün teslim dosyası korundu. EXIF yönü uygulandı; kırpma yapılmadan en çok 1600 px, WebP kalite 84. Önceki kaynak değişiklik notları ayrıca korunur.</t>
        </is>
      </c>
      <c r="N47" s="44" t="inlineStr">
        <is>
          <t>Eksik alan var</t>
        </is>
      </c>
      <c r="O47" s="44" t="inlineStr">
        <is>
          <t>Kaynakta ayrı fotoğrafçı profil bağlantısı bulunmadı; fotoğraf kaynak sayfasına atıf korunur. Bağlantı uydurulmaz.</t>
        </is>
      </c>
    </row>
    <row r="48" ht="54" customHeight="1">
      <c r="A48" s="44" t="inlineStr">
        <is>
          <t>eindhoven:photo:jan-louwers-stadion-02</t>
        </is>
      </c>
      <c r="B48" s="44" t="inlineStr">
        <is>
          <t>https://en.wikipedia.org/wiki/nl:User:Mark92</t>
        </is>
      </c>
      <c r="C48" s="44" t="inlineStr">
        <is>
          <t>https://en.wikipedia.org/wiki/nl:User:Mark92</t>
        </is>
      </c>
      <c r="D48" s="44" t="inlineStr">
        <is>
          <t>https://upload.wikimedia.org/wikipedia/commons/d/d0/Jan_Louwers_Stadion.JPG?utm_source=commons.wikimedia.org&amp;utm_campaign=imageinfo&amp;utm_content=original</t>
        </is>
      </c>
      <c r="E48" s="44" t="inlineStr">
        <is>
          <t>https://upload.wikimedia.org/wikipedia/commons/d/d0/Jan_Louwers_Stadion.JPG</t>
        </is>
      </c>
      <c r="F48" s="53" t="n">
        <v>46318</v>
      </c>
      <c r="G48" s="44" t="inlineStr">
        <is>
          <t>Fotoğraflar/eindhoven_jan-louwers-stadion_02.jpg</t>
        </is>
      </c>
      <c r="H48" s="44" t="inlineStr">
        <is>
          <t>7132383d86de27984467c16653d06b547540e36f247a97cdd206cb97b3414573</t>
        </is>
      </c>
      <c r="I48" s="44" t="inlineStr">
        <is>
          <t>Teslimler/WebKopyalari/7132383d86de27984467c16653d06b547540e36f247a97cdd206cb97b3414573.webp</t>
        </is>
      </c>
      <c r="J48" s="44" t="inlineStr">
        <is>
          <t>4720d4a2afd596d6f3bdc4ca3840a7a52db9c6acb6e572eb3bcbc29cd63d0411</t>
        </is>
      </c>
      <c r="K48" s="44" t="n">
        <v>1229</v>
      </c>
      <c r="L48" s="44" t="n">
        <v>922</v>
      </c>
      <c r="M48" s="44" t="inlineStr">
        <is>
          <t>Özgün teslim dosyası korundu. EXIF yönü uygulandı; kırpma yapılmadan en çok 1600 px, WebP kalite 84. Önceki kaynak değişiklik notları ayrıca korunur.</t>
        </is>
      </c>
      <c r="N48" s="44" t="inlineStr">
        <is>
          <t>Kayıttan doğrulandı</t>
        </is>
      </c>
      <c r="O48" s="44" t="n"/>
    </row>
    <row r="49" ht="54" customHeight="1">
      <c r="A49" s="44" t="inlineStr">
        <is>
          <t>eindhoven:photo:genneper-parken-01</t>
        </is>
      </c>
      <c r="B49" s="44" t="inlineStr">
        <is>
          <t>https://commons.wikimedia.org/wiki/User:Lempkesfabriek</t>
        </is>
      </c>
      <c r="C49" s="44" t="inlineStr">
        <is>
          <t>https://commons.wikimedia.org/wiki/User:Lempkesfabriek</t>
        </is>
      </c>
      <c r="D49" s="44" t="inlineStr">
        <is>
          <t>https://upload.wikimedia.org/wikipedia/commons/7/76/Genneper_Parken02.jpg?utm_source=commons.wikimedia.org&amp;utm_campaign=imageinfo&amp;utm_content=original</t>
        </is>
      </c>
      <c r="E49" s="44" t="inlineStr">
        <is>
          <t>https://upload.wikimedia.org/wikipedia/commons/7/76/Genneper_Parken02.jpg</t>
        </is>
      </c>
      <c r="F49" s="53" t="n">
        <v>46318</v>
      </c>
      <c r="G49" s="44" t="inlineStr">
        <is>
          <t>Fotoğraflar/eindhoven_genneper-parken_01.jpg</t>
        </is>
      </c>
      <c r="H49" s="44" t="inlineStr">
        <is>
          <t>599137a6e4fe37acb00d3d8fd0386a36ffc6141a7ba887074edd7916354aa3c7</t>
        </is>
      </c>
      <c r="I49" s="44" t="inlineStr">
        <is>
          <t>Teslimler/WebKopyalari/599137a6e4fe37acb00d3d8fd0386a36ffc6141a7ba887074edd7916354aa3c7.webp</t>
        </is>
      </c>
      <c r="J49" s="44" t="inlineStr">
        <is>
          <t>8b8b60cc05a53ab0b51f80231e29ab753325de0a1ecc7bd519265f57abfec24b</t>
        </is>
      </c>
      <c r="K49" s="44" t="n">
        <v>850</v>
      </c>
      <c r="L49" s="44" t="n">
        <v>638</v>
      </c>
      <c r="M49" s="44" t="inlineStr">
        <is>
          <t>Özgün teslim dosyası korundu. EXIF yönü uygulandı; kırpma yapılmadan en çok 1600 px, WebP kalite 84. Önceki kaynak değişiklik notları ayrıca korunur.</t>
        </is>
      </c>
      <c r="N49" s="44" t="inlineStr">
        <is>
          <t>Kayıttan doğrulandı</t>
        </is>
      </c>
      <c r="O49" s="44" t="n"/>
    </row>
    <row r="50" ht="54" customHeight="1">
      <c r="A50" s="44" t="inlineStr">
        <is>
          <t>eindhoven:photo:genneper-parken-02</t>
        </is>
      </c>
      <c r="B50" s="44" t="inlineStr">
        <is>
          <t>https://commons.wikimedia.org/wiki/User:Lempkesfabriek</t>
        </is>
      </c>
      <c r="C50" s="44" t="inlineStr">
        <is>
          <t>https://commons.wikimedia.org/wiki/User:Lempkesfabriek</t>
        </is>
      </c>
      <c r="D50" s="44" t="inlineStr">
        <is>
          <t>https://upload.wikimedia.org/wikipedia/commons/9/98/Genneper_Watermolen.jpg?utm_source=commons.wikimedia.org&amp;utm_campaign=imageinfo&amp;utm_content=original</t>
        </is>
      </c>
      <c r="E50" s="44" t="inlineStr">
        <is>
          <t>https://upload.wikimedia.org/wikipedia/commons/9/98/Genneper_Watermolen.jpg</t>
        </is>
      </c>
      <c r="F50" s="53" t="n">
        <v>46318</v>
      </c>
      <c r="G50" s="44" t="inlineStr">
        <is>
          <t>Fotoğraflar/eindhoven_genneper-parken_02.jpg</t>
        </is>
      </c>
      <c r="H50" s="44" t="inlineStr">
        <is>
          <t>8b5337cc8e91f6db9a3f8e15e4145182663b24a7d97050b128e9ed50d49e9ee1</t>
        </is>
      </c>
      <c r="I50" s="44" t="inlineStr">
        <is>
          <t>Teslimler/WebKopyalari/8b5337cc8e91f6db9a3f8e15e4145182663b24a7d97050b128e9ed50d49e9ee1.webp</t>
        </is>
      </c>
      <c r="J50" s="44" t="inlineStr">
        <is>
          <t>3a3a8f8698ce9fc64755ea0c2fefb552f1642cc565f57eaea9363d37b8472bc5</t>
        </is>
      </c>
      <c r="K50" s="44" t="n">
        <v>1064</v>
      </c>
      <c r="L50" s="44" t="n">
        <v>1416</v>
      </c>
      <c r="M50" s="44" t="inlineStr">
        <is>
          <t>Özgün teslim dosyası korundu. EXIF yönü uygulandı; kırpma yapılmadan en çok 1600 px, WebP kalite 84. Önceki kaynak değişiklik notları ayrıca korunur.</t>
        </is>
      </c>
      <c r="N50" s="44" t="inlineStr">
        <is>
          <t>Kayıttan doğrulandı</t>
        </is>
      </c>
      <c r="O50" s="44" t="n"/>
    </row>
    <row r="51" ht="54" customHeight="1">
      <c r="A51" s="44" t="inlineStr">
        <is>
          <t>eindhoven:photo:stadswandelpark-01</t>
        </is>
      </c>
      <c r="B51" s="44" t="inlineStr">
        <is>
          <t>https://commons.wikimedia.org/wiki/User:Rosemoon</t>
        </is>
      </c>
      <c r="C51" s="44" t="inlineStr">
        <is>
          <t>https://commons.wikimedia.org/wiki/User:Rosemoon</t>
        </is>
      </c>
      <c r="D51" s="44" t="inlineStr">
        <is>
          <t>https://upload.wikimedia.org/wikipedia/commons/0/02/0772_WN011_Stadswandelpark_Eindhoven-2.jpg?utm_source=commons.wikimedia.org&amp;utm_campaign=imageinfo&amp;utm_content=original</t>
        </is>
      </c>
      <c r="E51" s="44" t="inlineStr">
        <is>
          <t>https://thumb.wikimedia.org/wikipedia/commons/thumb/0/02/0772_WN011_Stadswandelpark_Eindhoven-2.jpg/1280px-0772_WN011_Stadswandelpark_Eindhoven-2.jpg</t>
        </is>
      </c>
      <c r="F51" s="53" t="n">
        <v>46318</v>
      </c>
      <c r="G51" s="44" t="inlineStr">
        <is>
          <t>Fotoğraflar/eindhoven_stadswandelpark_01.jpg</t>
        </is>
      </c>
      <c r="H51" s="44" t="inlineStr">
        <is>
          <t>f7daa5b684bc62474d77d661e68f0a491f2dcb6b403e102df8eb55fbd53295b4</t>
        </is>
      </c>
      <c r="I51" s="44" t="inlineStr">
        <is>
          <t>Teslimler/WebKopyalari/f7daa5b684bc62474d77d661e68f0a491f2dcb6b403e102df8eb55fbd53295b4.webp</t>
        </is>
      </c>
      <c r="J51" s="44" t="inlineStr">
        <is>
          <t>6fbe9e1322b42ae03220997692cf847a4fb465e0e7af03fa61c65c8a0713d5fd</t>
        </is>
      </c>
      <c r="K51" s="44" t="n">
        <v>1280</v>
      </c>
      <c r="L51" s="44" t="n">
        <v>853</v>
      </c>
      <c r="M51" s="44" t="inlineStr">
        <is>
          <t>Özgün teslim dosyası korundu. EXIF yönü uygulandı; kırpma yapılmadan en çok 1600 px, WebP kalite 84. Önceki kaynak değişiklik notları ayrıca korunur.</t>
        </is>
      </c>
      <c r="N51" s="44" t="inlineStr">
        <is>
          <t>Kayıttan doğrulandı</t>
        </is>
      </c>
      <c r="O51" s="44" t="n"/>
    </row>
    <row r="52" ht="54" customHeight="1">
      <c r="A52" s="44" t="inlineStr">
        <is>
          <t>eindhoven:photo:stadswandelpark-02</t>
        </is>
      </c>
      <c r="B52" s="44" t="inlineStr">
        <is>
          <t>https://commons.wikimedia.org/wiki/User:Rosemoon</t>
        </is>
      </c>
      <c r="C52" s="44" t="inlineStr">
        <is>
          <t>https://commons.wikimedia.org/wiki/User:Rosemoon</t>
        </is>
      </c>
      <c r="D52" s="44" t="inlineStr">
        <is>
          <t>https://upload.wikimedia.org/wikipedia/commons/6/61/0772_WN011_Stadswandelpark_Eindhoven-3.jpg?utm_source=commons.wikimedia.org&amp;utm_campaign=imageinfo&amp;utm_content=original</t>
        </is>
      </c>
      <c r="E52" s="44" t="inlineStr">
        <is>
          <t>https://thumb.wikimedia.org/wikipedia/commons/thumb/6/61/0772_WN011_Stadswandelpark_Eindhoven-3.jpg/1280px-0772_WN011_Stadswandelpark_Eindhoven-3.jpg</t>
        </is>
      </c>
      <c r="F52" s="53" t="n">
        <v>46318</v>
      </c>
      <c r="G52" s="44" t="inlineStr">
        <is>
          <t>Fotoğraflar/eindhoven_stadswandelpark_02.jpg</t>
        </is>
      </c>
      <c r="H52" s="44" t="inlineStr">
        <is>
          <t>0fae132d6361e9625c3e47d01f40577b87e7017b4040f770dd301ec9564f0da7</t>
        </is>
      </c>
      <c r="I52" s="44" t="inlineStr">
        <is>
          <t>Teslimler/WebKopyalari/0fae132d6361e9625c3e47d01f40577b87e7017b4040f770dd301ec9564f0da7.webp</t>
        </is>
      </c>
      <c r="J52" s="44" t="inlineStr">
        <is>
          <t>94f62f54c2efeb13b750d7db9048debd7fa0bab6b7421068763740431dcafa67</t>
        </is>
      </c>
      <c r="K52" s="44" t="n">
        <v>1280</v>
      </c>
      <c r="L52" s="44" t="n">
        <v>853</v>
      </c>
      <c r="M52" s="44" t="inlineStr">
        <is>
          <t>Özgün teslim dosyası korundu. EXIF yönü uygulandı; kırpma yapılmadan en çok 1600 px, WebP kalite 84. Önceki kaynak değişiklik notları ayrıca korunur.</t>
        </is>
      </c>
      <c r="N52" s="44" t="inlineStr">
        <is>
          <t>Kayıttan doğrulandı</t>
        </is>
      </c>
      <c r="O52" s="44" t="n"/>
    </row>
    <row r="53" ht="54" customHeight="1">
      <c r="A53" s="44" t="inlineStr">
        <is>
          <t>eindhoven:photo:stadswandelpark-03</t>
        </is>
      </c>
      <c r="B53" s="44" t="inlineStr">
        <is>
          <t>https://www.wikidata.org/wiki/Q15080600</t>
        </is>
      </c>
      <c r="C53" s="44" t="inlineStr">
        <is>
          <t>https://www.wikidata.org/wiki/Q15080600</t>
        </is>
      </c>
      <c r="D53" s="44" t="inlineStr">
        <is>
          <t>https://upload.wikimedia.org/wikipedia/commons/4/46/13-06-29-eindhoven-50mm-54.jpg?utm_source=commons.wikimedia.org&amp;utm_campaign=imageinfo&amp;utm_content=original</t>
        </is>
      </c>
      <c r="E53" s="44" t="inlineStr">
        <is>
          <t>https://thumb.wikimedia.org/wikipedia/commons/thumb/4/46/13-06-29-eindhoven-50mm-54.jpg/1280px-13-06-29-eindhoven-50mm-54.jpg</t>
        </is>
      </c>
      <c r="F53" s="53" t="n">
        <v>46318</v>
      </c>
      <c r="G53" s="44" t="inlineStr">
        <is>
          <t>Fotoğraflar/eindhoven_stadswandelpark_03.jpg</t>
        </is>
      </c>
      <c r="H53" s="44" t="inlineStr">
        <is>
          <t>0d7e570dc63995b6410e1445ca6c41c3cf835666704043eb5974a17a6af568f1</t>
        </is>
      </c>
      <c r="I53" s="44" t="inlineStr">
        <is>
          <t>Teslimler/WebKopyalari/0d7e570dc63995b6410e1445ca6c41c3cf835666704043eb5974a17a6af568f1.webp</t>
        </is>
      </c>
      <c r="J53" s="44" t="inlineStr">
        <is>
          <t>d4d75856531bcd43b6497312602b8ce0ea8b47b13ea47ab79c762df32bcdd8ea</t>
        </is>
      </c>
      <c r="K53" s="44" t="n">
        <v>1280</v>
      </c>
      <c r="L53" s="44" t="n">
        <v>850</v>
      </c>
      <c r="M53" s="44" t="inlineStr">
        <is>
          <t>Özgün teslim dosyası korundu. EXIF yönü uygulandı; kırpma yapılmadan en çok 1600 px, WebP kalite 84. Önceki kaynak değişiklik notları ayrıca korunur.</t>
        </is>
      </c>
      <c r="N53" s="44" t="inlineStr">
        <is>
          <t>Kayıttan doğrulandı</t>
        </is>
      </c>
      <c r="O53" s="44" t="n"/>
    </row>
    <row r="54" ht="54" customHeight="1">
      <c r="A54" s="44" t="inlineStr">
        <is>
          <t>eindhoven:photo:philips-de-jongh-wandelpark-01</t>
        </is>
      </c>
      <c r="B54" s="44" t="inlineStr">
        <is>
          <t>https://commons.wikimedia.org/wiki/User:Lempkesfabriek</t>
        </is>
      </c>
      <c r="C54" s="44" t="inlineStr">
        <is>
          <t>https://commons.wikimedia.org/wiki/User:Lempkesfabriek</t>
        </is>
      </c>
      <c r="D54" s="44" t="inlineStr">
        <is>
          <t>https://upload.wikimedia.org/wikipedia/commons/2/2a/PhilipsDeJonghWandelpark.jpg?utm_source=commons.wikimedia.org&amp;utm_campaign=imageinfo&amp;utm_content=original</t>
        </is>
      </c>
      <c r="E54" s="44" t="inlineStr">
        <is>
          <t>https://upload.wikimedia.org/wikipedia/commons/2/2a/PhilipsDeJonghWandelpark.jpg</t>
        </is>
      </c>
      <c r="F54" s="53" t="n">
        <v>46318</v>
      </c>
      <c r="G54" s="44" t="inlineStr">
        <is>
          <t>Fotoğraflar/eindhoven_philips-de-jongh-wandelpark_01.jpg</t>
        </is>
      </c>
      <c r="H54" s="44" t="inlineStr">
        <is>
          <t>181b3e70fae750d01a0242b0c2f6e0848153d927a8449501df7a64cdada98c65</t>
        </is>
      </c>
      <c r="I54" s="44" t="inlineStr">
        <is>
          <t>Teslimler/WebKopyalari/181b3e70fae750d01a0242b0c2f6e0848153d927a8449501df7a64cdada98c65.webp</t>
        </is>
      </c>
      <c r="J54" s="44" t="inlineStr">
        <is>
          <t>2774c19794e5a6d88208f139e350f9e7d0641423d98664e0756823b58e133785</t>
        </is>
      </c>
      <c r="K54" s="44" t="n">
        <v>991</v>
      </c>
      <c r="L54" s="44" t="n">
        <v>745</v>
      </c>
      <c r="M54" s="44" t="inlineStr">
        <is>
          <t>Özgün teslim dosyası korundu. EXIF yönü uygulandı; kırpma yapılmadan en çok 1600 px, WebP kalite 84. Önceki kaynak değişiklik notları ayrıca korunur.</t>
        </is>
      </c>
      <c r="N54" s="44" t="inlineStr">
        <is>
          <t>Kayıttan doğrulandı</t>
        </is>
      </c>
      <c r="O54" s="44" t="n"/>
    </row>
    <row r="55" ht="54" customHeight="1">
      <c r="A55" s="44" t="inlineStr">
        <is>
          <t>eindhoven:photo:philips-de-jongh-wandelpark-02</t>
        </is>
      </c>
      <c r="B55" s="44" t="inlineStr">
        <is>
          <t>https://commons.wikimedia.org/wiki/User:Lempkesfabriek</t>
        </is>
      </c>
      <c r="C55" s="44" t="inlineStr">
        <is>
          <t>https://commons.wikimedia.org/wiki/User:Lempkesfabriek</t>
        </is>
      </c>
      <c r="D55" s="44" t="inlineStr">
        <is>
          <t>https://upload.wikimedia.org/wikipedia/commons/9/9f/PhilipsDeJonghWandelpark02.jpg?utm_source=commons.wikimedia.org&amp;utm_campaign=imageinfo&amp;utm_content=original</t>
        </is>
      </c>
      <c r="E55" s="44" t="inlineStr">
        <is>
          <t>https://upload.wikimedia.org/wikipedia/commons/9/9f/PhilipsDeJonghWandelpark02.jpg</t>
        </is>
      </c>
      <c r="F55" s="53" t="n">
        <v>46318</v>
      </c>
      <c r="G55" s="44" t="inlineStr">
        <is>
          <t>Fotoğraflar/eindhoven_philips-de-jongh-wandelpark_02.jpg</t>
        </is>
      </c>
      <c r="H55" s="44" t="inlineStr">
        <is>
          <t>790739b0548872d8386324207e8312e5e8f0a39fcad59164450f62c7f40a32a5</t>
        </is>
      </c>
      <c r="I55" s="44" t="inlineStr">
        <is>
          <t>Teslimler/WebKopyalari/790739b0548872d8386324207e8312e5e8f0a39fcad59164450f62c7f40a32a5.webp</t>
        </is>
      </c>
      <c r="J55" s="44" t="inlineStr">
        <is>
          <t>3e05badd4d4a2436bff443c09f86369b271ecdeb47b9e30f5917c20c0d297d2a</t>
        </is>
      </c>
      <c r="K55" s="44" t="n">
        <v>991</v>
      </c>
      <c r="L55" s="44" t="n">
        <v>745</v>
      </c>
      <c r="M55" s="44" t="inlineStr">
        <is>
          <t>Özgün teslim dosyası korundu. EXIF yönü uygulandı; kırpma yapılmadan en çok 1600 px, WebP kalite 84. Önceki kaynak değişiklik notları ayrıca korunur.</t>
        </is>
      </c>
      <c r="N55" s="44" t="inlineStr">
        <is>
          <t>Kayıttan doğrulandı</t>
        </is>
      </c>
      <c r="O55" s="44" t="n"/>
    </row>
    <row r="56" ht="54" customHeight="1">
      <c r="A56" s="44" t="inlineStr">
        <is>
          <t>eindhoven:photo:philips-de-jongh-wandelpark-03</t>
        </is>
      </c>
      <c r="B56" s="44" t="inlineStr">
        <is>
          <t>https://commons.wikimedia.org/wiki/User:Lempkesfabriek</t>
        </is>
      </c>
      <c r="C56" s="44" t="inlineStr">
        <is>
          <t>https://commons.wikimedia.org/wiki/User:Lempkesfabriek</t>
        </is>
      </c>
      <c r="D56" s="44" t="inlineStr">
        <is>
          <t>https://upload.wikimedia.org/wikipedia/commons/4/4f/PhilipsDeJonghWandelpark03.jpg?utm_source=commons.wikimedia.org&amp;utm_campaign=imageinfo&amp;utm_content=original</t>
        </is>
      </c>
      <c r="E56" s="44" t="inlineStr">
        <is>
          <t>https://upload.wikimedia.org/wikipedia/commons/4/4f/PhilipsDeJonghWandelpark03.jpg</t>
        </is>
      </c>
      <c r="F56" s="53" t="n">
        <v>46318</v>
      </c>
      <c r="G56" s="44" t="inlineStr">
        <is>
          <t>Fotoğraflar/eindhoven_philips-de-jongh-wandelpark_03.jpg</t>
        </is>
      </c>
      <c r="H56" s="44" t="inlineStr">
        <is>
          <t>6f98ac3d84ea4d0c42f0064f74d64041928619fd904d1481476c71ea225d43e2</t>
        </is>
      </c>
      <c r="I56" s="44" t="inlineStr">
        <is>
          <t>Teslimler/WebKopyalari/6f98ac3d84ea4d0c42f0064f74d64041928619fd904d1481476c71ea225d43e2.webp</t>
        </is>
      </c>
      <c r="J56" s="44" t="inlineStr">
        <is>
          <t>b234db62e9b5e49752fa73063bdcb54eaf069c30d866537bdc887b482eef363d</t>
        </is>
      </c>
      <c r="K56" s="44" t="n">
        <v>745</v>
      </c>
      <c r="L56" s="44" t="n">
        <v>991</v>
      </c>
      <c r="M56" s="44" t="inlineStr">
        <is>
          <t>Özgün teslim dosyası korundu. EXIF yönü uygulandı; kırpma yapılmadan en çok 1600 px, WebP kalite 84. Önceki kaynak değişiklik notları ayrıca korunur.</t>
        </is>
      </c>
      <c r="N56" s="44" t="inlineStr">
        <is>
          <t>Kayıttan doğrulandı</t>
        </is>
      </c>
      <c r="O56" s="44" t="n"/>
    </row>
    <row r="57" ht="54" customHeight="1">
      <c r="A57" s="44" t="inlineStr">
        <is>
          <t>eindhoven:photo:henri-dunantpark-01</t>
        </is>
      </c>
      <c r="B57" s="44" t="n"/>
      <c r="C57" s="44" t="inlineStr">
        <is>
          <t>https://commons.wikimedia.org/wiki/File:HenriDunantPark.jpg</t>
        </is>
      </c>
      <c r="D57" s="44" t="inlineStr">
        <is>
          <t>https://upload.wikimedia.org/wikipedia/commons/0/06/HenriDunantPark.jpg?utm_source=commons.wikimedia.org&amp;utm_campaign=imageinfo&amp;utm_content=original</t>
        </is>
      </c>
      <c r="E57" s="44" t="inlineStr">
        <is>
          <t>https://thumb.wikimedia.org/wikipedia/commons/thumb/0/06/HenriDunantPark.jpg/1280px-HenriDunantPark.jpg</t>
        </is>
      </c>
      <c r="F57" s="53" t="n">
        <v>46318</v>
      </c>
      <c r="G57" s="44" t="inlineStr">
        <is>
          <t>Fotoğraflar/eindhoven_henri-dunantpark_01.jpg</t>
        </is>
      </c>
      <c r="H57" s="44" t="inlineStr">
        <is>
          <t>99597a9a72bfdebd093ee9b2be28cdc0071b4108c37cc17547dcc3ae93d1cd2a</t>
        </is>
      </c>
      <c r="I57" s="44" t="inlineStr">
        <is>
          <t>Teslimler/WebKopyalari/99597a9a72bfdebd093ee9b2be28cdc0071b4108c37cc17547dcc3ae93d1cd2a.webp</t>
        </is>
      </c>
      <c r="J57" s="44" t="inlineStr">
        <is>
          <t>dd5a225d733e4f547290db33d213c0115d4f015f4541562e8b62eb0701027c4f</t>
        </is>
      </c>
      <c r="K57" s="44" t="n">
        <v>1280</v>
      </c>
      <c r="L57" s="44" t="n">
        <v>849</v>
      </c>
      <c r="M57" s="44" t="inlineStr">
        <is>
          <t>Özgün teslim dosyası korundu. EXIF yönü uygulandı; kırpma yapılmadan en çok 1600 px, WebP kalite 84. Önceki kaynak değişiklik notları ayrıca korunur.</t>
        </is>
      </c>
      <c r="N57" s="44" t="inlineStr">
        <is>
          <t>Eksik alan var</t>
        </is>
      </c>
      <c r="O57" s="44" t="inlineStr">
        <is>
          <t>Kaynakta ayrı fotoğrafçı profil bağlantısı bulunmadı; fotoğraf kaynak sayfasına atıf korunur. Bağlantı uydurulmaz.</t>
        </is>
      </c>
    </row>
    <row r="58" ht="54" customHeight="1">
      <c r="A58" s="44" t="inlineStr">
        <is>
          <t>eindhoven:photo:landgoed-de-wielewaal-01</t>
        </is>
      </c>
      <c r="B58" s="44" t="inlineStr">
        <is>
          <t>https://commons.wikimedia.org/wiki/User:Chescargot</t>
        </is>
      </c>
      <c r="C58" s="44" t="inlineStr">
        <is>
          <t>https://commons.wikimedia.org/wiki/User:Chescargot</t>
        </is>
      </c>
      <c r="D58" s="44" t="inlineStr">
        <is>
          <t>https://upload.wikimedia.org/wikipedia/commons/1/16/Lichtbos_Eindhoven_januari_2026_14.jpg?utm_source=commons.wikimedia.org&amp;utm_campaign=imageinfo&amp;utm_content=original</t>
        </is>
      </c>
      <c r="E58" s="44" t="inlineStr">
        <is>
          <t>https://thumb.wikimedia.org/wikipedia/commons/thumb/1/16/Lichtbos_Eindhoven_januari_2026_14.jpg/1280px-Lichtbos_Eindhoven_januari_2026_14.jpg</t>
        </is>
      </c>
      <c r="F58" s="53" t="n">
        <v>46318</v>
      </c>
      <c r="G58" s="44" t="inlineStr">
        <is>
          <t>Fotoğraflar/eindhoven_landgoed-de-wielewaal_01.jpg</t>
        </is>
      </c>
      <c r="H58" s="44" t="inlineStr">
        <is>
          <t>10eda6cec5365d170c03b3b692020199ea46b8adbfd9ae751478013ac9f31f3f</t>
        </is>
      </c>
      <c r="I58" s="44" t="inlineStr">
        <is>
          <t>Teslimler/WebKopyalari/10eda6cec5365d170c03b3b692020199ea46b8adbfd9ae751478013ac9f31f3f.webp</t>
        </is>
      </c>
      <c r="J58" s="44" t="inlineStr">
        <is>
          <t>2eee49858bbb39dc5929412581de1882ebd49988687bb09eb104b12bd23beeea</t>
        </is>
      </c>
      <c r="K58" s="44" t="n">
        <v>1200</v>
      </c>
      <c r="L58" s="44" t="n">
        <v>1600</v>
      </c>
      <c r="M58" s="44" t="inlineStr">
        <is>
          <t>Özgün teslim dosyası korundu. EXIF yönü uygulandı; kırpma yapılmadan en çok 1600 px, WebP kalite 84. Önceki kaynak değişiklik notları ayrıca korunur.</t>
        </is>
      </c>
      <c r="N58" s="44" t="inlineStr">
        <is>
          <t>Kayıttan doğrulandı</t>
        </is>
      </c>
      <c r="O58" s="44" t="n"/>
    </row>
    <row r="59" ht="54" customHeight="1">
      <c r="A59" s="44" t="inlineStr">
        <is>
          <t>eindhoven:photo:de-ontdekfabriek-01</t>
        </is>
      </c>
      <c r="B59" s="44" t="inlineStr">
        <is>
          <t>https://commons.wikimedia.org/wiki/User:S._Perquin</t>
        </is>
      </c>
      <c r="C59" s="44" t="inlineStr">
        <is>
          <t>https://commons.wikimedia.org/wiki/User:S._Perquin</t>
        </is>
      </c>
      <c r="D59" s="44" t="inlineStr">
        <is>
          <t>https://upload.wikimedia.org/wikipedia/commons/3/3b/De_Ontdekfabriek.jpg?utm_source=commons.wikimedia.org&amp;utm_campaign=imageinfo&amp;utm_content=original</t>
        </is>
      </c>
      <c r="E59" s="44" t="inlineStr">
        <is>
          <t>https://thumb.wikimedia.org/wikipedia/commons/thumb/3/3b/De_Ontdekfabriek.jpg/1280px-De_Ontdekfabriek.jpg</t>
        </is>
      </c>
      <c r="F59" s="53" t="n">
        <v>46318</v>
      </c>
      <c r="G59" s="44" t="inlineStr">
        <is>
          <t>Fotoğraflar/eindhoven_de-ontdekfabriek_01.jpg</t>
        </is>
      </c>
      <c r="H59" s="44" t="inlineStr">
        <is>
          <t>868175b3eb8ac5c1e21740cee56e4694e6e062a6985770ebfc838152699c27e6</t>
        </is>
      </c>
      <c r="I59" s="44" t="inlineStr">
        <is>
          <t>Teslimler/WebKopyalari/868175b3eb8ac5c1e21740cee56e4694e6e062a6985770ebfc838152699c27e6.webp</t>
        </is>
      </c>
      <c r="J59" s="44" t="inlineStr">
        <is>
          <t>58787453f1835c851ea729fa6cfe9ccf46b2e9b00ef1c8c7e31fe09643dc1123</t>
        </is>
      </c>
      <c r="K59" s="44" t="n">
        <v>1280</v>
      </c>
      <c r="L59" s="44" t="n">
        <v>960</v>
      </c>
      <c r="M59" s="44" t="inlineStr">
        <is>
          <t>Özgün teslim dosyası korundu. EXIF yönü uygulandı; kırpma yapılmadan en çok 1600 px, WebP kalite 84. Önceki kaynak değişiklik notları ayrıca korunur.</t>
        </is>
      </c>
      <c r="N59" s="44" t="inlineStr">
        <is>
          <t>Kayıttan doğrulandı</t>
        </is>
      </c>
      <c r="O59" s="44" t="n"/>
    </row>
    <row r="60" ht="54" customHeight="1">
      <c r="A60" s="44" t="inlineStr">
        <is>
          <t>eindhoven:photo:de-ontdekfabriek-02</t>
        </is>
      </c>
      <c r="B60" s="44" t="inlineStr">
        <is>
          <t>https://pixabay.com/users/olafpictures-2427999/</t>
        </is>
      </c>
      <c r="C60" s="44" t="inlineStr">
        <is>
          <t>https://pixabay.com/users/olafpictures-2427999/</t>
        </is>
      </c>
      <c r="D60" s="44" t="inlineStr">
        <is>
          <t>https://upload.wikimedia.org/wikipedia/commons/d/d6/Netherlands_Office_Philips_Eindhoven_Building.jpg?utm_source=commons.wikimedia.org&amp;utm_campaign=imageinfo&amp;utm_content=original</t>
        </is>
      </c>
      <c r="E60" s="44" t="inlineStr">
        <is>
          <t>https://thumb.wikimedia.org/wikipedia/commons/thumb/d/d6/Netherlands_Office_Philips_Eindhoven_Building.jpg/1280px-Netherlands_Office_Philips_Eindhoven_Building.jpg</t>
        </is>
      </c>
      <c r="F60" s="53" t="n">
        <v>46318</v>
      </c>
      <c r="G60" s="44" t="inlineStr">
        <is>
          <t>Fotoğraflar/eindhoven_de-ontdekfabriek_02.jpg</t>
        </is>
      </c>
      <c r="H60" s="44" t="inlineStr">
        <is>
          <t>fee8c8e7e5e1f3b7a9699bc56aef4983e5b3ed20a45cdd8e2987a4ed16e4e48f</t>
        </is>
      </c>
      <c r="I60" s="44" t="inlineStr">
        <is>
          <t>Teslimler/WebKopyalari/fee8c8e7e5e1f3b7a9699bc56aef4983e5b3ed20a45cdd8e2987a4ed16e4e48f.webp</t>
        </is>
      </c>
      <c r="J60" s="44" t="inlineStr">
        <is>
          <t>5fe9970b47358eb9eb35dd08077492352956223ae54c9af1b7a6f3629ae24e20</t>
        </is>
      </c>
      <c r="K60" s="44" t="n">
        <v>1280</v>
      </c>
      <c r="L60" s="44" t="n">
        <v>853</v>
      </c>
      <c r="M60" s="44" t="inlineStr">
        <is>
          <t>Özgün teslim dosyası korundu. EXIF yönü uygulandı; kırpma yapılmadan en çok 1600 px, WebP kalite 84. Önceki kaynak değişiklik notları ayrıca korunur.</t>
        </is>
      </c>
      <c r="N60" s="44" t="inlineStr">
        <is>
          <t>Kayıttan doğrulandı</t>
        </is>
      </c>
      <c r="O60" s="44" t="n"/>
    </row>
    <row r="61" ht="54" customHeight="1">
      <c r="A61" s="44" t="inlineStr">
        <is>
          <t>eindhoven:photo:speelpark-de-splinter-01</t>
        </is>
      </c>
      <c r="B61" s="44" t="inlineStr">
        <is>
          <t>https://commons.wikimedia.org/wiki/User:S._Perquin</t>
        </is>
      </c>
      <c r="C61" s="44" t="inlineStr">
        <is>
          <t>https://commons.wikimedia.org/wiki/User:S._Perquin</t>
        </is>
      </c>
      <c r="D61" s="44" t="inlineStr">
        <is>
          <t>https://upload.wikimedia.org/wikipedia/commons/8/89/Speelpark_De_Splinter_%282025%29_%2810%29.jpg?utm_source=commons.wikimedia.org&amp;utm_campaign=imageinfo&amp;utm_content=original</t>
        </is>
      </c>
      <c r="E61" s="44" t="inlineStr">
        <is>
          <t>https://thumb.wikimedia.org/wikipedia/commons/thumb/8/89/Speelpark_De_Splinter_%282025%29_%2810%29.jpg/1280px-Speelpark_De_Splinter_%282025%29_%2810%29.jpg</t>
        </is>
      </c>
      <c r="F61" s="53" t="n">
        <v>46318</v>
      </c>
      <c r="G61" s="44" t="inlineStr">
        <is>
          <t>Fotoğraflar/eindhoven_speelpark-de-splinter_01.jpg</t>
        </is>
      </c>
      <c r="H61" s="44" t="inlineStr">
        <is>
          <t>b7177946fd4110134031cb1a7b5e8877244a272129c0efdc42224f87046fe442</t>
        </is>
      </c>
      <c r="I61" s="44" t="inlineStr">
        <is>
          <t>Teslimler/WebKopyalari/b7177946fd4110134031cb1a7b5e8877244a272129c0efdc42224f87046fe442.webp</t>
        </is>
      </c>
      <c r="J61" s="44" t="inlineStr">
        <is>
          <t>d7574c585b360d90766e81eb352f56ae35a5a7ca10d92989460929497bf162ed</t>
        </is>
      </c>
      <c r="K61" s="44" t="n">
        <v>1280</v>
      </c>
      <c r="L61" s="44" t="n">
        <v>853</v>
      </c>
      <c r="M61" s="44" t="inlineStr">
        <is>
          <t>Özgün teslim dosyası korundu. EXIF yönü uygulandı; kırpma yapılmadan en çok 1600 px, WebP kalite 84. Önceki kaynak değişiklik notları ayrıca korunur.</t>
        </is>
      </c>
      <c r="N61" s="44" t="inlineStr">
        <is>
          <t>Kayıttan doğrulandı</t>
        </is>
      </c>
      <c r="O61" s="44" t="n"/>
    </row>
    <row r="62" ht="54" customHeight="1">
      <c r="A62" s="44" t="inlineStr">
        <is>
          <t>eindhoven:photo:speelpark-de-splinter-02</t>
        </is>
      </c>
      <c r="B62" s="44" t="inlineStr">
        <is>
          <t>https://commons.wikimedia.org/wiki/User:S._Perquin</t>
        </is>
      </c>
      <c r="C62" s="44" t="inlineStr">
        <is>
          <t>https://commons.wikimedia.org/wiki/User:S._Perquin</t>
        </is>
      </c>
      <c r="D62" s="44" t="inlineStr">
        <is>
          <t>https://upload.wikimedia.org/wikipedia/commons/a/ab/Speelpark_De_Splinter_%282025%29_%2811%29.jpg?utm_source=commons.wikimedia.org&amp;utm_campaign=imageinfo&amp;utm_content=original</t>
        </is>
      </c>
      <c r="E62" s="44" t="inlineStr">
        <is>
          <t>https://thumb.wikimedia.org/wikipedia/commons/thumb/a/ab/Speelpark_De_Splinter_%282025%29_%2811%29.jpg/1280px-Speelpark_De_Splinter_%282025%29_%2811%29.jpg</t>
        </is>
      </c>
      <c r="F62" s="53" t="n">
        <v>46318</v>
      </c>
      <c r="G62" s="44" t="inlineStr">
        <is>
          <t>Fotoğraflar/eindhoven_speelpark-de-splinter_02.jpg</t>
        </is>
      </c>
      <c r="H62" s="44" t="inlineStr">
        <is>
          <t>11de563d0d84615604f83ff9a576e19c652c7ea91ac7b0016d6d04915df3ba90</t>
        </is>
      </c>
      <c r="I62" s="44" t="inlineStr">
        <is>
          <t>Teslimler/WebKopyalari/11de563d0d84615604f83ff9a576e19c652c7ea91ac7b0016d6d04915df3ba90.webp</t>
        </is>
      </c>
      <c r="J62" s="44" t="inlineStr">
        <is>
          <t>9c3391801446ea86aa291aaec58e950c1b2d0e0e098b2b1ee0e8a44b3d950d53</t>
        </is>
      </c>
      <c r="K62" s="44" t="n">
        <v>1280</v>
      </c>
      <c r="L62" s="44" t="n">
        <v>853</v>
      </c>
      <c r="M62" s="44" t="inlineStr">
        <is>
          <t>Özgün teslim dosyası korundu. EXIF yönü uygulandı; kırpma yapılmadan en çok 1600 px, WebP kalite 84. Önceki kaynak değişiklik notları ayrıca korunur.</t>
        </is>
      </c>
      <c r="N62" s="44" t="inlineStr">
        <is>
          <t>Kayıttan doğrulandı</t>
        </is>
      </c>
      <c r="O62" s="44" t="n"/>
    </row>
    <row r="63" ht="54" customHeight="1">
      <c r="A63" s="44" t="inlineStr">
        <is>
          <t>eindhoven:photo:speelpark-de-splinter-03</t>
        </is>
      </c>
      <c r="B63" s="44" t="inlineStr">
        <is>
          <t>https://commons.wikimedia.org/wiki/User:S._Perquin</t>
        </is>
      </c>
      <c r="C63" s="44" t="inlineStr">
        <is>
          <t>https://commons.wikimedia.org/wiki/User:S._Perquin</t>
        </is>
      </c>
      <c r="D63" s="44" t="inlineStr">
        <is>
          <t>https://upload.wikimedia.org/wikipedia/commons/b/b9/Speelpark_De_Splinter_%282025%29_%2812%29.jpg?utm_source=commons.wikimedia.org&amp;utm_campaign=imageinfo&amp;utm_content=original</t>
        </is>
      </c>
      <c r="E63" s="44" t="inlineStr">
        <is>
          <t>https://thumb.wikimedia.org/wikipedia/commons/thumb/b/b9/Speelpark_De_Splinter_%282025%29_%2812%29.jpg/1280px-Speelpark_De_Splinter_%282025%29_%2812%29.jpg</t>
        </is>
      </c>
      <c r="F63" s="53" t="n">
        <v>46318</v>
      </c>
      <c r="G63" s="44" t="inlineStr">
        <is>
          <t>Fotoğraflar/eindhoven_speelpark-de-splinter_03.jpg</t>
        </is>
      </c>
      <c r="H63" s="44" t="inlineStr">
        <is>
          <t>f604848d1e05ad428c204c9e2d06f7796e05b135bfe5a49159f3f9d7c97ce409</t>
        </is>
      </c>
      <c r="I63" s="44" t="inlineStr">
        <is>
          <t>Teslimler/WebKopyalari/f604848d1e05ad428c204c9e2d06f7796e05b135bfe5a49159f3f9d7c97ce409.webp</t>
        </is>
      </c>
      <c r="J63" s="44" t="inlineStr">
        <is>
          <t>cc4570f31bb060f3ace5c09121cd1292e97aef47e1f3c40fd5a3c7683ee85e01</t>
        </is>
      </c>
      <c r="K63" s="44" t="n">
        <v>1280</v>
      </c>
      <c r="L63" s="44" t="n">
        <v>853</v>
      </c>
      <c r="M63" s="44" t="inlineStr">
        <is>
          <t>Özgün teslim dosyası korundu. EXIF yönü uygulandı; kırpma yapılmadan en çok 1600 px, WebP kalite 84. Önceki kaynak değişiklik notları ayrıca korunur.</t>
        </is>
      </c>
      <c r="N63" s="44" t="inlineStr">
        <is>
          <t>Kayıttan doğrulandı</t>
        </is>
      </c>
      <c r="O63" s="44" t="n"/>
    </row>
    <row r="64" ht="54" customHeight="1">
      <c r="A64" s="44" t="inlineStr">
        <is>
          <t>eindhoven:photo:genneper-hoeve-01</t>
        </is>
      </c>
      <c r="B64" s="44" t="inlineStr">
        <is>
          <t>https://commons.wikimedia.org/wiki/User:Rosemoon</t>
        </is>
      </c>
      <c r="C64" s="44" t="inlineStr">
        <is>
          <t>https://commons.wikimedia.org/wiki/User:Rosemoon</t>
        </is>
      </c>
      <c r="D64" s="44" t="inlineStr">
        <is>
          <t>https://upload.wikimedia.org/wikipedia/commons/a/ab/Tongelreeppad_1%2C_Eindhoven_achterzijde_GM.JPG?utm_source=commons.wikimedia.org&amp;utm_campaign=imageinfo&amp;utm_content=original</t>
        </is>
      </c>
      <c r="E64" s="44" t="inlineStr">
        <is>
          <t>https://thumb.wikimedia.org/wikipedia/commons/thumb/a/ab/Tongelreeppad_1%2C_Eindhoven_achterzijde_GM.JPG/1280px-Tongelreeppad_1%2C_Eindhoven_achterzijde_GM.JPG</t>
        </is>
      </c>
      <c r="F64" s="53" t="n">
        <v>46318</v>
      </c>
      <c r="G64" s="44" t="inlineStr">
        <is>
          <t>Fotoğraflar/eindhoven_genneper-hoeve_01.jpg</t>
        </is>
      </c>
      <c r="H64" s="44" t="inlineStr">
        <is>
          <t>f696f71000e818289b860a182610d14c3da8d1a77a0f655f7cd8ac4bf0afc7e7</t>
        </is>
      </c>
      <c r="I64" s="44" t="inlineStr">
        <is>
          <t>Teslimler/WebKopyalari/f696f71000e818289b860a182610d14c3da8d1a77a0f655f7cd8ac4bf0afc7e7.webp</t>
        </is>
      </c>
      <c r="J64" s="44" t="inlineStr">
        <is>
          <t>f7f31aa612c9b3f3df938fbba7fe74a8ec463372404a1ee8e470b15b85c3ba2e</t>
        </is>
      </c>
      <c r="K64" s="44" t="n">
        <v>1280</v>
      </c>
      <c r="L64" s="44" t="n">
        <v>960</v>
      </c>
      <c r="M64" s="44" t="inlineStr">
        <is>
          <t>Özgün teslim dosyası korundu. EXIF yönü uygulandı; kırpma yapılmadan en çok 1600 px, WebP kalite 84. Önceki kaynak değişiklik notları ayrıca korunur.</t>
        </is>
      </c>
      <c r="N64" s="44" t="inlineStr">
        <is>
          <t>Kayıttan doğrulandı</t>
        </is>
      </c>
      <c r="O64" s="44" t="n"/>
    </row>
    <row r="65" ht="54" customHeight="1">
      <c r="A65" s="44" t="inlineStr">
        <is>
          <t>eindhoven:photo:genneper-hoeve-02</t>
        </is>
      </c>
      <c r="B65" s="44" t="inlineStr">
        <is>
          <t>https://commons.wikimedia.org/wiki/User:Rosemoon</t>
        </is>
      </c>
      <c r="C65" s="44" t="inlineStr">
        <is>
          <t>https://commons.wikimedia.org/wiki/User:Rosemoon</t>
        </is>
      </c>
      <c r="D65" s="44" t="inlineStr">
        <is>
          <t>https://upload.wikimedia.org/wikipedia/commons/8/81/Tongelreeppad_1%2C_Eindhoven_voorzijde_GM_%282%29.JPG?utm_source=commons.wikimedia.org&amp;utm_campaign=imageinfo&amp;utm_content=original</t>
        </is>
      </c>
      <c r="E65" s="44" t="inlineStr">
        <is>
          <t>https://thumb.wikimedia.org/wikipedia/commons/thumb/8/81/Tongelreeppad_1%2C_Eindhoven_voorzijde_GM_%282%29.JPG/1280px-Tongelreeppad_1%2C_Eindhoven_voorzijde_GM_%282%29.JPG</t>
        </is>
      </c>
      <c r="F65" s="53" t="n">
        <v>46318</v>
      </c>
      <c r="G65" s="44" t="inlineStr">
        <is>
          <t>Fotoğraflar/eindhoven_genneper-hoeve_02.jpg</t>
        </is>
      </c>
      <c r="H65" s="44" t="inlineStr">
        <is>
          <t>cecf64c7ec288c4686b9b424cd1ed97c18629f7377f48bb4d2d2bbe4ad6ceef6</t>
        </is>
      </c>
      <c r="I65" s="44" t="inlineStr">
        <is>
          <t>Teslimler/WebKopyalari/cecf64c7ec288c4686b9b424cd1ed97c18629f7377f48bb4d2d2bbe4ad6ceef6.webp</t>
        </is>
      </c>
      <c r="J65" s="44" t="inlineStr">
        <is>
          <t>22cd7bd2bcfa525f41beddd4f9715bc34b603f970dfede694c95aa2b53a3842c</t>
        </is>
      </c>
      <c r="K65" s="44" t="n">
        <v>1280</v>
      </c>
      <c r="L65" s="44" t="n">
        <v>960</v>
      </c>
      <c r="M65" s="44" t="inlineStr">
        <is>
          <t>Özgün teslim dosyası korundu. EXIF yönü uygulandı; kırpma yapılmadan en çok 1600 px, WebP kalite 84. Önceki kaynak değişiklik notları ayrıca korunur.</t>
        </is>
      </c>
      <c r="N65" s="44" t="inlineStr">
        <is>
          <t>Kayıttan doğrulandı</t>
        </is>
      </c>
      <c r="O65" s="44" t="n"/>
    </row>
    <row r="66" ht="54" customHeight="1">
      <c r="A66" s="44" t="inlineStr">
        <is>
          <t>eindhoven:photo:genneper-hoeve-03</t>
        </is>
      </c>
      <c r="B66" s="44" t="inlineStr">
        <is>
          <t>https://commons.wikimedia.org/wiki/User:Rosemoon</t>
        </is>
      </c>
      <c r="C66" s="44" t="inlineStr">
        <is>
          <t>https://commons.wikimedia.org/wiki/User:Rosemoon</t>
        </is>
      </c>
      <c r="D66" s="44" t="inlineStr">
        <is>
          <t>https://upload.wikimedia.org/wikipedia/commons/7/77/Tongelreeppad_1%2C_Eindhoven_voorzijde_GM.JPG?utm_source=commons.wikimedia.org&amp;utm_campaign=imageinfo&amp;utm_content=original</t>
        </is>
      </c>
      <c r="E66" s="44" t="inlineStr">
        <is>
          <t>https://thumb.wikimedia.org/wikipedia/commons/thumb/7/77/Tongelreeppad_1%2C_Eindhoven_voorzijde_GM.JPG/1280px-Tongelreeppad_1%2C_Eindhoven_voorzijde_GM.JPG</t>
        </is>
      </c>
      <c r="F66" s="53" t="n">
        <v>46318</v>
      </c>
      <c r="G66" s="44" t="inlineStr">
        <is>
          <t>Fotoğraflar/eindhoven_genneper-hoeve_03.jpg</t>
        </is>
      </c>
      <c r="H66" s="44" t="inlineStr">
        <is>
          <t>84733bfbd5a0b8accfbb09ed649c70aafb894b135632c49deb9b90ecb29af678</t>
        </is>
      </c>
      <c r="I66" s="44" t="inlineStr">
        <is>
          <t>Teslimler/WebKopyalari/84733bfbd5a0b8accfbb09ed649c70aafb894b135632c49deb9b90ecb29af678.webp</t>
        </is>
      </c>
      <c r="J66" s="44" t="inlineStr">
        <is>
          <t>331677804cbb8e85cc38a4ec94f26e591c2043cb6797ff2943093e22b6fdc982</t>
        </is>
      </c>
      <c r="K66" s="44" t="n">
        <v>1280</v>
      </c>
      <c r="L66" s="44" t="n">
        <v>960</v>
      </c>
      <c r="M66" s="44" t="inlineStr">
        <is>
          <t>Özgün teslim dosyası korundu. EXIF yönü uygulandı; kırpma yapılmadan en çok 1600 px, WebP kalite 84. Önceki kaynak değişiklik notları ayrıca korunur.</t>
        </is>
      </c>
      <c r="N66" s="44" t="inlineStr">
        <is>
          <t>Kayıttan doğrulandı</t>
        </is>
      </c>
      <c r="O66" s="44" t="n"/>
    </row>
    <row r="67" ht="54" customHeight="1">
      <c r="A67" s="44" t="inlineStr">
        <is>
          <t>eindhoven:photo:stratumseind-01</t>
        </is>
      </c>
      <c r="B67" s="44" t="inlineStr">
        <is>
          <t>https://commons.wikimedia.org/wiki/User:Rosemoon</t>
        </is>
      </c>
      <c r="C67" s="44" t="inlineStr">
        <is>
          <t>https://commons.wikimedia.org/wiki/User:Rosemoon</t>
        </is>
      </c>
      <c r="D67" s="44" t="inlineStr">
        <is>
          <t>https://upload.wikimedia.org/wikipedia/commons/3/3d/Stratumseind_101-105%2C_Eindhoven.JPG?utm_source=commons.wikimedia.org&amp;utm_campaign=imageinfo&amp;utm_content=original</t>
        </is>
      </c>
      <c r="E67" s="44" t="inlineStr">
        <is>
          <t>https://thumb.wikimedia.org/wikipedia/commons/thumb/3/3d/Stratumseind_101-105%2C_Eindhoven.JPG/1280px-Stratumseind_101-105%2C_Eindhoven.JPG</t>
        </is>
      </c>
      <c r="F67" s="53" t="n">
        <v>46318</v>
      </c>
      <c r="G67" s="44" t="inlineStr">
        <is>
          <t>Fotoğraflar/eindhoven_stratumseind_01.jpg</t>
        </is>
      </c>
      <c r="H67" s="44" t="inlineStr">
        <is>
          <t>5114655a408eb0c701e5531899c7673a04303b348a13b60d124be96d68c03f0f</t>
        </is>
      </c>
      <c r="I67" s="44" t="inlineStr">
        <is>
          <t>Teslimler/WebKopyalari/5114655a408eb0c701e5531899c7673a04303b348a13b60d124be96d68c03f0f.webp</t>
        </is>
      </c>
      <c r="J67" s="44" t="inlineStr">
        <is>
          <t>c212bd1d157da9e56f690c65a1615de89b632271e6f1be45bc0e156b80a86f75</t>
        </is>
      </c>
      <c r="K67" s="44" t="n">
        <v>1280</v>
      </c>
      <c r="L67" s="44" t="n">
        <v>960</v>
      </c>
      <c r="M67" s="44" t="inlineStr">
        <is>
          <t>Özgün teslim dosyası korundu. EXIF yönü uygulandı; kırpma yapılmadan en çok 1600 px, WebP kalite 84. Önceki kaynak değişiklik notları ayrıca korunur.</t>
        </is>
      </c>
      <c r="N67" s="44" t="inlineStr">
        <is>
          <t>Kayıttan doğrulandı</t>
        </is>
      </c>
      <c r="O67" s="44" t="n"/>
    </row>
    <row r="68" ht="54" customHeight="1">
      <c r="A68" s="44" t="inlineStr">
        <is>
          <t>eindhoven:photo:stratumseind-02</t>
        </is>
      </c>
      <c r="B68" s="44" t="inlineStr">
        <is>
          <t>https://commons.wikimedia.org/wiki/User:Rosemoon</t>
        </is>
      </c>
      <c r="C68" s="44" t="inlineStr">
        <is>
          <t>https://commons.wikimedia.org/wiki/User:Rosemoon</t>
        </is>
      </c>
      <c r="D68" s="44" t="inlineStr">
        <is>
          <t>https://upload.wikimedia.org/wikipedia/commons/c/cd/Stratumseind_14%2C_Eindhoven.JPG?utm_source=commons.wikimedia.org&amp;utm_campaign=imageinfo&amp;utm_content=original</t>
        </is>
      </c>
      <c r="E68" s="44" t="inlineStr">
        <is>
          <t>https://thumb.wikimedia.org/wikipedia/commons/thumb/c/cd/Stratumseind_14%2C_Eindhoven.JPG/1280px-Stratumseind_14%2C_Eindhoven.JPG</t>
        </is>
      </c>
      <c r="F68" s="53" t="n">
        <v>46318</v>
      </c>
      <c r="G68" s="44" t="inlineStr">
        <is>
          <t>Fotoğraflar/eindhoven_stratumseind_02.jpg</t>
        </is>
      </c>
      <c r="H68" s="44" t="inlineStr">
        <is>
          <t>9276bbb60cb13cd88df1333952142037d3b0bcc403d236ce51de3a777bdbe7ae</t>
        </is>
      </c>
      <c r="I68" s="44" t="inlineStr">
        <is>
          <t>Teslimler/WebKopyalari/9276bbb60cb13cd88df1333952142037d3b0bcc403d236ce51de3a777bdbe7ae.webp</t>
        </is>
      </c>
      <c r="J68" s="44" t="inlineStr">
        <is>
          <t>4ae835c3055f763d6e3f551a4dca8ce953100c264365ab6643ee3f57ecaf52a0</t>
        </is>
      </c>
      <c r="K68" s="44" t="n">
        <v>1200</v>
      </c>
      <c r="L68" s="44" t="n">
        <v>1600</v>
      </c>
      <c r="M68" s="44" t="inlineStr">
        <is>
          <t>Özgün teslim dosyası korundu. EXIF yönü uygulandı; kırpma yapılmadan en çok 1600 px, WebP kalite 84. Önceki kaynak değişiklik notları ayrıca korunur.</t>
        </is>
      </c>
      <c r="N68" s="44" t="inlineStr">
        <is>
          <t>Kayıttan doğrulandı</t>
        </is>
      </c>
      <c r="O68" s="44" t="n"/>
    </row>
    <row r="69" ht="54" customHeight="1">
      <c r="A69" s="44" t="inlineStr">
        <is>
          <t>eindhoven:photo:stratumseind-03</t>
        </is>
      </c>
      <c r="B69" s="44" t="inlineStr">
        <is>
          <t>https://commons.wikimedia.org/wiki/User:Rosemoon</t>
        </is>
      </c>
      <c r="C69" s="44" t="inlineStr">
        <is>
          <t>https://commons.wikimedia.org/wiki/User:Rosemoon</t>
        </is>
      </c>
      <c r="D69" s="44" t="inlineStr">
        <is>
          <t>https://upload.wikimedia.org/wikipedia/commons/6/6d/Stratumseind_15-21%2C_Eindhoven.JPG?utm_source=commons.wikimedia.org&amp;utm_campaign=imageinfo&amp;utm_content=original</t>
        </is>
      </c>
      <c r="E69" s="44" t="inlineStr">
        <is>
          <t>https://thumb.wikimedia.org/wikipedia/commons/thumb/6/6d/Stratumseind_15-21%2C_Eindhoven.JPG/1280px-Stratumseind_15-21%2C_Eindhoven.JPG</t>
        </is>
      </c>
      <c r="F69" s="53" t="n">
        <v>46318</v>
      </c>
      <c r="G69" s="44" t="inlineStr">
        <is>
          <t>Fotoğraflar/eindhoven_stratumseind_03.jpg</t>
        </is>
      </c>
      <c r="H69" s="44" t="inlineStr">
        <is>
          <t>e8136cf26b8f1cbfd5892f3cf0c59136be4be2489064a733f5d349920d2f9b2d</t>
        </is>
      </c>
      <c r="I69" s="44" t="inlineStr">
        <is>
          <t>Teslimler/WebKopyalari/e8136cf26b8f1cbfd5892f3cf0c59136be4be2489064a733f5d349920d2f9b2d.webp</t>
        </is>
      </c>
      <c r="J69" s="44" t="inlineStr">
        <is>
          <t>05b59fa1faf659af2b74e46e9207b876362254a9ca3f35b73ba71e212508489f</t>
        </is>
      </c>
      <c r="K69" s="44" t="n">
        <v>1280</v>
      </c>
      <c r="L69" s="44" t="n">
        <v>960</v>
      </c>
      <c r="M69" s="44" t="inlineStr">
        <is>
          <t>Özgün teslim dosyası korundu. EXIF yönü uygulandı; kırpma yapılmadan en çok 1600 px, WebP kalite 84. Önceki kaynak değişiklik notları ayrıca korunur.</t>
        </is>
      </c>
      <c r="N69" s="44" t="inlineStr">
        <is>
          <t>Kayıttan doğrulandı</t>
        </is>
      </c>
      <c r="O69" s="44" t="n"/>
    </row>
    <row r="70" ht="54" customHeight="1">
      <c r="A70" s="44" t="inlineStr">
        <is>
          <t>eindhoven:photo:de-mispelhoef-01</t>
        </is>
      </c>
      <c r="B70" s="44" t="n"/>
      <c r="C70" s="44" t="inlineStr">
        <is>
          <t>https://commons.wikimedia.org/wiki/File:Mispelhoeve.JPG</t>
        </is>
      </c>
      <c r="D70" s="44" t="inlineStr">
        <is>
          <t>https://upload.wikimedia.org/wikipedia/commons/1/1f/Mispelhoeve.JPG?utm_source=commons.wikimedia.org&amp;utm_campaign=imageinfo&amp;utm_content=original</t>
        </is>
      </c>
      <c r="E70" s="44" t="inlineStr">
        <is>
          <t>https://thumb.wikimedia.org/wikipedia/commons/thumb/1/1f/Mispelhoeve.JPG/1280px-Mispelhoeve.JPG</t>
        </is>
      </c>
      <c r="F70" s="53" t="n">
        <v>46318</v>
      </c>
      <c r="G70" s="44" t="inlineStr">
        <is>
          <t>Fotoğraflar/eindhoven_de-mispelhoef_01.jpg</t>
        </is>
      </c>
      <c r="H70" s="44" t="inlineStr">
        <is>
          <t>aa0e003b32d09fef1d7eae9672be31260c239618cabfbe1730a2fe818b6ef779</t>
        </is>
      </c>
      <c r="I70" s="44" t="inlineStr">
        <is>
          <t>Teslimler/WebKopyalari/aa0e003b32d09fef1d7eae9672be31260c239618cabfbe1730a2fe818b6ef779.webp</t>
        </is>
      </c>
      <c r="J70" s="44" t="inlineStr">
        <is>
          <t>29d6ac0327fdc6619a351722c7fae3717cd6ba16bbefc768ec6518e856006ca9</t>
        </is>
      </c>
      <c r="K70" s="44" t="n">
        <v>1280</v>
      </c>
      <c r="L70" s="44" t="n">
        <v>960</v>
      </c>
      <c r="M70" s="44" t="inlineStr">
        <is>
          <t>Özgün teslim dosyası korundu. EXIF yönü uygulandı; kırpma yapılmadan en çok 1600 px, WebP kalite 84. Önceki kaynak değişiklik notları ayrıca korunur.</t>
        </is>
      </c>
      <c r="N70" s="44" t="inlineStr">
        <is>
          <t>Eksik alan var</t>
        </is>
      </c>
      <c r="O70" s="44" t="inlineStr">
        <is>
          <t>Kaynakta ayrı fotoğrafçı profil bağlantısı bulunmadı; fotoğraf kaynak sayfasına atıf korunur. Bağlantı uydurulmaz.</t>
        </is>
      </c>
    </row>
    <row r="71" ht="54" customHeight="1">
      <c r="A71" s="44" t="inlineStr">
        <is>
          <t>eindhoven:photo:de-mispelhoef-02</t>
        </is>
      </c>
      <c r="B71" s="44" t="inlineStr">
        <is>
          <t>https://commons.wikimedia.org/wiki/User:Rosemoon</t>
        </is>
      </c>
      <c r="C71" s="44" t="inlineStr">
        <is>
          <t>https://commons.wikimedia.org/wiki/User:Rosemoon</t>
        </is>
      </c>
      <c r="D71" s="44" t="inlineStr">
        <is>
          <t>https://upload.wikimedia.org/wikipedia/commons/3/38/Monument_14638%2C_Oirschotsedijk_9_Eindhoven.jpg?utm_source=commons.wikimedia.org&amp;utm_campaign=imageinfo&amp;utm_content=original</t>
        </is>
      </c>
      <c r="E71" s="44" t="inlineStr">
        <is>
          <t>https://thumb.wikimedia.org/wikipedia/commons/thumb/3/38/Monument_14638%2C_Oirschotsedijk_9_Eindhoven.jpg/1280px-Monument_14638%2C_Oirschotsedijk_9_Eindhoven.jpg</t>
        </is>
      </c>
      <c r="F71" s="53" t="n">
        <v>46318</v>
      </c>
      <c r="G71" s="44" t="inlineStr">
        <is>
          <t>Fotoğraflar/eindhoven_de-mispelhoef_02.jpg</t>
        </is>
      </c>
      <c r="H71" s="44" t="inlineStr">
        <is>
          <t>a6b9460beb40c6663ccdf1eeb9b75c86df33eb162100e06423dc2ca1648b34be</t>
        </is>
      </c>
      <c r="I71" s="44" t="inlineStr">
        <is>
          <t>Teslimler/WebKopyalari/a6b9460beb40c6663ccdf1eeb9b75c86df33eb162100e06423dc2ca1648b34be.webp</t>
        </is>
      </c>
      <c r="J71" s="44" t="inlineStr">
        <is>
          <t>1600889812a0ee5c4017e4654fc82adce60ffdef149a738443f219f13981fa61</t>
        </is>
      </c>
      <c r="K71" s="44" t="n">
        <v>1280</v>
      </c>
      <c r="L71" s="44" t="n">
        <v>960</v>
      </c>
      <c r="M71" s="44" t="inlineStr">
        <is>
          <t>Özgün teslim dosyası korundu. EXIF yönü uygulandı; kırpma yapılmadan en çok 1600 px, WebP kalite 84. Önceki kaynak değişiklik notları ayrıca korunur.</t>
        </is>
      </c>
      <c r="N71" s="44" t="inlineStr">
        <is>
          <t>Kayıttan doğrulandı</t>
        </is>
      </c>
      <c r="O71" s="44" t="n"/>
    </row>
    <row r="72" ht="54" customHeight="1">
      <c r="A72" s="44" t="inlineStr">
        <is>
          <t>eindhoven:photo:sint-catharinakerk-01</t>
        </is>
      </c>
      <c r="B72" s="44" t="inlineStr">
        <is>
          <t>https://commons.wikimedia.org/wiki/User:GVR</t>
        </is>
      </c>
      <c r="C72" s="44" t="inlineStr">
        <is>
          <t>https://commons.wikimedia.org/wiki/User:GVR</t>
        </is>
      </c>
      <c r="D72" s="44" t="inlineStr">
        <is>
          <t>https://upload.wikimedia.org/wikipedia/commons/c/c2/14635_Catharinakerk_Eindhoven.jpg?utm_source=commons.wikimedia.org&amp;utm_campaign=imageinfo&amp;utm_content=original</t>
        </is>
      </c>
      <c r="E72" s="44" t="inlineStr">
        <is>
          <t>https://thumb.wikimedia.org/wikipedia/commons/thumb/c/c2/14635_Catharinakerk_Eindhoven.jpg/1280px-14635_Catharinakerk_Eindhoven.jpg</t>
        </is>
      </c>
      <c r="F72" s="53" t="n">
        <v>46318</v>
      </c>
      <c r="G72" s="44" t="inlineStr">
        <is>
          <t>Fotoğraflar/eindhoven_sint-catharinakerk_01.jpg</t>
        </is>
      </c>
      <c r="H72" s="44" t="inlineStr">
        <is>
          <t>8e0ba366a7259e2922c27ffe27bf6798288b0267f02a38aacf931be5147b7e3a</t>
        </is>
      </c>
      <c r="I72" s="44" t="inlineStr">
        <is>
          <t>Teslimler/WebKopyalari/8e0ba366a7259e2922c27ffe27bf6798288b0267f02a38aacf931be5147b7e3a.webp</t>
        </is>
      </c>
      <c r="J72" s="44" t="inlineStr">
        <is>
          <t>3b697d8a726c43760b73348515349364a674ca80c877a5a905aed13603515548</t>
        </is>
      </c>
      <c r="K72" s="44" t="n">
        <v>1067</v>
      </c>
      <c r="L72" s="44" t="n">
        <v>1600</v>
      </c>
      <c r="M72" s="44" t="inlineStr">
        <is>
          <t>Özgün teslim dosyası korundu. EXIF yönü uygulandı; kırpma yapılmadan en çok 1600 px, WebP kalite 84. Önceki kaynak değişiklik notları ayrıca korunur.</t>
        </is>
      </c>
      <c r="N72" s="44" t="inlineStr">
        <is>
          <t>Kayıttan doğrulandı</t>
        </is>
      </c>
      <c r="O72" s="44" t="n"/>
    </row>
    <row r="73" ht="54" customHeight="1">
      <c r="A73" s="44" t="inlineStr">
        <is>
          <t>eindhoven:photo:strijp-s-01</t>
        </is>
      </c>
      <c r="B73" s="44" t="inlineStr">
        <is>
          <t>https://web.archive.org/web/20161024102204/http://www.panoramio.com/user/5753243?with_photo_id=85605272</t>
        </is>
      </c>
      <c r="C73" s="44" t="inlineStr">
        <is>
          <t>https://web.archive.org/web/20161024102204/http://www.panoramio.com/user/5753243?with_photo_id=85605272</t>
        </is>
      </c>
      <c r="D73" s="44" t="inlineStr">
        <is>
          <t>https://upload.wikimedia.org/wikipedia/commons/d/d7/Anton_loft_building_in_Strip-S_-_panoramio.jpg?utm_source=commons.wikimedia.org&amp;utm_campaign=imageinfo&amp;utm_content=original</t>
        </is>
      </c>
      <c r="E73" s="44" t="inlineStr">
        <is>
          <t>https://thumb.wikimedia.org/wikipedia/commons/thumb/d/d7/Anton_loft_building_in_Strip-S_-_panoramio.jpg/1280px-Anton_loft_building_in_Strip-S_-_panoramio.jpg</t>
        </is>
      </c>
      <c r="F73" s="53" t="n">
        <v>46318</v>
      </c>
      <c r="G73" s="44" t="inlineStr">
        <is>
          <t>Fotoğraflar/eindhoven_strijp-s_01.jpg</t>
        </is>
      </c>
      <c r="H73" s="44" t="inlineStr">
        <is>
          <t>2b8136d8c1bd250c5d037ee013159c1ca8ef4eb8ace8317c573c2309b0211320</t>
        </is>
      </c>
      <c r="I73" s="44" t="inlineStr">
        <is>
          <t>Teslimler/WebKopyalari/2b8136d8c1bd250c5d037ee013159c1ca8ef4eb8ace8317c573c2309b0211320.webp</t>
        </is>
      </c>
      <c r="J73" s="44" t="inlineStr">
        <is>
          <t>1f5aef5dc6f9fe8013adb8aa554efdc6d291c5f585ca274f2eaf0828b58523d6</t>
        </is>
      </c>
      <c r="K73" s="44" t="n">
        <v>1280</v>
      </c>
      <c r="L73" s="44" t="n">
        <v>852</v>
      </c>
      <c r="M73" s="44" t="inlineStr">
        <is>
          <t>Özgün teslim dosyası korundu. EXIF yönü uygulandı; kırpma yapılmadan en çok 1600 px, WebP kalite 84. Önceki kaynak değişiklik notları ayrıca korunur.</t>
        </is>
      </c>
      <c r="N73" s="44" t="inlineStr">
        <is>
          <t>Kayıttan doğrulandı</t>
        </is>
      </c>
      <c r="O73" s="44" t="n"/>
    </row>
    <row r="74" ht="54" customHeight="1">
      <c r="A74" s="44" t="inlineStr">
        <is>
          <t>eindhoven:photo:klokgebouw-01</t>
        </is>
      </c>
      <c r="B74" s="44" t="inlineStr">
        <is>
          <t>https://commons.wikimedia.org/wiki/User:GVR</t>
        </is>
      </c>
      <c r="C74" s="44" t="inlineStr">
        <is>
          <t>https://commons.wikimedia.org/wiki/User:GVR</t>
        </is>
      </c>
      <c r="D74" s="44" t="inlineStr">
        <is>
          <t>https://upload.wikimedia.org/wikipedia/commons/c/c9/518769_Eindhoven_Klokgebouw_%28Philipsgebouw_SA%29.jpg?utm_source=commons.wikimedia.org&amp;utm_campaign=imageinfo&amp;utm_content=original</t>
        </is>
      </c>
      <c r="E74" s="44" t="inlineStr">
        <is>
          <t>https://thumb.wikimedia.org/wikipedia/commons/thumb/c/c9/518769_Eindhoven_Klokgebouw_%28Philipsgebouw_SA%29.jpg/1280px-518769_Eindhoven_Klokgebouw_%28Philipsgebouw_SA%29.jpg</t>
        </is>
      </c>
      <c r="F74" s="53" t="n">
        <v>46318</v>
      </c>
      <c r="G74" s="44" t="inlineStr">
        <is>
          <t>Fotoğraflar/eindhoven_klokgebouw_01.jpg</t>
        </is>
      </c>
      <c r="H74" s="44" t="inlineStr">
        <is>
          <t>1fc733f5ed2d132f614125049de77331a7e61f71d092ecee0db023f8cf73ed78</t>
        </is>
      </c>
      <c r="I74" s="44" t="inlineStr">
        <is>
          <t>Teslimler/WebKopyalari/1fc733f5ed2d132f614125049de77331a7e61f71d092ecee0db023f8cf73ed78.webp</t>
        </is>
      </c>
      <c r="J74" s="44" t="inlineStr">
        <is>
          <t>72683973aabbbda811ff6dc3c3e7da82d42c1a80e6a855fb677c559f2ce0165c</t>
        </is>
      </c>
      <c r="K74" s="44" t="n">
        <v>1280</v>
      </c>
      <c r="L74" s="44" t="n">
        <v>989</v>
      </c>
      <c r="M74" s="44" t="inlineStr">
        <is>
          <t>Özgün teslim dosyası korundu. EXIF yönü uygulandı; kırpma yapılmadan en çok 1600 px, WebP kalite 84. Önceki kaynak değişiklik notları ayrıca korunur.</t>
        </is>
      </c>
      <c r="N74" s="44" t="inlineStr">
        <is>
          <t>Kayıttan doğrulandı</t>
        </is>
      </c>
      <c r="O74" s="44" t="n"/>
    </row>
    <row r="75" ht="54" customHeight="1">
      <c r="A75" s="44" t="inlineStr">
        <is>
          <t>eindhoven:photo:klokgebouw-02</t>
        </is>
      </c>
      <c r="B75" s="44" t="inlineStr">
        <is>
          <t>https://commons.wikimedia.org/wiki/User:S._Perquin</t>
        </is>
      </c>
      <c r="C75" s="44" t="inlineStr">
        <is>
          <t>https://commons.wikimedia.org/wiki/User:S._Perquin</t>
        </is>
      </c>
      <c r="D75" s="44" t="inlineStr">
        <is>
          <t>https://upload.wikimedia.org/wikipedia/commons/d/d2/Klokgebouw_%282024%29_%282%29.jpg?utm_source=commons.wikimedia.org&amp;utm_campaign=imageinfo&amp;utm_content=original</t>
        </is>
      </c>
      <c r="E75" s="44" t="inlineStr">
        <is>
          <t>https://thumb.wikimedia.org/wikipedia/commons/thumb/d/d2/Klokgebouw_%282024%29_%282%29.jpg/1280px-Klokgebouw_%282024%29_%282%29.jpg</t>
        </is>
      </c>
      <c r="F75" s="53" t="n">
        <v>46318</v>
      </c>
      <c r="G75" s="44" t="inlineStr">
        <is>
          <t>Fotoğraflar/eindhoven_klokgebouw_02.jpg</t>
        </is>
      </c>
      <c r="H75" s="44" t="inlineStr">
        <is>
          <t>a5718b043bfc3615bddc22c5ccc99ac642df028a5269c3c47c0e625ab6f16d7f</t>
        </is>
      </c>
      <c r="I75" s="44" t="inlineStr">
        <is>
          <t>Teslimler/WebKopyalari/a5718b043bfc3615bddc22c5ccc99ac642df028a5269c3c47c0e625ab6f16d7f.webp</t>
        </is>
      </c>
      <c r="J75" s="44" t="inlineStr">
        <is>
          <t>4d4835fed441252c82eb2adfa3742a42705483259bd540aee3cbf98bbd2baecf</t>
        </is>
      </c>
      <c r="K75" s="44" t="n">
        <v>1280</v>
      </c>
      <c r="L75" s="44" t="n">
        <v>853</v>
      </c>
      <c r="M75" s="44" t="inlineStr">
        <is>
          <t>Özgün teslim dosyası korundu. EXIF yönü uygulandı; kırpma yapılmadan en çok 1600 px, WebP kalite 84. Önceki kaynak değişiklik notları ayrıca korunur.</t>
        </is>
      </c>
      <c r="N75" s="44" t="inlineStr">
        <is>
          <t>Kayıttan doğrulandı</t>
        </is>
      </c>
      <c r="O75" s="44" t="n"/>
    </row>
    <row r="76" ht="54" customHeight="1">
      <c r="A76" s="44" t="inlineStr">
        <is>
          <t>eindhoven:photo:klokgebouw-03</t>
        </is>
      </c>
      <c r="B76" s="44" t="inlineStr">
        <is>
          <t>https://commons.wikimedia.org/wiki/User:Choinowski</t>
        </is>
      </c>
      <c r="C76" s="44" t="inlineStr">
        <is>
          <t>https://commons.wikimedia.org/wiki/User:Choinowski</t>
        </is>
      </c>
      <c r="D76" s="44" t="inlineStr">
        <is>
          <t>https://upload.wikimedia.org/wikipedia/commons/8/8e/Klokgebouw_Eindhoven.jpg?utm_source=commons.wikimedia.org&amp;utm_campaign=imageinfo&amp;utm_content=original</t>
        </is>
      </c>
      <c r="E76" s="44" t="inlineStr">
        <is>
          <t>https://thumb.wikimedia.org/wikipedia/commons/thumb/8/8e/Klokgebouw_Eindhoven.jpg/1280px-Klokgebouw_Eindhoven.jpg</t>
        </is>
      </c>
      <c r="F76" s="53" t="n">
        <v>46318</v>
      </c>
      <c r="G76" s="44" t="inlineStr">
        <is>
          <t>Fotoğraflar/eindhoven_klokgebouw_03.jpg</t>
        </is>
      </c>
      <c r="H76" s="44" t="inlineStr">
        <is>
          <t>855df4b7b2f6662a4d802ba47f0f27e3e472e429f27060961a6c3e25b03733c9</t>
        </is>
      </c>
      <c r="I76" s="44" t="inlineStr">
        <is>
          <t>Teslimler/WebKopyalari/855df4b7b2f6662a4d802ba47f0f27e3e472e429f27060961a6c3e25b03733c9.webp</t>
        </is>
      </c>
      <c r="J76" s="44" t="inlineStr">
        <is>
          <t>86dcd8f88b4ea2e16490ab9e020ced2b099d87d47dfe82e4d521810b9d139800</t>
        </is>
      </c>
      <c r="K76" s="44" t="n">
        <v>1280</v>
      </c>
      <c r="L76" s="44" t="n">
        <v>853</v>
      </c>
      <c r="M76" s="44" t="inlineStr">
        <is>
          <t>Özgün teslim dosyası korundu. EXIF yönü uygulandı; kırpma yapılmadan en çok 1600 px, WebP kalite 84. Önceki kaynak değişiklik notları ayrıca korunur.</t>
        </is>
      </c>
      <c r="N76" s="44" t="inlineStr">
        <is>
          <t>Kayıttan doğrulandı</t>
        </is>
      </c>
      <c r="O76" s="44" t="n"/>
    </row>
    <row r="77" ht="54" customHeight="1">
      <c r="A77" s="44" t="inlineStr">
        <is>
          <t>eindhoven:photo:genneper-watermolen-01</t>
        </is>
      </c>
      <c r="B77" s="44" t="inlineStr">
        <is>
          <t>https://commons.wikimedia.org/wiki/User:GVR</t>
        </is>
      </c>
      <c r="C77" s="44" t="inlineStr">
        <is>
          <t>https://commons.wikimedia.org/wiki/User:GVR</t>
        </is>
      </c>
      <c r="D77" s="44" t="inlineStr">
        <is>
          <t>https://upload.wikimedia.org/wikipedia/commons/0/0e/14639_Genneper_watermolen.jpg?utm_source=commons.wikimedia.org&amp;utm_campaign=imageinfo&amp;utm_content=original</t>
        </is>
      </c>
      <c r="E77" s="44" t="inlineStr">
        <is>
          <t>https://thumb.wikimedia.org/wikipedia/commons/thumb/0/0e/14639_Genneper_watermolen.jpg/1280px-14639_Genneper_watermolen.jpg</t>
        </is>
      </c>
      <c r="F77" s="53" t="n">
        <v>46318</v>
      </c>
      <c r="G77" s="44" t="inlineStr">
        <is>
          <t>Fotoğraflar/eindhoven_genneper-watermolen_01.jpg</t>
        </is>
      </c>
      <c r="H77" s="44" t="inlineStr">
        <is>
          <t>38b980ddb9928d4b8c733f598a6068a9098555c59cf55a8d7cd8f22f415dd02a</t>
        </is>
      </c>
      <c r="I77" s="44" t="inlineStr">
        <is>
          <t>Teslimler/WebKopyalari/38b980ddb9928d4b8c733f598a6068a9098555c59cf55a8d7cd8f22f415dd02a.webp</t>
        </is>
      </c>
      <c r="J77" s="44" t="inlineStr">
        <is>
          <t>97f036d36f5c2398ecfe3d2f335999d15a73273f3b97d8773899035f9965f71e</t>
        </is>
      </c>
      <c r="K77" s="44" t="n">
        <v>1280</v>
      </c>
      <c r="L77" s="44" t="n">
        <v>853</v>
      </c>
      <c r="M77" s="44" t="inlineStr">
        <is>
          <t>Özgün teslim dosyası korundu. EXIF yönü uygulandı; kırpma yapılmadan en çok 1600 px, WebP kalite 84. Önceki kaynak değişiklik notları ayrıca korunur.</t>
        </is>
      </c>
      <c r="N77" s="44" t="inlineStr">
        <is>
          <t>Kayıttan doğrulandı</t>
        </is>
      </c>
      <c r="O77" s="44" t="n"/>
    </row>
    <row r="78" ht="54" customHeight="1">
      <c r="A78" s="44" t="inlineStr">
        <is>
          <t>eindhoven:photo:genneper-watermolen-02</t>
        </is>
      </c>
      <c r="B78" s="44" t="inlineStr">
        <is>
          <t>https://commons.wikimedia.org/wiki/User:Romaine</t>
        </is>
      </c>
      <c r="C78" s="44" t="inlineStr">
        <is>
          <t>https://commons.wikimedia.org/wiki/User:Romaine</t>
        </is>
      </c>
      <c r="D78" s="44" t="inlineStr">
        <is>
          <t>https://upload.wikimedia.org/wikipedia/commons/b/b1/Eindhoven-Genneper_watermolen_%281%29.jpg?utm_source=commons.wikimedia.org&amp;utm_campaign=imageinfo&amp;utm_content=original</t>
        </is>
      </c>
      <c r="E78" s="44" t="inlineStr">
        <is>
          <t>https://thumb.wikimedia.org/wikipedia/commons/thumb/b/b1/Eindhoven-Genneper_watermolen_%281%29.jpg/1280px-Eindhoven-Genneper_watermolen_%281%29.jpg</t>
        </is>
      </c>
      <c r="F78" s="53" t="n">
        <v>46318</v>
      </c>
      <c r="G78" s="44" t="inlineStr">
        <is>
          <t>Fotoğraflar/eindhoven_genneper-watermolen_02.jpg</t>
        </is>
      </c>
      <c r="H78" s="44" t="inlineStr">
        <is>
          <t>f7f072b197199b96af9439b1cb33618dae7e586734c5e4557ec4d831fc7430b1</t>
        </is>
      </c>
      <c r="I78" s="44" t="inlineStr">
        <is>
          <t>Teslimler/WebKopyalari/f7f072b197199b96af9439b1cb33618dae7e586734c5e4557ec4d831fc7430b1.webp</t>
        </is>
      </c>
      <c r="J78" s="44" t="inlineStr">
        <is>
          <t>15c90ce81404a7ad5b706ac19b7f677f18023e8792d9b8c986f92992cc123241</t>
        </is>
      </c>
      <c r="K78" s="44" t="n">
        <v>1280</v>
      </c>
      <c r="L78" s="44" t="n">
        <v>960</v>
      </c>
      <c r="M78" s="44" t="inlineStr">
        <is>
          <t>Özgün teslim dosyası korundu. EXIF yönü uygulandı; kırpma yapılmadan en çok 1600 px, WebP kalite 84. Önceki kaynak değişiklik notları ayrıca korunur.</t>
        </is>
      </c>
      <c r="N78" s="44" t="inlineStr">
        <is>
          <t>Kayıttan doğrulandı</t>
        </is>
      </c>
      <c r="O78" s="44" t="n"/>
    </row>
    <row r="79" ht="54" customHeight="1">
      <c r="A79" s="44" t="inlineStr">
        <is>
          <t>eindhoven:photo:genneper-watermolen-03</t>
        </is>
      </c>
      <c r="B79" s="44" t="inlineStr">
        <is>
          <t>https://commons.wikimedia.org/wiki/User:Wammes_Waggel</t>
        </is>
      </c>
      <c r="C79" s="44" t="inlineStr">
        <is>
          <t>https://commons.wikimedia.org/wiki/User:Wammes_Waggel</t>
        </is>
      </c>
      <c r="D79" s="44" t="inlineStr">
        <is>
          <t>https://upload.wikimedia.org/wikipedia/commons/e/e0/Gennepermolen-1.jpg?utm_source=commons.wikimedia.org&amp;utm_campaign=imageinfo&amp;utm_content=original</t>
        </is>
      </c>
      <c r="E79" s="44" t="inlineStr">
        <is>
          <t>https://thumb.wikimedia.org/wikipedia/commons/thumb/e/e0/Gennepermolen-1.jpg/1280px-Gennepermolen-1.jpg</t>
        </is>
      </c>
      <c r="F79" s="53" t="n">
        <v>46318</v>
      </c>
      <c r="G79" s="44" t="inlineStr">
        <is>
          <t>Fotoğraflar/eindhoven_genneper-watermolen_03.jpg</t>
        </is>
      </c>
      <c r="H79" s="44" t="inlineStr">
        <is>
          <t>439daa2701ce2fffbdfc7434c53fd587fabcff5f181e4b4a82db86fc054fca54</t>
        </is>
      </c>
      <c r="I79" s="44" t="inlineStr">
        <is>
          <t>Teslimler/WebKopyalari/439daa2701ce2fffbdfc7434c53fd587fabcff5f181e4b4a82db86fc054fca54.webp</t>
        </is>
      </c>
      <c r="J79" s="44" t="inlineStr">
        <is>
          <t>7615e7a95bdedfcf8ef0ba7089f6c51e2492e89e61663e7d6997a70e5adb3969</t>
        </is>
      </c>
      <c r="K79" s="44" t="n">
        <v>1280</v>
      </c>
      <c r="L79" s="44" t="n">
        <v>851</v>
      </c>
      <c r="M79" s="44" t="inlineStr">
        <is>
          <t>Özgün teslim dosyası korundu. EXIF yönü uygulandı; kırpma yapılmadan en çok 1600 px, WebP kalite 84. Önceki kaynak değişiklik notları ayrıca korunur.</t>
        </is>
      </c>
      <c r="N79" s="44" t="inlineStr">
        <is>
          <t>Kayıttan doğrulandı</t>
        </is>
      </c>
      <c r="O79" s="44" t="n"/>
    </row>
    <row r="80" ht="54" customHeight="1">
      <c r="A80" s="44" t="inlineStr">
        <is>
          <t>eindhoven:photo:klooster-marienhage-01</t>
        </is>
      </c>
      <c r="B80" s="44" t="inlineStr">
        <is>
          <t>https://commons.wikimedia.org/wiki/User:GVR</t>
        </is>
      </c>
      <c r="C80" s="44" t="inlineStr">
        <is>
          <t>https://commons.wikimedia.org/wiki/User:GVR</t>
        </is>
      </c>
      <c r="D80" s="44" t="inlineStr">
        <is>
          <t>https://upload.wikimedia.org/wikipedia/commons/c/c3/14627_klooster_marienhage.jpg?utm_source=commons.wikimedia.org&amp;utm_campaign=imageinfo&amp;utm_content=original</t>
        </is>
      </c>
      <c r="E80" s="44" t="inlineStr">
        <is>
          <t>https://thumb.wikimedia.org/wikipedia/commons/thumb/c/c3/14627_klooster_marienhage.jpg/1280px-14627_klooster_marienhage.jpg</t>
        </is>
      </c>
      <c r="F80" s="53" t="n">
        <v>46318</v>
      </c>
      <c r="G80" s="44" t="inlineStr">
        <is>
          <t>Fotoğraflar/eindhoven_klooster-marienhage_01.jpg</t>
        </is>
      </c>
      <c r="H80" s="44" t="inlineStr">
        <is>
          <t>7d19c6a6132543f9748e8c67b97f054096fdba1075c0a2d136739c7ba6b201ca</t>
        </is>
      </c>
      <c r="I80" s="44" t="inlineStr">
        <is>
          <t>Teslimler/WebKopyalari/7d19c6a6132543f9748e8c67b97f054096fdba1075c0a2d136739c7ba6b201ca.webp</t>
        </is>
      </c>
      <c r="J80" s="44" t="inlineStr">
        <is>
          <t>4ef06a3494a49fae81cc4085e9bbfc50b76c0c9db3eebcd9c6ef80b2d8a927f3</t>
        </is>
      </c>
      <c r="K80" s="44" t="n">
        <v>1280</v>
      </c>
      <c r="L80" s="44" t="n">
        <v>853</v>
      </c>
      <c r="M80" s="44" t="inlineStr">
        <is>
          <t>Özgün teslim dosyası korundu. EXIF yönü uygulandı; kırpma yapılmadan en çok 1600 px, WebP kalite 84. Önceki kaynak değişiklik notları ayrıca korunur.</t>
        </is>
      </c>
      <c r="N80" s="44" t="inlineStr">
        <is>
          <t>Kayıttan doğrulandı</t>
        </is>
      </c>
      <c r="O80" s="44" t="n"/>
    </row>
    <row r="81" ht="54" customHeight="1">
      <c r="A81" s="44" t="inlineStr">
        <is>
          <t>eindhoven:photo:klooster-marienhage-02</t>
        </is>
      </c>
      <c r="B81" s="44" t="inlineStr">
        <is>
          <t>https://commons.wikimedia.org/wiki/User:Wammes_Waggel</t>
        </is>
      </c>
      <c r="C81" s="44" t="inlineStr">
        <is>
          <t>https://commons.wikimedia.org/wiki/User:Wammes_Waggel</t>
        </is>
      </c>
      <c r="D81" s="44" t="inlineStr">
        <is>
          <t>https://upload.wikimedia.org/wikipedia/commons/5/58/Marienhage-oostgevel.jpg?utm_source=commons.wikimedia.org&amp;utm_campaign=imageinfo&amp;utm_content=original</t>
        </is>
      </c>
      <c r="E81" s="44" t="inlineStr">
        <is>
          <t>https://upload.wikimedia.org/wikipedia/commons/5/58/Marienhage-oostgevel.jpg</t>
        </is>
      </c>
      <c r="F81" s="53" t="n">
        <v>46318</v>
      </c>
      <c r="G81" s="44" t="inlineStr">
        <is>
          <t>Fotoğraflar/eindhoven_klooster-marienhage_02.jpg</t>
        </is>
      </c>
      <c r="H81" s="44" t="inlineStr">
        <is>
          <t>d0c567d62613553690733015629bcdb018c549a0f6b825e69a39667140320237</t>
        </is>
      </c>
      <c r="I81" s="44" t="inlineStr">
        <is>
          <t>Teslimler/WebKopyalari/d0c567d62613553690733015629bcdb018c549a0f6b825e69a39667140320237.webp</t>
        </is>
      </c>
      <c r="J81" s="44" t="inlineStr">
        <is>
          <t>6bc6e21420402ec1d8464df79825eff17dba9d167c697f9017123c57e9e74de9</t>
        </is>
      </c>
      <c r="K81" s="44" t="n">
        <v>738</v>
      </c>
      <c r="L81" s="44" t="n">
        <v>1423</v>
      </c>
      <c r="M81" s="44" t="inlineStr">
        <is>
          <t>Özgün teslim dosyası korundu. EXIF yönü uygulandı; kırpma yapılmadan en çok 1600 px, WebP kalite 84. Önceki kaynak değişiklik notları ayrıca korunur.</t>
        </is>
      </c>
      <c r="N81" s="44" t="inlineStr">
        <is>
          <t>Kayıttan doğrulandı</t>
        </is>
      </c>
      <c r="O81" s="44" t="n"/>
    </row>
    <row r="82" ht="54" customHeight="1">
      <c r="A82" s="44" t="inlineStr">
        <is>
          <t>eindhoven:photo:heilige-hartkerk-hart-van-eindhoven-01</t>
        </is>
      </c>
      <c r="B82" s="44" t="inlineStr">
        <is>
          <t>https://commons.wikimedia.org/wiki/User:GVR</t>
        </is>
      </c>
      <c r="C82" s="44" t="inlineStr">
        <is>
          <t>https://commons.wikimedia.org/wiki/User:GVR</t>
        </is>
      </c>
      <c r="D82" s="44" t="inlineStr">
        <is>
          <t>https://upload.wikimedia.org/wikipedia/commons/0/0e/518763_H._Hartkerk_2.jpg?utm_source=commons.wikimedia.org&amp;utm_campaign=imageinfo&amp;utm_content=original</t>
        </is>
      </c>
      <c r="E82" s="44" t="inlineStr">
        <is>
          <t>https://thumb.wikimedia.org/wikipedia/commons/thumb/0/0e/518763_H._Hartkerk_2.jpg/1280px-518763_H._Hartkerk_2.jpg</t>
        </is>
      </c>
      <c r="F82" s="53" t="n">
        <v>46318</v>
      </c>
      <c r="G82" s="44" t="inlineStr">
        <is>
          <t>Fotoğraflar/eindhoven_heilige-hartkerk-hart-van-eindhoven_01.jpg</t>
        </is>
      </c>
      <c r="H82" s="44" t="inlineStr">
        <is>
          <t>1efadb532b6327c04a81d6ce2bf82a4e2ea0d2ddc4e7eb6721f6d63be653f55a</t>
        </is>
      </c>
      <c r="I82" s="44" t="inlineStr">
        <is>
          <t>Teslimler/WebKopyalari/1efadb532b6327c04a81d6ce2bf82a4e2ea0d2ddc4e7eb6721f6d63be653f55a.webp</t>
        </is>
      </c>
      <c r="J82" s="44" t="inlineStr">
        <is>
          <t>8bc66682ed035a44c8fd9433c1516b6877feaefaaac41e408d6de2d8e2de217a</t>
        </is>
      </c>
      <c r="K82" s="44" t="n">
        <v>1067</v>
      </c>
      <c r="L82" s="44" t="n">
        <v>1600</v>
      </c>
      <c r="M82" s="44" t="inlineStr">
        <is>
          <t>Özgün teslim dosyası korundu. EXIF yönü uygulandı; kırpma yapılmadan en çok 1600 px, WebP kalite 84. Önceki kaynak değişiklik notları ayrıca korunur.</t>
        </is>
      </c>
      <c r="N82" s="44" t="inlineStr">
        <is>
          <t>Kayıttan doğrulandı</t>
        </is>
      </c>
      <c r="O82" s="44" t="n"/>
    </row>
    <row r="83" ht="54" customHeight="1">
      <c r="A83" s="44" t="inlineStr">
        <is>
          <t>eindhoven:photo:heilige-hartkerk-hart-van-eindhoven-02</t>
        </is>
      </c>
      <c r="B83" s="44" t="inlineStr">
        <is>
          <t>https://commons.wikimedia.org/wiki/User:GVR</t>
        </is>
      </c>
      <c r="C83" s="44" t="inlineStr">
        <is>
          <t>https://commons.wikimedia.org/wiki/User:GVR</t>
        </is>
      </c>
      <c r="D83" s="44" t="inlineStr">
        <is>
          <t>https://upload.wikimedia.org/wikipedia/commons/d/d8/518763_H._Hartkerk.jpg?utm_source=commons.wikimedia.org&amp;utm_campaign=imageinfo&amp;utm_content=original</t>
        </is>
      </c>
      <c r="E83" s="44" t="inlineStr">
        <is>
          <t>https://thumb.wikimedia.org/wikipedia/commons/thumb/d/d8/518763_H._Hartkerk.jpg/1280px-518763_H._Hartkerk.jpg</t>
        </is>
      </c>
      <c r="F83" s="53" t="n">
        <v>46318</v>
      </c>
      <c r="G83" s="44" t="inlineStr">
        <is>
          <t>Fotoğraflar/eindhoven_heilige-hartkerk-hart-van-eindhoven_02.jpg</t>
        </is>
      </c>
      <c r="H83" s="44" t="inlineStr">
        <is>
          <t>f7d81058e84fc84b091492790f55a942fdc90716d70e5d0d92159993fc9b9c82</t>
        </is>
      </c>
      <c r="I83" s="44" t="inlineStr">
        <is>
          <t>Teslimler/WebKopyalari/f7d81058e84fc84b091492790f55a942fdc90716d70e5d0d92159993fc9b9c82.webp</t>
        </is>
      </c>
      <c r="J83" s="44" t="inlineStr">
        <is>
          <t>d13faaa9f5cf7c52bffe70689d0b99a231f16a81f0447ffdb972c18623a6c14b</t>
        </is>
      </c>
      <c r="K83" s="44" t="n">
        <v>1208</v>
      </c>
      <c r="L83" s="44" t="n">
        <v>1600</v>
      </c>
      <c r="M83" s="44" t="inlineStr">
        <is>
          <t>Özgün teslim dosyası korundu. EXIF yönü uygulandı; kırpma yapılmadan en çok 1600 px, WebP kalite 84. Önceki kaynak değişiklik notları ayrıca korunur.</t>
        </is>
      </c>
      <c r="N83" s="44" t="inlineStr">
        <is>
          <t>Kayıttan doğrulandı</t>
        </is>
      </c>
      <c r="O83" s="44" t="n"/>
    </row>
    <row r="84" ht="54" customHeight="1">
      <c r="A84" s="44" t="inlineStr">
        <is>
          <t>eindhoven:photo:heilige-hartkerk-hart-van-eindhoven-03</t>
        </is>
      </c>
      <c r="B84" s="44" t="inlineStr">
        <is>
          <t>https://commons.wikimedia.org/wiki/User:Mark_Bergsma</t>
        </is>
      </c>
      <c r="C84" s="44" t="inlineStr">
        <is>
          <t>https://commons.wikimedia.org/wiki/User:Mark_Bergsma</t>
        </is>
      </c>
      <c r="D84" s="44" t="inlineStr">
        <is>
          <t>https://upload.wikimedia.org/wikipedia/commons/f/f7/HeiligHartkerk_Rijksmonument518763.jpg?utm_source=commons.wikimedia.org&amp;utm_campaign=imageinfo&amp;utm_content=original</t>
        </is>
      </c>
      <c r="E84" s="44" t="inlineStr">
        <is>
          <t>https://thumb.wikimedia.org/wikipedia/commons/thumb/f/f7/HeiligHartkerk_Rijksmonument518763.jpg/1280px-HeiligHartkerk_Rijksmonument518763.jpg</t>
        </is>
      </c>
      <c r="F84" s="53" t="n">
        <v>46318</v>
      </c>
      <c r="G84" s="44" t="inlineStr">
        <is>
          <t>Fotoğraflar/eindhoven_heilige-hartkerk-hart-van-eindhoven_03.jpg</t>
        </is>
      </c>
      <c r="H84" s="44" t="inlineStr">
        <is>
          <t>af5c132debd257eb9f7a79a24449636753e3fc2d01af4785ddecd8972b5d1175</t>
        </is>
      </c>
      <c r="I84" s="44" t="inlineStr">
        <is>
          <t>Teslimler/WebKopyalari/af5c132debd257eb9f7a79a24449636753e3fc2d01af4785ddecd8972b5d1175.webp</t>
        </is>
      </c>
      <c r="J84" s="44" t="inlineStr">
        <is>
          <t>e9b79a5e31c494dfb6747b2039190b05753eec551b5f005399ad6ec2bb4e6671</t>
        </is>
      </c>
      <c r="K84" s="44" t="n">
        <v>1168</v>
      </c>
      <c r="L84" s="44" t="n">
        <v>1600</v>
      </c>
      <c r="M84" s="44" t="inlineStr">
        <is>
          <t>Özgün teslim dosyası korundu. EXIF yönü uygulandı; kırpma yapılmadan en çok 1600 px, WebP kalite 84. Önceki kaynak değişiklik notları ayrıca korunur.</t>
        </is>
      </c>
      <c r="N84" s="44" t="inlineStr">
        <is>
          <t>Kayıttan doğrulandı</t>
        </is>
      </c>
      <c r="O84" s="44" t="n"/>
    </row>
    <row r="85" ht="54" customHeight="1">
      <c r="A85" s="44" t="inlineStr">
        <is>
          <t>eindhoven:photo:catharinakerkhof-01</t>
        </is>
      </c>
      <c r="B85" s="44" t="inlineStr">
        <is>
          <t>https://www.wikidata.org/wiki/Q100423837</t>
        </is>
      </c>
      <c r="C85" s="44" t="inlineStr">
        <is>
          <t>https://www.wikidata.org/wiki/Q100423837</t>
        </is>
      </c>
      <c r="D85" s="44" t="inlineStr">
        <is>
          <t>https://upload.wikimedia.org/wikipedia/commons/e/ea/Aanzicht_poort_met_klokgevel_-_Eindhoven_-_20410899_-_RCE.jpg?utm_source=commons.wikimedia.org&amp;utm_campaign=imageinfo&amp;utm_content=original</t>
        </is>
      </c>
      <c r="E85" s="44" t="inlineStr">
        <is>
          <t>https://thumb.wikimedia.org/wikipedia/commons/thumb/e/ea/Aanzicht_poort_met_klokgevel_-_Eindhoven_-_20410899_-_RCE.jpg/1280px-Aanzicht_poort_met_klokgevel_-_Eindhoven_-_20410899_-_RCE.jpg</t>
        </is>
      </c>
      <c r="F85" s="53" t="n">
        <v>46318</v>
      </c>
      <c r="G85" s="44" t="inlineStr">
        <is>
          <t>Fotoğraflar/eindhoven_catharinakerkhof_01.jpg</t>
        </is>
      </c>
      <c r="H85" s="44" t="inlineStr">
        <is>
          <t>4da705af0555d0e192158523f612c36b5781a1c5dde7be2c3d62252927bcdaee</t>
        </is>
      </c>
      <c r="I85" s="44" t="inlineStr">
        <is>
          <t>Teslimler/WebKopyalari/4da705af0555d0e192158523f612c36b5781a1c5dde7be2c3d62252927bcdaee.webp</t>
        </is>
      </c>
      <c r="J85" s="44" t="inlineStr">
        <is>
          <t>7e9d819e9341bb333af5c5fad3e88d839c5a2279026f996f7cb1a304cf242471</t>
        </is>
      </c>
      <c r="K85" s="44" t="n">
        <v>1067</v>
      </c>
      <c r="L85" s="44" t="n">
        <v>1600</v>
      </c>
      <c r="M85" s="44" t="inlineStr">
        <is>
          <t>Özgün teslim dosyası korundu. EXIF yönü uygulandı; kırpma yapılmadan en çok 1600 px, WebP kalite 84. Önceki kaynak değişiklik notları ayrıca korunur.</t>
        </is>
      </c>
      <c r="N85" s="44" t="inlineStr">
        <is>
          <t>Kayıttan doğrulandı</t>
        </is>
      </c>
      <c r="O85" s="44" t="n"/>
    </row>
    <row r="86" ht="54" customHeight="1">
      <c r="A86" s="44" t="inlineStr">
        <is>
          <t>eindhoven:photo:catharinakerkhof-02</t>
        </is>
      </c>
      <c r="B86" s="44" t="inlineStr">
        <is>
          <t>https://www.wikidata.org/wiki/Q100423837</t>
        </is>
      </c>
      <c r="C86" s="44" t="inlineStr">
        <is>
          <t>https://www.wikidata.org/wiki/Q100423837</t>
        </is>
      </c>
      <c r="D86" s="44" t="inlineStr">
        <is>
          <t>https://upload.wikimedia.org/wikipedia/commons/b/bc/Familiegraf_Mignot-Bouvy_is_uitgevoerd_in_natuursteen%2C_omgeven_door_vierkante_palen%2C_bekroond_door_toortsen_en_urnen_-_Eindhoven_-_20410841_-_RCE.jpg?utm_source=commons.wikimedia.org&amp;utm_campaign=imageinfo&amp;utm_content=original</t>
        </is>
      </c>
      <c r="E86" s="44" t="inlineStr">
        <is>
          <t>https://thumb.wikimedia.org/wikipedia/commons/thumb/b/bc/Familiegraf_Mignot-Bouvy_is_uitgevoerd_in_natuursteen%2C_omgeven_door_vierkante_palen%2C_bekroond_door_toortsen_en_urnen_-_Eindhoven_-_20410841_-_RCE.jpg/1280px-Familiegraf_Mignot-Bouvy_is_uitgevoerd_in_natuursteen%2C_omgeven_door_vierkante_palen%2C_bekroond_door_toortsen_en_urnen_-_Eindhoven_-_20410841_-_RCE.jpg</t>
        </is>
      </c>
      <c r="F86" s="53" t="n">
        <v>46318</v>
      </c>
      <c r="G86" s="44" t="inlineStr">
        <is>
          <t>Fotoğraflar/eindhoven_catharinakerkhof_02.jpg</t>
        </is>
      </c>
      <c r="H86" s="44" t="inlineStr">
        <is>
          <t>e8f3a76bfae02a60986aabedf7945bfe46f819291227449b011f298c24f013ec</t>
        </is>
      </c>
      <c r="I86" s="44" t="inlineStr">
        <is>
          <t>Teslimler/WebKopyalari/e8f3a76bfae02a60986aabedf7945bfe46f819291227449b011f298c24f013ec.webp</t>
        </is>
      </c>
      <c r="J86" s="44" t="inlineStr">
        <is>
          <t>e29c3bbc82c84c2792cba7fdec917d45040259805cbf9efde6caa0c8df414716</t>
        </is>
      </c>
      <c r="K86" s="44" t="n">
        <v>1067</v>
      </c>
      <c r="L86" s="44" t="n">
        <v>1600</v>
      </c>
      <c r="M86" s="44" t="inlineStr">
        <is>
          <t>Özgün teslim dosyası korundu. EXIF yönü uygulandı; kırpma yapılmadan en çok 1600 px, WebP kalite 84. Önceki kaynak değişiklik notları ayrıca korunur.</t>
        </is>
      </c>
      <c r="N86" s="44" t="inlineStr">
        <is>
          <t>Kayıttan doğrulandı</t>
        </is>
      </c>
      <c r="O86" s="44" t="n"/>
    </row>
    <row r="87" ht="54" customHeight="1">
      <c r="A87" s="44" t="inlineStr">
        <is>
          <t>eindhoven:photo:18-septemberplein-01</t>
        </is>
      </c>
      <c r="B87" s="44" t="inlineStr">
        <is>
          <t>https://www.wikidata.org/wiki/Q15080600</t>
        </is>
      </c>
      <c r="C87" s="44" t="inlineStr">
        <is>
          <t>https://www.wikidata.org/wiki/Q15080600</t>
        </is>
      </c>
      <c r="D87" s="44" t="inlineStr">
        <is>
          <t>https://upload.wikimedia.org/wikipedia/commons/e/ea/13-06-28-eindhoven-by-RalfR-10.jpg?utm_source=commons.wikimedia.org&amp;utm_campaign=imageinfo&amp;utm_content=original</t>
        </is>
      </c>
      <c r="E87" s="44" t="inlineStr">
        <is>
          <t>https://thumb.wikimedia.org/wikipedia/commons/thumb/e/ea/13-06-28-eindhoven-by-RalfR-10.jpg/1280px-13-06-28-eindhoven-by-RalfR-10.jpg</t>
        </is>
      </c>
      <c r="F87" s="53" t="n">
        <v>46318</v>
      </c>
      <c r="G87" s="44" t="inlineStr">
        <is>
          <t>Fotoğraflar/eindhoven_18-septemberplein_01.jpg</t>
        </is>
      </c>
      <c r="H87" s="44" t="inlineStr">
        <is>
          <t>8a4149ecc9b3d92386c4e76be051126bfc7978a84d3282c8d4c7e5c89111ae77</t>
        </is>
      </c>
      <c r="I87" s="44" t="inlineStr">
        <is>
          <t>Teslimler/WebKopyalari/8a4149ecc9b3d92386c4e76be051126bfc7978a84d3282c8d4c7e5c89111ae77.webp</t>
        </is>
      </c>
      <c r="J87" s="44" t="inlineStr">
        <is>
          <t>82fa6af6ddf408da76e665f0677a5c91f11585ba0caf86cb75e8e41ce84c4e14</t>
        </is>
      </c>
      <c r="K87" s="44" t="n">
        <v>1280</v>
      </c>
      <c r="L87" s="44" t="n">
        <v>850</v>
      </c>
      <c r="M87" s="44" t="inlineStr">
        <is>
          <t>Özgün teslim dosyası korundu. EXIF yönü uygulandı; kırpma yapılmadan en çok 1600 px, WebP kalite 84. Önceki kaynak değişiklik notları ayrıca korunur.</t>
        </is>
      </c>
      <c r="N87" s="44" t="inlineStr">
        <is>
          <t>Kayıttan doğrulandı</t>
        </is>
      </c>
      <c r="O87" s="44" t="n"/>
    </row>
    <row r="88" ht="54" customHeight="1">
      <c r="A88" s="44" t="inlineStr">
        <is>
          <t>eindhoven:photo:18-septemberplein-02</t>
        </is>
      </c>
      <c r="B88" s="44" t="inlineStr">
        <is>
          <t>https://www.wikidata.org/wiki/Q15080600</t>
        </is>
      </c>
      <c r="C88" s="44" t="inlineStr">
        <is>
          <t>https://www.wikidata.org/wiki/Q15080600</t>
        </is>
      </c>
      <c r="D88" s="44" t="inlineStr">
        <is>
          <t>https://upload.wikimedia.org/wikipedia/commons/5/57/13-06-28-eindhoven-by-RalfR-16.jpg?utm_source=commons.wikimedia.org&amp;utm_campaign=imageinfo&amp;utm_content=original</t>
        </is>
      </c>
      <c r="E88" s="44" t="inlineStr">
        <is>
          <t>https://thumb.wikimedia.org/wikipedia/commons/thumb/5/57/13-06-28-eindhoven-by-RalfR-16.jpg/1280px-13-06-28-eindhoven-by-RalfR-16.jpg</t>
        </is>
      </c>
      <c r="F88" s="53" t="n">
        <v>46318</v>
      </c>
      <c r="G88" s="44" t="inlineStr">
        <is>
          <t>Fotoğraflar/eindhoven_18-septemberplein_02.jpg</t>
        </is>
      </c>
      <c r="H88" s="44" t="inlineStr">
        <is>
          <t>1df5445ff7ebe3e5549a3f2f309e499437d230623a87227117998dc29fc1e6fc</t>
        </is>
      </c>
      <c r="I88" s="44" t="inlineStr">
        <is>
          <t>Teslimler/WebKopyalari/1df5445ff7ebe3e5549a3f2f309e499437d230623a87227117998dc29fc1e6fc.webp</t>
        </is>
      </c>
      <c r="J88" s="44" t="inlineStr">
        <is>
          <t>7cd581bf4e87813fa1463df15c430eb6e02883674c0ee0fc4d8700d3f7f93ca3</t>
        </is>
      </c>
      <c r="K88" s="44" t="n">
        <v>1280</v>
      </c>
      <c r="L88" s="44" t="n">
        <v>850</v>
      </c>
      <c r="M88" s="44" t="inlineStr">
        <is>
          <t>Özgün teslim dosyası korundu. EXIF yönü uygulandı; kırpma yapılmadan en çok 1600 px, WebP kalite 84. Önceki kaynak değişiklik notları ayrıca korunur.</t>
        </is>
      </c>
      <c r="N88" s="44" t="inlineStr">
        <is>
          <t>Kayıttan doğrulandı</t>
        </is>
      </c>
      <c r="O88" s="44" t="n"/>
    </row>
    <row r="89" ht="54" customHeight="1">
      <c r="A89" s="44" t="inlineStr">
        <is>
          <t>eindhoven:photo:18-septemberplein-03</t>
        </is>
      </c>
      <c r="B89" s="44" t="inlineStr">
        <is>
          <t>https://www.wikidata.org/wiki/Q15080600</t>
        </is>
      </c>
      <c r="C89" s="44" t="inlineStr">
        <is>
          <t>https://www.wikidata.org/wiki/Q15080600</t>
        </is>
      </c>
      <c r="D89" s="44" t="inlineStr">
        <is>
          <t>https://upload.wikimedia.org/wikipedia/commons/4/49/13-06-28-eindhoven-by-RalfR-18.jpg?utm_source=commons.wikimedia.org&amp;utm_campaign=imageinfo&amp;utm_content=original</t>
        </is>
      </c>
      <c r="E89" s="44" t="inlineStr">
        <is>
          <t>https://thumb.wikimedia.org/wikipedia/commons/thumb/4/49/13-06-28-eindhoven-by-RalfR-18.jpg/1280px-13-06-28-eindhoven-by-RalfR-18.jpg</t>
        </is>
      </c>
      <c r="F89" s="53" t="n">
        <v>46318</v>
      </c>
      <c r="G89" s="44" t="inlineStr">
        <is>
          <t>Fotoğraflar/eindhoven_18-septemberplein_03.jpg</t>
        </is>
      </c>
      <c r="H89" s="44" t="inlineStr">
        <is>
          <t>dabdaf9a364f70f6be95a8f5a8626d5943a6d9ffd1d451bd1246c3cc5f651c5e</t>
        </is>
      </c>
      <c r="I89" s="44" t="inlineStr">
        <is>
          <t>Teslimler/WebKopyalari/dabdaf9a364f70f6be95a8f5a8626d5943a6d9ffd1d451bd1246c3cc5f651c5e.webp</t>
        </is>
      </c>
      <c r="J89" s="44" t="inlineStr">
        <is>
          <t>6f10b6ab04280057d47814b79edbcf16abb9862ef3e0f828f9c49f39efbe6223</t>
        </is>
      </c>
      <c r="K89" s="44" t="n">
        <v>1063</v>
      </c>
      <c r="L89" s="44" t="n">
        <v>1600</v>
      </c>
      <c r="M89" s="44" t="inlineStr">
        <is>
          <t>Özgün teslim dosyası korundu. EXIF yönü uygulandı; kırpma yapılmadan en çok 1600 px, WebP kalite 84. Önceki kaynak değişiklik notları ayrıca korunur.</t>
        </is>
      </c>
      <c r="N89" s="44" t="inlineStr">
        <is>
          <t>Kayıttan doğrulandı</t>
        </is>
      </c>
      <c r="O89" s="44" t="n"/>
    </row>
    <row r="90" ht="54" customHeight="1">
      <c r="A90" s="44" t="inlineStr">
        <is>
          <t>eindhoven:photo:eindhoven-centraal-01</t>
        </is>
      </c>
      <c r="B90" s="44" t="inlineStr">
        <is>
          <t>https://www.wikidata.org/wiki/Q88378993</t>
        </is>
      </c>
      <c r="C90" s="44" t="inlineStr">
        <is>
          <t>https://www.wikidata.org/wiki/Q88378993</t>
        </is>
      </c>
      <c r="D90" s="44" t="inlineStr">
        <is>
          <t>https://upload.wikimedia.org/wikipedia/commons/0/01/Centraal_Station_Eindhoven_-_Centrum_1803-100.jpg?utm_source=commons.wikimedia.org&amp;utm_campaign=imageinfo&amp;utm_content=original</t>
        </is>
      </c>
      <c r="E90" s="44" t="inlineStr">
        <is>
          <t>https://thumb.wikimedia.org/wikipedia/commons/thumb/0/01/Centraal_Station_Eindhoven_-_Centrum_1803-100.jpg/1280px-Centraal_Station_Eindhoven_-_Centrum_1803-100.jpg</t>
        </is>
      </c>
      <c r="F90" s="53" t="n">
        <v>46318</v>
      </c>
      <c r="G90" s="44" t="inlineStr">
        <is>
          <t>Fotoğraflar/eindhoven_eindhoven-centraal_01.jpg</t>
        </is>
      </c>
      <c r="H90" s="44" t="inlineStr">
        <is>
          <t>56c16af5ff0b554a3e4f6b9d8d762ab2d289fce623f7c1771150dbf9eaee4719</t>
        </is>
      </c>
      <c r="I90" s="44" t="inlineStr">
        <is>
          <t>Teslimler/WebKopyalari/56c16af5ff0b554a3e4f6b9d8d762ab2d289fce623f7c1771150dbf9eaee4719.webp</t>
        </is>
      </c>
      <c r="J90" s="44" t="inlineStr">
        <is>
          <t>f8dedc9e6c979172075a9122d1ed2f295851c8c5ba2e1e8f59a4321fae0c1692</t>
        </is>
      </c>
      <c r="K90" s="44" t="n">
        <v>1280</v>
      </c>
      <c r="L90" s="44" t="n">
        <v>720</v>
      </c>
      <c r="M90" s="44" t="inlineStr">
        <is>
          <t>Özgün teslim dosyası korundu. EXIF yönü uygulandı; kırpma yapılmadan en çok 1600 px, WebP kalite 84. Önceki kaynak değişiklik notları ayrıca korunur.</t>
        </is>
      </c>
      <c r="N90" s="44" t="inlineStr">
        <is>
          <t>Kayıttan doğrulandı</t>
        </is>
      </c>
      <c r="O90" s="44" t="n"/>
    </row>
    <row r="91" ht="54" customHeight="1">
      <c r="A91" s="44" t="inlineStr">
        <is>
          <t>eindhoven:photo:eindhoven-centraal-02</t>
        </is>
      </c>
      <c r="B91" s="44" t="inlineStr">
        <is>
          <t>https://www.wikidata.org/wiki/Q88378993</t>
        </is>
      </c>
      <c r="C91" s="44" t="inlineStr">
        <is>
          <t>https://www.wikidata.org/wiki/Q88378993</t>
        </is>
      </c>
      <c r="D91" s="44" t="inlineStr">
        <is>
          <t>https://upload.wikimedia.org/wikipedia/commons/e/ef/Centraal_Station_Eindhoven_-_Centrum_1803-99.jpg?utm_source=commons.wikimedia.org&amp;utm_campaign=imageinfo&amp;utm_content=original</t>
        </is>
      </c>
      <c r="E91" s="44" t="inlineStr">
        <is>
          <t>https://thumb.wikimedia.org/wikipedia/commons/thumb/e/ef/Centraal_Station_Eindhoven_-_Centrum_1803-99.jpg/1280px-Centraal_Station_Eindhoven_-_Centrum_1803-99.jpg</t>
        </is>
      </c>
      <c r="F91" s="53" t="n">
        <v>46318</v>
      </c>
      <c r="G91" s="44" t="inlineStr">
        <is>
          <t>Fotoğraflar/eindhoven_eindhoven-centraal_02.jpg</t>
        </is>
      </c>
      <c r="H91" s="44" t="inlineStr">
        <is>
          <t>9426007903c596ade6eafa0f544934416ff0e39357dd26388e9c0215641eac0c</t>
        </is>
      </c>
      <c r="I91" s="44" t="inlineStr">
        <is>
          <t>Teslimler/WebKopyalari/9426007903c596ade6eafa0f544934416ff0e39357dd26388e9c0215641eac0c.webp</t>
        </is>
      </c>
      <c r="J91" s="44" t="inlineStr">
        <is>
          <t>976841c8cee807424ea2a74ab5d0085e156e58c287ff2431ad32bef88c9cc39a</t>
        </is>
      </c>
      <c r="K91" s="44" t="n">
        <v>1280</v>
      </c>
      <c r="L91" s="44" t="n">
        <v>1280</v>
      </c>
      <c r="M91" s="44" t="inlineStr">
        <is>
          <t>Özgün teslim dosyası korundu. EXIF yönü uygulandı; kırpma yapılmadan en çok 1600 px, WebP kalite 84. Önceki kaynak değişiklik notları ayrıca korunur.</t>
        </is>
      </c>
      <c r="N91" s="44" t="inlineStr">
        <is>
          <t>Kayıttan doğrulandı</t>
        </is>
      </c>
      <c r="O91" s="44" t="n"/>
    </row>
    <row r="92" ht="54" customHeight="1">
      <c r="A92" s="44" t="inlineStr">
        <is>
          <t>eindhoven:photo:eindhoven-centraal-03</t>
        </is>
      </c>
      <c r="B92" s="44" t="inlineStr">
        <is>
          <t>https://commons.wikimedia.org/wiki/User:Sneeuwvlakte</t>
        </is>
      </c>
      <c r="C92" s="44" t="inlineStr">
        <is>
          <t>https://commons.wikimedia.org/wiki/User:Sneeuwvlakte</t>
        </is>
      </c>
      <c r="D92" s="44" t="inlineStr">
        <is>
          <t>https://upload.wikimedia.org/wikipedia/commons/8/87/Station_Eindhoven_Centraal_%282023%29.jpg?utm_source=commons.wikimedia.org&amp;utm_campaign=imageinfo&amp;utm_content=original</t>
        </is>
      </c>
      <c r="E92" s="44" t="inlineStr">
        <is>
          <t>https://thumb.wikimedia.org/wikipedia/commons/thumb/8/87/Station_Eindhoven_Centraal_%282023%29.jpg/1280px-Station_Eindhoven_Centraal_%282023%29.jpg</t>
        </is>
      </c>
      <c r="F92" s="53" t="n">
        <v>46318</v>
      </c>
      <c r="G92" s="44" t="inlineStr">
        <is>
          <t>Fotoğraflar/eindhoven_eindhoven-centraal_03.jpg</t>
        </is>
      </c>
      <c r="H92" s="44" t="inlineStr">
        <is>
          <t>5d9866d276b673ad60f7cc2247d68ae451c5c260d36e17760e1099c74713b75f</t>
        </is>
      </c>
      <c r="I92" s="44" t="inlineStr">
        <is>
          <t>Teslimler/WebKopyalari/5d9866d276b673ad60f7cc2247d68ae451c5c260d36e17760e1099c74713b75f.webp</t>
        </is>
      </c>
      <c r="J92" s="44" t="inlineStr">
        <is>
          <t>8cf709ddcd39f6346ec610f0d7b055ff0cb3c1d1c470c4eddc252029cb4c7319</t>
        </is>
      </c>
      <c r="K92" s="44" t="n">
        <v>1280</v>
      </c>
      <c r="L92" s="44" t="n">
        <v>720</v>
      </c>
      <c r="M92" s="44" t="inlineStr">
        <is>
          <t>Özgün teslim dosyası korundu. EXIF yönü uygulandı; kırpma yapılmadan en çok 1600 px, WebP kalite 84. Önceki kaynak değişiklik notları ayrıca korunur.</t>
        </is>
      </c>
      <c r="N92" s="44" t="inlineStr">
        <is>
          <t>Kayıttan doğrulandı</t>
        </is>
      </c>
      <c r="O92" s="44" t="n"/>
    </row>
    <row r="93" ht="54" customHeight="1">
      <c r="A93" s="44" t="inlineStr">
        <is>
          <t>eindhoven:photo:huize-de-laak-01</t>
        </is>
      </c>
      <c r="B93" s="44" t="n"/>
      <c r="C93" s="44" t="inlineStr">
        <is>
          <t>https://commons.wikimedia.org/wiki/File:De_Laak_2012-09-20_15-05-20.jpg</t>
        </is>
      </c>
      <c r="D93" s="44" t="inlineStr">
        <is>
          <t>https://upload.wikimedia.org/wikipedia/commons/1/16/De_Laak_2012-09-20_15-05-20.jpg?utm_source=commons.wikimedia.org&amp;utm_campaign=imageinfo&amp;utm_content=original</t>
        </is>
      </c>
      <c r="E93" s="44" t="inlineStr">
        <is>
          <t>https://thumb.wikimedia.org/wikipedia/commons/thumb/1/16/De_Laak_2012-09-20_15-05-20.jpg/1280px-De_Laak_2012-09-20_15-05-20.jpg</t>
        </is>
      </c>
      <c r="F93" s="53" t="n">
        <v>46318</v>
      </c>
      <c r="G93" s="44" t="inlineStr">
        <is>
          <t>Fotoğraflar/eindhoven_huize-de-laak_01.jpg</t>
        </is>
      </c>
      <c r="H93" s="44" t="inlineStr">
        <is>
          <t>d30be382f89b5e3e01b5f2848202de8fe64922c112d25547fffc97af1ce5ae12</t>
        </is>
      </c>
      <c r="I93" s="44" t="inlineStr">
        <is>
          <t>Teslimler/WebKopyalari/d30be382f89b5e3e01b5f2848202de8fe64922c112d25547fffc97af1ce5ae12.webp</t>
        </is>
      </c>
      <c r="J93" s="44" t="inlineStr">
        <is>
          <t>dc020c67db5ebb3cfc78ebe0f65386c3cfc9c3d46361b012598a71f482be96dc</t>
        </is>
      </c>
      <c r="K93" s="44" t="n">
        <v>1280</v>
      </c>
      <c r="L93" s="44" t="n">
        <v>960</v>
      </c>
      <c r="M93" s="44" t="inlineStr">
        <is>
          <t>Özgün teslim dosyası korundu. EXIF yönü uygulandı; kırpma yapılmadan en çok 1600 px, WebP kalite 84. Önceki kaynak değişiklik notları ayrıca korunur.</t>
        </is>
      </c>
      <c r="N93" s="44" t="inlineStr">
        <is>
          <t>Eksik alan var</t>
        </is>
      </c>
      <c r="O93" s="44" t="inlineStr">
        <is>
          <t>Kaynakta ayrı fotoğrafçı profil bağlantısı bulunmadı; fotoğraf kaynak sayfasına atıf korunur. Bağlantı uydurulmaz.</t>
        </is>
      </c>
    </row>
    <row r="94" ht="54" customHeight="1">
      <c r="A94" s="44" t="inlineStr">
        <is>
          <t>eindhoven:photo:huize-de-laak-02</t>
        </is>
      </c>
      <c r="B94" s="44" t="inlineStr">
        <is>
          <t>https://commons.wikimedia.org/wiki/User:Mark_Bergsma</t>
        </is>
      </c>
      <c r="C94" s="44" t="inlineStr">
        <is>
          <t>https://commons.wikimedia.org/wiki/User:Mark_Bergsma</t>
        </is>
      </c>
      <c r="D94" s="44" t="inlineStr">
        <is>
          <t>https://upload.wikimedia.org/wikipedia/commons/4/45/DeLaakEindhoven_licht_Rijksmonument518761.jpg?utm_source=commons.wikimedia.org&amp;utm_campaign=imageinfo&amp;utm_content=original</t>
        </is>
      </c>
      <c r="E94" s="44" t="inlineStr">
        <is>
          <t>https://thumb.wikimedia.org/wikipedia/commons/thumb/4/45/DeLaakEindhoven_licht_Rijksmonument518761.jpg/1280px-DeLaakEindhoven_licht_Rijksmonument518761.jpg</t>
        </is>
      </c>
      <c r="F94" s="53" t="n">
        <v>46318</v>
      </c>
      <c r="G94" s="44" t="inlineStr">
        <is>
          <t>Fotoğraflar/eindhoven_huize-de-laak_02.jpg</t>
        </is>
      </c>
      <c r="H94" s="44" t="inlineStr">
        <is>
          <t>8fd31c9f825f4805b57eb6298bd6790f610add85b903fac4721875a5256f45a4</t>
        </is>
      </c>
      <c r="I94" s="44" t="inlineStr">
        <is>
          <t>Teslimler/WebKopyalari/8fd31c9f825f4805b57eb6298bd6790f610add85b903fac4721875a5256f45a4.webp</t>
        </is>
      </c>
      <c r="J94" s="44" t="inlineStr">
        <is>
          <t>967b33989ac464b816c67000f3a05b9385ae249fdb8d7c97d1b4f451a799354d</t>
        </is>
      </c>
      <c r="K94" s="44" t="n">
        <v>1280</v>
      </c>
      <c r="L94" s="44" t="n">
        <v>720</v>
      </c>
      <c r="M94" s="44" t="inlineStr">
        <is>
          <t>Özgün teslim dosyası korundu. EXIF yönü uygulandı; kırpma yapılmadan en çok 1600 px, WebP kalite 84. Önceki kaynak değişiklik notları ayrıca korunur.</t>
        </is>
      </c>
      <c r="N94" s="44" t="inlineStr">
        <is>
          <t>Kayıttan doğrulandı</t>
        </is>
      </c>
      <c r="O94" s="44" t="n"/>
    </row>
    <row r="95" ht="54" customHeight="1">
      <c r="A95" s="44" t="inlineStr">
        <is>
          <t>eindhoven:photo:philipsdorp-01</t>
        </is>
      </c>
      <c r="B95" s="44" t="inlineStr">
        <is>
          <t>https://www.wikidata.org/wiki/Q88378993</t>
        </is>
      </c>
      <c r="C95" s="44" t="inlineStr">
        <is>
          <t>https://www.wikidata.org/wiki/Q88378993</t>
        </is>
      </c>
      <c r="D95" s="44" t="inlineStr">
        <is>
          <t>https://upload.wikimedia.org/wikipedia/commons/4/48/Achterpad_Keerweerstraat_Eindhoven-_Philipsdorp_1509-123.jpg?utm_source=commons.wikimedia.org&amp;utm_campaign=imageinfo&amp;utm_content=original</t>
        </is>
      </c>
      <c r="E95" s="44" t="inlineStr">
        <is>
          <t>https://thumb.wikimedia.org/wikipedia/commons/thumb/4/48/Achterpad_Keerweerstraat_Eindhoven-_Philipsdorp_1509-123.jpg/1280px-Achterpad_Keerweerstraat_Eindhoven-_Philipsdorp_1509-123.jpg</t>
        </is>
      </c>
      <c r="F95" s="53" t="n">
        <v>46318</v>
      </c>
      <c r="G95" s="44" t="inlineStr">
        <is>
          <t>Fotoğraflar/eindhoven_philipsdorp_01.jpg</t>
        </is>
      </c>
      <c r="H95" s="44" t="inlineStr">
        <is>
          <t>6e70d85215f8d576aad0455abf4e2b3a26c8f7399844b79e0d38340007cf73d2</t>
        </is>
      </c>
      <c r="I95" s="44" t="inlineStr">
        <is>
          <t>Teslimler/WebKopyalari/6e70d85215f8d576aad0455abf4e2b3a26c8f7399844b79e0d38340007cf73d2.webp</t>
        </is>
      </c>
      <c r="J95" s="44" t="inlineStr">
        <is>
          <t>f60a22762f29e7cbab0dd0f56831291a64385c781dcdac6780e62db7ecb80a60</t>
        </is>
      </c>
      <c r="K95" s="44" t="n">
        <v>1020</v>
      </c>
      <c r="L95" s="44" t="n">
        <v>1600</v>
      </c>
      <c r="M95" s="44" t="inlineStr">
        <is>
          <t>Özgün teslim dosyası korundu. EXIF yönü uygulandı; kırpma yapılmadan en çok 1600 px, WebP kalite 84. Önceki kaynak değişiklik notları ayrıca korunur.</t>
        </is>
      </c>
      <c r="N95" s="44" t="inlineStr">
        <is>
          <t>Kayıttan doğrulandı</t>
        </is>
      </c>
      <c r="O95" s="44" t="n"/>
    </row>
    <row r="96" ht="54" customHeight="1">
      <c r="A96" s="44" t="inlineStr">
        <is>
          <t>eindhoven:photo:philipsdorp-02</t>
        </is>
      </c>
      <c r="B96" s="44" t="inlineStr">
        <is>
          <t>https://www.wikidata.org/wiki/Q88378993</t>
        </is>
      </c>
      <c r="C96" s="44" t="inlineStr">
        <is>
          <t>https://www.wikidata.org/wiki/Q88378993</t>
        </is>
      </c>
      <c r="D96" s="44" t="inlineStr">
        <is>
          <t>https://upload.wikimedia.org/wikipedia/commons/7/7b/Achterzijde_woningen_Annastraat_Eindhoven-_Philipsdorp_1509-116.jpg?utm_source=commons.wikimedia.org&amp;utm_campaign=imageinfo&amp;utm_content=original</t>
        </is>
      </c>
      <c r="E96" s="44" t="inlineStr">
        <is>
          <t>https://thumb.wikimedia.org/wikipedia/commons/thumb/7/7b/Achterzijde_woningen_Annastraat_Eindhoven-_Philipsdorp_1509-116.jpg/1280px-Achterzijde_woningen_Annastraat_Eindhoven-_Philipsdorp_1509-116.jpg</t>
        </is>
      </c>
      <c r="F96" s="53" t="n">
        <v>46318</v>
      </c>
      <c r="G96" s="44" t="inlineStr">
        <is>
          <t>Fotoğraflar/eindhoven_philipsdorp_02.jpg</t>
        </is>
      </c>
      <c r="H96" s="44" t="inlineStr">
        <is>
          <t>ceb33d1d3c84cb9641c82088eb2ec1f66e29f1d8c64cc5aad6693ac5d8e07a09</t>
        </is>
      </c>
      <c r="I96" s="44" t="inlineStr">
        <is>
          <t>Teslimler/WebKopyalari/ceb33d1d3c84cb9641c82088eb2ec1f66e29f1d8c64cc5aad6693ac5d8e07a09.webp</t>
        </is>
      </c>
      <c r="J96" s="44" t="inlineStr">
        <is>
          <t>ac9f1b477175a42f737105ec264bf3091032881a3df2d5a03fd40c9b4c323106</t>
        </is>
      </c>
      <c r="K96" s="44" t="n">
        <v>1280</v>
      </c>
      <c r="L96" s="44" t="n">
        <v>853</v>
      </c>
      <c r="M96" s="44" t="inlineStr">
        <is>
          <t>Özgün teslim dosyası korundu. EXIF yönü uygulandı; kırpma yapılmadan en çok 1600 px, WebP kalite 84. Önceki kaynak değişiklik notları ayrıca korunur.</t>
        </is>
      </c>
      <c r="N96" s="44" t="inlineStr">
        <is>
          <t>Kayıttan doğrulandı</t>
        </is>
      </c>
      <c r="O96" s="44" t="n"/>
    </row>
    <row r="97" ht="54" customHeight="1">
      <c r="A97" s="44" t="inlineStr">
        <is>
          <t>eindhoven:photo:de-witte-dame-lichtfabriek-01</t>
        </is>
      </c>
      <c r="B97" s="44" t="inlineStr">
        <is>
          <t>https://commons.wikimedia.org/wiki/User:GVR</t>
        </is>
      </c>
      <c r="C97" s="44" t="inlineStr">
        <is>
          <t>https://commons.wikimedia.org/wiki/User:GVR</t>
        </is>
      </c>
      <c r="D97" s="44" t="inlineStr">
        <is>
          <t>https://upload.wikimedia.org/wikipedia/commons/4/43/518718_De_Witte_Dame.jpg?utm_source=commons.wikimedia.org&amp;utm_campaign=imageinfo&amp;utm_content=original</t>
        </is>
      </c>
      <c r="E97" s="44" t="inlineStr">
        <is>
          <t>https://thumb.wikimedia.org/wikipedia/commons/thumb/4/43/518718_De_Witte_Dame.jpg/1280px-518718_De_Witte_Dame.jpg</t>
        </is>
      </c>
      <c r="F97" s="53" t="n">
        <v>46318</v>
      </c>
      <c r="G97" s="44" t="inlineStr">
        <is>
          <t>Fotoğraflar/eindhoven_de-witte-dame-lichtfabriek_01.jpg</t>
        </is>
      </c>
      <c r="H97" s="44" t="inlineStr">
        <is>
          <t>f756373763d9ad768799ea810e370448c68fa765277cf7a2078103641c946293</t>
        </is>
      </c>
      <c r="I97" s="44" t="inlineStr">
        <is>
          <t>Teslimler/WebKopyalari/f756373763d9ad768799ea810e370448c68fa765277cf7a2078103641c946293.webp</t>
        </is>
      </c>
      <c r="J97" s="44" t="inlineStr">
        <is>
          <t>a5497c460580257c9f02398a7d3755766293fe38132c5401a11d791d4f7a51b3</t>
        </is>
      </c>
      <c r="K97" s="44" t="n">
        <v>1280</v>
      </c>
      <c r="L97" s="44" t="n">
        <v>965</v>
      </c>
      <c r="M97" s="44" t="inlineStr">
        <is>
          <t>Özgün teslim dosyası korundu. EXIF yönü uygulandı; kırpma yapılmadan en çok 1600 px, WebP kalite 84. Önceki kaynak değişiklik notları ayrıca korunur.</t>
        </is>
      </c>
      <c r="N97" s="44" t="inlineStr">
        <is>
          <t>Kayıttan doğrulandı</t>
        </is>
      </c>
      <c r="O97" s="44" t="n"/>
    </row>
    <row r="98" ht="54" customHeight="1">
      <c r="A98" s="44" t="inlineStr">
        <is>
          <t>eindhoven:photo:de-witte-dame-lichtfabriek-02</t>
        </is>
      </c>
      <c r="B98" s="44" t="n"/>
      <c r="C98" s="44" t="inlineStr">
        <is>
          <t>https://commons.wikimedia.org/wiki/File:De_Witte_Dame_bibliotheek.jpg</t>
        </is>
      </c>
      <c r="D98" s="44" t="inlineStr">
        <is>
          <t>https://upload.wikimedia.org/wikipedia/commons/2/23/De_Witte_Dame_bibliotheek.jpg?utm_source=commons.wikimedia.org&amp;utm_campaign=imageinfo&amp;utm_content=original</t>
        </is>
      </c>
      <c r="E98" s="44" t="inlineStr">
        <is>
          <t>https://thumb.wikimedia.org/wikipedia/commons/thumb/2/23/De_Witte_Dame_bibliotheek.jpg/1280px-De_Witte_Dame_bibliotheek.jpg</t>
        </is>
      </c>
      <c r="F98" s="53" t="n">
        <v>46318</v>
      </c>
      <c r="G98" s="44" t="inlineStr">
        <is>
          <t>Fotoğraflar/eindhoven_de-witte-dame-lichtfabriek_02.jpg</t>
        </is>
      </c>
      <c r="H98" s="44" t="inlineStr">
        <is>
          <t>ae2c6f7d4399b768c8b192d505152b67e342d3c59ce27bd4549cad3ded136d50</t>
        </is>
      </c>
      <c r="I98" s="44" t="inlineStr">
        <is>
          <t>Teslimler/WebKopyalari/ae2c6f7d4399b768c8b192d505152b67e342d3c59ce27bd4549cad3ded136d50.webp</t>
        </is>
      </c>
      <c r="J98" s="44" t="inlineStr">
        <is>
          <t>cd0caba73a7b8bf7827edae26825c60d36a93636a3cb95dc37f9f922f3935490</t>
        </is>
      </c>
      <c r="K98" s="44" t="n">
        <v>1280</v>
      </c>
      <c r="L98" s="44" t="n">
        <v>853</v>
      </c>
      <c r="M98" s="44" t="inlineStr">
        <is>
          <t>Özgün teslim dosyası korundu. EXIF yönü uygulandı; kırpma yapılmadan en çok 1600 px, WebP kalite 84. Önceki kaynak değişiklik notları ayrıca korunur.</t>
        </is>
      </c>
      <c r="N98" s="44" t="inlineStr">
        <is>
          <t>Eksik alan var</t>
        </is>
      </c>
      <c r="O98" s="44" t="inlineStr">
        <is>
          <t>Kaynakta ayrı fotoğrafçı profil bağlantısı bulunmadı; fotoğraf kaynak sayfasına atıf korunur. Bağlantı uydurulmaz.</t>
        </is>
      </c>
    </row>
    <row r="99" ht="54" customHeight="1">
      <c r="A99" s="44" t="inlineStr">
        <is>
          <t>eindhoven:photo:de-witte-dame-lichtfabriek-03</t>
        </is>
      </c>
      <c r="B99" s="44" t="inlineStr">
        <is>
          <t>https://commons.wikimedia.org/wiki/User:Romaine</t>
        </is>
      </c>
      <c r="C99" s="44" t="inlineStr">
        <is>
          <t>https://commons.wikimedia.org/wiki/User:Romaine</t>
        </is>
      </c>
      <c r="D99" s="44" t="inlineStr">
        <is>
          <t>https://upload.wikimedia.org/wikipedia/commons/9/92/Eindhoven-Witte_Dame_%281%29.jpg?utm_source=commons.wikimedia.org&amp;utm_campaign=imageinfo&amp;utm_content=original</t>
        </is>
      </c>
      <c r="E99" s="44" t="inlineStr">
        <is>
          <t>https://thumb.wikimedia.org/wikipedia/commons/thumb/9/92/Eindhoven-Witte_Dame_%281%29.jpg/1280px-Eindhoven-Witte_Dame_%281%29.jpg</t>
        </is>
      </c>
      <c r="F99" s="53" t="n">
        <v>46318</v>
      </c>
      <c r="G99" s="44" t="inlineStr">
        <is>
          <t>Fotoğraflar/eindhoven_de-witte-dame-lichtfabriek_03.jpg</t>
        </is>
      </c>
      <c r="H99" s="44" t="inlineStr">
        <is>
          <t>1a878e8e49215c3dd22bca75518cf68fb99e115ae79e7095f6ebd79dff7bc3df</t>
        </is>
      </c>
      <c r="I99" s="44" t="inlineStr">
        <is>
          <t>Teslimler/WebKopyalari/1a878e8e49215c3dd22bca75518cf68fb99e115ae79e7095f6ebd79dff7bc3df.webp</t>
        </is>
      </c>
      <c r="J99" s="44" t="inlineStr">
        <is>
          <t>a9f33a22c04963820661611b27e7af7edad273c8e6019106db941f82a5e671fa</t>
        </is>
      </c>
      <c r="K99" s="44" t="n">
        <v>1280</v>
      </c>
      <c r="L99" s="44" t="n">
        <v>720</v>
      </c>
      <c r="M99" s="44" t="inlineStr">
        <is>
          <t>Özgün teslim dosyası korundu. EXIF yönü uygulandı; kırpma yapılmadan en çok 1600 px, WebP kalite 84. Önceki kaynak değişiklik notları ayrıca korunur.</t>
        </is>
      </c>
      <c r="N99" s="44" t="inlineStr">
        <is>
          <t>Kayıttan doğrulandı</t>
        </is>
      </c>
      <c r="O99" s="44" t="n"/>
    </row>
    <row r="100" ht="54" customHeight="1">
      <c r="A100" s="44" t="inlineStr">
        <is>
          <t>eindhoven:photo:ton-smits-huis-01</t>
        </is>
      </c>
      <c r="B100" s="44" t="n"/>
      <c r="C100" s="44" t="inlineStr">
        <is>
          <t>https://commons.wikimedia.org/wiki/File:Jacob_Reviuslaan_25,_Eindhoven-2.jpg</t>
        </is>
      </c>
      <c r="D100" s="44" t="inlineStr">
        <is>
          <t>https://upload.wikimedia.org/wikipedia/commons/7/70/Jacob_Reviuslaan_25%2C_Eindhoven-2.jpg?utm_source=commons.wikimedia.org&amp;utm_campaign=imageinfo&amp;utm_content=original</t>
        </is>
      </c>
      <c r="E100" s="44" t="inlineStr">
        <is>
          <t>https://thumb.wikimedia.org/wikipedia/commons/thumb/7/70/Jacob_Reviuslaan_25%2C_Eindhoven-2.jpg/1280px-Jacob_Reviuslaan_25%2C_Eindhoven-2.jpg</t>
        </is>
      </c>
      <c r="F100" s="53" t="n">
        <v>46318</v>
      </c>
      <c r="G100" s="44" t="inlineStr">
        <is>
          <t>Fotoğraflar/eindhoven_ton-smits-huis_01.jpg</t>
        </is>
      </c>
      <c r="H100" s="44" t="inlineStr">
        <is>
          <t>a7775201c0f7036b6c3d0d5b883510a8d76e022a9eb0348b903919671ad01081</t>
        </is>
      </c>
      <c r="I100" s="44" t="inlineStr">
        <is>
          <t>Teslimler/WebKopyalari/a7775201c0f7036b6c3d0d5b883510a8d76e022a9eb0348b903919671ad01081.webp</t>
        </is>
      </c>
      <c r="J100" s="44" t="inlineStr">
        <is>
          <t>d9a84bc5b14ea1796a446f8ba8c585032b137ef4cf00df02d28384733b73549f</t>
        </is>
      </c>
      <c r="K100" s="44" t="n">
        <v>1280</v>
      </c>
      <c r="L100" s="44" t="n">
        <v>853</v>
      </c>
      <c r="M100" s="44" t="inlineStr">
        <is>
          <t>Özgün teslim dosyası korundu. EXIF yönü uygulandı; kırpma yapılmadan en çok 1600 px, WebP kalite 84. Önceki kaynak değişiklik notları ayrıca korunur.</t>
        </is>
      </c>
      <c r="N100" s="44" t="inlineStr">
        <is>
          <t>Eksik alan var</t>
        </is>
      </c>
      <c r="O100" s="44" t="inlineStr">
        <is>
          <t>Kaynakta ayrı fotoğrafçı profil bağlantısı bulunmadı; fotoğraf kaynak sayfasına atıf korunur. Bağlantı uydurulmaz.</t>
        </is>
      </c>
    </row>
    <row r="101" ht="54" customHeight="1">
      <c r="A101" s="44" t="inlineStr">
        <is>
          <t>eindhoven:photo:ton-smits-huis-02</t>
        </is>
      </c>
      <c r="B101" s="44" t="n"/>
      <c r="C101" s="44" t="inlineStr">
        <is>
          <t>https://commons.wikimedia.org/wiki/File:Jacob_Reviuslaan_25,_Eindhoven.jpg</t>
        </is>
      </c>
      <c r="D101" s="44" t="inlineStr">
        <is>
          <t>https://upload.wikimedia.org/wikipedia/commons/9/99/Jacob_Reviuslaan_25%2C_Eindhoven.jpg?utm_source=commons.wikimedia.org&amp;utm_campaign=imageinfo&amp;utm_content=original</t>
        </is>
      </c>
      <c r="E101" s="44" t="inlineStr">
        <is>
          <t>https://thumb.wikimedia.org/wikipedia/commons/thumb/9/99/Jacob_Reviuslaan_25%2C_Eindhoven.jpg/1280px-Jacob_Reviuslaan_25%2C_Eindhoven.jpg</t>
        </is>
      </c>
      <c r="F101" s="53" t="n">
        <v>46318</v>
      </c>
      <c r="G101" s="44" t="inlineStr">
        <is>
          <t>Fotoğraflar/eindhoven_ton-smits-huis_02.jpg</t>
        </is>
      </c>
      <c r="H101" s="44" t="inlineStr">
        <is>
          <t>370b72515f8746b1db8e8e2a3288b63735a37affc94bd4936c74d9fe0ce9e667</t>
        </is>
      </c>
      <c r="I101" s="44" t="inlineStr">
        <is>
          <t>Teslimler/WebKopyalari/370b72515f8746b1db8e8e2a3288b63735a37affc94bd4936c74d9fe0ce9e667.webp</t>
        </is>
      </c>
      <c r="J101" s="44" t="inlineStr">
        <is>
          <t>1786fcba4c3266dbba634df304f37b8d0fe6e2a5144903afcd0442caef1de446</t>
        </is>
      </c>
      <c r="K101" s="44" t="n">
        <v>1280</v>
      </c>
      <c r="L101" s="44" t="n">
        <v>853</v>
      </c>
      <c r="M101" s="44" t="inlineStr">
        <is>
          <t>Özgün teslim dosyası korundu. EXIF yönü uygulandı; kırpma yapılmadan en çok 1600 px, WebP kalite 84. Önceki kaynak değişiklik notları ayrıca korunur.</t>
        </is>
      </c>
      <c r="N101" s="44" t="inlineStr">
        <is>
          <t>Eksik alan var</t>
        </is>
      </c>
      <c r="O101" s="44" t="inlineStr">
        <is>
          <t>Kaynakta ayrı fotoğrafçı profil bağlantısı bulunmadı; fotoğraf kaynak sayfasına atıf korunur. Bağlantı uydurulmaz.</t>
        </is>
      </c>
    </row>
    <row r="102" ht="54" customHeight="1">
      <c r="A102" s="44" t="inlineStr">
        <is>
          <t>eindhoven:photo:ton-smits-huis-03</t>
        </is>
      </c>
      <c r="B102" s="44" t="inlineStr">
        <is>
          <t>https://commons.wikimedia.org/wiki/User:Rosemoon</t>
        </is>
      </c>
      <c r="C102" s="44" t="inlineStr">
        <is>
          <t>https://commons.wikimedia.org/wiki/User:Rosemoon</t>
        </is>
      </c>
      <c r="D102" s="44" t="inlineStr">
        <is>
          <t>https://upload.wikimedia.org/wikipedia/commons/4/42/Ton_Smitshuis_Eindhoven.JPG?utm_source=commons.wikimedia.org&amp;utm_campaign=imageinfo&amp;utm_content=original</t>
        </is>
      </c>
      <c r="E102" s="44" t="inlineStr">
        <is>
          <t>https://thumb.wikimedia.org/wikipedia/commons/thumb/4/42/Ton_Smitshuis_Eindhoven.JPG/1280px-Ton_Smitshuis_Eindhoven.JPG</t>
        </is>
      </c>
      <c r="F102" s="53" t="n">
        <v>46318</v>
      </c>
      <c r="G102" s="44" t="inlineStr">
        <is>
          <t>Fotoğraflar/eindhoven_ton-smits-huis_03.jpg</t>
        </is>
      </c>
      <c r="H102" s="44" t="inlineStr">
        <is>
          <t>7065e52be6ddd2c99c96da63820482b39df3aee926daafa97720ee1eb7942724</t>
        </is>
      </c>
      <c r="I102" s="44" t="inlineStr">
        <is>
          <t>Teslimler/WebKopyalari/7065e52be6ddd2c99c96da63820482b39df3aee926daafa97720ee1eb7942724.webp</t>
        </is>
      </c>
      <c r="J102" s="44" t="inlineStr">
        <is>
          <t>19d43cd3b753cde38cb8e28647bf544afe33878e0b767835dac491c9d24d87f6</t>
        </is>
      </c>
      <c r="K102" s="44" t="n">
        <v>1280</v>
      </c>
      <c r="L102" s="44" t="n">
        <v>960</v>
      </c>
      <c r="M102" s="44" t="inlineStr">
        <is>
          <t>Özgün teslim dosyası korundu. EXIF yönü uygulandı; kırpma yapılmadan en çok 1600 px, WebP kalite 84. Önceki kaynak değişiklik notları ayrıca korunur.</t>
        </is>
      </c>
      <c r="N102" s="44" t="inlineStr">
        <is>
          <t>Kayıttan doğrulandı</t>
        </is>
      </c>
      <c r="O102" s="44" t="n"/>
    </row>
    <row r="103" ht="54" customHeight="1">
      <c r="A103" s="44" t="inlineStr">
        <is>
          <t>eindhoven:photo:stadhuis-van-eindhoven-01</t>
        </is>
      </c>
      <c r="B103" s="44" t="inlineStr">
        <is>
          <t>https://www.wikidata.org/wiki/Q59248002</t>
        </is>
      </c>
      <c r="C103" s="44" t="inlineStr">
        <is>
          <t>https://www.wikidata.org/wiki/Q59248002</t>
        </is>
      </c>
      <c r="D103" s="44" t="inlineStr">
        <is>
          <t>https://upload.wikimedia.org/wikipedia/commons/c/ce/Overzicht_achtergevel_stadhuis_-_Eindhoven_-_20413336_-_RCE.jpg?utm_source=commons.wikimedia.org&amp;utm_campaign=imageinfo&amp;utm_content=original</t>
        </is>
      </c>
      <c r="E103" s="44" t="inlineStr">
        <is>
          <t>https://thumb.wikimedia.org/wikipedia/commons/thumb/c/ce/Overzicht_achtergevel_stadhuis_-_Eindhoven_-_20413336_-_RCE.jpg/1280px-Overzicht_achtergevel_stadhuis_-_Eindhoven_-_20413336_-_RCE.jpg</t>
        </is>
      </c>
      <c r="F103" s="53" t="n">
        <v>46318</v>
      </c>
      <c r="G103" s="44" t="inlineStr">
        <is>
          <t>Fotoğraflar/eindhoven_stadhuis-van-eindhoven_01.jpg</t>
        </is>
      </c>
      <c r="H103" s="44" t="inlineStr">
        <is>
          <t>a8e868fceec5041991f471c0c7b236b586568ec858afcc398df01eeb7a9075c3</t>
        </is>
      </c>
      <c r="I103" s="44" t="inlineStr">
        <is>
          <t>Teslimler/WebKopyalari/a8e868fceec5041991f471c0c7b236b586568ec858afcc398df01eeb7a9075c3.webp</t>
        </is>
      </c>
      <c r="J103" s="44" t="inlineStr">
        <is>
          <t>e67ef88a122e97b69c5e24089160f6bd50bf32fdfa947013150920ab690d2400</t>
        </is>
      </c>
      <c r="K103" s="44" t="n">
        <v>1280</v>
      </c>
      <c r="L103" s="44" t="n">
        <v>1281</v>
      </c>
      <c r="M103" s="44" t="inlineStr">
        <is>
          <t>Özgün teslim dosyası korundu. EXIF yönü uygulandı; kırpma yapılmadan en çok 1600 px, WebP kalite 84. Önceki kaynak değişiklik notları ayrıca korunur.</t>
        </is>
      </c>
      <c r="N103" s="44" t="inlineStr">
        <is>
          <t>Kayıttan doğrulandı</t>
        </is>
      </c>
      <c r="O103" s="44" t="n"/>
    </row>
    <row r="104" ht="54" customHeight="1">
      <c r="A104" s="44" t="inlineStr">
        <is>
          <t>eindhoven:photo:centrum-bolgesi-01</t>
        </is>
      </c>
      <c r="B104" s="44" t="inlineStr">
        <is>
          <t>https://www.wikidata.org/wiki/Q15080600</t>
        </is>
      </c>
      <c r="C104" s="44" t="inlineStr">
        <is>
          <t>https://www.wikidata.org/wiki/Q15080600</t>
        </is>
      </c>
      <c r="D104" s="44" t="inlineStr">
        <is>
          <t>https://upload.wikimedia.org/wikipedia/commons/2/2b/13-06-28-eindhoven-by-RalfR-07.jpg?utm_source=commons.wikimedia.org&amp;utm_campaign=imageinfo&amp;utm_content=original</t>
        </is>
      </c>
      <c r="E104" s="44" t="inlineStr">
        <is>
          <t>https://thumb.wikimedia.org/wikipedia/commons/thumb/2/2b/13-06-28-eindhoven-by-RalfR-07.jpg/1280px-13-06-28-eindhoven-by-RalfR-07.jpg</t>
        </is>
      </c>
      <c r="F104" s="53" t="n">
        <v>46318</v>
      </c>
      <c r="G104" s="44" t="inlineStr">
        <is>
          <t>Fotoğraflar/eindhoven_centrum-bolgesi_01.jpg</t>
        </is>
      </c>
      <c r="H104" s="44" t="inlineStr">
        <is>
          <t>f6075515d4eb2780a5a90e920e8cde99f48bf1925faea1a05a2e9ad0d63491be</t>
        </is>
      </c>
      <c r="I104" s="44" t="inlineStr">
        <is>
          <t>Teslimler/WebKopyalari/f6075515d4eb2780a5a90e920e8cde99f48bf1925faea1a05a2e9ad0d63491be.webp</t>
        </is>
      </c>
      <c r="J104" s="44" t="inlineStr">
        <is>
          <t>4e33d6e23fe140c48c53155342924f79cc1b441bb397952385adc7ac17d1a1a6</t>
        </is>
      </c>
      <c r="K104" s="44" t="n">
        <v>1280</v>
      </c>
      <c r="L104" s="44" t="n">
        <v>1431</v>
      </c>
      <c r="M104" s="44" t="inlineStr">
        <is>
          <t>Özgün teslim dosyası korundu. EXIF yönü uygulandı; kırpma yapılmadan en çok 1600 px, WebP kalite 84. Önceki kaynak değişiklik notları ayrıca korunur.</t>
        </is>
      </c>
      <c r="N104" s="44" t="inlineStr">
        <is>
          <t>Kayıttan doğrulandı</t>
        </is>
      </c>
      <c r="O104" s="44" t="n"/>
    </row>
    <row r="105" ht="54" customHeight="1">
      <c r="A105" s="44" t="inlineStr">
        <is>
          <t>eindhoven:photo:centrum-bolgesi-02</t>
        </is>
      </c>
      <c r="B105" s="44" t="inlineStr">
        <is>
          <t>https://commons.wikimedia.org/wiki/User:S._Perquin</t>
        </is>
      </c>
      <c r="C105" s="44" t="inlineStr">
        <is>
          <t>https://commons.wikimedia.org/wiki/User:S._Perquin</t>
        </is>
      </c>
      <c r="D105" s="44" t="inlineStr">
        <is>
          <t>https://upload.wikimedia.org/wikipedia/commons/3/31/Brandweerkazerne_Eindhoven-centrum.jpg?utm_source=commons.wikimedia.org&amp;utm_campaign=imageinfo&amp;utm_content=original</t>
        </is>
      </c>
      <c r="E105" s="44" t="inlineStr">
        <is>
          <t>https://thumb.wikimedia.org/wikipedia/commons/thumb/3/31/Brandweerkazerne_Eindhoven-centrum.jpg/1280px-Brandweerkazerne_Eindhoven-centrum.jpg</t>
        </is>
      </c>
      <c r="F105" s="53" t="n">
        <v>46318</v>
      </c>
      <c r="G105" s="44" t="inlineStr">
        <is>
          <t>Fotoğraflar/eindhoven_centrum-bolgesi_02.jpg</t>
        </is>
      </c>
      <c r="H105" s="44" t="inlineStr">
        <is>
          <t>9111d73e691b1616feb4e6f29515b13f663f97552869e2826477acee0866f3c1</t>
        </is>
      </c>
      <c r="I105" s="44" t="inlineStr">
        <is>
          <t>Teslimler/WebKopyalari/9111d73e691b1616feb4e6f29515b13f663f97552869e2826477acee0866f3c1.webp</t>
        </is>
      </c>
      <c r="J105" s="44" t="inlineStr">
        <is>
          <t>af6c82d85362955eb640290adb9cb1d91cb0e83f2e6ffc24c0a93abb38b2b941</t>
        </is>
      </c>
      <c r="K105" s="44" t="n">
        <v>1280</v>
      </c>
      <c r="L105" s="44" t="n">
        <v>670</v>
      </c>
      <c r="M105" s="44" t="inlineStr">
        <is>
          <t>Özgün teslim dosyası korundu. EXIF yönü uygulandı; kırpma yapılmadan en çok 1600 px, WebP kalite 84. Önceki kaynak değişiklik notları ayrıca korunur.</t>
        </is>
      </c>
      <c r="N105" s="44" t="inlineStr">
        <is>
          <t>Kayıttan doğrulandı</t>
        </is>
      </c>
      <c r="O105" s="44" t="n"/>
    </row>
    <row r="106" ht="54" customHeight="1">
      <c r="A106" s="44" t="inlineStr">
        <is>
          <t>eindhoven:photo:de-bergen-mahallesi-01</t>
        </is>
      </c>
      <c r="B106" s="44" t="inlineStr">
        <is>
          <t>https://commons.wikimedia.org/wiki/User:Lempkesfabriek</t>
        </is>
      </c>
      <c r="C106" s="44" t="inlineStr">
        <is>
          <t>https://commons.wikimedia.org/wiki/User:Lempkesfabriek</t>
        </is>
      </c>
      <c r="D106" s="44" t="inlineStr">
        <is>
          <t>https://upload.wikimedia.org/wikipedia/commons/4/44/Catharinastraat_Eindhoven.jpg?utm_source=commons.wikimedia.org&amp;utm_campaign=imageinfo&amp;utm_content=original</t>
        </is>
      </c>
      <c r="E106" s="44" t="inlineStr">
        <is>
          <t>https://thumb.wikimedia.org/wikipedia/commons/thumb/4/44/Catharinastraat_Eindhoven.jpg/1280px-Catharinastraat_Eindhoven.jpg</t>
        </is>
      </c>
      <c r="F106" s="53" t="n">
        <v>46318</v>
      </c>
      <c r="G106" s="44" t="inlineStr">
        <is>
          <t>Fotoğraflar/eindhoven_de-bergen-mahallesi_01.jpg</t>
        </is>
      </c>
      <c r="H106" s="44" t="inlineStr">
        <is>
          <t>c7a1c29e1096b5f02be754260d6cf9263c4690f165d502e8c5552afed18ee82c</t>
        </is>
      </c>
      <c r="I106" s="44" t="inlineStr">
        <is>
          <t>Teslimler/WebKopyalari/c7a1c29e1096b5f02be754260d6cf9263c4690f165d502e8c5552afed18ee82c.webp</t>
        </is>
      </c>
      <c r="J106" s="44" t="inlineStr">
        <is>
          <t>ab8cebf1d20aa995f53c3b1dc761d5a6cbd6dc466ba3f5ef84e73cec173dd72c</t>
        </is>
      </c>
      <c r="K106" s="44" t="n">
        <v>1280</v>
      </c>
      <c r="L106" s="44" t="n">
        <v>1146</v>
      </c>
      <c r="M106" s="44" t="inlineStr">
        <is>
          <t>Özgün teslim dosyası korundu. EXIF yönü uygulandı; kırpma yapılmadan en çok 1600 px, WebP kalite 84. Önceki kaynak değişiklik notları ayrıca korunur.</t>
        </is>
      </c>
      <c r="N106" s="44" t="inlineStr">
        <is>
          <t>Kayıttan doğrulandı</t>
        </is>
      </c>
      <c r="O106" s="44" t="n"/>
    </row>
    <row r="107" ht="54" customHeight="1">
      <c r="A107" s="44" t="inlineStr">
        <is>
          <t>eindhoven:photo:strijp-s-mahallesi-01</t>
        </is>
      </c>
      <c r="B107" s="44" t="inlineStr">
        <is>
          <t>https://www.flickr.com/people/141420435@N08</t>
        </is>
      </c>
      <c r="C107" s="44" t="inlineStr">
        <is>
          <t>https://www.flickr.com/people/141420435@N08</t>
        </is>
      </c>
      <c r="D107" s="44" t="inlineStr">
        <is>
          <t>https://upload.wikimedia.org/wikipedia/commons/8/83/Bomen_op_het_dak_in_Strijp-S_in_Eindhoven_%2848023562136%29.jpg?utm_source=commons.wikimedia.org&amp;utm_campaign=imageinfo&amp;utm_content=original</t>
        </is>
      </c>
      <c r="E107" s="44" t="inlineStr">
        <is>
          <t>https://thumb.wikimedia.org/wikipedia/commons/thumb/8/83/Bomen_op_het_dak_in_Strijp-S_in_Eindhoven_%2848023562136%29.jpg/1280px-Bomen_op_het_dak_in_Strijp-S_in_Eindhoven_%2848023562136%29.jpg</t>
        </is>
      </c>
      <c r="F107" s="53" t="n">
        <v>46318</v>
      </c>
      <c r="G107" s="44" t="inlineStr">
        <is>
          <t>Fotoğraflar/eindhoven_strijp-s-mahallesi_01.jpg</t>
        </is>
      </c>
      <c r="H107" s="44" t="inlineStr">
        <is>
          <t>2266d94f10a3a8b620e4bad43f78426425a2a862bcaf4369122841295bfe18af</t>
        </is>
      </c>
      <c r="I107" s="44" t="inlineStr">
        <is>
          <t>Teslimler/WebKopyalari/2266d94f10a3a8b620e4bad43f78426425a2a862bcaf4369122841295bfe18af.webp</t>
        </is>
      </c>
      <c r="J107" s="44" t="inlineStr">
        <is>
          <t>abf4fe873f648e5ba6ae6d2770bca88e4cbb9f78bb03f9466426bfbb8ae09e83</t>
        </is>
      </c>
      <c r="K107" s="44" t="n">
        <v>1280</v>
      </c>
      <c r="L107" s="44" t="n">
        <v>720</v>
      </c>
      <c r="M107" s="44" t="inlineStr">
        <is>
          <t>Özgün teslim dosyası korundu. EXIF yönü uygulandı; kırpma yapılmadan en çok 1600 px, WebP kalite 84. Önceki kaynak değişiklik notları ayrıca korunur.</t>
        </is>
      </c>
      <c r="N107" s="44" t="inlineStr">
        <is>
          <t>Kayıttan doğrulandı</t>
        </is>
      </c>
      <c r="O107" s="44" t="n"/>
    </row>
    <row r="108" ht="54" customHeight="1">
      <c r="A108" s="44" t="inlineStr">
        <is>
          <t>eindhoven:photo:philipsdorp-mahallesi-01</t>
        </is>
      </c>
      <c r="B108" s="44" t="inlineStr">
        <is>
          <t>https://www.wikidata.org/wiki/Q88378993</t>
        </is>
      </c>
      <c r="C108" s="44" t="inlineStr">
        <is>
          <t>https://www.wikidata.org/wiki/Q88378993</t>
        </is>
      </c>
      <c r="D108" s="44" t="inlineStr">
        <is>
          <t>https://upload.wikimedia.org/wikipedia/commons/a/a9/Eindhoven_-_Philipsdorp.jpg?utm_source=commons.wikimedia.org&amp;utm_campaign=imageinfo&amp;utm_content=original</t>
        </is>
      </c>
      <c r="E108" s="44" t="inlineStr">
        <is>
          <t>https://thumb.wikimedia.org/wikipedia/commons/thumb/a/a9/Eindhoven_-_Philipsdorp.jpg/1280px-Eindhoven_-_Philipsdorp.jpg</t>
        </is>
      </c>
      <c r="F108" s="53" t="n">
        <v>46318</v>
      </c>
      <c r="G108" s="44" t="inlineStr">
        <is>
          <t>Fotoğraflar/eindhoven_philipsdorp-mahallesi_01.jpg</t>
        </is>
      </c>
      <c r="H108" s="44" t="inlineStr">
        <is>
          <t>34a6bd5346aaf0af894dbfad2849da74b2b4ae024d17df70be285625ec1a2ba7</t>
        </is>
      </c>
      <c r="I108" s="44" t="inlineStr">
        <is>
          <t>Teslimler/WebKopyalari/34a6bd5346aaf0af894dbfad2849da74b2b4ae024d17df70be285625ec1a2ba7.webp</t>
        </is>
      </c>
      <c r="J108" s="44" t="inlineStr">
        <is>
          <t>e49f1595fc152c1e52f0892e6a20c3a2ef4c0b75e865f9bc043537505a735c55</t>
        </is>
      </c>
      <c r="K108" s="44" t="n">
        <v>1280</v>
      </c>
      <c r="L108" s="44" t="n">
        <v>1280</v>
      </c>
      <c r="M108" s="44" t="inlineStr">
        <is>
          <t>Özgün teslim dosyası korundu. EXIF yönü uygulandı; kırpma yapılmadan en çok 1600 px, WebP kalite 84. Önceki kaynak değişiklik notları ayrıca korunur.</t>
        </is>
      </c>
      <c r="N108" s="44" t="inlineStr">
        <is>
          <t>Kayıttan doğrulandı</t>
        </is>
      </c>
      <c r="O108" s="44" t="n"/>
    </row>
    <row r="109" ht="54" customHeight="1">
      <c r="A109" s="44" t="inlineStr">
        <is>
          <t>eindhoven:photo:meerhoven-mahallesi-01</t>
        </is>
      </c>
      <c r="B109" s="44" t="inlineStr">
        <is>
          <t>https://commons.wikimedia.org/wiki/User:Alex_P._Kok</t>
        </is>
      </c>
      <c r="C109" s="44" t="inlineStr">
        <is>
          <t>https://commons.wikimedia.org/wiki/User:Alex_P._Kok</t>
        </is>
      </c>
      <c r="D109" s="44" t="inlineStr">
        <is>
          <t>https://upload.wikimedia.org/wikipedia/commons/2/2b/Eindhoven%2C_wijk_Meerhoven%2C_buurt_Meerrijk_met_op_de_achtergrond_Zandrijk.jpg?utm_source=commons.wikimedia.org&amp;utm_campaign=imageinfo&amp;utm_content=original</t>
        </is>
      </c>
      <c r="E109" s="44" t="inlineStr">
        <is>
          <t>https://thumb.wikimedia.org/wikipedia/commons/thumb/2/2b/Eindhoven%2C_wijk_Meerhoven%2C_buurt_Meerrijk_met_op_de_achtergrond_Zandrijk.jpg/1280px-Eindhoven%2C_wijk_Meerhoven%2C_buurt_Meerrijk_met_op_de_achtergrond_Zandrijk.jpg</t>
        </is>
      </c>
      <c r="F109" s="53" t="n">
        <v>46318</v>
      </c>
      <c r="G109" s="44" t="inlineStr">
        <is>
          <t>Fotoğraflar/eindhoven_meerhoven-mahallesi_01.jpg</t>
        </is>
      </c>
      <c r="H109" s="44" t="inlineStr">
        <is>
          <t>c67814232fef84ac8a0f50f533e36e70d5229cc0d1b027adf3a385cc624816e3</t>
        </is>
      </c>
      <c r="I109" s="44" t="inlineStr">
        <is>
          <t>Teslimler/WebKopyalari/c67814232fef84ac8a0f50f533e36e70d5229cc0d1b027adf3a385cc624816e3.webp</t>
        </is>
      </c>
      <c r="J109" s="44" t="inlineStr">
        <is>
          <t>99d1d552da245fdab9142ce231a19506e970cf30d38d915283f6900b4cbe6587</t>
        </is>
      </c>
      <c r="K109" s="44" t="n">
        <v>1280</v>
      </c>
      <c r="L109" s="44" t="n">
        <v>720</v>
      </c>
      <c r="M109" s="44" t="inlineStr">
        <is>
          <t>Özgün teslim dosyası korundu. EXIF yönü uygulandı; kırpma yapılmadan en çok 1600 px, WebP kalite 84. Önceki kaynak değişiklik notları ayrıca korunur.</t>
        </is>
      </c>
      <c r="N109" s="44" t="inlineStr">
        <is>
          <t>Kayıttan doğrulandı</t>
        </is>
      </c>
      <c r="O109" s="44" t="n"/>
    </row>
    <row r="110" ht="54" customHeight="1">
      <c r="A110" s="44" t="inlineStr">
        <is>
          <t>eindhoven:photo:meerhoven-mahallesi-02</t>
        </is>
      </c>
      <c r="B110" s="44" t="n"/>
      <c r="C110" s="44" t="inlineStr">
        <is>
          <t>https://commons.wikimedia.org/wiki/File:Natuur_in_Eindhoven_-_Meerhoven.jpg</t>
        </is>
      </c>
      <c r="D110" s="44" t="inlineStr">
        <is>
          <t>https://upload.wikimedia.org/wikipedia/commons/4/47/Natuur_in_Eindhoven_-_Meerhoven.jpg?utm_source=commons.wikimedia.org&amp;utm_campaign=imageinfo&amp;utm_content=original</t>
        </is>
      </c>
      <c r="E110" s="44" t="inlineStr">
        <is>
          <t>https://thumb.wikimedia.org/wikipedia/commons/thumb/4/47/Natuur_in_Eindhoven_-_Meerhoven.jpg/1280px-Natuur_in_Eindhoven_-_Meerhoven.jpg</t>
        </is>
      </c>
      <c r="F110" s="53" t="n">
        <v>46318</v>
      </c>
      <c r="G110" s="44" t="inlineStr">
        <is>
          <t>Fotoğraflar/eindhoven_meerhoven-mahallesi_02.jpg</t>
        </is>
      </c>
      <c r="H110" s="44" t="inlineStr">
        <is>
          <t>01a26c9bad2cf8a04dc3ce11b9930a55a2af94115bfebe404fb8c577db20029a</t>
        </is>
      </c>
      <c r="I110" s="44" t="inlineStr">
        <is>
          <t>Teslimler/WebKopyalari/01a26c9bad2cf8a04dc3ce11b9930a55a2af94115bfebe404fb8c577db20029a.webp</t>
        </is>
      </c>
      <c r="J110" s="44" t="inlineStr">
        <is>
          <t>005b1b067af907b59ea74048527336fb84a549913dbdd17cbcb62785d0da61d7</t>
        </is>
      </c>
      <c r="K110" s="44" t="n">
        <v>1280</v>
      </c>
      <c r="L110" s="44" t="n">
        <v>720</v>
      </c>
      <c r="M110" s="44" t="inlineStr">
        <is>
          <t>Özgün teslim dosyası korundu. EXIF yönü uygulandı; kırpma yapılmadan en çok 1600 px, WebP kalite 84. Önceki kaynak değişiklik notları ayrıca korunur.</t>
        </is>
      </c>
      <c r="N110" s="44" t="inlineStr">
        <is>
          <t>Eksik alan var</t>
        </is>
      </c>
      <c r="O110" s="44" t="inlineStr">
        <is>
          <t>Kaynakta ayrı fotoğrafçı profil bağlantısı bulunmadı; fotoğraf kaynak sayfasına atıf korunur. Bağlantı uydurulmaz.</t>
        </is>
      </c>
    </row>
    <row r="111" ht="54" customHeight="1">
      <c r="A111" s="44" t="inlineStr">
        <is>
          <t>eindhoven:photo:meerhoven-mahallesi-03</t>
        </is>
      </c>
      <c r="B111" s="44" t="inlineStr">
        <is>
          <t>https://commons.wikimedia.org/wiki/User:S._Perquin</t>
        </is>
      </c>
      <c r="C111" s="44" t="inlineStr">
        <is>
          <t>https://commons.wikimedia.org/wiki/User:S._Perquin</t>
        </is>
      </c>
      <c r="D111" s="44" t="inlineStr">
        <is>
          <t>https://upload.wikimedia.org/wikipedia/commons/a/ae/Woontoren_Meerzicht.jpg?utm_source=commons.wikimedia.org&amp;utm_campaign=imageinfo&amp;utm_content=original</t>
        </is>
      </c>
      <c r="E111" s="44" t="inlineStr">
        <is>
          <t>https://thumb.wikimedia.org/wikipedia/commons/thumb/a/ae/Woontoren_Meerzicht.jpg/1280px-Woontoren_Meerzicht.jpg</t>
        </is>
      </c>
      <c r="F111" s="53" t="n">
        <v>46318</v>
      </c>
      <c r="G111" s="44" t="inlineStr">
        <is>
          <t>Fotoğraflar/eindhoven_meerhoven-mahallesi_03.jpg</t>
        </is>
      </c>
      <c r="H111" s="44" t="inlineStr">
        <is>
          <t>45f650c827d666c1457dd0c159bd0f9bab6057bad08cb8d811d546941f3fb28d</t>
        </is>
      </c>
      <c r="I111" s="44" t="inlineStr">
        <is>
          <t>Teslimler/WebKopyalari/45f650c827d666c1457dd0c159bd0f9bab6057bad08cb8d811d546941f3fb28d.webp</t>
        </is>
      </c>
      <c r="J111" s="44" t="inlineStr">
        <is>
          <t>3c88735ef9d153ea956512c1688f8684b8529ac6ecd9e479942b924799e14b39</t>
        </is>
      </c>
      <c r="K111" s="44" t="n">
        <v>1067</v>
      </c>
      <c r="L111" s="44" t="n">
        <v>1600</v>
      </c>
      <c r="M111" s="44" t="inlineStr">
        <is>
          <t>Özgün teslim dosyası korundu. EXIF yönü uygulandı; kırpma yapılmadan en çok 1600 px, WebP kalite 84. Önceki kaynak değişiklik notları ayrıca korunur.</t>
        </is>
      </c>
      <c r="N111" s="44" t="inlineStr">
        <is>
          <t>Kayıttan doğrulandı</t>
        </is>
      </c>
      <c r="O111" s="44" t="n"/>
    </row>
    <row r="112" ht="54" customHeight="1">
      <c r="A112" s="44" t="inlineStr">
        <is>
          <t>eindhoven:photo:woensel-zuid-bolgesi-01</t>
        </is>
      </c>
      <c r="B112" s="44" t="inlineStr">
        <is>
          <t>https://commons.wikimedia.org/wiki/User:Hoebele</t>
        </is>
      </c>
      <c r="C112" s="44" t="inlineStr">
        <is>
          <t>https://commons.wikimedia.org/wiki/User:Hoebele</t>
        </is>
      </c>
      <c r="D112" s="44" t="inlineStr">
        <is>
          <t>https://upload.wikimedia.org/wikipedia/commons/4/42/Eindhoven_-_Marconilaan_Soestdijk_II.jpg?utm_source=commons.wikimedia.org&amp;utm_campaign=imageinfo&amp;utm_content=original</t>
        </is>
      </c>
      <c r="E112" s="44" t="inlineStr">
        <is>
          <t>https://thumb.wikimedia.org/wikipedia/commons/thumb/4/42/Eindhoven_-_Marconilaan_Soestdijk_II.jpg/1280px-Eindhoven_-_Marconilaan_Soestdijk_II.jpg</t>
        </is>
      </c>
      <c r="F112" s="53" t="n">
        <v>46318</v>
      </c>
      <c r="G112" s="44" t="inlineStr">
        <is>
          <t>Fotoğraflar/eindhoven_woensel-zuid-bolgesi_01.jpg</t>
        </is>
      </c>
      <c r="H112" s="44" t="inlineStr">
        <is>
          <t>ee5eec4a30829be14269e3ce6cea06a4100a12c1c52fa7ac995c1183e8410656</t>
        </is>
      </c>
      <c r="I112" s="44" t="inlineStr">
        <is>
          <t>Teslimler/WebKopyalari/ee5eec4a30829be14269e3ce6cea06a4100a12c1c52fa7ac995c1183e8410656.webp</t>
        </is>
      </c>
      <c r="J112" s="44" t="inlineStr">
        <is>
          <t>536dc3ea8df85eda0e8bce76c6724a44d7a4a02ea01cb5db8839b63e0e5f03e0</t>
        </is>
      </c>
      <c r="K112" s="44" t="n">
        <v>1280</v>
      </c>
      <c r="L112" s="44" t="n">
        <v>722</v>
      </c>
      <c r="M112" s="44" t="inlineStr">
        <is>
          <t>Özgün teslim dosyası korundu. EXIF yönü uygulandı; kırpma yapılmadan en çok 1600 px, WebP kalite 84. Önceki kaynak değişiklik notları ayrıca korunur.</t>
        </is>
      </c>
      <c r="N112" s="44" t="inlineStr">
        <is>
          <t>Kayıttan doğrulandı</t>
        </is>
      </c>
      <c r="O112" s="44" t="n"/>
    </row>
    <row r="113" ht="54" customHeight="1">
      <c r="A113" s="44" t="inlineStr">
        <is>
          <t>eindhoven:photo:woensel-zuid-bolgesi-02</t>
        </is>
      </c>
      <c r="B113" s="44" t="inlineStr">
        <is>
          <t>https://commons.wikimedia.org/wiki/User:Choinowski</t>
        </is>
      </c>
      <c r="C113" s="44" t="inlineStr">
        <is>
          <t>https://commons.wikimedia.org/wiki/User:Choinowski</t>
        </is>
      </c>
      <c r="D113" s="44" t="inlineStr">
        <is>
          <t>https://upload.wikimedia.org/wikipedia/commons/5/51/Woontoren_Porthos_Eindhoven.jpg?utm_source=commons.wikimedia.org&amp;utm_campaign=imageinfo&amp;utm_content=original</t>
        </is>
      </c>
      <c r="E113" s="44" t="inlineStr">
        <is>
          <t>https://thumb.wikimedia.org/wikipedia/commons/thumb/5/51/Woontoren_Porthos_Eindhoven.jpg/1280px-Woontoren_Porthos_Eindhoven.jpg</t>
        </is>
      </c>
      <c r="F113" s="53" t="n">
        <v>46318</v>
      </c>
      <c r="G113" s="44" t="inlineStr">
        <is>
          <t>Fotoğraflar/eindhoven_woensel-zuid-bolgesi_02.jpg</t>
        </is>
      </c>
      <c r="H113" s="44" t="inlineStr">
        <is>
          <t>dbc9709abaf705af60bd0b4e32e614e1a5447734146101e5120db4831b1925fb</t>
        </is>
      </c>
      <c r="I113" s="44" t="inlineStr">
        <is>
          <t>Teslimler/WebKopyalari/dbc9709abaf705af60bd0b4e32e614e1a5447734146101e5120db4831b1925fb.webp</t>
        </is>
      </c>
      <c r="J113" s="44" t="inlineStr">
        <is>
          <t>415ccf36be875f3bacd9ae38335fca768ec60b583803c5e5a50c8412a985ea28</t>
        </is>
      </c>
      <c r="K113" s="44" t="n">
        <v>1066</v>
      </c>
      <c r="L113" s="44" t="n">
        <v>1600</v>
      </c>
      <c r="M113" s="44" t="inlineStr">
        <is>
          <t>Özgün teslim dosyası korundu. EXIF yönü uygulandı; kırpma yapılmadan en çok 1600 px, WebP kalite 84. Önceki kaynak değişiklik notları ayrıca korunur.</t>
        </is>
      </c>
      <c r="N113" s="44" t="inlineStr">
        <is>
          <t>Kayıttan doğrulandı</t>
        </is>
      </c>
      <c r="O113" s="44" t="n"/>
    </row>
    <row r="114" ht="54" customHeight="1">
      <c r="A114" s="44" t="inlineStr">
        <is>
          <t>eindhoven:photo:woensel-zuid-bolgesi-03</t>
        </is>
      </c>
      <c r="B114" s="44" t="inlineStr">
        <is>
          <t>https://commons.wikimedia.org/wiki/User:Choinowski</t>
        </is>
      </c>
      <c r="C114" s="44" t="inlineStr">
        <is>
          <t>https://commons.wikimedia.org/wiki/User:Choinowski</t>
        </is>
      </c>
      <c r="D114" s="44" t="inlineStr">
        <is>
          <t>https://upload.wikimedia.org/wikipedia/commons/e/eb/Woontoren_Scottlaan_Eindhoven.jpg?utm_source=commons.wikimedia.org&amp;utm_campaign=imageinfo&amp;utm_content=original</t>
        </is>
      </c>
      <c r="E114" s="44" t="inlineStr">
        <is>
          <t>https://thumb.wikimedia.org/wikipedia/commons/thumb/e/eb/Woontoren_Scottlaan_Eindhoven.jpg/1280px-Woontoren_Scottlaan_Eindhoven.jpg</t>
        </is>
      </c>
      <c r="F114" s="53" t="n">
        <v>46318</v>
      </c>
      <c r="G114" s="44" t="inlineStr">
        <is>
          <t>Fotoğraflar/eindhoven_woensel-zuid-bolgesi_03.jpg</t>
        </is>
      </c>
      <c r="H114" s="44" t="inlineStr">
        <is>
          <t>07cdb8a329fc5ef95780ae50cdc5968a2028d2b55c8675ed131679f3b363cbf4</t>
        </is>
      </c>
      <c r="I114" s="44" t="inlineStr">
        <is>
          <t>Teslimler/WebKopyalari/07cdb8a329fc5ef95780ae50cdc5968a2028d2b55c8675ed131679f3b363cbf4.webp</t>
        </is>
      </c>
      <c r="J114" s="44" t="inlineStr">
        <is>
          <t>5ecc24656e4a736e606242e0b5b11b28c6b7343d10e8ac096935d2ba63cd25ea</t>
        </is>
      </c>
      <c r="K114" s="44" t="n">
        <v>1067</v>
      </c>
      <c r="L114" s="44" t="n">
        <v>1600</v>
      </c>
      <c r="M114" s="44" t="inlineStr">
        <is>
          <t>Özgün teslim dosyası korundu. EXIF yönü uygulandı; kırpma yapılmadan en çok 1600 px, WebP kalite 84. Önceki kaynak değişiklik notları ayrıca korunur.</t>
        </is>
      </c>
      <c r="N114" s="44" t="inlineStr">
        <is>
          <t>Kayıttan doğrulandı</t>
        </is>
      </c>
      <c r="O114" s="44" t="n"/>
    </row>
    <row r="115" ht="54" customHeight="1">
      <c r="A115" s="44" t="inlineStr">
        <is>
          <t>eindhoven:photo:stratum-bolgesi-01</t>
        </is>
      </c>
      <c r="B115" s="44" t="inlineStr">
        <is>
          <t>https://commons.wikimedia.org/wiki/User:Sjenghai</t>
        </is>
      </c>
      <c r="C115" s="44" t="inlineStr">
        <is>
          <t>https://commons.wikimedia.org/wiki/User:Sjenghai</t>
        </is>
      </c>
      <c r="D115" s="44" t="inlineStr">
        <is>
          <t>https://upload.wikimedia.org/wikipedia/commons/9/97/Eindhoven_-_Stratum_-_Elzent-Noord_-_Jan_Smitzlaan_-_Elzentbrug_-_2026-03-01.jpg?utm_source=commons.wikimedia.org&amp;utm_campaign=imageinfo&amp;utm_content=original</t>
        </is>
      </c>
      <c r="E115" s="44" t="inlineStr">
        <is>
          <t>https://thumb.wikimedia.org/wikipedia/commons/thumb/9/97/Eindhoven_-_Stratum_-_Elzent-Noord_-_Jan_Smitzlaan_-_Elzentbrug_-_2026-03-01.jpg/1280px-Eindhoven_-_Stratum_-_Elzent-Noord_-_Jan_Smitzlaan_-_Elzentbrug_-_2026-03-01.jpg</t>
        </is>
      </c>
      <c r="F115" s="53" t="n">
        <v>46318</v>
      </c>
      <c r="G115" s="44" t="inlineStr">
        <is>
          <t>Fotoğraflar/eindhoven_stratum-bolgesi_01.jpg</t>
        </is>
      </c>
      <c r="H115" s="44" t="inlineStr">
        <is>
          <t>c8285e68d0af3ad97ba0a9bd1ec98656ad41f1ee38a28974a5afbeef6bac1d4d</t>
        </is>
      </c>
      <c r="I115" s="44" t="inlineStr">
        <is>
          <t>Teslimler/WebKopyalari/c8285e68d0af3ad97ba0a9bd1ec98656ad41f1ee38a28974a5afbeef6bac1d4d.webp</t>
        </is>
      </c>
      <c r="J115" s="44" t="inlineStr">
        <is>
          <t>b8ec9f4801069e5907014143dbfeb1cdc5387ff0aece467c86f52a9fa0d9168b</t>
        </is>
      </c>
      <c r="K115" s="44" t="n">
        <v>1280</v>
      </c>
      <c r="L115" s="44" t="n">
        <v>773</v>
      </c>
      <c r="M115" s="44" t="inlineStr">
        <is>
          <t>Özgün teslim dosyası korundu. EXIF yönü uygulandı; kırpma yapılmadan en çok 1600 px, WebP kalite 84. Önceki kaynak değişiklik notları ayrıca korunur.</t>
        </is>
      </c>
      <c r="N115" s="44" t="inlineStr">
        <is>
          <t>Kayıttan doğrulandı</t>
        </is>
      </c>
      <c r="O115" s="44" t="n"/>
    </row>
    <row r="116" ht="54" customHeight="1">
      <c r="A116" s="44" t="inlineStr">
        <is>
          <t>eindhoven:photo:stratum-bolgesi-02</t>
        </is>
      </c>
      <c r="B116" s="44" t="inlineStr">
        <is>
          <t>https://commons.wikimedia.org/wiki/User:Sjenghai</t>
        </is>
      </c>
      <c r="C116" s="44" t="inlineStr">
        <is>
          <t>https://commons.wikimedia.org/wiki/User:Sjenghai</t>
        </is>
      </c>
      <c r="D116" s="44" t="inlineStr">
        <is>
          <t>https://upload.wikimedia.org/wikipedia/commons/0/0c/Eindhoven_-_Stratum_-_Elzent-Zuid_-_De_Genestetlaan_-_2026-03-01.jpg?utm_source=commons.wikimedia.org&amp;utm_campaign=imageinfo&amp;utm_content=original</t>
        </is>
      </c>
      <c r="E116" s="44" t="inlineStr">
        <is>
          <t>https://thumb.wikimedia.org/wikipedia/commons/thumb/0/0c/Eindhoven_-_Stratum_-_Elzent-Zuid_-_De_Genestetlaan_-_2026-03-01.jpg/1280px-Eindhoven_-_Stratum_-_Elzent-Zuid_-_De_Genestetlaan_-_2026-03-01.jpg</t>
        </is>
      </c>
      <c r="F116" s="53" t="n">
        <v>46318</v>
      </c>
      <c r="G116" s="44" t="inlineStr">
        <is>
          <t>Fotoğraflar/eindhoven_stratum-bolgesi_02.jpg</t>
        </is>
      </c>
      <c r="H116" s="44" t="inlineStr">
        <is>
          <t>5d65e87a7fbca92dc802fa8482a5941b0b30a2d94d8c5990d2fe7f31fc72df7f</t>
        </is>
      </c>
      <c r="I116" s="44" t="inlineStr">
        <is>
          <t>Teslimler/WebKopyalari/5d65e87a7fbca92dc802fa8482a5941b0b30a2d94d8c5990d2fe7f31fc72df7f.webp</t>
        </is>
      </c>
      <c r="J116" s="44" t="inlineStr">
        <is>
          <t>bbe15be3fc91c913f17278a4efb347b691263fd5c4273948b4a5c1eaf8489466</t>
        </is>
      </c>
      <c r="K116" s="44" t="n">
        <v>1280</v>
      </c>
      <c r="L116" s="44" t="n">
        <v>983</v>
      </c>
      <c r="M116" s="44" t="inlineStr">
        <is>
          <t>Özgün teslim dosyası korundu. EXIF yönü uygulandı; kırpma yapılmadan en çok 1600 px, WebP kalite 84. Önceki kaynak değişiklik notları ayrıca korunur.</t>
        </is>
      </c>
      <c r="N116" s="44" t="inlineStr">
        <is>
          <t>Kayıttan doğrulandı</t>
        </is>
      </c>
      <c r="O116" s="44" t="n"/>
    </row>
    <row r="117" ht="54" customHeight="1">
      <c r="A117" s="44" t="inlineStr">
        <is>
          <t>eindhoven:photo:stratum-bolgesi-03</t>
        </is>
      </c>
      <c r="B117" s="44" t="n"/>
      <c r="C117" s="44" t="inlineStr">
        <is>
          <t>https://commons.wikimedia.org/wiki/File:Eindhoven_H._Pius_X_Kerk,_Stratum.jpg</t>
        </is>
      </c>
      <c r="D117" s="44" t="inlineStr">
        <is>
          <t>https://upload.wikimedia.org/wikipedia/commons/4/4b/Eindhoven_H._Pius_X_Kerk%2C_Stratum.jpg?utm_source=commons.wikimedia.org&amp;utm_campaign=imageinfo&amp;utm_content=original</t>
        </is>
      </c>
      <c r="E117" s="44" t="inlineStr">
        <is>
          <t>https://thumb.wikimedia.org/wikipedia/commons/thumb/4/4b/Eindhoven_H._Pius_X_Kerk%2C_Stratum.jpg/1280px-Eindhoven_H._Pius_X_Kerk%2C_Stratum.jpg</t>
        </is>
      </c>
      <c r="F117" s="53" t="n">
        <v>46318</v>
      </c>
      <c r="G117" s="44" t="inlineStr">
        <is>
          <t>Fotoğraflar/eindhoven_stratum-bolgesi_03.jpg</t>
        </is>
      </c>
      <c r="H117" s="44" t="inlineStr">
        <is>
          <t>1ce90b528842397e538477248f381a6b5482cb6ab75d137bf708bebd9898f896</t>
        </is>
      </c>
      <c r="I117" s="44" t="inlineStr">
        <is>
          <t>Teslimler/WebKopyalari/1ce90b528842397e538477248f381a6b5482cb6ab75d137bf708bebd9898f896.webp</t>
        </is>
      </c>
      <c r="J117" s="44" t="inlineStr">
        <is>
          <t>552a30f9cb59644a79a688c960bd8ec51391539c88f4c8ecf7cc47cd2d9c8bae</t>
        </is>
      </c>
      <c r="K117" s="44" t="n">
        <v>1280</v>
      </c>
      <c r="L117" s="44" t="n">
        <v>960</v>
      </c>
      <c r="M117" s="44" t="inlineStr">
        <is>
          <t>Özgün teslim dosyası korundu. EXIF yönü uygulandı; kırpma yapılmadan en çok 1600 px, WebP kalite 84. Önceki kaynak değişiklik notları ayrıca korunur.</t>
        </is>
      </c>
      <c r="N117" s="44" t="inlineStr">
        <is>
          <t>Eksik alan var</t>
        </is>
      </c>
      <c r="O117" s="44" t="inlineStr">
        <is>
          <t>Kaynakta ayrı fotoğrafçı profil bağlantısı bulunmadı; fotoğraf kaynak sayfasına atıf korunur. Bağlantı uydurulmaz.</t>
        </is>
      </c>
    </row>
    <row r="118" ht="54" customHeight="1">
      <c r="A118" s="44" t="inlineStr">
        <is>
          <t>eindhoven:photo:witte-dorp-mahallesi-01</t>
        </is>
      </c>
      <c r="B118" s="44" t="inlineStr">
        <is>
          <t>https://commons.wikimedia.org/wiki/User:Rosemoon</t>
        </is>
      </c>
      <c r="C118" s="44" t="inlineStr">
        <is>
          <t>https://commons.wikimedia.org/wiki/User:Rosemoon</t>
        </is>
      </c>
      <c r="D118" s="44" t="inlineStr">
        <is>
          <t>https://upload.wikimedia.org/wikipedia/commons/1/19/Monument_518723%2C_Burghplein_8_Eindhoven.jpg?utm_source=commons.wikimedia.org&amp;utm_campaign=imageinfo&amp;utm_content=original</t>
        </is>
      </c>
      <c r="E118" s="44" t="inlineStr">
        <is>
          <t>https://thumb.wikimedia.org/wikipedia/commons/thumb/1/19/Monument_518723%2C_Burghplein_8_Eindhoven.jpg/1280px-Monument_518723%2C_Burghplein_8_Eindhoven.jpg</t>
        </is>
      </c>
      <c r="F118" s="53" t="n">
        <v>46318</v>
      </c>
      <c r="G118" s="44" t="inlineStr">
        <is>
          <t>Fotoğraflar/eindhoven_witte-dorp-mahallesi_01.jpg</t>
        </is>
      </c>
      <c r="H118" s="44" t="inlineStr">
        <is>
          <t>998d3dfce204f5f247f083b591da9b98e3ec673fea4b6c684c605b595a565c79</t>
        </is>
      </c>
      <c r="I118" s="44" t="inlineStr">
        <is>
          <t>Teslimler/WebKopyalari/998d3dfce204f5f247f083b591da9b98e3ec673fea4b6c684c605b595a565c79.webp</t>
        </is>
      </c>
      <c r="J118" s="44" t="inlineStr">
        <is>
          <t>75266976db3f6193ace635b3832dcfbdb052d471b1b4f43c7b4ef1e6a6494a41</t>
        </is>
      </c>
      <c r="K118" s="44" t="n">
        <v>1280</v>
      </c>
      <c r="L118" s="44" t="n">
        <v>960</v>
      </c>
      <c r="M118" s="44" t="inlineStr">
        <is>
          <t>Özgün teslim dosyası korundu. EXIF yönü uygulandı; kırpma yapılmadan en çok 1600 px, WebP kalite 84. Önceki kaynak değişiklik notları ayrıca korunur.</t>
        </is>
      </c>
      <c r="N118" s="44" t="inlineStr">
        <is>
          <t>Kayıttan doğrulandı</t>
        </is>
      </c>
      <c r="O118" s="44" t="n"/>
    </row>
    <row r="119" ht="54" customHeight="1">
      <c r="A119" s="44" t="inlineStr">
        <is>
          <t>eindhoven:photo:witte-dorp-mahallesi-02</t>
        </is>
      </c>
      <c r="B119" s="44" t="inlineStr">
        <is>
          <t>https://commons.wikimedia.org/wiki/User:Rosemoon</t>
        </is>
      </c>
      <c r="C119" s="44" t="inlineStr">
        <is>
          <t>https://commons.wikimedia.org/wiki/User:Rosemoon</t>
        </is>
      </c>
      <c r="D119" s="44" t="inlineStr">
        <is>
          <t>https://upload.wikimedia.org/wikipedia/commons/6/6e/Monument_518731%2C_Burghstraat_11_Eindhoven.jpg?utm_source=commons.wikimedia.org&amp;utm_campaign=imageinfo&amp;utm_content=original</t>
        </is>
      </c>
      <c r="E119" s="44" t="inlineStr">
        <is>
          <t>https://thumb.wikimedia.org/wikipedia/commons/thumb/6/6e/Monument_518731%2C_Burghstraat_11_Eindhoven.jpg/1280px-Monument_518731%2C_Burghstraat_11_Eindhoven.jpg</t>
        </is>
      </c>
      <c r="F119" s="53" t="n">
        <v>46318</v>
      </c>
      <c r="G119" s="44" t="inlineStr">
        <is>
          <t>Fotoğraflar/eindhoven_witte-dorp-mahallesi_02.jpg</t>
        </is>
      </c>
      <c r="H119" s="44" t="inlineStr">
        <is>
          <t>13c09fc6a77f2fd45d7e9e2e8128af7185a97c810463bcb43773a3b065a79b83</t>
        </is>
      </c>
      <c r="I119" s="44" t="inlineStr">
        <is>
          <t>Teslimler/WebKopyalari/13c09fc6a77f2fd45d7e9e2e8128af7185a97c810463bcb43773a3b065a79b83.webp</t>
        </is>
      </c>
      <c r="J119" s="44" t="inlineStr">
        <is>
          <t>ee86f47889a1aadf82d6572b96b8aeac0e16872a0756c8a9fabcb49894de46c5</t>
        </is>
      </c>
      <c r="K119" s="44" t="n">
        <v>1280</v>
      </c>
      <c r="L119" s="44" t="n">
        <v>960</v>
      </c>
      <c r="M119" s="44" t="inlineStr">
        <is>
          <t>Özgün teslim dosyası korundu. EXIF yönü uygulandı; kırpma yapılmadan en çok 1600 px, WebP kalite 84. Önceki kaynak değişiklik notları ayrıca korunur.</t>
        </is>
      </c>
      <c r="N119" s="44" t="inlineStr">
        <is>
          <t>Kayıttan doğrulandı</t>
        </is>
      </c>
      <c r="O119" s="44" t="n"/>
    </row>
    <row r="120" ht="54" customHeight="1">
      <c r="A120" s="44" t="inlineStr">
        <is>
          <t>eindhoven:photo:witte-dorp-mahallesi-03</t>
        </is>
      </c>
      <c r="B120" s="44" t="inlineStr">
        <is>
          <t>https://commons.wikimedia.org/wiki/User:Rosemoon</t>
        </is>
      </c>
      <c r="C120" s="44" t="inlineStr">
        <is>
          <t>https://commons.wikimedia.org/wiki/User:Rosemoon</t>
        </is>
      </c>
      <c r="D120" s="44" t="inlineStr">
        <is>
          <t>https://upload.wikimedia.org/wikipedia/commons/0/01/Monument_518736%2C_Sint_Jorislaan_4_Eindhoven.jpg?utm_source=commons.wikimedia.org&amp;utm_campaign=imageinfo&amp;utm_content=original</t>
        </is>
      </c>
      <c r="E120" s="44" t="inlineStr">
        <is>
          <t>https://thumb.wikimedia.org/wikipedia/commons/thumb/0/01/Monument_518736%2C_Sint_Jorislaan_4_Eindhoven.jpg/1280px-Monument_518736%2C_Sint_Jorislaan_4_Eindhoven.jpg</t>
        </is>
      </c>
      <c r="F120" s="53" t="n">
        <v>46318</v>
      </c>
      <c r="G120" s="44" t="inlineStr">
        <is>
          <t>Fotoğraflar/eindhoven_witte-dorp-mahallesi_03.jpg</t>
        </is>
      </c>
      <c r="H120" s="44" t="inlineStr">
        <is>
          <t>d453d521f1e979a77c8aa5183c2bcb77b33e9d780ba484f099c79de50812af1e</t>
        </is>
      </c>
      <c r="I120" s="44" t="inlineStr">
        <is>
          <t>Teslimler/WebKopyalari/d453d521f1e979a77c8aa5183c2bcb77b33e9d780ba484f099c79de50812af1e.webp</t>
        </is>
      </c>
      <c r="J120" s="44" t="inlineStr">
        <is>
          <t>c461c1c7763f7d3dd2f5e23f385844e72a41d7e21b3bd9889fdfd488793627de</t>
        </is>
      </c>
      <c r="K120" s="44" t="n">
        <v>1280</v>
      </c>
      <c r="L120" s="44" t="n">
        <v>960</v>
      </c>
      <c r="M120" s="44" t="inlineStr">
        <is>
          <t>Özgün teslim dosyası korundu. EXIF yönü uygulandı; kırpma yapılmadan en çok 1600 px, WebP kalite 84. Önceki kaynak değişiklik notları ayrıca korunur.</t>
        </is>
      </c>
      <c r="N120" s="44" t="inlineStr">
        <is>
          <t>Kayıttan doğrulandı</t>
        </is>
      </c>
      <c r="O120" s="44" t="n"/>
    </row>
    <row r="121" ht="54" customHeight="1">
      <c r="A121" s="44" t="inlineStr">
        <is>
          <t>eindhoven:photo:riel-mahallesi-01</t>
        </is>
      </c>
      <c r="B121" s="44" t="inlineStr">
        <is>
          <t>https://commons.wikimedia.org/wiki/User:Alex_P._Kok</t>
        </is>
      </c>
      <c r="C121" s="44" t="inlineStr">
        <is>
          <t>https://commons.wikimedia.org/wiki/User:Alex_P._Kok</t>
        </is>
      </c>
      <c r="D121" s="44" t="inlineStr">
        <is>
          <t>https://upload.wikimedia.org/wikipedia/commons/e/e1/Mariakapel_op_Riel_-_2008_-_Riel_-_Eindhoven.jpg?utm_source=commons.wikimedia.org&amp;utm_campaign=imageinfo&amp;utm_content=original</t>
        </is>
      </c>
      <c r="E121" s="44" t="inlineStr">
        <is>
          <t>https://thumb.wikimedia.org/wikipedia/commons/thumb/e/e1/Mariakapel_op_Riel_-_2008_-_Riel_-_Eindhoven.jpg/1280px-Mariakapel_op_Riel_-_2008_-_Riel_-_Eindhoven.jpg</t>
        </is>
      </c>
      <c r="F121" s="53" t="n">
        <v>46318</v>
      </c>
      <c r="G121" s="44" t="inlineStr">
        <is>
          <t>Fotoğraflar/eindhoven_riel-mahallesi_01.jpg</t>
        </is>
      </c>
      <c r="H121" s="44" t="inlineStr">
        <is>
          <t>9afa1d2aad584b494c59e85fe05cbb85a4f0e69d5f33a9c82f75528bdc17de7f</t>
        </is>
      </c>
      <c r="I121" s="44" t="inlineStr">
        <is>
          <t>Teslimler/WebKopyalari/9afa1d2aad584b494c59e85fe05cbb85a4f0e69d5f33a9c82f75528bdc17de7f.webp</t>
        </is>
      </c>
      <c r="J121" s="44" t="inlineStr">
        <is>
          <t>7c27a58aec08b728bfcf8b5857cb5c899cfc2814c7b6fed94e225d3aefffa621</t>
        </is>
      </c>
      <c r="K121" s="44" t="n">
        <v>1143</v>
      </c>
      <c r="L121" s="44" t="n">
        <v>1600</v>
      </c>
      <c r="M121" s="44" t="inlineStr">
        <is>
          <t>Özgün teslim dosyası korundu. EXIF yönü uygulandı; kırpma yapılmadan en çok 1600 px, WebP kalite 84. Önceki kaynak değişiklik notları ayrıca korunur.</t>
        </is>
      </c>
      <c r="N121" s="44" t="inlineStr">
        <is>
          <t>Kayıttan doğrulandı</t>
        </is>
      </c>
      <c r="O121" s="44" t="n"/>
    </row>
    <row r="122" ht="54" customHeight="1">
      <c r="A122" s="44" t="inlineStr">
        <is>
          <t>eindhoven:photo:riel-mahallesi-02</t>
        </is>
      </c>
      <c r="B122" s="44" t="inlineStr">
        <is>
          <t>https://commons.wikimedia.org/wiki/User:Rosemoon</t>
        </is>
      </c>
      <c r="C122" s="44" t="inlineStr">
        <is>
          <t>https://commons.wikimedia.org/wiki/User:Rosemoon</t>
        </is>
      </c>
      <c r="D122" s="44" t="inlineStr">
        <is>
          <t>https://upload.wikimedia.org/wikipedia/commons/9/96/Riel_14%2C_Eindhoven.jpg?utm_source=commons.wikimedia.org&amp;utm_campaign=imageinfo&amp;utm_content=original</t>
        </is>
      </c>
      <c r="E122" s="44" t="inlineStr">
        <is>
          <t>https://thumb.wikimedia.org/wikipedia/commons/thumb/9/96/Riel_14%2C_Eindhoven.jpg/1280px-Riel_14%2C_Eindhoven.jpg</t>
        </is>
      </c>
      <c r="F122" s="53" t="n">
        <v>46318</v>
      </c>
      <c r="G122" s="44" t="inlineStr">
        <is>
          <t>Fotoğraflar/eindhoven_riel-mahallesi_02.jpg</t>
        </is>
      </c>
      <c r="H122" s="44" t="inlineStr">
        <is>
          <t>f5a4e9bc8f462fbc5feee7a7f7acc04bffb7b136e24cab858d76cd61a39d0054</t>
        </is>
      </c>
      <c r="I122" s="44" t="inlineStr">
        <is>
          <t>Teslimler/WebKopyalari/f5a4e9bc8f462fbc5feee7a7f7acc04bffb7b136e24cab858d76cd61a39d0054.webp</t>
        </is>
      </c>
      <c r="J122" s="44" t="inlineStr">
        <is>
          <t>d601a6a0aecb95217a6e71614a5923fbc843b8616fe4477ebb2c2e5a79042629</t>
        </is>
      </c>
      <c r="K122" s="44" t="n">
        <v>1280</v>
      </c>
      <c r="L122" s="44" t="n">
        <v>960</v>
      </c>
      <c r="M122" s="44" t="inlineStr">
        <is>
          <t>Özgün teslim dosyası korundu. EXIF yönü uygulandı; kırpma yapılmadan en çok 1600 px, WebP kalite 84. Önceki kaynak değişiklik notları ayrıca korunur.</t>
        </is>
      </c>
      <c r="N122" s="44" t="inlineStr">
        <is>
          <t>Kayıttan doğrulandı</t>
        </is>
      </c>
      <c r="O122" s="44" t="n"/>
    </row>
    <row r="123" ht="54" customHeight="1">
      <c r="A123" s="44" t="inlineStr">
        <is>
          <t>eindhoven:photo:riel-mahallesi-03</t>
        </is>
      </c>
      <c r="B123" s="44" t="inlineStr">
        <is>
          <t>https://commons.wikimedia.org/wiki/User:Rosemoon</t>
        </is>
      </c>
      <c r="C123" s="44" t="inlineStr">
        <is>
          <t>https://commons.wikimedia.org/wiki/User:Rosemoon</t>
        </is>
      </c>
      <c r="D123" s="44" t="inlineStr">
        <is>
          <t>https://upload.wikimedia.org/wikipedia/commons/f/f7/Riel_8%2C_Eindhoven-2.jpg?utm_source=commons.wikimedia.org&amp;utm_campaign=imageinfo&amp;utm_content=original</t>
        </is>
      </c>
      <c r="E123" s="44" t="inlineStr">
        <is>
          <t>https://thumb.wikimedia.org/wikipedia/commons/thumb/f/f7/Riel_8%2C_Eindhoven-2.jpg/1280px-Riel_8%2C_Eindhoven-2.jpg</t>
        </is>
      </c>
      <c r="F123" s="53" t="n">
        <v>46318</v>
      </c>
      <c r="G123" s="44" t="inlineStr">
        <is>
          <t>Fotoğraflar/eindhoven_riel-mahallesi_03.jpg</t>
        </is>
      </c>
      <c r="H123" s="44" t="inlineStr">
        <is>
          <t>5643aa9c805ff6b0e3fba575f5358f6bbf3d07756369274a4aaad25c5786aabe</t>
        </is>
      </c>
      <c r="I123" s="44" t="inlineStr">
        <is>
          <t>Teslimler/WebKopyalari/5643aa9c805ff6b0e3fba575f5358f6bbf3d07756369274a4aaad25c5786aabe.webp</t>
        </is>
      </c>
      <c r="J123" s="44" t="inlineStr">
        <is>
          <t>a94416c4177c9b772e8839d9f8b3f40c531cd2db21d540ae980b37ab9dc3d6fd</t>
        </is>
      </c>
      <c r="K123" s="44" t="n">
        <v>1280</v>
      </c>
      <c r="L123" s="44" t="n">
        <v>960</v>
      </c>
      <c r="M123" s="44" t="inlineStr">
        <is>
          <t>Özgün teslim dosyası korundu. EXIF yönü uygulandı; kırpma yapılmadan en çok 1600 px, WebP kalite 84. Önceki kaynak değişiklik notları ayrıca korunur.</t>
        </is>
      </c>
      <c r="N123" s="44" t="inlineStr">
        <is>
          <t>Kayıttan doğrulandı</t>
        </is>
      </c>
      <c r="O123" s="44" t="n"/>
    </row>
    <row r="124" ht="54" customHeight="1">
      <c r="A124" s="44" t="inlineStr">
        <is>
          <t>eindhoven:photo:gestel-bolgesi-01</t>
        </is>
      </c>
      <c r="B124" s="44" t="n"/>
      <c r="C124" s="44" t="inlineStr">
        <is>
          <t>https://commons.wikimedia.org/wiki/File:Eindhoven_Gestel_St_Lambertusstr_13_Winkel_woonhuis.jpg</t>
        </is>
      </c>
      <c r="D124" s="44" t="inlineStr">
        <is>
          <t>https://upload.wikimedia.org/wikipedia/commons/2/28/Eindhoven_Gestel_St_Lambertusstr_13_Winkel_woonhuis.jpg?utm_source=commons.wikimedia.org&amp;utm_campaign=imageinfo&amp;utm_content=original</t>
        </is>
      </c>
      <c r="E124" s="44" t="inlineStr">
        <is>
          <t>https://thumb.wikimedia.org/wikipedia/commons/thumb/2/28/Eindhoven_Gestel_St_Lambertusstr_13_Winkel_woonhuis.jpg/1280px-Eindhoven_Gestel_St_Lambertusstr_13_Winkel_woonhuis.jpg</t>
        </is>
      </c>
      <c r="F124" s="53" t="n">
        <v>46318</v>
      </c>
      <c r="G124" s="44" t="inlineStr">
        <is>
          <t>Fotoğraflar/eindhoven_gestel-bolgesi_01.jpg</t>
        </is>
      </c>
      <c r="H124" s="44" t="inlineStr">
        <is>
          <t>1216cd54e858ee71ee557e816c990a9708c8c84712ba24cfbb094d23fbbeebcd</t>
        </is>
      </c>
      <c r="I124" s="44" t="inlineStr">
        <is>
          <t>Teslimler/WebKopyalari/1216cd54e858ee71ee557e816c990a9708c8c84712ba24cfbb094d23fbbeebcd.webp</t>
        </is>
      </c>
      <c r="J124" s="44" t="inlineStr">
        <is>
          <t>6c9f0564a956eb6a17bb96f798dfa3c15790bbd1a89c7a97866700a54cf6b63f</t>
        </is>
      </c>
      <c r="K124" s="44" t="n">
        <v>1280</v>
      </c>
      <c r="L124" s="44" t="n">
        <v>960</v>
      </c>
      <c r="M124" s="44" t="inlineStr">
        <is>
          <t>Özgün teslim dosyası korundu. EXIF yönü uygulandı; kırpma yapılmadan en çok 1600 px, WebP kalite 84. Önceki kaynak değişiklik notları ayrıca korunur.</t>
        </is>
      </c>
      <c r="N124" s="44" t="inlineStr">
        <is>
          <t>Eksik alan var</t>
        </is>
      </c>
      <c r="O124" s="44" t="inlineStr">
        <is>
          <t>Kaynakta ayrı fotoğrafçı profil bağlantısı bulunmadı; fotoğraf kaynak sayfasına atıf korunur. Bağlantı uydurulmaz.</t>
        </is>
      </c>
    </row>
    <row r="125" ht="54" customHeight="1">
      <c r="A125" s="44" t="inlineStr">
        <is>
          <t>eindhoven:photo:gestel-bolgesi-02</t>
        </is>
      </c>
      <c r="B125" s="44" t="n"/>
      <c r="C125" s="44" t="inlineStr">
        <is>
          <t>https://commons.wikimedia.org/wiki/File:Eindhoven_Gestel_St_Lambertusstr_17-25_Woonhuizen.jpg</t>
        </is>
      </c>
      <c r="D125" s="44" t="inlineStr">
        <is>
          <t>https://upload.wikimedia.org/wikipedia/commons/0/08/Eindhoven_Gestel_St_Lambertusstr_17-25_Woonhuizen.jpg?utm_source=commons.wikimedia.org&amp;utm_campaign=imageinfo&amp;utm_content=original</t>
        </is>
      </c>
      <c r="E125" s="44" t="inlineStr">
        <is>
          <t>https://thumb.wikimedia.org/wikipedia/commons/thumb/0/08/Eindhoven_Gestel_St_Lambertusstr_17-25_Woonhuizen.jpg/1280px-Eindhoven_Gestel_St_Lambertusstr_17-25_Woonhuizen.jpg</t>
        </is>
      </c>
      <c r="F125" s="53" t="n">
        <v>46318</v>
      </c>
      <c r="G125" s="44" t="inlineStr">
        <is>
          <t>Fotoğraflar/eindhoven_gestel-bolgesi_02.jpg</t>
        </is>
      </c>
      <c r="H125" s="44" t="inlineStr">
        <is>
          <t>b5a5e4799e092e1a404cd551d5c4d7e9528f4569ae27add8b7ce01028f2f6fdc</t>
        </is>
      </c>
      <c r="I125" s="44" t="inlineStr">
        <is>
          <t>Teslimler/WebKopyalari/b5a5e4799e092e1a404cd551d5c4d7e9528f4569ae27add8b7ce01028f2f6fdc.webp</t>
        </is>
      </c>
      <c r="J125" s="44" t="inlineStr">
        <is>
          <t>0b22aaf5b807c35b91e2034a27b2871b05658a013b6a0480f88b3bd0030b2b2e</t>
        </is>
      </c>
      <c r="K125" s="44" t="n">
        <v>1280</v>
      </c>
      <c r="L125" s="44" t="n">
        <v>960</v>
      </c>
      <c r="M125" s="44" t="inlineStr">
        <is>
          <t>Özgün teslim dosyası korundu. EXIF yönü uygulandı; kırpma yapılmadan en çok 1600 px, WebP kalite 84. Önceki kaynak değişiklik notları ayrıca korunur.</t>
        </is>
      </c>
      <c r="N125" s="44" t="inlineStr">
        <is>
          <t>Eksik alan var</t>
        </is>
      </c>
      <c r="O125" s="44" t="inlineStr">
        <is>
          <t>Kaynakta ayrı fotoğrafçı profil bağlantısı bulunmadı; fotoğraf kaynak sayfasına atıf korunur. Bağlantı uydurulmaz.</t>
        </is>
      </c>
    </row>
    <row r="126" ht="54" customHeight="1">
      <c r="A126" s="44" t="inlineStr">
        <is>
          <t>eindhoven:photo:gestel-bolgesi-03</t>
        </is>
      </c>
      <c r="B126" s="44" t="n"/>
      <c r="C126" s="44" t="inlineStr">
        <is>
          <t>https://commons.wikimedia.org/wiki/File:Eindhoven_Gestel_St_Martinusstr_15-17_Woonhuizen.jpg</t>
        </is>
      </c>
      <c r="D126" s="44" t="inlineStr">
        <is>
          <t>https://upload.wikimedia.org/wikipedia/commons/e/ea/Eindhoven_Gestel_St_Martinusstr_15-17_Woonhuizen.jpg?utm_source=commons.wikimedia.org&amp;utm_campaign=imageinfo&amp;utm_content=original</t>
        </is>
      </c>
      <c r="E126" s="44" t="inlineStr">
        <is>
          <t>https://thumb.wikimedia.org/wikipedia/commons/thumb/e/ea/Eindhoven_Gestel_St_Martinusstr_15-17_Woonhuizen.jpg/1280px-Eindhoven_Gestel_St_Martinusstr_15-17_Woonhuizen.jpg</t>
        </is>
      </c>
      <c r="F126" s="53" t="n">
        <v>46318</v>
      </c>
      <c r="G126" s="44" t="inlineStr">
        <is>
          <t>Fotoğraflar/eindhoven_gestel-bolgesi_03.jpg</t>
        </is>
      </c>
      <c r="H126" s="44" t="inlineStr">
        <is>
          <t>779c45d4c1672fd00d5aa6197e61b9434a6267b5d9cdf0857d12ee4dfa2b0dd4</t>
        </is>
      </c>
      <c r="I126" s="44" t="inlineStr">
        <is>
          <t>Teslimler/WebKopyalari/779c45d4c1672fd00d5aa6197e61b9434a6267b5d9cdf0857d12ee4dfa2b0dd4.webp</t>
        </is>
      </c>
      <c r="J126" s="44" t="inlineStr">
        <is>
          <t>47792c376abbd353dc55f7bbef9d4c5aae8ed34b14f0e8963b537e51d2d9683f</t>
        </is>
      </c>
      <c r="K126" s="44" t="n">
        <v>1280</v>
      </c>
      <c r="L126" s="44" t="n">
        <v>960</v>
      </c>
      <c r="M126" s="44" t="inlineStr">
        <is>
          <t>Özgün teslim dosyası korundu. EXIF yönü uygulandı; kırpma yapılmadan en çok 1600 px, WebP kalite 84. Önceki kaynak değişiklik notları ayrıca korunur.</t>
        </is>
      </c>
      <c r="N126" s="44" t="inlineStr">
        <is>
          <t>Eksik alan var</t>
        </is>
      </c>
      <c r="O126" s="44" t="inlineStr">
        <is>
          <t>Kaynakta ayrı fotoğrafçı profil bağlantısı bulunmadı; fotoğraf kaynak sayfasına atıf korunur. Bağlantı uydurulmaz.</t>
        </is>
      </c>
    </row>
    <row r="127" ht="54" customHeight="1">
      <c r="A127" s="44" t="inlineStr">
        <is>
          <t>eindhoven:photo:tongelre-bolgesi-01</t>
        </is>
      </c>
      <c r="B127" s="44" t="inlineStr">
        <is>
          <t>https://commons.wikimedia.org/wiki/User:Rosemoon</t>
        </is>
      </c>
      <c r="C127" s="44" t="inlineStr">
        <is>
          <t>https://commons.wikimedia.org/wiki/User:Rosemoon</t>
        </is>
      </c>
      <c r="D127" s="44" t="inlineStr">
        <is>
          <t>https://upload.wikimedia.org/wikipedia/commons/5/59/Doolstraat_2%2C_Eindhoven_%282%29.jpg?utm_source=commons.wikimedia.org&amp;utm_campaign=imageinfo&amp;utm_content=original</t>
        </is>
      </c>
      <c r="E127" s="44" t="inlineStr">
        <is>
          <t>https://thumb.wikimedia.org/wikipedia/commons/thumb/5/59/Doolstraat_2%2C_Eindhoven_%282%29.jpg/1280px-Doolstraat_2%2C_Eindhoven_%282%29.jpg</t>
        </is>
      </c>
      <c r="F127" s="53" t="n">
        <v>46318</v>
      </c>
      <c r="G127" s="44" t="inlineStr">
        <is>
          <t>Fotoğraflar/eindhoven_tongelre-bolgesi_01.jpg</t>
        </is>
      </c>
      <c r="H127" s="44" t="inlineStr">
        <is>
          <t>6c275996531d9b30d8700c01fac875a35c6957b68b182713280bf6314b2015d6</t>
        </is>
      </c>
      <c r="I127" s="44" t="inlineStr">
        <is>
          <t>Teslimler/WebKopyalari/6c275996531d9b30d8700c01fac875a35c6957b68b182713280bf6314b2015d6.webp</t>
        </is>
      </c>
      <c r="J127" s="44" t="inlineStr">
        <is>
          <t>588c544c4b9bf749fc475882251394f444997b6d4b1d27987fd7b5797ab0e25c</t>
        </is>
      </c>
      <c r="K127" s="44" t="n">
        <v>1280</v>
      </c>
      <c r="L127" s="44" t="n">
        <v>853</v>
      </c>
      <c r="M127" s="44" t="inlineStr">
        <is>
          <t>Özgün teslim dosyası korundu. EXIF yönü uygulandı; kırpma yapılmadan en çok 1600 px, WebP kalite 84. Önceki kaynak değişiklik notları ayrıca korunur.</t>
        </is>
      </c>
      <c r="N127" s="44" t="inlineStr">
        <is>
          <t>Kayıttan doğrulandı</t>
        </is>
      </c>
      <c r="O127" s="44" t="n"/>
    </row>
    <row r="128" ht="54" customHeight="1">
      <c r="A128" s="44" t="inlineStr">
        <is>
          <t>eindhoven:photo:tongelre-bolgesi-02</t>
        </is>
      </c>
      <c r="B128" s="44" t="n"/>
      <c r="C128" s="44" t="inlineStr">
        <is>
          <t>https://commons.wikimedia.org/wiki/File:Eindhoven_St._Martinuskerk,_Tongelre.jpg</t>
        </is>
      </c>
      <c r="D128" s="44" t="inlineStr">
        <is>
          <t>https://upload.wikimedia.org/wikipedia/commons/2/2a/Eindhoven_St._Martinuskerk%2C_Tongelre.jpg?utm_source=commons.wikimedia.org&amp;utm_campaign=imageinfo&amp;utm_content=original</t>
        </is>
      </c>
      <c r="E128" s="44" t="inlineStr">
        <is>
          <t>https://thumb.wikimedia.org/wikipedia/commons/thumb/2/2a/Eindhoven_St._Martinuskerk%2C_Tongelre.jpg/1280px-Eindhoven_St._Martinuskerk%2C_Tongelre.jpg</t>
        </is>
      </c>
      <c r="F128" s="53" t="n">
        <v>46318</v>
      </c>
      <c r="G128" s="44" t="inlineStr">
        <is>
          <t>Fotoğraflar/eindhoven_tongelre-bolgesi_02.jpg</t>
        </is>
      </c>
      <c r="H128" s="44" t="inlineStr">
        <is>
          <t>15bb6e1dda814eb56c049d3e6a78f9c386183eeadde777b6ff384777c40794f2</t>
        </is>
      </c>
      <c r="I128" s="44" t="inlineStr">
        <is>
          <t>Teslimler/WebKopyalari/15bb6e1dda814eb56c049d3e6a78f9c386183eeadde777b6ff384777c40794f2.webp</t>
        </is>
      </c>
      <c r="J128" s="44" t="inlineStr">
        <is>
          <t>4054ad068b0d115a69a182b7e427aa19b1233013c295a7278c6030bd4986c62e</t>
        </is>
      </c>
      <c r="K128" s="44" t="n">
        <v>1200</v>
      </c>
      <c r="L128" s="44" t="n">
        <v>1600</v>
      </c>
      <c r="M128" s="44" t="inlineStr">
        <is>
          <t>Özgün teslim dosyası korundu. EXIF yönü uygulandı; kırpma yapılmadan en çok 1600 px, WebP kalite 84. Önceki kaynak değişiklik notları ayrıca korunur.</t>
        </is>
      </c>
      <c r="N128" s="44" t="inlineStr">
        <is>
          <t>Eksik alan var</t>
        </is>
      </c>
      <c r="O128" s="44" t="inlineStr">
        <is>
          <t>Kaynakta ayrı fotoğrafçı profil bağlantısı bulunmadı; fotoğraf kaynak sayfasına atıf korunur. Bağlantı uydurulmaz.</t>
        </is>
      </c>
    </row>
    <row r="129" ht="54" customHeight="1">
      <c r="A129" s="44" t="inlineStr">
        <is>
          <t>eindhoven:photo:tongelre-bolgesi-03</t>
        </is>
      </c>
      <c r="B129" s="44" t="inlineStr">
        <is>
          <t>https://commons.wikimedia.org/wiki/User:Rosemoon</t>
        </is>
      </c>
      <c r="C129" s="44" t="inlineStr">
        <is>
          <t>https://commons.wikimedia.org/wiki/User:Rosemoon</t>
        </is>
      </c>
      <c r="D129" s="44" t="inlineStr">
        <is>
          <t>https://upload.wikimedia.org/wikipedia/commons/8/81/RM518788_Bosboomstraat_36-38%2C_Eindhoven.jpg?utm_source=commons.wikimedia.org&amp;utm_campaign=imageinfo&amp;utm_content=original</t>
        </is>
      </c>
      <c r="E129" s="44" t="inlineStr">
        <is>
          <t>https://thumb.wikimedia.org/wikipedia/commons/thumb/8/81/RM518788_Bosboomstraat_36-38%2C_Eindhoven.jpg/1280px-RM518788_Bosboomstraat_36-38%2C_Eindhoven.jpg</t>
        </is>
      </c>
      <c r="F129" s="53" t="n">
        <v>46318</v>
      </c>
      <c r="G129" s="44" t="inlineStr">
        <is>
          <t>Fotoğraflar/eindhoven_tongelre-bolgesi_03.jpg</t>
        </is>
      </c>
      <c r="H129" s="44" t="inlineStr">
        <is>
          <t>4f8845a02333a8b59eb565399954c34f135a46b0fa0cbe50c2549a16abd33b36</t>
        </is>
      </c>
      <c r="I129" s="44" t="inlineStr">
        <is>
          <t>Teslimler/WebKopyalari/4f8845a02333a8b59eb565399954c34f135a46b0fa0cbe50c2549a16abd33b36.webp</t>
        </is>
      </c>
      <c r="J129" s="44" t="inlineStr">
        <is>
          <t>f5d497d4be272a4319a2933e8939fe1389c10442157087ac488e6f09c3641fe2</t>
        </is>
      </c>
      <c r="K129" s="44" t="n">
        <v>1280</v>
      </c>
      <c r="L129" s="44" t="n">
        <v>853</v>
      </c>
      <c r="M129" s="44" t="inlineStr">
        <is>
          <t>Özgün teslim dosyası korundu. EXIF yönü uygulandı; kırpma yapılmadan en çok 1600 px, WebP kalite 84. Önceki kaynak değişiklik notları ayrıca korunur.</t>
        </is>
      </c>
      <c r="N129" s="44" t="inlineStr">
        <is>
          <t>Kayıttan doğrulandı</t>
        </is>
      </c>
      <c r="O129" s="44" t="n"/>
    </row>
    <row r="130" ht="54" customHeight="1">
      <c r="A130" s="44" t="inlineStr">
        <is>
          <t>eindhoven:photo:lakerlopen-mahallesi-01</t>
        </is>
      </c>
      <c r="B130" s="44" t="inlineStr">
        <is>
          <t>https://web.archive.org/web/20161030041958/http://www.panoramio.com/user/4678999?with_photo_id=101355653</t>
        </is>
      </c>
      <c r="C130" s="44" t="inlineStr">
        <is>
          <t>https://web.archive.org/web/20161030041958/http://www.panoramio.com/user/4678999?with_photo_id=101355653</t>
        </is>
      </c>
      <c r="D130" s="44" t="inlineStr">
        <is>
          <t>https://upload.wikimedia.org/wikipedia/commons/c/cd/Lakerlopen%2C_5613_Eindhoven%2C_Netherlands_-_panoramio_%282%29.jpg?utm_source=commons.wikimedia.org&amp;utm_campaign=imageinfo&amp;utm_content=original</t>
        </is>
      </c>
      <c r="E130" s="44" t="inlineStr">
        <is>
          <t>https://thumb.wikimedia.org/wikipedia/commons/thumb/c/cd/Lakerlopen%2C_5613_Eindhoven%2C_Netherlands_-_panoramio_%282%29.jpg/1280px-Lakerlopen%2C_5613_Eindhoven%2C_Netherlands_-_panoramio_%282%29.jpg</t>
        </is>
      </c>
      <c r="F130" s="53" t="n">
        <v>46318</v>
      </c>
      <c r="G130" s="44" t="inlineStr">
        <is>
          <t>Fotoğraflar/eindhoven_lakerlopen-mahallesi_01.jpg</t>
        </is>
      </c>
      <c r="H130" s="44" t="inlineStr">
        <is>
          <t>d480f85dd7a2dacded2f02e1cf1a80b1829f10118cf051c4328e783b348c881b</t>
        </is>
      </c>
      <c r="I130" s="44" t="inlineStr">
        <is>
          <t>Teslimler/WebKopyalari/d480f85dd7a2dacded2f02e1cf1a80b1829f10118cf051c4328e783b348c881b.webp</t>
        </is>
      </c>
      <c r="J130" s="44" t="inlineStr">
        <is>
          <t>b876791603bdbfd35e73e7277b08dc12ef7e6239df1a3e866f6d4661c3bd646f</t>
        </is>
      </c>
      <c r="K130" s="44" t="n">
        <v>1280</v>
      </c>
      <c r="L130" s="44" t="n">
        <v>717</v>
      </c>
      <c r="M130" s="44" t="inlineStr">
        <is>
          <t>Özgün teslim dosyası korundu. EXIF yönü uygulandı; kırpma yapılmadan en çok 1600 px, WebP kalite 84. Önceki kaynak değişiklik notları ayrıca korunur.</t>
        </is>
      </c>
      <c r="N130" s="44" t="inlineStr">
        <is>
          <t>Kayıttan doğrulandı</t>
        </is>
      </c>
      <c r="O130" s="44" t="n"/>
    </row>
    <row r="131" ht="54" customHeight="1">
      <c r="A131" s="44" t="inlineStr">
        <is>
          <t>eindhoven:photo:lakerlopen-mahallesi-02</t>
        </is>
      </c>
      <c r="B131" s="44" t="inlineStr">
        <is>
          <t>https://commons.wikimedia.org/wiki/User:Lempkesfabriek</t>
        </is>
      </c>
      <c r="C131" s="44" t="inlineStr">
        <is>
          <t>https://commons.wikimedia.org/wiki/User:Lempkesfabriek</t>
        </is>
      </c>
      <c r="D131" s="44" t="inlineStr">
        <is>
          <t>https://upload.wikimedia.org/wikipedia/commons/e/ed/Lakerlopen01.jpg?utm_source=commons.wikimedia.org&amp;utm_campaign=imageinfo&amp;utm_content=original</t>
        </is>
      </c>
      <c r="E131" s="44" t="inlineStr">
        <is>
          <t>https://upload.wikimedia.org/wikipedia/commons/e/ed/Lakerlopen01.jpg</t>
        </is>
      </c>
      <c r="F131" s="53" t="n">
        <v>46318</v>
      </c>
      <c r="G131" s="44" t="inlineStr">
        <is>
          <t>Fotoğraflar/eindhoven_lakerlopen-mahallesi_02.jpg</t>
        </is>
      </c>
      <c r="H131" s="44" t="inlineStr">
        <is>
          <t>5a425885e4a7b22873816d0ab63f808942096a3819ab6477514a9a50aff6147f</t>
        </is>
      </c>
      <c r="I131" s="44" t="inlineStr">
        <is>
          <t>Teslimler/WebKopyalari/5a425885e4a7b22873816d0ab63f808942096a3819ab6477514a9a50aff6147f.webp</t>
        </is>
      </c>
      <c r="J131" s="44" t="inlineStr">
        <is>
          <t>be7b93f4c854d700255b663d49634759a7d0ff0f9230e742403cebd77ee355dd</t>
        </is>
      </c>
      <c r="K131" s="44" t="n">
        <v>1235</v>
      </c>
      <c r="L131" s="44" t="n">
        <v>861</v>
      </c>
      <c r="M131" s="44" t="inlineStr">
        <is>
          <t>Özgün teslim dosyası korundu. EXIF yönü uygulandı; kırpma yapılmadan en çok 1600 px, WebP kalite 84. Önceki kaynak değişiklik notları ayrıca korunur.</t>
        </is>
      </c>
      <c r="N131" s="44" t="inlineStr">
        <is>
          <t>Kayıttan doğrulandı</t>
        </is>
      </c>
      <c r="O131" s="44" t="n"/>
    </row>
    <row r="132" ht="54" customHeight="1">
      <c r="A132" s="44" t="inlineStr">
        <is>
          <t>eindhoven:photo:karpen-mahallesi-01</t>
        </is>
      </c>
      <c r="B132" s="44" t="inlineStr">
        <is>
          <t>https://web.archive.org/web/20161102131136/http://www.panoramio.com/user/8556168?with_photo_id=121937759</t>
        </is>
      </c>
      <c r="C132" s="44" t="inlineStr">
        <is>
          <t>https://web.archive.org/web/20161102131136/http://www.panoramio.com/user/8556168?with_photo_id=121937759</t>
        </is>
      </c>
      <c r="D132" s="44" t="inlineStr">
        <is>
          <t>https://upload.wikimedia.org/wikipedia/commons/6/6c/Karpen%2C_5631_Eindhoven%2C_Netherlands_-_panoramio_%281%29.jpg?utm_source=commons.wikimedia.org&amp;utm_campaign=imageinfo&amp;utm_content=original</t>
        </is>
      </c>
      <c r="E132" s="44" t="inlineStr">
        <is>
          <t>https://thumb.wikimedia.org/wikipedia/commons/thumb/6/6c/Karpen%2C_5631_Eindhoven%2C_Netherlands_-_panoramio_%281%29.jpg/1280px-Karpen%2C_5631_Eindhoven%2C_Netherlands_-_panoramio_%281%29.jpg</t>
        </is>
      </c>
      <c r="F132" s="53" t="n">
        <v>46318</v>
      </c>
      <c r="G132" s="44" t="inlineStr">
        <is>
          <t>Fotoğraflar/eindhoven_karpen-mahallesi_01.jpg</t>
        </is>
      </c>
      <c r="H132" s="44" t="inlineStr">
        <is>
          <t>e0d4fcd96363e3a9092ac15998e02695a9b3d4907b08fa7876f86128728d8ca4</t>
        </is>
      </c>
      <c r="I132" s="44" t="inlineStr">
        <is>
          <t>Teslimler/WebKopyalari/e0d4fcd96363e3a9092ac15998e02695a9b3d4907b08fa7876f86128728d8ca4.webp</t>
        </is>
      </c>
      <c r="J132" s="44" t="inlineStr">
        <is>
          <t>1df4f1216dbaff902560e805e90af0819f0b5ad4251f71cccac7d9c51fbe9723</t>
        </is>
      </c>
      <c r="K132" s="44" t="n">
        <v>1280</v>
      </c>
      <c r="L132" s="44" t="n">
        <v>1494</v>
      </c>
      <c r="M132" s="44" t="inlineStr">
        <is>
          <t>Özgün teslim dosyası korundu. EXIF yönü uygulandı; kırpma yapılmadan en çok 1600 px, WebP kalite 84. Önceki kaynak değişiklik notları ayrıca korunur.</t>
        </is>
      </c>
      <c r="N132" s="44" t="inlineStr">
        <is>
          <t>Kayıttan doğrulandı</t>
        </is>
      </c>
      <c r="O132" s="44" t="n"/>
    </row>
    <row r="133" ht="54" customHeight="1">
      <c r="A133" s="44" t="inlineStr">
        <is>
          <t>eindhoven:photo:karpen-mahallesi-02</t>
        </is>
      </c>
      <c r="B133" s="44" t="inlineStr">
        <is>
          <t>https://commons.wikimedia.org/wiki/User:Lempkesfabriek</t>
        </is>
      </c>
      <c r="C133" s="44" t="inlineStr">
        <is>
          <t>https://commons.wikimedia.org/wiki/User:Lempkesfabriek</t>
        </is>
      </c>
      <c r="D133" s="44" t="inlineStr">
        <is>
          <t>https://upload.wikimedia.org/wikipedia/commons/7/7e/Karpen01.jpg?utm_source=commons.wikimedia.org&amp;utm_campaign=imageinfo&amp;utm_content=original</t>
        </is>
      </c>
      <c r="E133" s="44" t="inlineStr">
        <is>
          <t>https://upload.wikimedia.org/wikipedia/commons/7/7e/Karpen01.jpg</t>
        </is>
      </c>
      <c r="F133" s="53" t="n">
        <v>46318</v>
      </c>
      <c r="G133" s="44" t="inlineStr">
        <is>
          <t>Fotoğraflar/eindhoven_karpen-mahallesi_02.jpg</t>
        </is>
      </c>
      <c r="H133" s="44" t="inlineStr">
        <is>
          <t>2b50d22a5f5a864976d96479098662e474ed213c5dbcf5d33c90b967919632c0</t>
        </is>
      </c>
      <c r="I133" s="44" t="inlineStr">
        <is>
          <t>Teslimler/WebKopyalari/2b50d22a5f5a864976d96479098662e474ed213c5dbcf5d33c90b967919632c0.webp</t>
        </is>
      </c>
      <c r="J133" s="44" t="inlineStr">
        <is>
          <t>827270da084cd540bdf156961409a032e6a42b9bf9a1fa79fc22d827432f9b3c</t>
        </is>
      </c>
      <c r="K133" s="44" t="n">
        <v>991</v>
      </c>
      <c r="L133" s="44" t="n">
        <v>745</v>
      </c>
      <c r="M133" s="44" t="inlineStr">
        <is>
          <t>Özgün teslim dosyası korundu. EXIF yönü uygulandı; kırpma yapılmadan en çok 1600 px, WebP kalite 84. Önceki kaynak değişiklik notları ayrıca korunur.</t>
        </is>
      </c>
      <c r="N133" s="44" t="inlineStr">
        <is>
          <t>Kayıttan doğrulandı</t>
        </is>
      </c>
      <c r="O133" s="44" t="n"/>
    </row>
    <row r="134" ht="54" customHeight="1">
      <c r="A134" s="44" t="inlineStr">
        <is>
          <t>eindhoven:photo:karpen-mahallesi-03</t>
        </is>
      </c>
      <c r="B134" s="44" t="inlineStr">
        <is>
          <t>https://commons.wikimedia.org/wiki/User:Lempkesfabriek</t>
        </is>
      </c>
      <c r="C134" s="44" t="inlineStr">
        <is>
          <t>https://commons.wikimedia.org/wiki/User:Lempkesfabriek</t>
        </is>
      </c>
      <c r="D134" s="44" t="inlineStr">
        <is>
          <t>https://upload.wikimedia.org/wikipedia/commons/c/cc/Karpen02.jpg?utm_source=commons.wikimedia.org&amp;utm_campaign=imageinfo&amp;utm_content=original</t>
        </is>
      </c>
      <c r="E134" s="44" t="inlineStr">
        <is>
          <t>https://upload.wikimedia.org/wikipedia/commons/c/cc/Karpen02.jpg</t>
        </is>
      </c>
      <c r="F134" s="53" t="n">
        <v>46318</v>
      </c>
      <c r="G134" s="44" t="inlineStr">
        <is>
          <t>Fotoğraflar/eindhoven_karpen-mahallesi_03.jpg</t>
        </is>
      </c>
      <c r="H134" s="44" t="inlineStr">
        <is>
          <t>e5f18c67eaf22003f412348fb2ec0a583664f7b489b320406aedd505094013bb</t>
        </is>
      </c>
      <c r="I134" s="44" t="inlineStr">
        <is>
          <t>Teslimler/WebKopyalari/e5f18c67eaf22003f412348fb2ec0a583664f7b489b320406aedd505094013bb.webp</t>
        </is>
      </c>
      <c r="J134" s="44" t="inlineStr">
        <is>
          <t>92645b040ad513a6b7e5bc6af1c6c666742cb801190f43b0c45012eefa775106</t>
        </is>
      </c>
      <c r="K134" s="44" t="n">
        <v>884</v>
      </c>
      <c r="L134" s="44" t="n">
        <v>663</v>
      </c>
      <c r="M134" s="44" t="inlineStr">
        <is>
          <t>Özgün teslim dosyası korundu. EXIF yönü uygulandı; kırpma yapılmadan en çok 1600 px, WebP kalite 84. Önceki kaynak değişiklik notları ayrıca korunur.</t>
        </is>
      </c>
      <c r="N134" s="44" t="inlineStr">
        <is>
          <t>Kayıttan doğrulandı</t>
        </is>
      </c>
      <c r="O134" s="44" t="n"/>
    </row>
    <row r="135" ht="54" customHeight="1">
      <c r="A135" s="44" t="inlineStr">
        <is>
          <t>eindhoven:photo:daf-museum-03</t>
        </is>
      </c>
      <c r="B135" s="44" t="inlineStr">
        <is>
          <t>https://www.flickr.com/people/91830216@N03</t>
        </is>
      </c>
      <c r="C135" s="44" t="inlineStr">
        <is>
          <t>https://www.flickr.com/people/91830216@N03</t>
        </is>
      </c>
      <c r="D135" s="44" t="inlineStr">
        <is>
          <t>https://upload.wikimedia.org/wikipedia/commons/8/80/DAF_Museum%2C_Eindhoven_%2816061771014%29.jpg?utm_source=commons.wikimedia.org&amp;utm_campaign=imageinfo&amp;utm_content=original</t>
        </is>
      </c>
      <c r="E135" s="44" t="inlineStr">
        <is>
          <t>https://thumb.wikimedia.org/wikipedia/commons/thumb/8/80/DAF_Museum%2C_Eindhoven_%2816061771014%29.jpg/1280px-DAF_Museum%2C_Eindhoven_%2816061771014%29.jpg</t>
        </is>
      </c>
      <c r="F135" s="53" t="n">
        <v>46318</v>
      </c>
      <c r="G135" s="44" t="inlineStr">
        <is>
          <t>Fotoğraflar/eindhoven_daf-museum_03.jpg</t>
        </is>
      </c>
      <c r="H135" s="44" t="inlineStr">
        <is>
          <t>d0b52214c8997d6016ab3174755024a33a48a021f8a5c593c93b2bcdc412cac7</t>
        </is>
      </c>
      <c r="I135" s="44" t="inlineStr">
        <is>
          <t>Teslimler/WebKopyalari/d0b52214c8997d6016ab3174755024a33a48a021f8a5c593c93b2bcdc412cac7.webp</t>
        </is>
      </c>
      <c r="J135" s="44" t="inlineStr">
        <is>
          <t>7d1e3feaed7444baf55f9b234960ad3806285c1d223ecfde47854b43f577066b</t>
        </is>
      </c>
      <c r="K135" s="44" t="n">
        <v>1280</v>
      </c>
      <c r="L135" s="44" t="n">
        <v>853</v>
      </c>
      <c r="M135" s="44" t="inlineStr">
        <is>
          <t>Özgün teslim dosyası korundu. EXIF yönü uygulandı; kırpma yapılmadan en çok 1600 px, WebP kalite 84. Önceki kaynak değişiklik notları ayrıca korunur.</t>
        </is>
      </c>
      <c r="N135" s="44" t="inlineStr">
        <is>
          <t>Kayıttan doğrulandı</t>
        </is>
      </c>
      <c r="O135" s="44" t="n"/>
    </row>
    <row r="136" ht="54" customHeight="1">
      <c r="A136" s="44" t="inlineStr">
        <is>
          <t>eindhoven:photo:erfgoedhuis-eindhoven-02</t>
        </is>
      </c>
      <c r="B136" s="44" t="inlineStr">
        <is>
          <t>https://commons.wikimedia.org/wiki/User:S._Perquin</t>
        </is>
      </c>
      <c r="C136" s="44" t="inlineStr">
        <is>
          <t>https://commons.wikimedia.org/wiki/User:S._Perquin</t>
        </is>
      </c>
      <c r="D136" s="44" t="inlineStr">
        <is>
          <t>https://upload.wikimedia.org/wikipedia/commons/c/c1/Erfgoedhuis_Eindhoven%2C_voorwerpen_prehistorie_en_oudheid.jpg?utm_source=commons.wikimedia.org&amp;utm_campaign=imageinfo&amp;utm_content=original</t>
        </is>
      </c>
      <c r="E136" s="44" t="inlineStr">
        <is>
          <t>https://thumb.wikimedia.org/wikipedia/commons/thumb/c/c1/Erfgoedhuis_Eindhoven%2C_voorwerpen_prehistorie_en_oudheid.jpg/1280px-Erfgoedhuis_Eindhoven%2C_voorwerpen_prehistorie_en_oudheid.jpg</t>
        </is>
      </c>
      <c r="F136" s="53" t="n">
        <v>46318</v>
      </c>
      <c r="G136" s="44" t="inlineStr">
        <is>
          <t>Fotoğraflar/eindhoven_erfgoedhuis-eindhoven_02.jpg</t>
        </is>
      </c>
      <c r="H136" s="44" t="inlineStr">
        <is>
          <t>8f09e0b91abac275e73172b2480815c5eb503a9adca1baa29cc796001720309a</t>
        </is>
      </c>
      <c r="I136" s="44" t="inlineStr">
        <is>
          <t>Teslimler/WebKopyalari/8f09e0b91abac275e73172b2480815c5eb503a9adca1baa29cc796001720309a.webp</t>
        </is>
      </c>
      <c r="J136" s="44" t="inlineStr">
        <is>
          <t>f3f55944646087cbfa0ad1d4db0b9dc8e5bba9f7d30461ffb40e61de250ce2ea</t>
        </is>
      </c>
      <c r="K136" s="44" t="n">
        <v>1280</v>
      </c>
      <c r="L136" s="44" t="n">
        <v>853</v>
      </c>
      <c r="M136" s="44" t="inlineStr">
        <is>
          <t>Özgün teslim dosyası korundu. EXIF yönü uygulandı; kırpma yapılmadan en çok 1600 px, WebP kalite 84. Önceki kaynak değişiklik notları ayrıca korunur.</t>
        </is>
      </c>
      <c r="N136" s="44" t="inlineStr">
        <is>
          <t>Kayıttan doğrulandı</t>
        </is>
      </c>
      <c r="O136" s="44" t="n"/>
    </row>
    <row r="137" ht="54" customHeight="1">
      <c r="A137" s="44" t="inlineStr">
        <is>
          <t>eindhoven:photo:erfgoedhuis-eindhoven-03</t>
        </is>
      </c>
      <c r="B137" s="44" t="inlineStr">
        <is>
          <t>https://commons.wikimedia.org/wiki/User:S._Perquin</t>
        </is>
      </c>
      <c r="C137" s="44" t="inlineStr">
        <is>
          <t>https://commons.wikimedia.org/wiki/User:S._Perquin</t>
        </is>
      </c>
      <c r="D137" s="44" t="inlineStr">
        <is>
          <t>https://upload.wikimedia.org/wikipedia/commons/a/ae/Erfgoedhuis_Eindhoven.jpg?utm_source=commons.wikimedia.org&amp;utm_campaign=imageinfo&amp;utm_content=original</t>
        </is>
      </c>
      <c r="E137" s="44" t="inlineStr">
        <is>
          <t>https://thumb.wikimedia.org/wikipedia/commons/thumb/a/ae/Erfgoedhuis_Eindhoven.jpg/1280px-Erfgoedhuis_Eindhoven.jpg</t>
        </is>
      </c>
      <c r="F137" s="53" t="n">
        <v>46318</v>
      </c>
      <c r="G137" s="44" t="inlineStr">
        <is>
          <t>Fotoğraflar/eindhoven_erfgoedhuis-eindhoven_03.jpg</t>
        </is>
      </c>
      <c r="H137" s="44" t="inlineStr">
        <is>
          <t>562fce1f16671c8976ba6023d18ce0006772a650751b10c1d0129854ab434c9a</t>
        </is>
      </c>
      <c r="I137" s="44" t="inlineStr">
        <is>
          <t>Teslimler/WebKopyalari/562fce1f16671c8976ba6023d18ce0006772a650751b10c1d0129854ab434c9a.webp</t>
        </is>
      </c>
      <c r="J137" s="44" t="inlineStr">
        <is>
          <t>70659711c7e9afd2309d66b2537c0e53d51238d6c44e637f3ae1ec5a4df2cfb8</t>
        </is>
      </c>
      <c r="K137" s="44" t="n">
        <v>1280</v>
      </c>
      <c r="L137" s="44" t="n">
        <v>853</v>
      </c>
      <c r="M137" s="44" t="inlineStr">
        <is>
          <t>Özgün teslim dosyası korundu. EXIF yönü uygulandı; kırpma yapılmadan en çok 1600 px, WebP kalite 84. Önceki kaynak değişiklik notları ayrıca korunur.</t>
        </is>
      </c>
      <c r="N137" s="44" t="inlineStr">
        <is>
          <t>Kayıttan doğrulandı</t>
        </is>
      </c>
      <c r="O137" s="44" t="n"/>
    </row>
    <row r="138" ht="54" customHeight="1">
      <c r="A138" s="44" t="inlineStr">
        <is>
          <t>eindhoven:photo:parktheater-eindhoven-03</t>
        </is>
      </c>
      <c r="B138" s="44" t="inlineStr">
        <is>
          <t>https://commons.wikimedia.org/wiki/User:Alex_P._Kok</t>
        </is>
      </c>
      <c r="C138" s="44" t="inlineStr">
        <is>
          <t>https://commons.wikimedia.org/wiki/User:Alex_P._Kok</t>
        </is>
      </c>
      <c r="D138" s="44" t="inlineStr">
        <is>
          <t>https://upload.wikimedia.org/wikipedia/commons/9/9b/Parktheater_Eindhoven%2C_grote_zaal_en_coulissen_1.jpg?utm_source=commons.wikimedia.org&amp;utm_campaign=imageinfo&amp;utm_content=original</t>
        </is>
      </c>
      <c r="E138" s="44" t="inlineStr">
        <is>
          <t>https://thumb.wikimedia.org/wikipedia/commons/thumb/9/9b/Parktheater_Eindhoven%2C_grote_zaal_en_coulissen_1.jpg/1280px-Parktheater_Eindhoven%2C_grote_zaal_en_coulissen_1.jpg</t>
        </is>
      </c>
      <c r="F138" s="53" t="n">
        <v>46318</v>
      </c>
      <c r="G138" s="44" t="inlineStr">
        <is>
          <t>Fotoğraflar/eindhoven_parktheater-eindhoven_03.jpg</t>
        </is>
      </c>
      <c r="H138" s="44" t="inlineStr">
        <is>
          <t>4d04f48c75a45a390f221101a96c0940f24936af946f07c4471de7e9d73e238e</t>
        </is>
      </c>
      <c r="I138" s="44" t="inlineStr">
        <is>
          <t>Teslimler/WebKopyalari/4d04f48c75a45a390f221101a96c0940f24936af946f07c4471de7e9d73e238e.webp</t>
        </is>
      </c>
      <c r="J138" s="44" t="inlineStr">
        <is>
          <t>d0414cefd0fd3eeeeb4497f22f80520fad47ff5bd1aa1367b232731d1cac93cd</t>
        </is>
      </c>
      <c r="K138" s="44" t="n">
        <v>1280</v>
      </c>
      <c r="L138" s="44" t="n">
        <v>853</v>
      </c>
      <c r="M138" s="44" t="inlineStr">
        <is>
          <t>Özgün teslim dosyası korundu. EXIF yönü uygulandı; kırpma yapılmadan en çok 1600 px, WebP kalite 84. Önceki kaynak değişiklik notları ayrıca korunur.</t>
        </is>
      </c>
      <c r="N138" s="44" t="inlineStr">
        <is>
          <t>Kayıttan doğrulandı</t>
        </is>
      </c>
      <c r="O138" s="44" t="n"/>
    </row>
    <row r="139" ht="54" customHeight="1">
      <c r="A139" s="44" t="inlineStr">
        <is>
          <t>eindhoven:photo:natlab-03</t>
        </is>
      </c>
      <c r="B139" s="44" t="inlineStr">
        <is>
          <t>https://commons.wikimedia.org/wiki/User:Rosemoon</t>
        </is>
      </c>
      <c r="C139" s="44" t="inlineStr">
        <is>
          <t>https://commons.wikimedia.org/wiki/User:Rosemoon</t>
        </is>
      </c>
      <c r="D139" s="44" t="inlineStr">
        <is>
          <t>https://upload.wikimedia.org/wikipedia/commons/f/f9/NatLab_Strijp_S_Eindhoven.JPG?utm_source=commons.wikimedia.org&amp;utm_campaign=imageinfo&amp;utm_content=original</t>
        </is>
      </c>
      <c r="E139" s="44" t="inlineStr">
        <is>
          <t>https://thumb.wikimedia.org/wikipedia/commons/thumb/f/f9/NatLab_Strijp_S_Eindhoven.JPG/1280px-NatLab_Strijp_S_Eindhoven.JPG</t>
        </is>
      </c>
      <c r="F139" s="53" t="n">
        <v>46318</v>
      </c>
      <c r="G139" s="44" t="inlineStr">
        <is>
          <t>Fotoğraflar/eindhoven_natlab_03.jpg</t>
        </is>
      </c>
      <c r="H139" s="44" t="inlineStr">
        <is>
          <t>161f2a373a54e46b77fbf4146a73a4f31e904ba6e6b3530052a3feaee3834b57</t>
        </is>
      </c>
      <c r="I139" s="44" t="inlineStr">
        <is>
          <t>Teslimler/WebKopyalari/161f2a373a54e46b77fbf4146a73a4f31e904ba6e6b3530052a3feaee3834b57.webp</t>
        </is>
      </c>
      <c r="J139" s="44" t="inlineStr">
        <is>
          <t>c890f42e7f0522f7ec45cb60325c6bd0a450b2cb2c57ebd71d1fa48e5e680fd1</t>
        </is>
      </c>
      <c r="K139" s="44" t="n">
        <v>1280</v>
      </c>
      <c r="L139" s="44" t="n">
        <v>960</v>
      </c>
      <c r="M139" s="44" t="inlineStr">
        <is>
          <t>Özgün teslim dosyası korundu. EXIF yönü uygulandı; kırpma yapılmadan en çok 1600 px, WebP kalite 84. Önceki kaynak değişiklik notları ayrıca korunur.</t>
        </is>
      </c>
      <c r="N139" s="44" t="inlineStr">
        <is>
          <t>Kayıttan doğrulandı</t>
        </is>
      </c>
      <c r="O139" s="44" t="n"/>
    </row>
    <row r="140" ht="54" customHeight="1">
      <c r="A140" s="44" t="inlineStr">
        <is>
          <t>eindhoven:photo:dynamo-03</t>
        </is>
      </c>
      <c r="B140" s="44" t="inlineStr">
        <is>
          <t>https://commons.wikimedia.org/wiki/User:Lendskaip</t>
        </is>
      </c>
      <c r="C140" s="44" t="inlineStr">
        <is>
          <t>https://commons.wikimedia.org/wiki/User:Lendskaip</t>
        </is>
      </c>
      <c r="D140" s="44" t="inlineStr">
        <is>
          <t>https://upload.wikimedia.org/wikipedia/commons/8/8b/Inferum%2C_live_at_Dynamo_Eindhoven.jpg?utm_source=commons.wikimedia.org&amp;utm_campaign=imageinfo&amp;utm_content=original</t>
        </is>
      </c>
      <c r="E140" s="44" t="inlineStr">
        <is>
          <t>https://thumb.wikimedia.org/wikipedia/commons/thumb/8/8b/Inferum%2C_live_at_Dynamo_Eindhoven.jpg/1280px-Inferum%2C_live_at_Dynamo_Eindhoven.jpg</t>
        </is>
      </c>
      <c r="F140" s="53" t="n">
        <v>46318</v>
      </c>
      <c r="G140" s="44" t="inlineStr">
        <is>
          <t>Fotoğraflar/eindhoven_dynamo_03.jpg</t>
        </is>
      </c>
      <c r="H140" s="44" t="inlineStr">
        <is>
          <t>ecdf45c1fbc648800b96e5d32ec3a27d0a9516ceddeaa1620d3654d46f170fce</t>
        </is>
      </c>
      <c r="I140" s="44" t="inlineStr">
        <is>
          <t>Teslimler/WebKopyalari/ecdf45c1fbc648800b96e5d32ec3a27d0a9516ceddeaa1620d3654d46f170fce.webp</t>
        </is>
      </c>
      <c r="J140" s="44" t="inlineStr">
        <is>
          <t>7862554df019158a243911d4e90cd1ea8283625b02098c095f6d4aa089fc8b4d</t>
        </is>
      </c>
      <c r="K140" s="44" t="n">
        <v>1280</v>
      </c>
      <c r="L140" s="44" t="n">
        <v>862</v>
      </c>
      <c r="M140" s="44" t="inlineStr">
        <is>
          <t>Özgün teslim dosyası korundu. EXIF yönü uygulandı; kırpma yapılmadan en çok 1600 px, WebP kalite 84. Önceki kaynak değişiklik notları ayrıca korunur.</t>
        </is>
      </c>
      <c r="N140" s="44" t="inlineStr">
        <is>
          <t>Kayıttan doğrulandı</t>
        </is>
      </c>
      <c r="O140" s="44" t="n"/>
    </row>
    <row r="141" ht="54" customHeight="1">
      <c r="A141" s="44" t="inlineStr">
        <is>
          <t>eindhoven:photo:philips-stadion-psv-03</t>
        </is>
      </c>
      <c r="B141" s="44" t="inlineStr">
        <is>
          <t>https://www.wikidata.org/wiki/Q15080600</t>
        </is>
      </c>
      <c r="C141" s="44" t="inlineStr">
        <is>
          <t>https://www.wikidata.org/wiki/Q15080600</t>
        </is>
      </c>
      <c r="D141" s="44" t="inlineStr">
        <is>
          <t>https://upload.wikimedia.org/wikipedia/commons/9/95/13-06-29-eindhoven-50mm-65.jpg?utm_source=commons.wikimedia.org&amp;utm_campaign=imageinfo&amp;utm_content=original</t>
        </is>
      </c>
      <c r="E141" s="44" t="inlineStr">
        <is>
          <t>https://thumb.wikimedia.org/wikipedia/commons/thumb/9/95/13-06-29-eindhoven-50mm-65.jpg/1280px-13-06-29-eindhoven-50mm-65.jpg</t>
        </is>
      </c>
      <c r="F141" s="53" t="n">
        <v>46318</v>
      </c>
      <c r="G141" s="44" t="inlineStr">
        <is>
          <t>Fotoğraflar/eindhoven_philips-stadion-psv_03.jpg</t>
        </is>
      </c>
      <c r="H141" s="44" t="inlineStr">
        <is>
          <t>c07f800bd847e2eb6f384f0dab71ff9c482dc1e5cc1a8dc37ffa57a7e958b8d6</t>
        </is>
      </c>
      <c r="I141" s="44" t="inlineStr">
        <is>
          <t>Teslimler/WebKopyalari/c07f800bd847e2eb6f384f0dab71ff9c482dc1e5cc1a8dc37ffa57a7e958b8d6.webp</t>
        </is>
      </c>
      <c r="J141" s="44" t="inlineStr">
        <is>
          <t>00e142c496b5720c9e6cea887e74bea4071401175b6e24d8d6f6e4b0bd633139</t>
        </is>
      </c>
      <c r="K141" s="44" t="n">
        <v>1280</v>
      </c>
      <c r="L141" s="44" t="n">
        <v>850</v>
      </c>
      <c r="M141" s="44" t="inlineStr">
        <is>
          <t>Özgün teslim dosyası korundu. EXIF yönü uygulandı; kırpma yapılmadan en çok 1600 px, WebP kalite 84. Önceki kaynak değişiklik notları ayrıca korunur.</t>
        </is>
      </c>
      <c r="N141" s="44" t="inlineStr">
        <is>
          <t>Kayıttan doğrulandı</t>
        </is>
      </c>
      <c r="O141" s="44" t="n"/>
    </row>
    <row r="142" ht="54" customHeight="1">
      <c r="A142" s="44" t="inlineStr">
        <is>
          <t>eindhoven:photo:nationaal-zwemcentrum-de-tongelreep-02</t>
        </is>
      </c>
      <c r="B142" s="44" t="inlineStr">
        <is>
          <t>https://commons.wikimedia.org/wiki/User:Joopjr</t>
        </is>
      </c>
      <c r="C142" s="44" t="inlineStr">
        <is>
          <t>https://commons.wikimedia.org/wiki/User:Joopjr</t>
        </is>
      </c>
      <c r="D142" s="44" t="inlineStr">
        <is>
          <t>https://upload.wikimedia.org/wikipedia/commons/4/47/FINA_Swimming_World_Cup_Venue_Eindhoven.jpg?utm_source=commons.wikimedia.org&amp;utm_campaign=imageinfo&amp;utm_content=original</t>
        </is>
      </c>
      <c r="E142" s="44" t="inlineStr">
        <is>
          <t>https://upload.wikimedia.org/wikipedia/commons/4/47/FINA_Swimming_World_Cup_Venue_Eindhoven.jpg</t>
        </is>
      </c>
      <c r="F142" s="53" t="n">
        <v>46318</v>
      </c>
      <c r="G142" s="44" t="inlineStr">
        <is>
          <t>Fotoğraflar/eindhoven_nationaal-zwemcentrum-de-tongelreep_02.jpg</t>
        </is>
      </c>
      <c r="H142" s="44" t="inlineStr">
        <is>
          <t>b5a2c2a932de4cefb96d2f0bba04495baf2ac498b6144ac0fc0ba1e900876021</t>
        </is>
      </c>
      <c r="I142" s="44" t="inlineStr">
        <is>
          <t>Teslimler/WebKopyalari/b5a2c2a932de4cefb96d2f0bba04495baf2ac498b6144ac0fc0ba1e900876021.webp</t>
        </is>
      </c>
      <c r="J142" s="44" t="inlineStr">
        <is>
          <t>a8e392a9ba74a7d71140ceb19fe2f12a49943b86171018ab90ef48543adc4cf6</t>
        </is>
      </c>
      <c r="K142" s="44" t="n">
        <v>1600</v>
      </c>
      <c r="L142" s="44" t="n">
        <v>1200</v>
      </c>
      <c r="M142" s="44" t="inlineStr">
        <is>
          <t>Özgün teslim dosyası korundu. EXIF yönü uygulandı; kırpma yapılmadan en çok 1600 px, WebP kalite 84. Önceki kaynak değişiklik notları ayrıca korunur.</t>
        </is>
      </c>
      <c r="N142" s="44" t="inlineStr">
        <is>
          <t>Kayıttan doğrulandı</t>
        </is>
      </c>
      <c r="O142" s="44" t="n"/>
    </row>
    <row r="143" ht="54" customHeight="1">
      <c r="A143" s="44" t="inlineStr">
        <is>
          <t>eindhoven:photo:henri-dunantpark-02</t>
        </is>
      </c>
      <c r="B143" s="44" t="inlineStr">
        <is>
          <t>https://commons.wikimedia.org/wiki/User:S._Perquin</t>
        </is>
      </c>
      <c r="C143" s="44" t="inlineStr">
        <is>
          <t>https://commons.wikimedia.org/wiki/User:S._Perquin</t>
        </is>
      </c>
      <c r="D143" s="44" t="inlineStr">
        <is>
          <t>https://upload.wikimedia.org/wikipedia/commons/f/f7/Speelpark_De_Splinter_%282025%29_%2828%29.jpg?utm_source=commons.wikimedia.org&amp;utm_campaign=imageinfo&amp;utm_content=original</t>
        </is>
      </c>
      <c r="E143" s="44" t="inlineStr">
        <is>
          <t>https://thumb.wikimedia.org/wikipedia/commons/thumb/f/f7/Speelpark_De_Splinter_%282025%29_%2828%29.jpg/1280px-Speelpark_De_Splinter_%282025%29_%2828%29.jpg</t>
        </is>
      </c>
      <c r="F143" s="53" t="n">
        <v>46318</v>
      </c>
      <c r="G143" s="44" t="inlineStr">
        <is>
          <t>Fotoğraflar/eindhoven_henri-dunantpark_02.jpg</t>
        </is>
      </c>
      <c r="H143" s="44" t="inlineStr">
        <is>
          <t>be99e178824150cc6043a708d0aa476adf3c078bb050d4c1aed2f018707debe7</t>
        </is>
      </c>
      <c r="I143" s="44" t="inlineStr">
        <is>
          <t>Teslimler/WebKopyalari/be99e178824150cc6043a708d0aa476adf3c078bb050d4c1aed2f018707debe7.webp</t>
        </is>
      </c>
      <c r="J143" s="44" t="inlineStr">
        <is>
          <t>1c86c8574b80a6acaa3a2e97a1068514ba4f1b7a79741d0285209438dab1c475</t>
        </is>
      </c>
      <c r="K143" s="44" t="n">
        <v>1280</v>
      </c>
      <c r="L143" s="44" t="n">
        <v>853</v>
      </c>
      <c r="M143" s="44" t="inlineStr">
        <is>
          <t>Özgün teslim dosyası korundu. EXIF yönü uygulandı; kırpma yapılmadan en çok 1600 px, WebP kalite 84. Önceki kaynak değişiklik notları ayrıca korunur.</t>
        </is>
      </c>
      <c r="N143" s="44" t="inlineStr">
        <is>
          <t>Kayıttan doğrulandı</t>
        </is>
      </c>
      <c r="O143" s="44" t="n"/>
    </row>
    <row r="144" ht="54" customHeight="1">
      <c r="A144" s="44" t="inlineStr">
        <is>
          <t>eindhoven:photo:henri-dunantpark-03</t>
        </is>
      </c>
      <c r="B144" s="44" t="inlineStr">
        <is>
          <t>https://commons.wikimedia.org/wiki/User:S._Perquin</t>
        </is>
      </c>
      <c r="C144" s="44" t="inlineStr">
        <is>
          <t>https://commons.wikimedia.org/wiki/User:S._Perquin</t>
        </is>
      </c>
      <c r="D144" s="44" t="inlineStr">
        <is>
          <t>https://upload.wikimedia.org/wikipedia/commons/1/12/Speelpark_De_Splinter_%282025%29_%2835%29.jpg?utm_source=commons.wikimedia.org&amp;utm_campaign=imageinfo&amp;utm_content=original</t>
        </is>
      </c>
      <c r="E144" s="44" t="inlineStr">
        <is>
          <t>https://thumb.wikimedia.org/wikipedia/commons/thumb/1/12/Speelpark_De_Splinter_%282025%29_%2835%29.jpg/1280px-Speelpark_De_Splinter_%282025%29_%2835%29.jpg</t>
        </is>
      </c>
      <c r="F144" s="53" t="n">
        <v>46318</v>
      </c>
      <c r="G144" s="44" t="inlineStr">
        <is>
          <t>Fotoğraflar/eindhoven_henri-dunantpark_03.jpg</t>
        </is>
      </c>
      <c r="H144" s="44" t="inlineStr">
        <is>
          <t>9aac09044740d47bbed36987d3efd94bf5e7ac93fdd18767b1a8c25abb9f8071</t>
        </is>
      </c>
      <c r="I144" s="44" t="inlineStr">
        <is>
          <t>Teslimler/WebKopyalari/9aac09044740d47bbed36987d3efd94bf5e7ac93fdd18767b1a8c25abb9f8071.webp</t>
        </is>
      </c>
      <c r="J144" s="44" t="inlineStr">
        <is>
          <t>9f44e92c5d23390ba733d7154f571205dc12679bc81bbf3abaf14be12231f4ad</t>
        </is>
      </c>
      <c r="K144" s="44" t="n">
        <v>1280</v>
      </c>
      <c r="L144" s="44" t="n">
        <v>853</v>
      </c>
      <c r="M144" s="44" t="inlineStr">
        <is>
          <t>Özgün teslim dosyası korundu. EXIF yönü uygulandı; kırpma yapılmadan en çok 1600 px, WebP kalite 84. Önceki kaynak değişiklik notları ayrıca korunur.</t>
        </is>
      </c>
      <c r="N144" s="44" t="inlineStr">
        <is>
          <t>Kayıttan doğrulandı</t>
        </is>
      </c>
      <c r="O144" s="44" t="n"/>
    </row>
    <row r="145" ht="54" customHeight="1">
      <c r="A145" s="44" t="inlineStr">
        <is>
          <t>eindhoven:photo:landgoed-de-wielewaal-02</t>
        </is>
      </c>
      <c r="B145" s="44" t="inlineStr">
        <is>
          <t>https://commons.wikimedia.org/wiki/User:Chescargot</t>
        </is>
      </c>
      <c r="C145" s="44" t="inlineStr">
        <is>
          <t>https://commons.wikimedia.org/wiki/User:Chescargot</t>
        </is>
      </c>
      <c r="D145" s="44" t="inlineStr">
        <is>
          <t>https://upload.wikimedia.org/wikipedia/commons/8/87/Lichtbos_Eindhoven_januari_2026_13.jpg?utm_source=commons.wikimedia.org&amp;utm_campaign=imageinfo&amp;utm_content=original</t>
        </is>
      </c>
      <c r="E145" s="44" t="inlineStr">
        <is>
          <t>https://thumb.wikimedia.org/wikipedia/commons/thumb/8/87/Lichtbos_Eindhoven_januari_2026_13.jpg/1280px-Lichtbos_Eindhoven_januari_2026_13.jpg</t>
        </is>
      </c>
      <c r="F145" s="53" t="n">
        <v>46318</v>
      </c>
      <c r="G145" s="44" t="inlineStr">
        <is>
          <t>Fotoğraflar/eindhoven_landgoed-de-wielewaal_02.jpg</t>
        </is>
      </c>
      <c r="H145" s="44" t="inlineStr">
        <is>
          <t>2f1853f3cadfd9f2167bdbb6e8ade3154f8aec08e3f947a3ea0be7f82fd023d9</t>
        </is>
      </c>
      <c r="I145" s="44" t="inlineStr">
        <is>
          <t>Teslimler/WebKopyalari/2f1853f3cadfd9f2167bdbb6e8ade3154f8aec08e3f947a3ea0be7f82fd023d9.webp</t>
        </is>
      </c>
      <c r="J145" s="44" t="inlineStr">
        <is>
          <t>d8274982e8bed55a5f3f12f9b926e5da1cfb069d99534213b0c54221672cd09f</t>
        </is>
      </c>
      <c r="K145" s="44" t="n">
        <v>1200</v>
      </c>
      <c r="L145" s="44" t="n">
        <v>1600</v>
      </c>
      <c r="M145" s="44" t="inlineStr">
        <is>
          <t>Özgün teslim dosyası korundu. EXIF yönü uygulandı; kırpma yapılmadan en çok 1600 px, WebP kalite 84. Önceki kaynak değişiklik notları ayrıca korunur.</t>
        </is>
      </c>
      <c r="N145" s="44" t="inlineStr">
        <is>
          <t>Kayıttan doğrulandı</t>
        </is>
      </c>
      <c r="O145" s="44" t="n"/>
    </row>
    <row r="146" ht="54" customHeight="1">
      <c r="A146" s="44" t="inlineStr">
        <is>
          <t>eindhoven:photo:sint-catharinakerk-02</t>
        </is>
      </c>
      <c r="B146" s="44" t="inlineStr">
        <is>
          <t>https://commons.wikimedia.org/wiki/User:Sailko</t>
        </is>
      </c>
      <c r="C146" s="44" t="inlineStr">
        <is>
          <t>https://commons.wikimedia.org/wiki/User:Sailko</t>
        </is>
      </c>
      <c r="D146" s="44" t="inlineStr">
        <is>
          <t>https://upload.wikimedia.org/wikipedia/commons/7/74/Eindhoven%2C_santa_caterina%2C_02.jpg?utm_source=commons.wikimedia.org&amp;utm_campaign=imageinfo&amp;utm_content=original</t>
        </is>
      </c>
      <c r="E146" s="44" t="inlineStr">
        <is>
          <t>https://thumb.wikimedia.org/wikipedia/commons/thumb/7/74/Eindhoven%2C_santa_caterina%2C_02.jpg/1280px-Eindhoven%2C_santa_caterina%2C_02.jpg</t>
        </is>
      </c>
      <c r="F146" s="53" t="n">
        <v>46318</v>
      </c>
      <c r="G146" s="44" t="inlineStr">
        <is>
          <t>Fotoğraflar/eindhoven_sint-catharinakerk_02.jpg</t>
        </is>
      </c>
      <c r="H146" s="44" t="inlineStr">
        <is>
          <t>838a057cdc4e465a14b6b99c29bec2b6078c53c0cbb3d553ce2b53830450a57a</t>
        </is>
      </c>
      <c r="I146" s="44" t="inlineStr">
        <is>
          <t>Teslimler/WebKopyalari/838a057cdc4e465a14b6b99c29bec2b6078c53c0cbb3d553ce2b53830450a57a.webp</t>
        </is>
      </c>
      <c r="J146" s="44" t="inlineStr">
        <is>
          <t>a94ffbda68e76678e8bd454e612f38552bd2b179018799671320287fb5413be3</t>
        </is>
      </c>
      <c r="K146" s="44" t="n">
        <v>1067</v>
      </c>
      <c r="L146" s="44" t="n">
        <v>1600</v>
      </c>
      <c r="M146" s="44" t="inlineStr">
        <is>
          <t>Özgün teslim dosyası korundu. EXIF yönü uygulandı; kırpma yapılmadan en çok 1600 px, WebP kalite 84. Önceki kaynak değişiklik notları ayrıca korunur.</t>
        </is>
      </c>
      <c r="N146" s="44" t="inlineStr">
        <is>
          <t>Kayıttan doğrulandı</t>
        </is>
      </c>
      <c r="O146" s="44" t="n"/>
    </row>
    <row r="147" ht="54" customHeight="1">
      <c r="A147" s="44" t="inlineStr">
        <is>
          <t>eindhoven:photo:sint-catharinakerk-03</t>
        </is>
      </c>
      <c r="B147" s="44" t="inlineStr">
        <is>
          <t>https://web.archive.org/web/20161028082902/http://www.panoramio.com/user/4678999?with_photo_id=94062255</t>
        </is>
      </c>
      <c r="C147" s="44" t="inlineStr">
        <is>
          <t>https://web.archive.org/web/20161028082902/http://www.panoramio.com/user/4678999?with_photo_id=94062255</t>
        </is>
      </c>
      <c r="D147" s="44" t="inlineStr">
        <is>
          <t>https://upload.wikimedia.org/wikipedia/commons/d/d2/Binnenstad%2C_5611_Eindhoven%2C_Netherlands_-_panoramio_%282%29.jpg?utm_source=commons.wikimedia.org&amp;utm_campaign=imageinfo&amp;utm_content=original</t>
        </is>
      </c>
      <c r="E147" s="44" t="inlineStr">
        <is>
          <t>https://upload.wikimedia.org/wikipedia/commons/d/d2/Binnenstad%2C_5611_Eindhoven%2C_Netherlands_-_panoramio_%282%29.jpg</t>
        </is>
      </c>
      <c r="F147" s="53" t="n">
        <v>46318</v>
      </c>
      <c r="G147" s="44" t="inlineStr">
        <is>
          <t>Fotoğraflar/eindhoven_sint-catharinakerk_03.jpg</t>
        </is>
      </c>
      <c r="H147" s="44" t="inlineStr">
        <is>
          <t>61d02dfd2d34f0040d10288d0cf85ecdd56ed068637723aad9a09b60f9d3a5d4</t>
        </is>
      </c>
      <c r="I147" s="44" t="inlineStr">
        <is>
          <t>Teslimler/WebKopyalari/61d02dfd2d34f0040d10288d0cf85ecdd56ed068637723aad9a09b60f9d3a5d4.webp</t>
        </is>
      </c>
      <c r="J147" s="44" t="inlineStr">
        <is>
          <t>0ab6ecca26e74e3b407bb10cd3d09d109cb5fde808c0112ad71bf0245f439ab8</t>
        </is>
      </c>
      <c r="K147" s="44" t="n">
        <v>1074</v>
      </c>
      <c r="L147" s="44" t="n">
        <v>1600</v>
      </c>
      <c r="M147" s="44" t="inlineStr">
        <is>
          <t>Özgün teslim dosyası korundu. EXIF yönü uygulandı; kırpma yapılmadan en çok 1600 px, WebP kalite 84. Önceki kaynak değişiklik notları ayrıca korunur.</t>
        </is>
      </c>
      <c r="N147" s="44" t="inlineStr">
        <is>
          <t>Kayıttan doğrulandı</t>
        </is>
      </c>
      <c r="O147" s="44" t="n"/>
    </row>
    <row r="148" ht="54" customHeight="1">
      <c r="A148" s="44" t="inlineStr">
        <is>
          <t>eindhoven:photo:strijp-s-02</t>
        </is>
      </c>
      <c r="B148" s="44" t="inlineStr">
        <is>
          <t>https://commons.wikimedia.org/wiki/User:Tukka</t>
        </is>
      </c>
      <c r="C148" s="44" t="inlineStr">
        <is>
          <t>https://commons.wikimedia.org/wiki/User:Tukka</t>
        </is>
      </c>
      <c r="D148" s="44" t="inlineStr">
        <is>
          <t>https://upload.wikimedia.org/wikipedia/commons/d/dc/Glasgebouw_Eindhoven.jpg?utm_source=commons.wikimedia.org&amp;utm_campaign=imageinfo&amp;utm_content=original</t>
        </is>
      </c>
      <c r="E148" s="44" t="inlineStr">
        <is>
          <t>https://thumb.wikimedia.org/wikipedia/commons/thumb/d/dc/Glasgebouw_Eindhoven.jpg/1280px-Glasgebouw_Eindhoven.jpg</t>
        </is>
      </c>
      <c r="F148" s="53" t="n">
        <v>46318</v>
      </c>
      <c r="G148" s="44" t="inlineStr">
        <is>
          <t>Fotoğraflar/eindhoven_strijp-s_02.jpg</t>
        </is>
      </c>
      <c r="H148" s="44" t="inlineStr">
        <is>
          <t>1e999c4964c3ba8e720dd4135890538de289fb7e2b87c6a4dbf06cedd58ad4f1</t>
        </is>
      </c>
      <c r="I148" s="44" t="inlineStr">
        <is>
          <t>Teslimler/WebKopyalari/1e999c4964c3ba8e720dd4135890538de289fb7e2b87c6a4dbf06cedd58ad4f1.webp</t>
        </is>
      </c>
      <c r="J148" s="44" t="inlineStr">
        <is>
          <t>92a4fc91683798ff8f669c5b798f291692280c507a3a0b03e541b3842340e3c9</t>
        </is>
      </c>
      <c r="K148" s="44" t="n">
        <v>1059</v>
      </c>
      <c r="L148" s="44" t="n">
        <v>1600</v>
      </c>
      <c r="M148" s="44" t="inlineStr">
        <is>
          <t>Özgün teslim dosyası korundu. EXIF yönü uygulandı; kırpma yapılmadan en çok 1600 px, WebP kalite 84. Önceki kaynak değişiklik notları ayrıca korunur.</t>
        </is>
      </c>
      <c r="N148" s="44" t="inlineStr">
        <is>
          <t>Kayıttan doğrulandı</t>
        </is>
      </c>
      <c r="O148" s="44" t="n"/>
    </row>
    <row r="149" ht="54" customHeight="1">
      <c r="A149" s="44" t="inlineStr">
        <is>
          <t>eindhoven:photo:strijp-s-03</t>
        </is>
      </c>
      <c r="B149" s="44" t="n"/>
      <c r="C149" s="44" t="inlineStr">
        <is>
          <t>https://commons.wikimedia.org/wiki/File:Haasje-2021.jpg</t>
        </is>
      </c>
      <c r="D149" s="44" t="inlineStr">
        <is>
          <t>https://upload.wikimedia.org/wikipedia/commons/3/3b/Haasje-2021.jpg?utm_source=commons.wikimedia.org&amp;utm_campaign=imageinfo&amp;utm_content=original</t>
        </is>
      </c>
      <c r="E149" s="44" t="inlineStr">
        <is>
          <t>https://thumb.wikimedia.org/wikipedia/commons/thumb/3/3b/Haasje-2021.jpg/1280px-Haasje-2021.jpg</t>
        </is>
      </c>
      <c r="F149" s="53" t="n">
        <v>46318</v>
      </c>
      <c r="G149" s="44" t="inlineStr">
        <is>
          <t>Fotoğraflar/eindhoven_strijp-s_03.jpg</t>
        </is>
      </c>
      <c r="H149" s="44" t="inlineStr">
        <is>
          <t>3df5ad8eea64938986270ee8ec896520af1005ace930c8912bd8e76e95b52602</t>
        </is>
      </c>
      <c r="I149" s="44" t="inlineStr">
        <is>
          <t>Teslimler/WebKopyalari/3df5ad8eea64938986270ee8ec896520af1005ace930c8912bd8e76e95b52602.webp</t>
        </is>
      </c>
      <c r="J149" s="44" t="inlineStr">
        <is>
          <t>f9ec88812d3b592e6b777383c3d8d08c6c86ad9238e6f06ac008f9d91fce533a</t>
        </is>
      </c>
      <c r="K149" s="44" t="n">
        <v>1280</v>
      </c>
      <c r="L149" s="44" t="n">
        <v>960</v>
      </c>
      <c r="M149" s="44" t="inlineStr">
        <is>
          <t>Özgün teslim dosyası korundu. EXIF yönü uygulandı; kırpma yapılmadan en çok 1600 px, WebP kalite 84. Önceki kaynak değişiklik notları ayrıca korunur.</t>
        </is>
      </c>
      <c r="N149" s="44" t="inlineStr">
        <is>
          <t>Eksik alan var</t>
        </is>
      </c>
      <c r="O149" s="44" t="inlineStr">
        <is>
          <t>Kaynakta ayrı fotoğrafçı profil bağlantısı bulunmadı; fotoğraf kaynak sayfasına atıf korunur. Bağlantı uydurulmaz.</t>
        </is>
      </c>
    </row>
    <row r="150" ht="54" customHeight="1">
      <c r="A150" s="44" t="inlineStr">
        <is>
          <t>eindhoven:photo:catharinakerkhof-03</t>
        </is>
      </c>
      <c r="B150" s="44" t="inlineStr">
        <is>
          <t>https://www.wikidata.org/wiki/Q100423837</t>
        </is>
      </c>
      <c r="C150" s="44" t="inlineStr">
        <is>
          <t>https://www.wikidata.org/wiki/Q100423837</t>
        </is>
      </c>
      <c r="D150" s="44" t="inlineStr">
        <is>
          <t>https://upload.wikimedia.org/wikipedia/commons/1/12/Grafkapel_familie_Smits_van_Oyen%3B_aan_de_voorzijde_is_een_houten_paneeldeur_in_een_hardstenen_omlijsting_geplaatst_-_Eindhoven_-_20410846_-_RCE.jpg?utm_source=commons.wikimedia.org&amp;utm_campaign=imageinfo&amp;utm_content=original</t>
        </is>
      </c>
      <c r="E150" s="44" t="inlineStr">
        <is>
          <t>https://thumb.wikimedia.org/wikipedia/commons/thumb/1/12/Grafkapel_familie_Smits_van_Oyen%3B_aan_de_voorzijde_is_een_houten_paneeldeur_in_een_hardstenen_omlijsting_geplaatst_-_Eindhoven_-_20410846_-_RCE.jpg/1280px-Grafkapel_familie_Smits_van_Oyen%3B_aan_de_voorzijde_is_een_houten_paneeldeur_in_een_hardstenen_omlijsting_geplaatst_-_Eindhoven_-_20410846_-_RCE.jpg</t>
        </is>
      </c>
      <c r="F150" s="53" t="n">
        <v>46318</v>
      </c>
      <c r="G150" s="44" t="inlineStr">
        <is>
          <t>Fotoğraflar/eindhoven_catharinakerkhof_03.jpg</t>
        </is>
      </c>
      <c r="H150" s="44" t="inlineStr">
        <is>
          <t>ceadc7f43052cf1bc389b6a2f3939ab639eb48abf44b4dcafcb4bcea4cca231c</t>
        </is>
      </c>
      <c r="I150" s="44" t="inlineStr">
        <is>
          <t>Teslimler/WebKopyalari/ceadc7f43052cf1bc389b6a2f3939ab639eb48abf44b4dcafcb4bcea4cca231c.webp</t>
        </is>
      </c>
      <c r="J150" s="44" t="inlineStr">
        <is>
          <t>9dac9cd3dd137f23c74cfe42ea341e565596e6f621925236cb54b5ff5eb8d3b9</t>
        </is>
      </c>
      <c r="K150" s="44" t="n">
        <v>1067</v>
      </c>
      <c r="L150" s="44" t="n">
        <v>1600</v>
      </c>
      <c r="M150" s="44" t="inlineStr">
        <is>
          <t>Özgün teslim dosyası korundu. EXIF yönü uygulandı; kırpma yapılmadan en çok 1600 px, WebP kalite 84. Önceki kaynak değişiklik notları ayrıca korunur.</t>
        </is>
      </c>
      <c r="N150" s="44" t="inlineStr">
        <is>
          <t>Kayıttan doğrulandı</t>
        </is>
      </c>
      <c r="O150" s="44" t="n"/>
    </row>
    <row r="151" ht="54" customHeight="1">
      <c r="A151" s="44" t="inlineStr">
        <is>
          <t>eindhoven:photo:huize-de-laak-03</t>
        </is>
      </c>
      <c r="B151" s="44" t="inlineStr">
        <is>
          <t>https://commons.wikimedia.org/wiki/User:Perquirius</t>
        </is>
      </c>
      <c r="C151" s="44" t="inlineStr">
        <is>
          <t>https://commons.wikimedia.org/wiki/User:Perquirius</t>
        </is>
      </c>
      <c r="D151" s="44" t="inlineStr">
        <is>
          <t>https://upload.wikimedia.org/wikipedia/commons/a/a8/Fabrikantenvilla_Huize_De_Laak_%282026%29_%281%29.jpg?utm_source=commons.wikimedia.org&amp;utm_campaign=imageinfo&amp;utm_content=original</t>
        </is>
      </c>
      <c r="E151" s="44" t="inlineStr">
        <is>
          <t>https://thumb.wikimedia.org/wikipedia/commons/thumb/a/a8/Fabrikantenvilla_Huize_De_Laak_%282026%29_%281%29.jpg/1280px-Fabrikantenvilla_Huize_De_Laak_%282026%29_%281%29.jpg</t>
        </is>
      </c>
      <c r="F151" s="53" t="n">
        <v>46318</v>
      </c>
      <c r="G151" s="44" t="inlineStr">
        <is>
          <t>Fotoğraflar/eindhoven_huize-de-laak_03.jpg</t>
        </is>
      </c>
      <c r="H151" s="44" t="inlineStr">
        <is>
          <t>25d8fe00f993d58bccc6181c4c924d0e945d8f146b83005e9c5dbf0d1006ca39</t>
        </is>
      </c>
      <c r="I151" s="44" t="inlineStr">
        <is>
          <t>Teslimler/WebKopyalari/25d8fe00f993d58bccc6181c4c924d0e945d8f146b83005e9c5dbf0d1006ca39.webp</t>
        </is>
      </c>
      <c r="J151" s="44" t="inlineStr">
        <is>
          <t>ef1c767334cd3a3256fe1fae1ea9f6bdf918b81850a0a8d8e35b67669c71f361</t>
        </is>
      </c>
      <c r="K151" s="44" t="n">
        <v>1280</v>
      </c>
      <c r="L151" s="44" t="n">
        <v>853</v>
      </c>
      <c r="M151" s="44" t="inlineStr">
        <is>
          <t>Özgün teslim dosyası korundu. EXIF yönü uygulandı; kırpma yapılmadan en çok 1600 px, WebP kalite 84. Önceki kaynak değişiklik notları ayrıca korunur.</t>
        </is>
      </c>
      <c r="N151" s="44" t="inlineStr">
        <is>
          <t>Kayıttan doğrulandı</t>
        </is>
      </c>
      <c r="O151" s="44" t="n"/>
    </row>
    <row r="152" ht="54" customHeight="1">
      <c r="A152" s="44" t="inlineStr">
        <is>
          <t>eindhoven:photo:philipsdorp-03</t>
        </is>
      </c>
      <c r="B152" s="44" t="inlineStr">
        <is>
          <t>https://www.wikidata.org/wiki/Q88378993</t>
        </is>
      </c>
      <c r="C152" s="44" t="inlineStr">
        <is>
          <t>https://www.wikidata.org/wiki/Q88378993</t>
        </is>
      </c>
      <c r="D152" s="44" t="inlineStr">
        <is>
          <t>https://upload.wikimedia.org/wikipedia/commons/c/c3/Annastraat_Eindhoven-_Philipsdorp_1509-119.jpg?utm_source=commons.wikimedia.org&amp;utm_campaign=imageinfo&amp;utm_content=original</t>
        </is>
      </c>
      <c r="E152" s="44" t="inlineStr">
        <is>
          <t>https://thumb.wikimedia.org/wikipedia/commons/thumb/c/c3/Annastraat_Eindhoven-_Philipsdorp_1509-119.jpg/1280px-Annastraat_Eindhoven-_Philipsdorp_1509-119.jpg</t>
        </is>
      </c>
      <c r="F152" s="53" t="n">
        <v>46318</v>
      </c>
      <c r="G152" s="44" t="inlineStr">
        <is>
          <t>Fotoğraflar/eindhoven_philipsdorp_03.jpg</t>
        </is>
      </c>
      <c r="H152" s="44" t="inlineStr">
        <is>
          <t>0d01e0ec34b454e0444dfe9d1467c2147247e0ed82cadb3a6f405feca9948b10</t>
        </is>
      </c>
      <c r="I152" s="44" t="inlineStr">
        <is>
          <t>Teslimler/WebKopyalari/0d01e0ec34b454e0444dfe9d1467c2147247e0ed82cadb3a6f405feca9948b10.webp</t>
        </is>
      </c>
      <c r="J152" s="44" t="inlineStr">
        <is>
          <t>ffa382b2ddf3402a1aebf67e96a65c148c0a4704d0153da20554c060109d81e0</t>
        </is>
      </c>
      <c r="K152" s="44" t="n">
        <v>1280</v>
      </c>
      <c r="L152" s="44" t="n">
        <v>805</v>
      </c>
      <c r="M152" s="44" t="inlineStr">
        <is>
          <t>Özgün teslim dosyası korundu. EXIF yönü uygulandı; kırpma yapılmadan en çok 1600 px, WebP kalite 84. Önceki kaynak değişiklik notları ayrıca korunur.</t>
        </is>
      </c>
      <c r="N152" s="44" t="inlineStr">
        <is>
          <t>Kayıttan doğrulandı</t>
        </is>
      </c>
      <c r="O152" s="44" t="n"/>
    </row>
    <row r="153" ht="54" customHeight="1">
      <c r="A153" s="44" t="inlineStr">
        <is>
          <t>eindhoven:photo:stadhuis-van-eindhoven-02</t>
        </is>
      </c>
      <c r="B153" s="44" t="inlineStr">
        <is>
          <t>https://www.wikidata.org/wiki/Q59248002</t>
        </is>
      </c>
      <c r="C153" s="44" t="inlineStr">
        <is>
          <t>https://www.wikidata.org/wiki/Q59248002</t>
        </is>
      </c>
      <c r="D153" s="44" t="inlineStr">
        <is>
          <t>https://upload.wikimedia.org/wikipedia/commons/8/88/Overzicht_stadhuis_met_Stadhuisplein%2C_gezien_vanaf_de_Wal_-_Eindhoven_-_20413333_-_RCE.jpg?utm_source=commons.wikimedia.org&amp;utm_campaign=imageinfo&amp;utm_content=original</t>
        </is>
      </c>
      <c r="E153" s="44" t="inlineStr">
        <is>
          <t>https://thumb.wikimedia.org/wikipedia/commons/thumb/8/88/Overzicht_stadhuis_met_Stadhuisplein%2C_gezien_vanaf_de_Wal_-_Eindhoven_-_20413333_-_RCE.jpg/1280px-Overzicht_stadhuis_met_Stadhuisplein%2C_gezien_vanaf_de_Wal_-_Eindhoven_-_20413333_-_RCE.jpg</t>
        </is>
      </c>
      <c r="F153" s="53" t="n">
        <v>46318</v>
      </c>
      <c r="G153" s="44" t="inlineStr">
        <is>
          <t>Fotoğraflar/eindhoven_stadhuis-van-eindhoven_02.jpg</t>
        </is>
      </c>
      <c r="H153" s="44" t="inlineStr">
        <is>
          <t>5b6f5f72e1d1169f438a930862a9507766d0ba09267c5d21b7ae584c4bf06495</t>
        </is>
      </c>
      <c r="I153" s="44" t="inlineStr">
        <is>
          <t>Teslimler/WebKopyalari/5b6f5f72e1d1169f438a930862a9507766d0ba09267c5d21b7ae584c4bf06495.webp</t>
        </is>
      </c>
      <c r="J153" s="44" t="inlineStr">
        <is>
          <t>27fcb3dfab500ce03b1c6472b99525d905995c7e4d71f174b7bfa8dbec3cade1</t>
        </is>
      </c>
      <c r="K153" s="44" t="n">
        <v>1280</v>
      </c>
      <c r="L153" s="44" t="n">
        <v>1053</v>
      </c>
      <c r="M153" s="44" t="inlineStr">
        <is>
          <t>Özgün teslim dosyası korundu. EXIF yönü uygulandı; kırpma yapılmadan en çok 1600 px, WebP kalite 84. Önceki kaynak değişiklik notları ayrıca korunur.</t>
        </is>
      </c>
      <c r="N153" s="44" t="inlineStr">
        <is>
          <t>Kayıttan doğrulandı</t>
        </is>
      </c>
      <c r="O153" s="44" t="n"/>
    </row>
    <row r="154" ht="54" customHeight="1">
      <c r="A154" s="44" t="inlineStr">
        <is>
          <t>eindhoven:photo:stadhuis-van-eindhoven-03</t>
        </is>
      </c>
      <c r="B154" s="44" t="inlineStr">
        <is>
          <t>https://commons.wikimedia.org/wiki/User:S._Perquin</t>
        </is>
      </c>
      <c r="C154" s="44" t="inlineStr">
        <is>
          <t>https://commons.wikimedia.org/wiki/User:S._Perquin</t>
        </is>
      </c>
      <c r="D154" s="44" t="inlineStr">
        <is>
          <t>https://upload.wikimedia.org/wikipedia/commons/2/28/Stadhuis_Eindhoven_%282025%29.jpg?utm_source=commons.wikimedia.org&amp;utm_campaign=imageinfo&amp;utm_content=original</t>
        </is>
      </c>
      <c r="E154" s="44" t="inlineStr">
        <is>
          <t>https://thumb.wikimedia.org/wikipedia/commons/thumb/2/28/Stadhuis_Eindhoven_%282025%29.jpg/1280px-Stadhuis_Eindhoven_%282025%29.jpg</t>
        </is>
      </c>
      <c r="F154" s="53" t="n">
        <v>46318</v>
      </c>
      <c r="G154" s="44" t="inlineStr">
        <is>
          <t>Fotoğraflar/eindhoven_stadhuis-van-eindhoven_03.jpg</t>
        </is>
      </c>
      <c r="H154" s="44" t="inlineStr">
        <is>
          <t>c45d74baccc8ae3d97471b078a5b04d931bc718d29ccde6c5cbe9aadf5283278</t>
        </is>
      </c>
      <c r="I154" s="44" t="inlineStr">
        <is>
          <t>Teslimler/WebKopyalari/c45d74baccc8ae3d97471b078a5b04d931bc718d29ccde6c5cbe9aadf5283278.webp</t>
        </is>
      </c>
      <c r="J154" s="44" t="inlineStr">
        <is>
          <t>afe62b2688ce0d70612ed963a06a93ea4daeb7c17ea491f78745e79757c976a9</t>
        </is>
      </c>
      <c r="K154" s="44" t="n">
        <v>1280</v>
      </c>
      <c r="L154" s="44" t="n">
        <v>853</v>
      </c>
      <c r="M154" s="44" t="inlineStr">
        <is>
          <t>Özgün teslim dosyası korundu. EXIF yönü uygulandı; kırpma yapılmadan en çok 1600 px, WebP kalite 84. Önceki kaynak değişiklik notları ayrıca korunur.</t>
        </is>
      </c>
      <c r="N154" s="44" t="inlineStr">
        <is>
          <t>Kayıttan doğrulandı</t>
        </is>
      </c>
      <c r="O154" s="44" t="n"/>
    </row>
    <row r="155" ht="54" customHeight="1">
      <c r="A155" s="44" t="inlineStr">
        <is>
          <t>eindhoven:photo:centrum-bolgesi-03</t>
        </is>
      </c>
      <c r="B155" s="44" t="inlineStr">
        <is>
          <t>https://commons.wikimedia.org/wiki/User:G.Lanting</t>
        </is>
      </c>
      <c r="C155" s="44" t="inlineStr">
        <is>
          <t>https://commons.wikimedia.org/wiki/User:G.Lanting</t>
        </is>
      </c>
      <c r="D155" s="44" t="inlineStr">
        <is>
          <t>https://upload.wikimedia.org/wikipedia/commons/b/b7/Eindhoven_Centrum_014.JPG?utm_source=commons.wikimedia.org&amp;utm_campaign=imageinfo&amp;utm_content=original</t>
        </is>
      </c>
      <c r="E155" s="44" t="inlineStr">
        <is>
          <t>https://thumb.wikimedia.org/wikipedia/commons/thumb/b/b7/Eindhoven_Centrum_014.JPG/1280px-Eindhoven_Centrum_014.JPG</t>
        </is>
      </c>
      <c r="F155" s="53" t="n">
        <v>46318</v>
      </c>
      <c r="G155" s="44" t="inlineStr">
        <is>
          <t>Fotoğraflar/eindhoven_centrum-bolgesi_03.jpg</t>
        </is>
      </c>
      <c r="H155" s="44" t="inlineStr">
        <is>
          <t>9cdc631f7d40e843a254abd747a05f8bdfcf4e0d8437b7512a7f2218df5c6b66</t>
        </is>
      </c>
      <c r="I155" s="44" t="inlineStr">
        <is>
          <t>Teslimler/WebKopyalari/9cdc631f7d40e843a254abd747a05f8bdfcf4e0d8437b7512a7f2218df5c6b66.webp</t>
        </is>
      </c>
      <c r="J155" s="44" t="inlineStr">
        <is>
          <t>4c23b9fec57ab376690910f381f19e283c7b6a868664ccef99b3afadb1614164</t>
        </is>
      </c>
      <c r="K155" s="44" t="n">
        <v>1280</v>
      </c>
      <c r="L155" s="44" t="n">
        <v>960</v>
      </c>
      <c r="M155" s="44" t="inlineStr">
        <is>
          <t>Özgün teslim dosyası korundu. EXIF yönü uygulandı; kırpma yapılmadan en çok 1600 px, WebP kalite 84. Önceki kaynak değişiklik notları ayrıca korunur.</t>
        </is>
      </c>
      <c r="N155" s="44" t="inlineStr">
        <is>
          <t>Kayıttan doğrulandı</t>
        </is>
      </c>
      <c r="O155" s="44" t="n"/>
    </row>
    <row r="156" ht="54" customHeight="1">
      <c r="A156" s="44" t="inlineStr">
        <is>
          <t>eindhoven:photo:de-bergen-mahallesi-02</t>
        </is>
      </c>
      <c r="B156" s="44" t="inlineStr">
        <is>
          <t>https://commons.wikimedia.org/wiki/User:Lempkesfabriek</t>
        </is>
      </c>
      <c r="C156" s="44" t="inlineStr">
        <is>
          <t>https://commons.wikimedia.org/wiki/User:Lempkesfabriek</t>
        </is>
      </c>
      <c r="D156" s="44" t="inlineStr">
        <is>
          <t>https://upload.wikimedia.org/wikipedia/commons/9/9b/De_Bergen05.jpg?utm_source=commons.wikimedia.org&amp;utm_campaign=imageinfo&amp;utm_content=original</t>
        </is>
      </c>
      <c r="E156" s="44" t="inlineStr">
        <is>
          <t>https://upload.wikimedia.org/wikipedia/commons/9/9b/De_Bergen05.jpg</t>
        </is>
      </c>
      <c r="F156" s="53" t="n">
        <v>46318</v>
      </c>
      <c r="G156" s="44" t="inlineStr">
        <is>
          <t>Fotoğraflar/eindhoven_de-bergen-mahallesi_02.jpg</t>
        </is>
      </c>
      <c r="H156" s="44" t="inlineStr">
        <is>
          <t>fb5018adf3fe6e4c8780618693841669ea1ef04f24a4700a0b6ec1173ac4c0ca</t>
        </is>
      </c>
      <c r="I156" s="44" t="inlineStr">
        <is>
          <t>Teslimler/WebKopyalari/fb5018adf3fe6e4c8780618693841669ea1ef04f24a4700a0b6ec1173ac4c0ca.webp</t>
        </is>
      </c>
      <c r="J156" s="44" t="inlineStr">
        <is>
          <t>66ea6b39aa66575e08bc5a605efadbcade05cca6e9f09ebc6eb6832e45d8dc08</t>
        </is>
      </c>
      <c r="K156" s="44" t="n">
        <v>876</v>
      </c>
      <c r="L156" s="44" t="n">
        <v>720</v>
      </c>
      <c r="M156" s="44" t="inlineStr">
        <is>
          <t>Özgün teslim dosyası korundu. EXIF yönü uygulandı; kırpma yapılmadan en çok 1600 px, WebP kalite 84. Önceki kaynak değişiklik notları ayrıca korunur.</t>
        </is>
      </c>
      <c r="N156" s="44" t="inlineStr">
        <is>
          <t>Kayıttan doğrulandı</t>
        </is>
      </c>
      <c r="O156" s="44" t="n"/>
    </row>
    <row r="157" ht="54" customHeight="1">
      <c r="A157" s="44" t="inlineStr">
        <is>
          <t>eindhoven:photo:de-bergen-mahallesi-03</t>
        </is>
      </c>
      <c r="B157" s="44" t="inlineStr">
        <is>
          <t>https://commons.wikimedia.org/wiki/User:Lempkesfabriek</t>
        </is>
      </c>
      <c r="C157" s="44" t="inlineStr">
        <is>
          <t>https://commons.wikimedia.org/wiki/User:Lempkesfabriek</t>
        </is>
      </c>
      <c r="D157" s="44" t="inlineStr">
        <is>
          <t>https://upload.wikimedia.org/wikipedia/commons/3/3b/De_Bergen08_-_Wilhelminaplein_Eindhoven.jpg?utm_source=commons.wikimedia.org&amp;utm_campaign=imageinfo&amp;utm_content=original</t>
        </is>
      </c>
      <c r="E157" s="44" t="inlineStr">
        <is>
          <t>https://upload.wikimedia.org/wikipedia/commons/3/3b/De_Bergen08_-_Wilhelminaplein_Eindhoven.jpg</t>
        </is>
      </c>
      <c r="F157" s="53" t="n">
        <v>46318</v>
      </c>
      <c r="G157" s="44" t="inlineStr">
        <is>
          <t>Fotoğraflar/eindhoven_de-bergen-mahallesi_03.jpg</t>
        </is>
      </c>
      <c r="H157" s="44" t="inlineStr">
        <is>
          <t>4f3f842fc8667f8496e32dd569f6c2ab3e7b6e27d4bffaf7bbb3d96bb672ab1f</t>
        </is>
      </c>
      <c r="I157" s="44" t="inlineStr">
        <is>
          <t>Teslimler/WebKopyalari/4f3f842fc8667f8496e32dd569f6c2ab3e7b6e27d4bffaf7bbb3d96bb672ab1f.webp</t>
        </is>
      </c>
      <c r="J157" s="44" t="inlineStr">
        <is>
          <t>b5e64d072f1e1548c08573a169d0018b2e19d26fc37a9d2a9a417872c836e5d0</t>
        </is>
      </c>
      <c r="K157" s="44" t="n">
        <v>601</v>
      </c>
      <c r="L157" s="44" t="n">
        <v>651</v>
      </c>
      <c r="M157" s="44" t="inlineStr">
        <is>
          <t>Özgün teslim dosyası korundu. EXIF yönü uygulandı; kırpma yapılmadan en çok 1600 px, WebP kalite 84. Önceki kaynak değişiklik notları ayrıca korunur.</t>
        </is>
      </c>
      <c r="N157" s="44" t="inlineStr">
        <is>
          <t>Kayıttan doğrulandı</t>
        </is>
      </c>
      <c r="O157" s="44" t="n"/>
    </row>
    <row r="158" ht="54" customHeight="1">
      <c r="A158" s="44" t="inlineStr">
        <is>
          <t>eindhoven:photo:strijp-s-mahallesi-02</t>
        </is>
      </c>
      <c r="B158" s="44" t="inlineStr">
        <is>
          <t>https://commons.wikimedia.org/wiki/User:Sneeuwvlakte</t>
        </is>
      </c>
      <c r="C158" s="44" t="inlineStr">
        <is>
          <t>https://commons.wikimedia.org/wiki/User:Sneeuwvlakte</t>
        </is>
      </c>
      <c r="D158" s="44" t="inlineStr">
        <is>
          <t>https://upload.wikimedia.org/wikipedia/commons/3/36/Station_Eindhoven_Strijp-S_%282024%29-5.jpg?utm_source=commons.wikimedia.org&amp;utm_campaign=imageinfo&amp;utm_content=original</t>
        </is>
      </c>
      <c r="E158" s="44" t="inlineStr">
        <is>
          <t>https://thumb.wikimedia.org/wikipedia/commons/thumb/3/36/Station_Eindhoven_Strijp-S_%282024%29-5.jpg/1280px-Station_Eindhoven_Strijp-S_%282024%29-5.jpg</t>
        </is>
      </c>
      <c r="F158" s="53" t="n">
        <v>46318</v>
      </c>
      <c r="G158" s="44" t="inlineStr">
        <is>
          <t>Fotoğraflar/eindhoven_strijp-s-mahallesi_02.jpg</t>
        </is>
      </c>
      <c r="H158" s="44" t="inlineStr">
        <is>
          <t>262374cfb6151cdcb08880edf208611056352e3266940208fad25a6b0e298e28</t>
        </is>
      </c>
      <c r="I158" s="44" t="inlineStr">
        <is>
          <t>Teslimler/WebKopyalari/262374cfb6151cdcb08880edf208611056352e3266940208fad25a6b0e298e28.webp</t>
        </is>
      </c>
      <c r="J158" s="44" t="inlineStr">
        <is>
          <t>88172752abe42eeddce980744d02282437c76c5860fdffe78a37f25cef52d601</t>
        </is>
      </c>
      <c r="K158" s="44" t="n">
        <v>1280</v>
      </c>
      <c r="L158" s="44" t="n">
        <v>960</v>
      </c>
      <c r="M158" s="44" t="inlineStr">
        <is>
          <t>Özgün teslim dosyası korundu. EXIF yönü uygulandı; kırpma yapılmadan en çok 1600 px, WebP kalite 84. Önceki kaynak değişiklik notları ayrıca korunur.</t>
        </is>
      </c>
      <c r="N158" s="44" t="inlineStr">
        <is>
          <t>Kayıttan doğrulandı</t>
        </is>
      </c>
      <c r="O158" s="44" t="n"/>
    </row>
    <row r="159" ht="54" customHeight="1">
      <c r="A159" s="44" t="inlineStr">
        <is>
          <t>eindhoven:photo:philipsdorp-mahallesi-02</t>
        </is>
      </c>
      <c r="B159" s="44" t="inlineStr">
        <is>
          <t>https://www.wikidata.org/wiki/Q88378993</t>
        </is>
      </c>
      <c r="C159" s="44" t="inlineStr">
        <is>
          <t>https://www.wikidata.org/wiki/Q88378993</t>
        </is>
      </c>
      <c r="D159" s="44" t="inlineStr">
        <is>
          <t>https://upload.wikimedia.org/wikipedia/commons/7/7e/PSV_stadion_Eindhoven-_Philipsdorp_1509-30.jpg?utm_source=commons.wikimedia.org&amp;utm_campaign=imageinfo&amp;utm_content=original</t>
        </is>
      </c>
      <c r="E159" s="44" t="inlineStr">
        <is>
          <t>https://thumb.wikimedia.org/wikipedia/commons/thumb/7/7e/PSV_stadion_Eindhoven-_Philipsdorp_1509-30.jpg/1280px-PSV_stadion_Eindhoven-_Philipsdorp_1509-30.jpg</t>
        </is>
      </c>
      <c r="F159" s="53" t="n">
        <v>46318</v>
      </c>
      <c r="G159" s="44" t="inlineStr">
        <is>
          <t>Fotoğraflar/eindhoven_philipsdorp-mahallesi_02.jpg</t>
        </is>
      </c>
      <c r="H159" s="44" t="inlineStr">
        <is>
          <t>ee2b84651eaebe529a5f7afb162fa49111b2795067c26ecd023bb32bb13887a4</t>
        </is>
      </c>
      <c r="I159" s="44" t="inlineStr">
        <is>
          <t>Teslimler/WebKopyalari/ee2b84651eaebe529a5f7afb162fa49111b2795067c26ecd023bb32bb13887a4.webp</t>
        </is>
      </c>
      <c r="J159" s="44" t="inlineStr">
        <is>
          <t>4d3e0ec4c3969d3f6b7b9153644c163b523d3eed623909aeb81ff3fbd9c01869</t>
        </is>
      </c>
      <c r="K159" s="44" t="n">
        <v>1280</v>
      </c>
      <c r="L159" s="44" t="n">
        <v>853</v>
      </c>
      <c r="M159" s="44" t="inlineStr">
        <is>
          <t>Özgün teslim dosyası korundu. EXIF yönü uygulandı; kırpma yapılmadan en çok 1600 px, WebP kalite 84. Önceki kaynak değişiklik notları ayrıca korunur.</t>
        </is>
      </c>
      <c r="N159" s="44" t="inlineStr">
        <is>
          <t>Kayıttan doğrulandı</t>
        </is>
      </c>
      <c r="O159" s="44" t="n"/>
    </row>
    <row r="160" ht="54" customHeight="1">
      <c r="A160" s="44" t="inlineStr">
        <is>
          <t>eindhoven:photo:den-elzent-mahallesi-01</t>
        </is>
      </c>
      <c r="B160" s="44" t="inlineStr">
        <is>
          <t>https://commons.wikimedia.org/wiki/User:Lempkesfabriek</t>
        </is>
      </c>
      <c r="C160" s="44" t="inlineStr">
        <is>
          <t>https://commons.wikimedia.org/wiki/User:Lempkesfabriek</t>
        </is>
      </c>
      <c r="D160" s="44" t="inlineStr">
        <is>
          <t>https://upload.wikimedia.org/wikipedia/commons/b/b0/Den_Elzent01.jpg?utm_source=commons.wikimedia.org&amp;utm_campaign=imageinfo&amp;utm_content=original</t>
        </is>
      </c>
      <c r="E160" s="44" t="inlineStr">
        <is>
          <t>https://upload.wikimedia.org/wikipedia/commons/b/b0/Den_Elzent01.jpg</t>
        </is>
      </c>
      <c r="F160" s="53" t="n">
        <v>46318</v>
      </c>
      <c r="G160" s="44" t="inlineStr">
        <is>
          <t>Fotoğraflar/eindhoven_den-elzent-mahallesi_01.jpg</t>
        </is>
      </c>
      <c r="H160" s="44" t="inlineStr">
        <is>
          <t>d19f5d9d6aa2be563b87d01fef075d38dc52c355ef0088b50ffd3bd6e7ed6720</t>
        </is>
      </c>
      <c r="I160" s="44" t="inlineStr">
        <is>
          <t>Teslimler/WebKopyalari/d19f5d9d6aa2be563b87d01fef075d38dc52c355ef0088b50ffd3bd6e7ed6720.webp</t>
        </is>
      </c>
      <c r="J160" s="44" t="inlineStr">
        <is>
          <t>884983f597ea3541c7314575985cf7ed8a7e2dc71e29c10c274a59f47c15b9bb</t>
        </is>
      </c>
      <c r="K160" s="44" t="n">
        <v>1109</v>
      </c>
      <c r="L160" s="44" t="n">
        <v>667</v>
      </c>
      <c r="M160" s="44" t="inlineStr">
        <is>
          <t>Özgün teslim dosyası korundu. EXIF yönü uygulandı; kırpma yapılmadan en çok 1600 px, WebP kalite 84. Önceki kaynak değişiklik notları ayrıca korunur.</t>
        </is>
      </c>
      <c r="N160" s="44" t="inlineStr">
        <is>
          <t>Kayıttan doğrulandı</t>
        </is>
      </c>
      <c r="O160" s="44" t="n"/>
    </row>
    <row r="161" ht="54" customHeight="1">
      <c r="A161" s="44" t="inlineStr">
        <is>
          <t>eindhoven:photo:den-elzent-mahallesi-02</t>
        </is>
      </c>
      <c r="B161" s="44" t="inlineStr">
        <is>
          <t>https://commons.wikimedia.org/wiki/User:Lempkesfabriek</t>
        </is>
      </c>
      <c r="C161" s="44" t="inlineStr">
        <is>
          <t>https://commons.wikimedia.org/wiki/User:Lempkesfabriek</t>
        </is>
      </c>
      <c r="D161" s="44" t="inlineStr">
        <is>
          <t>https://upload.wikimedia.org/wikipedia/commons/9/93/DenElzentNoord.jpg?utm_source=commons.wikimedia.org&amp;utm_campaign=imageinfo&amp;utm_content=original</t>
        </is>
      </c>
      <c r="E161" s="44" t="inlineStr">
        <is>
          <t>https://upload.wikimedia.org/wikipedia/commons/9/93/DenElzentNoord.jpg</t>
        </is>
      </c>
      <c r="F161" s="53" t="n">
        <v>46318</v>
      </c>
      <c r="G161" s="44" t="inlineStr">
        <is>
          <t>Fotoğraflar/eindhoven_den-elzent-mahallesi_02.jpg</t>
        </is>
      </c>
      <c r="H161" s="44" t="inlineStr">
        <is>
          <t>eda40bb43365454ba4937b17906049374a53092e6c546a1c2fd8428b55881cbc</t>
        </is>
      </c>
      <c r="I161" s="44" t="inlineStr">
        <is>
          <t>Teslimler/WebKopyalari/eda40bb43365454ba4937b17906049374a53092e6c546a1c2fd8428b55881cbc.webp</t>
        </is>
      </c>
      <c r="J161" s="44" t="inlineStr">
        <is>
          <t>82bee2feb500365b26d64ffef1cbb238343b52a8d9e7cf626b1e2047d61163d3</t>
        </is>
      </c>
      <c r="K161" s="44" t="n">
        <v>991</v>
      </c>
      <c r="L161" s="44" t="n">
        <v>745</v>
      </c>
      <c r="M161" s="44" t="inlineStr">
        <is>
          <t>Özgün teslim dosyası korundu. EXIF yönü uygulandı; kırpma yapılmadan en çok 1600 px, WebP kalite 84. Önceki kaynak değişiklik notları ayrıca korunur.</t>
        </is>
      </c>
      <c r="N161" s="44" t="inlineStr">
        <is>
          <t>Kayıttan doğrulandı</t>
        </is>
      </c>
      <c r="O161" s="44" t="n"/>
    </row>
    <row r="162" ht="54" customHeight="1">
      <c r="A162" s="44" t="inlineStr">
        <is>
          <t>eindhoven:photo:den-elzent-mahallesi-03</t>
        </is>
      </c>
      <c r="B162" s="44" t="inlineStr">
        <is>
          <t>https://commons.wikimedia.org/wiki/User:Mark_Bergsma</t>
        </is>
      </c>
      <c r="C162" s="44" t="inlineStr">
        <is>
          <t>https://commons.wikimedia.org/wiki/User:Mark_Bergsma</t>
        </is>
      </c>
      <c r="D162" s="44" t="inlineStr">
        <is>
          <t>https://upload.wikimedia.org/wikipedia/commons/8/87/Rijksmonument518795.jpg?utm_source=commons.wikimedia.org&amp;utm_campaign=imageinfo&amp;utm_content=original</t>
        </is>
      </c>
      <c r="E162" s="44" t="inlineStr">
        <is>
          <t>https://thumb.wikimedia.org/wikipedia/commons/thumb/8/87/Rijksmonument518795.jpg/1280px-Rijksmonument518795.jpg</t>
        </is>
      </c>
      <c r="F162" s="53" t="n">
        <v>46318</v>
      </c>
      <c r="G162" s="44" t="inlineStr">
        <is>
          <t>Fotoğraflar/eindhoven_den-elzent-mahallesi_03.jpg</t>
        </is>
      </c>
      <c r="H162" s="44" t="inlineStr">
        <is>
          <t>d702d98dfc222b02f84448d1c8591f74f1aa5c46a8b877bc90391a793ddfacf2</t>
        </is>
      </c>
      <c r="I162" s="44" t="inlineStr">
        <is>
          <t>Teslimler/WebKopyalari/d702d98dfc222b02f84448d1c8591f74f1aa5c46a8b877bc90391a793ddfacf2.webp</t>
        </is>
      </c>
      <c r="J162" s="44" t="inlineStr">
        <is>
          <t>d86d9f2a6d1a58d52145c01487de156baaf109bed4422bbe6b48043129f5902c</t>
        </is>
      </c>
      <c r="K162" s="44" t="n">
        <v>1280</v>
      </c>
      <c r="L162" s="44" t="n">
        <v>956</v>
      </c>
      <c r="M162" s="44" t="inlineStr">
        <is>
          <t>Özgün teslim dosyası korundu. EXIF yönü uygulandı; kırpma yapılmadan en çok 1600 px, WebP kalite 84. Önceki kaynak değişiklik notları ayrıca korunur.</t>
        </is>
      </c>
      <c r="N162" s="44" t="inlineStr">
        <is>
          <t>Kayıttan doğrulandı</t>
        </is>
      </c>
      <c r="O162" s="44" t="n"/>
    </row>
    <row r="163" ht="54" customHeight="1">
      <c r="A163" s="44" t="inlineStr">
        <is>
          <t>eindhoven:photo:lakerlopen-mahallesi-03</t>
        </is>
      </c>
      <c r="B163" s="44" t="inlineStr">
        <is>
          <t>https://commons.wikimedia.org/wiki/User:Lempkesfabriek</t>
        </is>
      </c>
      <c r="C163" s="44" t="inlineStr">
        <is>
          <t>https://commons.wikimedia.org/wiki/User:Lempkesfabriek</t>
        </is>
      </c>
      <c r="D163" s="44" t="inlineStr">
        <is>
          <t>https://upload.wikimedia.org/wikipedia/commons/4/40/Lakerlopen02.jpg?utm_source=commons.wikimedia.org&amp;utm_campaign=imageinfo&amp;utm_content=original</t>
        </is>
      </c>
      <c r="E163" s="44" t="inlineStr">
        <is>
          <t>https://upload.wikimedia.org/wikipedia/commons/4/40/Lakerlopen02.jpg</t>
        </is>
      </c>
      <c r="F163" s="53" t="n">
        <v>46318</v>
      </c>
      <c r="G163" s="44" t="inlineStr">
        <is>
          <t>Fotoğraflar/eindhoven_lakerlopen-mahallesi_03.jpg</t>
        </is>
      </c>
      <c r="H163" s="44" t="inlineStr">
        <is>
          <t>10de1f098e41a108bbf34bb48787063262d023db79ecdd1bbe742b0b8dc7b25a</t>
        </is>
      </c>
      <c r="I163" s="44" t="inlineStr">
        <is>
          <t>Teslimler/WebKopyalari/10de1f098e41a108bbf34bb48787063262d023db79ecdd1bbe742b0b8dc7b25a.webp</t>
        </is>
      </c>
      <c r="J163" s="44" t="inlineStr">
        <is>
          <t>38a74690d50ac7dfa932f5184c1d3c32b808876f21700173f78e0c6c2deb79e1</t>
        </is>
      </c>
      <c r="K163" s="44" t="n">
        <v>850</v>
      </c>
      <c r="L163" s="44" t="n">
        <v>638</v>
      </c>
      <c r="M163" s="44" t="inlineStr">
        <is>
          <t>Özgün teslim dosyası korundu. EXIF yönü uygulandı; kırpma yapılmadan en çok 1600 px, WebP kalite 84. Önceki kaynak değişiklik notları ayrıca korunur.</t>
        </is>
      </c>
      <c r="N163" s="44" t="inlineStr">
        <is>
          <t>Kayıttan doğrulandı</t>
        </is>
      </c>
      <c r="O163" s="44" t="n"/>
    </row>
    <row r="164" ht="54" customHeight="1">
      <c r="A164" s="44" t="inlineStr">
        <is>
          <t>eindhoven:photo:18-septemberplein-04</t>
        </is>
      </c>
      <c r="B164" s="44" t="inlineStr">
        <is>
          <t>https://www.wikidata.org/wiki/Q15080600</t>
        </is>
      </c>
      <c r="C164" s="44" t="inlineStr">
        <is>
          <t>https://www.wikidata.org/wiki/Q15080600</t>
        </is>
      </c>
      <c r="D164" s="44" t="inlineStr">
        <is>
          <t>https://upload.wikimedia.org/wikipedia/commons/4/46/13-06-28-eindhoven-by-RalfR-17.jpg?utm_source=commons.wikimedia.org&amp;utm_campaign=imageinfo&amp;utm_content=original</t>
        </is>
      </c>
      <c r="E164" s="44" t="inlineStr">
        <is>
          <t>https://thumb.wikimedia.org/wikipedia/commons/thumb/4/46/13-06-28-eindhoven-by-RalfR-17.jpg/1280px-13-06-28-eindhoven-by-RalfR-17.jpg</t>
        </is>
      </c>
      <c r="F164" s="53" t="n">
        <v>46318</v>
      </c>
      <c r="G164" s="44" t="inlineStr">
        <is>
          <t>Fotoğraflar/eindhoven_18-septemberplein_04.jpg</t>
        </is>
      </c>
      <c r="H164" s="44" t="inlineStr">
        <is>
          <t>47eb148abfc7376817b73496e78296364754f65a6389281f87b91aa8ec629ff3</t>
        </is>
      </c>
      <c r="I164" s="44" t="inlineStr">
        <is>
          <t>Teslimler/WebKopyalari/47eb148abfc7376817b73496e78296364754f65a6389281f87b91aa8ec629ff3.webp</t>
        </is>
      </c>
      <c r="J164" s="44" t="inlineStr">
        <is>
          <t>ee2c53ff485fe807f08a234bc07e9463b4b79e5989347bb6315ced993c67d5f4</t>
        </is>
      </c>
      <c r="K164" s="44" t="n">
        <v>1280</v>
      </c>
      <c r="L164" s="44" t="n">
        <v>850</v>
      </c>
      <c r="M164" s="44" t="inlineStr">
        <is>
          <t>Özgün teslim dosyası korundu. EXIF yönü uygulandı; kırpma yapılmadan en çok 1600 px, WebP kalite 84. Önceki kaynak değişiklik notları ayrıca korunur.</t>
        </is>
      </c>
      <c r="N164" s="44" t="inlineStr">
        <is>
          <t>Kayıttan doğrulandı</t>
        </is>
      </c>
      <c r="O164" s="44" t="n"/>
    </row>
    <row r="165" ht="54" customHeight="1">
      <c r="A165" s="44" t="inlineStr">
        <is>
          <t>eindhoven:photo:daf-museum-04</t>
        </is>
      </c>
      <c r="B165" s="44" t="inlineStr">
        <is>
          <t>https://www.flickr.com/people/91830216@N03</t>
        </is>
      </c>
      <c r="C165" s="44" t="inlineStr">
        <is>
          <t>https://www.flickr.com/people/91830216@N03</t>
        </is>
      </c>
      <c r="D165" s="44" t="inlineStr">
        <is>
          <t>https://upload.wikimedia.org/wikipedia/commons/8/87/DAF_Museum%2C_Eindhoven_%2816064093033%29.jpg?utm_source=commons.wikimedia.org&amp;utm_campaign=imageinfo&amp;utm_content=original</t>
        </is>
      </c>
      <c r="E165" s="44" t="inlineStr">
        <is>
          <t>https://thumb.wikimedia.org/wikipedia/commons/thumb/8/87/DAF_Museum%2C_Eindhoven_%2816064093033%29.jpg/1280px-DAF_Museum%2C_Eindhoven_%2816064093033%29.jpg</t>
        </is>
      </c>
      <c r="F165" s="53" t="n">
        <v>46318</v>
      </c>
      <c r="G165" s="44" t="inlineStr">
        <is>
          <t>Fotoğraflar/eindhoven_daf-museum_04.jpg</t>
        </is>
      </c>
      <c r="H165" s="44" t="inlineStr">
        <is>
          <t>62c445b1fb9cd9d3efb86697df01c0b400ac2a28e3cb27c48a7fff73a2e63073</t>
        </is>
      </c>
      <c r="I165" s="44" t="inlineStr">
        <is>
          <t>Teslimler/WebKopyalari/62c445b1fb9cd9d3efb86697df01c0b400ac2a28e3cb27c48a7fff73a2e63073.webp</t>
        </is>
      </c>
      <c r="J165" s="44" t="inlineStr">
        <is>
          <t>521ba4abf3b90630e5ed8ad47591eef63b97799b1733516d3f389e60086802ab</t>
        </is>
      </c>
      <c r="K165" s="44" t="n">
        <v>1280</v>
      </c>
      <c r="L165" s="44" t="n">
        <v>853</v>
      </c>
      <c r="M165" s="44" t="inlineStr">
        <is>
          <t>Özgün teslim dosyası korundu. EXIF yönü uygulandı; kırpma yapılmadan en çok 1600 px, WebP kalite 84. Önceki kaynak değişiklik notları ayrıca korunur.</t>
        </is>
      </c>
      <c r="N165" s="44" t="inlineStr">
        <is>
          <t>Kayıttan doğrulandı</t>
        </is>
      </c>
      <c r="O165" s="44" t="n"/>
    </row>
    <row r="166" ht="54" customHeight="1">
      <c r="A166" s="44" t="inlineStr">
        <is>
          <t>eindhoven:photo:daf-museum-05</t>
        </is>
      </c>
      <c r="B166" s="44" t="inlineStr">
        <is>
          <t>https://www.flickr.com/people/91830216@N03</t>
        </is>
      </c>
      <c r="C166" s="44" t="inlineStr">
        <is>
          <t>https://www.flickr.com/people/91830216@N03</t>
        </is>
      </c>
      <c r="D166" s="44" t="inlineStr">
        <is>
          <t>https://upload.wikimedia.org/wikipedia/commons/b/ba/DAF_Museum%2C_Eindhoven_%2816476776987%29.jpg?utm_source=commons.wikimedia.org&amp;utm_campaign=imageinfo&amp;utm_content=original</t>
        </is>
      </c>
      <c r="E166" s="44" t="inlineStr">
        <is>
          <t>https://thumb.wikimedia.org/wikipedia/commons/thumb/b/ba/DAF_Museum%2C_Eindhoven_%2816476776987%29.jpg/1280px-DAF_Museum%2C_Eindhoven_%2816476776987%29.jpg</t>
        </is>
      </c>
      <c r="F166" s="53" t="n">
        <v>46318</v>
      </c>
      <c r="G166" s="44" t="inlineStr">
        <is>
          <t>Fotoğraflar/eindhoven_daf-museum_05.jpg</t>
        </is>
      </c>
      <c r="H166" s="44" t="inlineStr">
        <is>
          <t>c901913d4f26f8763873bdce0620c2803bade0eae1d885f559b1e3851fd625dc</t>
        </is>
      </c>
      <c r="I166" s="44" t="inlineStr">
        <is>
          <t>Teslimler/WebKopyalari/c901913d4f26f8763873bdce0620c2803bade0eae1d885f559b1e3851fd625dc.webp</t>
        </is>
      </c>
      <c r="J166" s="44" t="inlineStr">
        <is>
          <t>5db785e486e6c0fa128237f6bbca45da8afc7dfe740d63a4b22e461e8b9f7097</t>
        </is>
      </c>
      <c r="K166" s="44" t="n">
        <v>1280</v>
      </c>
      <c r="L166" s="44" t="n">
        <v>853</v>
      </c>
      <c r="M166" s="44" t="inlineStr">
        <is>
          <t>Özgün teslim dosyası korundu. EXIF yönü uygulandı; kırpma yapılmadan en çok 1600 px, WebP kalite 84. Önceki kaynak değişiklik notları ayrıca korunur.</t>
        </is>
      </c>
      <c r="N166" s="44" t="inlineStr">
        <is>
          <t>Kayıttan doğrulandı</t>
        </is>
      </c>
      <c r="O166" s="44" t="n"/>
    </row>
    <row r="167" ht="54" customHeight="1">
      <c r="A167" s="44" t="inlineStr">
        <is>
          <t>eindhoven:photo:henri-dunantpark-04</t>
        </is>
      </c>
      <c r="B167" s="44" t="inlineStr">
        <is>
          <t>https://commons.wikimedia.org/wiki/User:S._Perquin</t>
        </is>
      </c>
      <c r="C167" s="44" t="inlineStr">
        <is>
          <t>https://commons.wikimedia.org/wiki/User:S._Perquin</t>
        </is>
      </c>
      <c r="D167" s="44" t="inlineStr">
        <is>
          <t>https://upload.wikimedia.org/wikipedia/commons/a/a2/Speelpark_De_Splinter_%282025%29_%283%29.jpg?utm_source=commons.wikimedia.org&amp;utm_campaign=imageinfo&amp;utm_content=original</t>
        </is>
      </c>
      <c r="E167" s="44" t="inlineStr">
        <is>
          <t>https://thumb.wikimedia.org/wikipedia/commons/thumb/a/a2/Speelpark_De_Splinter_%282025%29_%283%29.jpg/1280px-Speelpark_De_Splinter_%282025%29_%283%29.jpg</t>
        </is>
      </c>
      <c r="F167" s="53" t="n">
        <v>46318</v>
      </c>
      <c r="G167" s="44" t="inlineStr">
        <is>
          <t>Fotoğraflar/eindhoven_henri-dunantpark_04.jpg</t>
        </is>
      </c>
      <c r="H167" s="44" t="inlineStr">
        <is>
          <t>9e3158e1bfda5adb8ee57822485bd825605858b40a4f49e2c91ab23d8821e34f</t>
        </is>
      </c>
      <c r="I167" s="44" t="inlineStr">
        <is>
          <t>Teslimler/WebKopyalari/9e3158e1bfda5adb8ee57822485bd825605858b40a4f49e2c91ab23d8821e34f.webp</t>
        </is>
      </c>
      <c r="J167" s="44" t="inlineStr">
        <is>
          <t>8de18a82c748e9a4f49573351830a904e094d895260710a19f87e6f8ce8d65a9</t>
        </is>
      </c>
      <c r="K167" s="44" t="n">
        <v>1280</v>
      </c>
      <c r="L167" s="44" t="n">
        <v>853</v>
      </c>
      <c r="M167" s="44" t="inlineStr">
        <is>
          <t>Özgün teslim dosyası korundu. EXIF yönü uygulandı; kırpma yapılmadan en çok 1600 px, WebP kalite 84. Önceki kaynak değişiklik notları ayrıca korunur.</t>
        </is>
      </c>
      <c r="N167" s="44" t="inlineStr">
        <is>
          <t>Kayıttan doğrulandı</t>
        </is>
      </c>
      <c r="O167" s="44" t="n"/>
    </row>
    <row r="168" ht="54" customHeight="1">
      <c r="A168" s="44" t="inlineStr">
        <is>
          <t>eindhoven:photo:catharinakerkhof-04</t>
        </is>
      </c>
      <c r="B168" s="44" t="inlineStr">
        <is>
          <t>https://www.wikidata.org/wiki/Q100423837</t>
        </is>
      </c>
      <c r="C168" s="44" t="inlineStr">
        <is>
          <t>https://www.wikidata.org/wiki/Q100423837</t>
        </is>
      </c>
      <c r="D168" s="44" t="inlineStr">
        <is>
          <t>https://upload.wikimedia.org/wikipedia/commons/7/7e/Gedeelte_van_de_ommuring_van_de_begraafplaats_-_Eindhoven_-_20410901_-_RCE.jpg?utm_source=commons.wikimedia.org&amp;utm_campaign=imageinfo&amp;utm_content=original</t>
        </is>
      </c>
      <c r="E168" s="44" t="inlineStr">
        <is>
          <t>https://thumb.wikimedia.org/wikipedia/commons/thumb/7/7e/Gedeelte_van_de_ommuring_van_de_begraafplaats_-_Eindhoven_-_20410901_-_RCE.jpg/1280px-Gedeelte_van_de_ommuring_van_de_begraafplaats_-_Eindhoven_-_20410901_-_RCE.jpg</t>
        </is>
      </c>
      <c r="F168" s="53" t="n">
        <v>46318</v>
      </c>
      <c r="G168" s="44" t="inlineStr">
        <is>
          <t>Fotoğraflar/eindhoven_catharinakerkhof_04.jpg</t>
        </is>
      </c>
      <c r="H168" s="44" t="inlineStr">
        <is>
          <t>8c784acfb89f3efb281a1df46a53f55fa3365e98bd85ae136a232a92bb519a65</t>
        </is>
      </c>
      <c r="I168" s="44" t="inlineStr">
        <is>
          <t>Teslimler/WebKopyalari/8c784acfb89f3efb281a1df46a53f55fa3365e98bd85ae136a232a92bb519a65.webp</t>
        </is>
      </c>
      <c r="J168" s="44" t="inlineStr">
        <is>
          <t>fa3d1abf9ebfc81586266fc5d8b2f565621c003ce31bb1d96cdf29be4d639ee4</t>
        </is>
      </c>
      <c r="K168" s="44" t="n">
        <v>1280</v>
      </c>
      <c r="L168" s="44" t="n">
        <v>853</v>
      </c>
      <c r="M168" s="44" t="inlineStr">
        <is>
          <t>Özgün teslim dosyası korundu. EXIF yönü uygulandı; kırpma yapılmadan en çok 1600 px, WebP kalite 84. Önceki kaynak değişiklik notları ayrıca korunur.</t>
        </is>
      </c>
      <c r="N168" s="44" t="inlineStr">
        <is>
          <t>Kayıttan doğrulandı</t>
        </is>
      </c>
      <c r="O168" s="44" t="n"/>
    </row>
    <row r="169" ht="54" customHeight="1">
      <c r="A169" s="44" t="inlineStr">
        <is>
          <t>eindhoven:photo:huize-de-laak-04</t>
        </is>
      </c>
      <c r="B169" s="44" t="inlineStr">
        <is>
          <t>https://commons.wikimedia.org/wiki/User:Perquirius</t>
        </is>
      </c>
      <c r="C169" s="44" t="inlineStr">
        <is>
          <t>https://commons.wikimedia.org/wiki/User:Perquirius</t>
        </is>
      </c>
      <c r="D169" s="44" t="inlineStr">
        <is>
          <t>https://upload.wikimedia.org/wikipedia/commons/e/e7/Dubbele_dienstwoning_Huize_De_Laak_%282026%29.jpg?utm_source=commons.wikimedia.org&amp;utm_campaign=imageinfo&amp;utm_content=original</t>
        </is>
      </c>
      <c r="E169" s="44" t="inlineStr">
        <is>
          <t>https://thumb.wikimedia.org/wikipedia/commons/thumb/e/e7/Dubbele_dienstwoning_Huize_De_Laak_%282026%29.jpg/1280px-Dubbele_dienstwoning_Huize_De_Laak_%282026%29.jpg</t>
        </is>
      </c>
      <c r="F169" s="53" t="n">
        <v>46318</v>
      </c>
      <c r="G169" s="44" t="inlineStr">
        <is>
          <t>Fotoğraflar/eindhoven_huize-de-laak_04.jpg</t>
        </is>
      </c>
      <c r="H169" s="44" t="inlineStr">
        <is>
          <t>5e67621146f9030e8d5521ca3df8e3fe8d5cdb2791d9bb5b0cf17abff086e0f3</t>
        </is>
      </c>
      <c r="I169" s="44" t="inlineStr">
        <is>
          <t>Teslimler/WebKopyalari/5e67621146f9030e8d5521ca3df8e3fe8d5cdb2791d9bb5b0cf17abff086e0f3.webp</t>
        </is>
      </c>
      <c r="J169" s="44" t="inlineStr">
        <is>
          <t>b82bc5c4ff7cf97f8f3a0ce7dee4d9b0ee06f0efe07f50461e842916cc72ad93</t>
        </is>
      </c>
      <c r="K169" s="44" t="n">
        <v>1280</v>
      </c>
      <c r="L169" s="44" t="n">
        <v>853</v>
      </c>
      <c r="M169" s="44" t="inlineStr">
        <is>
          <t>Özgün teslim dosyası korundu. EXIF yönü uygulandı; kırpma yapılmadan en çok 1600 px, WebP kalite 84. Önceki kaynak değişiklik notları ayrıca korunur.</t>
        </is>
      </c>
      <c r="N169" s="44" t="inlineStr">
        <is>
          <t>Kayıttan doğrulandı</t>
        </is>
      </c>
      <c r="O169" s="44" t="n"/>
    </row>
    <row r="170" ht="54" customHeight="1">
      <c r="A170" s="44" t="inlineStr">
        <is>
          <t>eindhoven:photo:huize-de-laak-05</t>
        </is>
      </c>
      <c r="B170" s="44" t="inlineStr">
        <is>
          <t>https://commons.wikimedia.org/wiki/User:Mark_Bergsma</t>
        </is>
      </c>
      <c r="C170" s="44" t="inlineStr">
        <is>
          <t>https://commons.wikimedia.org/wiki/User:Mark_Bergsma</t>
        </is>
      </c>
      <c r="D170" s="44" t="inlineStr">
        <is>
          <t>https://upload.wikimedia.org/wikipedia/commons/1/13/Koetshuis_DeLaakEindhoven_Rijksmonument518760.jpg?utm_source=commons.wikimedia.org&amp;utm_campaign=imageinfo&amp;utm_content=original</t>
        </is>
      </c>
      <c r="E170" s="44" t="inlineStr">
        <is>
          <t>https://thumb.wikimedia.org/wikipedia/commons/thumb/1/13/Koetshuis_DeLaakEindhoven_Rijksmonument518760.jpg/1280px-Koetshuis_DeLaakEindhoven_Rijksmonument518760.jpg</t>
        </is>
      </c>
      <c r="F170" s="53" t="n">
        <v>46318</v>
      </c>
      <c r="G170" s="44" t="inlineStr">
        <is>
          <t>Fotoğraflar/eindhoven_huize-de-laak_05.jpg</t>
        </is>
      </c>
      <c r="H170" s="44" t="inlineStr">
        <is>
          <t>5500568d22e023ad3c1e96bea026978f8d302b138f1c8e9406786a71dda32325</t>
        </is>
      </c>
      <c r="I170" s="44" t="inlineStr">
        <is>
          <t>Teslimler/WebKopyalari/5500568d22e023ad3c1e96bea026978f8d302b138f1c8e9406786a71dda32325.webp</t>
        </is>
      </c>
      <c r="J170" s="44" t="inlineStr">
        <is>
          <t>b80abcb0ef344ddfb069a998fd22a2515ce329388767384af6794980d38d74c7</t>
        </is>
      </c>
      <c r="K170" s="44" t="n">
        <v>1280</v>
      </c>
      <c r="L170" s="44" t="n">
        <v>720</v>
      </c>
      <c r="M170" s="44" t="inlineStr">
        <is>
          <t>Özgün teslim dosyası korundu. EXIF yönü uygulandı; kırpma yapılmadan en çok 1600 px, WebP kalite 84. Önceki kaynak değişiklik notları ayrıca korunur.</t>
        </is>
      </c>
      <c r="N170" s="44" t="inlineStr">
        <is>
          <t>Kayıttan doğrulandı</t>
        </is>
      </c>
      <c r="O170" s="44" t="n"/>
    </row>
    <row r="171" ht="54" customHeight="1">
      <c r="A171" s="44" t="inlineStr">
        <is>
          <t>eindhoven:photo:centrum-bolgesi-04</t>
        </is>
      </c>
      <c r="B171" s="44" t="inlineStr">
        <is>
          <t>https://commons.wikimedia.org/wiki/User:G.Lanting</t>
        </is>
      </c>
      <c r="C171" s="44" t="inlineStr">
        <is>
          <t>https://commons.wikimedia.org/wiki/User:G.Lanting</t>
        </is>
      </c>
      <c r="D171" s="44" t="inlineStr">
        <is>
          <t>https://upload.wikimedia.org/wikipedia/commons/8/83/Eindhoven_Centrum_023.JPG?utm_source=commons.wikimedia.org&amp;utm_campaign=imageinfo&amp;utm_content=original</t>
        </is>
      </c>
      <c r="E171" s="44" t="inlineStr">
        <is>
          <t>https://thumb.wikimedia.org/wikipedia/commons/thumb/8/83/Eindhoven_Centrum_023.JPG/1280px-Eindhoven_Centrum_023.JPG</t>
        </is>
      </c>
      <c r="F171" s="53" t="n">
        <v>46318</v>
      </c>
      <c r="G171" s="44" t="inlineStr">
        <is>
          <t>Fotoğraflar/eindhoven_centrum-bolgesi_04.jpg</t>
        </is>
      </c>
      <c r="H171" s="44" t="inlineStr">
        <is>
          <t>be878ee9daa538129ab2e70ada65d110b23d684b35b6444d71d967d15c81e60e</t>
        </is>
      </c>
      <c r="I171" s="44" t="inlineStr">
        <is>
          <t>Teslimler/WebKopyalari/be878ee9daa538129ab2e70ada65d110b23d684b35b6444d71d967d15c81e60e.webp</t>
        </is>
      </c>
      <c r="J171" s="44" t="inlineStr">
        <is>
          <t>a2ca02be86c6baeddf2636de759f1d9044516e71384e005287a8f398a9b13f17</t>
        </is>
      </c>
      <c r="K171" s="44" t="n">
        <v>1280</v>
      </c>
      <c r="L171" s="44" t="n">
        <v>971</v>
      </c>
      <c r="M171" s="44" t="inlineStr">
        <is>
          <t>Özgün teslim dosyası korundu. EXIF yönü uygulandı; kırpma yapılmadan en çok 1600 px, WebP kalite 84. Önceki kaynak değişiklik notları ayrıca korunur.</t>
        </is>
      </c>
      <c r="N171" s="44" t="inlineStr">
        <is>
          <t>Kayıttan doğrulandı</t>
        </is>
      </c>
      <c r="O171" s="44" t="n"/>
    </row>
    <row r="172" ht="54" customHeight="1">
      <c r="A172" s="44" t="inlineStr">
        <is>
          <t>eindhoven:photo:stadswandelpark-04</t>
        </is>
      </c>
      <c r="B172" s="44" t="inlineStr">
        <is>
          <t>https://commons.wikimedia.org/wiki/User:Rosemoon</t>
        </is>
      </c>
      <c r="C172" s="44" t="inlineStr">
        <is>
          <t>https://commons.wikimedia.org/wiki/User:Rosemoon</t>
        </is>
      </c>
      <c r="D172" s="44" t="inlineStr">
        <is>
          <t>https://upload.wikimedia.org/wikipedia/commons/3/3c/0772_WN011_Stadswandelpark_Eindhoven.jpg?utm_source=commons.wikimedia.org&amp;utm_campaign=imageinfo&amp;utm_content=original</t>
        </is>
      </c>
      <c r="E172" s="44" t="inlineStr">
        <is>
          <t>https://thumb.wikimedia.org/wikipedia/commons/thumb/3/3c/0772_WN011_Stadswandelpark_Eindhoven.jpg/1280px-0772_WN011_Stadswandelpark_Eindhoven.jpg</t>
        </is>
      </c>
      <c r="F172" s="53" t="n">
        <v>46318</v>
      </c>
      <c r="G172" s="44" t="inlineStr">
        <is>
          <t>Fotoğraflar/eindhoven_stadswandelpark_04.jpg</t>
        </is>
      </c>
      <c r="H172" s="44" t="inlineStr">
        <is>
          <t>f855d34b644e1bc5761b9069a068393dde10263063702477f9db84e5cea01e9a</t>
        </is>
      </c>
      <c r="I172" s="44" t="inlineStr">
        <is>
          <t>Teslimler/WebKopyalari/f855d34b644e1bc5761b9069a068393dde10263063702477f9db84e5cea01e9a.webp</t>
        </is>
      </c>
      <c r="J172" s="44" t="inlineStr">
        <is>
          <t>8de840a64ff1119bf9b65c8949d01d094b9d74ff7f41ca9b75ac465f0b972440</t>
        </is>
      </c>
      <c r="K172" s="44" t="n">
        <v>1280</v>
      </c>
      <c r="L172" s="44" t="n">
        <v>853</v>
      </c>
      <c r="M172" s="44" t="inlineStr">
        <is>
          <t>Özgün teslim dosyası korundu. EXIF yönü uygulandı; kırpma yapılmadan en çok 1600 px, WebP kalite 84. Önceki kaynak değişiklik notları ayrıca korunur.</t>
        </is>
      </c>
      <c r="N172" s="44" t="inlineStr">
        <is>
          <t>Kayıttan doğrulandı</t>
        </is>
      </c>
      <c r="O172" s="44" t="n"/>
    </row>
    <row r="173" ht="54" customHeight="1">
      <c r="A173" s="44" t="inlineStr">
        <is>
          <t>eindhoven:photo:speelpark-de-splinter-04</t>
        </is>
      </c>
      <c r="B173" s="44" t="inlineStr">
        <is>
          <t>https://commons.wikimedia.org/wiki/User:S._Perquin</t>
        </is>
      </c>
      <c r="C173" s="44" t="inlineStr">
        <is>
          <t>https://commons.wikimedia.org/wiki/User:S._Perquin</t>
        </is>
      </c>
      <c r="D173" s="44" t="inlineStr">
        <is>
          <t>https://upload.wikimedia.org/wikipedia/commons/f/f0/Speelpark_De_Splinter_%282025%29_%281%29.jpg?utm_source=commons.wikimedia.org&amp;utm_campaign=imageinfo&amp;utm_content=original</t>
        </is>
      </c>
      <c r="E173" s="44" t="inlineStr">
        <is>
          <t>https://thumb.wikimedia.org/wikipedia/commons/thumb/f/f0/Speelpark_De_Splinter_%282025%29_%281%29.jpg/1280px-Speelpark_De_Splinter_%282025%29_%281%29.jpg</t>
        </is>
      </c>
      <c r="F173" s="53" t="n">
        <v>46318</v>
      </c>
      <c r="G173" s="44" t="inlineStr">
        <is>
          <t>Fotoğraflar/eindhoven_speelpark-de-splinter_04.jpg</t>
        </is>
      </c>
      <c r="H173" s="44" t="inlineStr">
        <is>
          <t>1c5e0b6fe4b77e3ee3f4f21d2cff206a438b411429564560c49e4c8d843ce529</t>
        </is>
      </c>
      <c r="I173" s="44" t="inlineStr">
        <is>
          <t>Teslimler/WebKopyalari/1c5e0b6fe4b77e3ee3f4f21d2cff206a438b411429564560c49e4c8d843ce529.webp</t>
        </is>
      </c>
      <c r="J173" s="44" t="inlineStr">
        <is>
          <t>5600937a1f358b788789913f00289fe48f93297089c350b8e67945e98fab1e11</t>
        </is>
      </c>
      <c r="K173" s="44" t="n">
        <v>1280</v>
      </c>
      <c r="L173" s="44" t="n">
        <v>853</v>
      </c>
      <c r="M173" s="44" t="inlineStr">
        <is>
          <t>Özgün teslim dosyası korundu. EXIF yönü uygulandı; kırpma yapılmadan en çok 1600 px, WebP kalite 84. Önceki kaynak değişiklik notları ayrıca korunur.</t>
        </is>
      </c>
      <c r="N173" s="44" t="inlineStr">
        <is>
          <t>Kayıttan doğrulandı</t>
        </is>
      </c>
      <c r="O173" s="44" t="n"/>
    </row>
    <row r="174" ht="54" customHeight="1">
      <c r="A174" s="44" t="inlineStr">
        <is>
          <t>eindhoven:photo:witte-dorp-mahallesi-04</t>
        </is>
      </c>
      <c r="B174" s="44" t="inlineStr">
        <is>
          <t>https://commons.wikimedia.org/wiki/User:Rosemoon</t>
        </is>
      </c>
      <c r="C174" s="44" t="inlineStr">
        <is>
          <t>https://commons.wikimedia.org/wiki/User:Rosemoon</t>
        </is>
      </c>
      <c r="D174" s="44" t="inlineStr">
        <is>
          <t>https://upload.wikimedia.org/wikipedia/commons/4/46/Monument_518735%2C_Sint_Jorislaan_2_Eindhoven-2.jpg?utm_source=commons.wikimedia.org&amp;utm_campaign=imageinfo&amp;utm_content=original</t>
        </is>
      </c>
      <c r="E174" s="44" t="inlineStr">
        <is>
          <t>https://thumb.wikimedia.org/wikipedia/commons/thumb/4/46/Monument_518735%2C_Sint_Jorislaan_2_Eindhoven-2.jpg/1280px-Monument_518735%2C_Sint_Jorislaan_2_Eindhoven-2.jpg</t>
        </is>
      </c>
      <c r="F174" s="53" t="n">
        <v>46318</v>
      </c>
      <c r="G174" s="44" t="inlineStr">
        <is>
          <t>Fotoğraflar/eindhoven_witte-dorp-mahallesi_04.jpg</t>
        </is>
      </c>
      <c r="H174" s="44" t="inlineStr">
        <is>
          <t>981da1bb8c9adeebd28689c091a54ca477ba1f7175c7efe915dabb807394f7d8</t>
        </is>
      </c>
      <c r="I174" s="44" t="inlineStr">
        <is>
          <t>Teslimler/WebKopyalari/981da1bb8c9adeebd28689c091a54ca477ba1f7175c7efe915dabb807394f7d8.webp</t>
        </is>
      </c>
      <c r="J174" s="44" t="inlineStr">
        <is>
          <t>8b1db02195985df3e29d8b284a822615f2b20bec463c9ced275a36b72a1d5b91</t>
        </is>
      </c>
      <c r="K174" s="44" t="n">
        <v>1280</v>
      </c>
      <c r="L174" s="44" t="n">
        <v>960</v>
      </c>
      <c r="M174" s="44" t="inlineStr">
        <is>
          <t>Özgün teslim dosyası korundu. EXIF yönü uygulandı; kırpma yapılmadan en çok 1600 px, WebP kalite 84. Önceki kaynak değişiklik notları ayrıca korunur.</t>
        </is>
      </c>
      <c r="N174" s="44" t="inlineStr">
        <is>
          <t>Kayıttan doğrulandı</t>
        </is>
      </c>
      <c r="O174" s="44" t="n"/>
    </row>
    <row r="175" ht="54" customHeight="1">
      <c r="A175" s="44" t="inlineStr">
        <is>
          <t>eindhoven:photo:riel-mahallesi-04</t>
        </is>
      </c>
      <c r="B175" s="44" t="inlineStr">
        <is>
          <t>https://commons.wikimedia.org/wiki/User:Rosemoon</t>
        </is>
      </c>
      <c r="C175" s="44" t="inlineStr">
        <is>
          <t>https://commons.wikimedia.org/wiki/User:Rosemoon</t>
        </is>
      </c>
      <c r="D175" s="44" t="inlineStr">
        <is>
          <t>https://upload.wikimedia.org/wikipedia/commons/1/1c/Riel_8%2C_Eindhoven-3.jpg?utm_source=commons.wikimedia.org&amp;utm_campaign=imageinfo&amp;utm_content=original</t>
        </is>
      </c>
      <c r="E175" s="44" t="inlineStr">
        <is>
          <t>https://thumb.wikimedia.org/wikipedia/commons/thumb/1/1c/Riel_8%2C_Eindhoven-3.jpg/1280px-Riel_8%2C_Eindhoven-3.jpg</t>
        </is>
      </c>
      <c r="F175" s="53" t="n">
        <v>46318</v>
      </c>
      <c r="G175" s="44" t="inlineStr">
        <is>
          <t>Fotoğraflar/eindhoven_riel-mahallesi_04.jpg</t>
        </is>
      </c>
      <c r="H175" s="44" t="inlineStr">
        <is>
          <t>d81e2ab064f63ea46d7eb9d9e8b2f46a79eff2cb68cea33b20ed842855d22340</t>
        </is>
      </c>
      <c r="I175" s="44" t="inlineStr">
        <is>
          <t>Teslimler/WebKopyalari/d81e2ab064f63ea46d7eb9d9e8b2f46a79eff2cb68cea33b20ed842855d22340.webp</t>
        </is>
      </c>
      <c r="J175" s="44" t="inlineStr">
        <is>
          <t>6e81b8a2a5923cf07cbbcf54ec4dc9baad073a02c9aae7923bdc424afd38157a</t>
        </is>
      </c>
      <c r="K175" s="44" t="n">
        <v>1280</v>
      </c>
      <c r="L175" s="44" t="n">
        <v>960</v>
      </c>
      <c r="M175" s="44" t="inlineStr">
        <is>
          <t>Özgün teslim dosyası korundu. EXIF yönü uygulandı; kırpma yapılmadan en çok 1600 px, WebP kalite 84. Önceki kaynak değişiklik notları ayrıca korunur.</t>
        </is>
      </c>
      <c r="N175" s="44" t="inlineStr">
        <is>
          <t>Kayıttan doğrulandı</t>
        </is>
      </c>
      <c r="O175" s="44" t="n"/>
    </row>
    <row r="176" ht="54" customHeight="1">
      <c r="A176" s="44" t="inlineStr">
        <is>
          <t>eindhoven:photo:tongelre-bolgesi-04</t>
        </is>
      </c>
      <c r="B176" s="44" t="n"/>
      <c r="C176" s="44" t="inlineStr">
        <is>
          <t>https://commons.wikimedia.org/wiki/File:Eindhoven_Tongelre_Celebeslaan_30_Philipsboerderij.jpg</t>
        </is>
      </c>
      <c r="D176" s="44" t="inlineStr">
        <is>
          <t>https://upload.wikimedia.org/wikipedia/commons/2/2a/Eindhoven_Tongelre_Celebeslaan_30_Philipsboerderij.jpg?utm_source=commons.wikimedia.org&amp;utm_campaign=imageinfo&amp;utm_content=original</t>
        </is>
      </c>
      <c r="E176" s="44" t="inlineStr">
        <is>
          <t>https://thumb.wikimedia.org/wikipedia/commons/thumb/2/2a/Eindhoven_Tongelre_Celebeslaan_30_Philipsboerderij.jpg/1280px-Eindhoven_Tongelre_Celebeslaan_30_Philipsboerderij.jpg</t>
        </is>
      </c>
      <c r="F176" s="53" t="n">
        <v>46318</v>
      </c>
      <c r="G176" s="44" t="inlineStr">
        <is>
          <t>Fotoğraflar/eindhoven_tongelre-bolgesi_04.jpg</t>
        </is>
      </c>
      <c r="H176" s="44" t="inlineStr">
        <is>
          <t>4733a214ead595277fa2aef9364e3d630e5349b74a9c3596658f0f23bc1d3533</t>
        </is>
      </c>
      <c r="I176" s="44" t="inlineStr">
        <is>
          <t>Teslimler/WebKopyalari/4733a214ead595277fa2aef9364e3d630e5349b74a9c3596658f0f23bc1d3533.webp</t>
        </is>
      </c>
      <c r="J176" s="44" t="inlineStr">
        <is>
          <t>9eecbde6d86b674152d410208c56f465d5525d768253202baff2334da72c84fa</t>
        </is>
      </c>
      <c r="K176" s="44" t="n">
        <v>1280</v>
      </c>
      <c r="L176" s="44" t="n">
        <v>960</v>
      </c>
      <c r="M176" s="44" t="inlineStr">
        <is>
          <t>Özgün teslim dosyası korundu. EXIF yönü uygulandı; kırpma yapılmadan en çok 1600 px, WebP kalite 84. Önceki kaynak değişiklik notları ayrıca korunur.</t>
        </is>
      </c>
      <c r="N176" s="44" t="inlineStr">
        <is>
          <t>Eksik alan var</t>
        </is>
      </c>
      <c r="O176" s="44" t="inlineStr">
        <is>
          <t>Kaynakta ayrı fotoğrafçı profil bağlantısı bulunmadı; fotoğraf kaynak sayfasına atıf korunur. Bağlantı uydurulmaz.</t>
        </is>
      </c>
    </row>
    <row r="177" ht="54" customHeight="1">
      <c r="A177" s="44" t="inlineStr">
        <is>
          <t>eindhoven:photo:parktheater-eindhoven-04</t>
        </is>
      </c>
      <c r="B177" s="44" t="inlineStr">
        <is>
          <t>https://commons.wikimedia.org/wiki/User:Alex_P._Kok</t>
        </is>
      </c>
      <c r="C177" s="44" t="inlineStr">
        <is>
          <t>https://commons.wikimedia.org/wiki/User:Alex_P._Kok</t>
        </is>
      </c>
      <c r="D177" s="44" t="inlineStr">
        <is>
          <t>https://upload.wikimedia.org/wikipedia/commons/3/3a/Parktheater_Eindhoven%2C_buiten_de_grote_zaal.jpg?utm_source=commons.wikimedia.org&amp;utm_campaign=imageinfo&amp;utm_content=original</t>
        </is>
      </c>
      <c r="E177" s="44" t="inlineStr">
        <is>
          <t>https://thumb.wikimedia.org/wikipedia/commons/thumb/3/3a/Parktheater_Eindhoven%2C_buiten_de_grote_zaal.jpg/1280px-Parktheater_Eindhoven%2C_buiten_de_grote_zaal.jpg</t>
        </is>
      </c>
      <c r="F177" s="53" t="n">
        <v>46318</v>
      </c>
      <c r="G177" s="44" t="inlineStr">
        <is>
          <t>Fotoğraflar/eindhoven_parktheater-eindhoven_04.jpg</t>
        </is>
      </c>
      <c r="H177" s="44" t="inlineStr">
        <is>
          <t>b510d8c9ee569180bb213808f172b5c4b60cc1d4a7bae4ff1b8c794e35884a7f</t>
        </is>
      </c>
      <c r="I177" s="44" t="inlineStr">
        <is>
          <t>Teslimler/WebKopyalari/b510d8c9ee569180bb213808f172b5c4b60cc1d4a7bae4ff1b8c794e35884a7f.webp</t>
        </is>
      </c>
      <c r="J177" s="44" t="inlineStr">
        <is>
          <t>91ed88b5d86f4fd30ba1caf9be02f8dd9fe8ea642f0645a81017da05238ea2a7</t>
        </is>
      </c>
      <c r="K177" s="44" t="n">
        <v>1280</v>
      </c>
      <c r="L177" s="44" t="n">
        <v>853</v>
      </c>
      <c r="M177" s="44" t="inlineStr">
        <is>
          <t>Özgün teslim dosyası korundu. EXIF yönü uygulandı; kırpma yapılmadan en çok 1600 px, WebP kalite 84. Önceki kaynak değişiklik notları ayrıca korunur.</t>
        </is>
      </c>
      <c r="N177" s="44" t="inlineStr">
        <is>
          <t>Kayıttan doğrulandı</t>
        </is>
      </c>
      <c r="O177" s="44" t="n"/>
    </row>
    <row r="178" ht="54" customHeight="1">
      <c r="A178" s="44" t="inlineStr">
        <is>
          <t>eindhoven:photo:parktheater-eindhoven-05</t>
        </is>
      </c>
      <c r="B178" s="44" t="inlineStr">
        <is>
          <t>https://commons.wikimedia.org/wiki/User:Alex_P._Kok</t>
        </is>
      </c>
      <c r="C178" s="44" t="inlineStr">
        <is>
          <t>https://commons.wikimedia.org/wiki/User:Alex_P._Kok</t>
        </is>
      </c>
      <c r="D178" s="44" t="inlineStr">
        <is>
          <t>https://upload.wikimedia.org/wikipedia/commons/1/1d/Parktheater_Eindhoven%2C_globezaal_1.jpg?utm_source=commons.wikimedia.org&amp;utm_campaign=imageinfo&amp;utm_content=original</t>
        </is>
      </c>
      <c r="E178" s="44" t="inlineStr">
        <is>
          <t>https://thumb.wikimedia.org/wikipedia/commons/thumb/1/1d/Parktheater_Eindhoven%2C_globezaal_1.jpg/1280px-Parktheater_Eindhoven%2C_globezaal_1.jpg</t>
        </is>
      </c>
      <c r="F178" s="53" t="n">
        <v>46318</v>
      </c>
      <c r="G178" s="44" t="inlineStr">
        <is>
          <t>Fotoğraflar/eindhoven_parktheater-eindhoven_05.jpg</t>
        </is>
      </c>
      <c r="H178" s="44" t="inlineStr">
        <is>
          <t>1e0cf799487cb5e9e1721b6370f5b0132772e5ab404ba91e421156222b83240e</t>
        </is>
      </c>
      <c r="I178" s="44" t="inlineStr">
        <is>
          <t>Teslimler/WebKopyalari/1e0cf799487cb5e9e1721b6370f5b0132772e5ab404ba91e421156222b83240e.webp</t>
        </is>
      </c>
      <c r="J178" s="44" t="inlineStr">
        <is>
          <t>51c6492c85833217c5096d2ec4f73eca04cedcbc6c5c4030a5cce4645e03aa14</t>
        </is>
      </c>
      <c r="K178" s="44" t="n">
        <v>1280</v>
      </c>
      <c r="L178" s="44" t="n">
        <v>853</v>
      </c>
      <c r="M178" s="44" t="inlineStr">
        <is>
          <t>Özgün teslim dosyası korundu. EXIF yönü uygulandı; kırpma yapılmadan en çok 1600 px, WebP kalite 84. Önceki kaynak değişiklik notları ayrıca korunur.</t>
        </is>
      </c>
      <c r="N178" s="44" t="inlineStr">
        <is>
          <t>Kayıttan doğrulandı</t>
        </is>
      </c>
      <c r="O178" s="44" t="n"/>
    </row>
    <row r="179" ht="54" customHeight="1">
      <c r="A179" s="44" t="inlineStr">
        <is>
          <t>eindhoven:photo:sint-catharinakerk-04</t>
        </is>
      </c>
      <c r="B179" s="44" t="inlineStr">
        <is>
          <t>https://commons.wikimedia.org/wiki/User:Sailko</t>
        </is>
      </c>
      <c r="C179" s="44" t="inlineStr">
        <is>
          <t>https://commons.wikimedia.org/wiki/User:Sailko</t>
        </is>
      </c>
      <c r="D179" s="44" t="inlineStr">
        <is>
          <t>https://upload.wikimedia.org/wikipedia/commons/5/5f/Eindhoven%2C_santa_caterina%2C_01.jpg?utm_source=commons.wikimedia.org&amp;utm_campaign=imageinfo&amp;utm_content=original</t>
        </is>
      </c>
      <c r="E179" s="44" t="inlineStr">
        <is>
          <t>https://thumb.wikimedia.org/wikipedia/commons/thumb/5/5f/Eindhoven%2C_santa_caterina%2C_01.jpg/1280px-Eindhoven%2C_santa_caterina%2C_01.jpg</t>
        </is>
      </c>
      <c r="F179" s="53" t="n">
        <v>46318</v>
      </c>
      <c r="G179" s="44" t="inlineStr">
        <is>
          <t>Fotoğraflar/eindhoven_sint-catharinakerk_04.jpg</t>
        </is>
      </c>
      <c r="H179" s="44" t="inlineStr">
        <is>
          <t>ef657b7a95755a55c784993c386a4b8e6de2bc92597e219f99d4fed1e1a3ee88</t>
        </is>
      </c>
      <c r="I179" s="44" t="inlineStr">
        <is>
          <t>Teslimler/WebKopyalari/ef657b7a95755a55c784993c386a4b8e6de2bc92597e219f99d4fed1e1a3ee88.webp</t>
        </is>
      </c>
      <c r="J179" s="44" t="inlineStr">
        <is>
          <t>6fe38163a575979dae6edfbc7ec52b29ab599a88ed7c099bfb3cc488a749078c</t>
        </is>
      </c>
      <c r="K179" s="44" t="n">
        <v>1067</v>
      </c>
      <c r="L179" s="44" t="n">
        <v>1600</v>
      </c>
      <c r="M179" s="44" t="inlineStr">
        <is>
          <t>Özgün teslim dosyası korundu. EXIF yönü uygulandı; kırpma yapılmadan en çok 1600 px, WebP kalite 84. Önceki kaynak değişiklik notları ayrıca korunur.</t>
        </is>
      </c>
      <c r="N179" s="44" t="inlineStr">
        <is>
          <t>Kayıttan doğrulandı</t>
        </is>
      </c>
      <c r="O179" s="44" t="n"/>
    </row>
    <row r="180" ht="54" customHeight="1">
      <c r="A180" s="44" t="inlineStr">
        <is>
          <t>eindhoven:photo:strijp-s-04</t>
        </is>
      </c>
      <c r="B180" s="44" t="inlineStr">
        <is>
          <t>https://commons.wikimedia.org/wiki/User:Choinowski</t>
        </is>
      </c>
      <c r="C180" s="44" t="inlineStr">
        <is>
          <t>https://commons.wikimedia.org/wiki/User:Choinowski</t>
        </is>
      </c>
      <c r="D180" s="44" t="inlineStr">
        <is>
          <t>https://upload.wikimedia.org/wikipedia/commons/0/06/Blok_59_Eindhoven.jpg?utm_source=commons.wikimedia.org&amp;utm_campaign=imageinfo&amp;utm_content=original</t>
        </is>
      </c>
      <c r="E180" s="44" t="inlineStr">
        <is>
          <t>https://thumb.wikimedia.org/wikipedia/commons/thumb/0/06/Blok_59_Eindhoven.jpg/1280px-Blok_59_Eindhoven.jpg</t>
        </is>
      </c>
      <c r="F180" s="53" t="n">
        <v>46318</v>
      </c>
      <c r="G180" s="44" t="inlineStr">
        <is>
          <t>Fotoğraflar/eindhoven_strijp-s_04.jpg</t>
        </is>
      </c>
      <c r="H180" s="44" t="inlineStr">
        <is>
          <t>7b42e736455bfbb656869caded7c599b403aecdc9944ff4f878443d601f1031c</t>
        </is>
      </c>
      <c r="I180" s="44" t="inlineStr">
        <is>
          <t>Teslimler/WebKopyalari/7b42e736455bfbb656869caded7c599b403aecdc9944ff4f878443d601f1031c.webp</t>
        </is>
      </c>
      <c r="J180" s="44" t="inlineStr">
        <is>
          <t>3d0598d80406e129679e744d3847f74e46424b094d7df062fbb2517951e4d9dc</t>
        </is>
      </c>
      <c r="K180" s="44" t="n">
        <v>1067</v>
      </c>
      <c r="L180" s="44" t="n">
        <v>1600</v>
      </c>
      <c r="M180" s="44" t="inlineStr">
        <is>
          <t>Özgün teslim dosyası korundu. EXIF yönü uygulandı; kırpma yapılmadan en çok 1600 px, WebP kalite 84. Önceki kaynak değişiklik notları ayrıca korunur.</t>
        </is>
      </c>
      <c r="N180" s="44" t="inlineStr">
        <is>
          <t>Kayıttan doğrulandı</t>
        </is>
      </c>
      <c r="O180" s="44" t="n"/>
    </row>
    <row r="181" ht="54" customHeight="1">
      <c r="A181" s="44" t="inlineStr">
        <is>
          <t>eindhoven:photo:strijp-s-05</t>
        </is>
      </c>
      <c r="B181" s="44" t="inlineStr">
        <is>
          <t>https://commons.wikimedia.org/wiki/User:Tukka</t>
        </is>
      </c>
      <c r="C181" s="44" t="inlineStr">
        <is>
          <t>https://commons.wikimedia.org/wiki/User:Tukka</t>
        </is>
      </c>
      <c r="D181" s="44" t="inlineStr">
        <is>
          <t>https://upload.wikimedia.org/wikipedia/commons/8/89/Ingenieur_Kalffstraat_Torenallee_Eindhoven.jpg?utm_source=commons.wikimedia.org&amp;utm_campaign=imageinfo&amp;utm_content=original</t>
        </is>
      </c>
      <c r="E181" s="44" t="inlineStr">
        <is>
          <t>https://thumb.wikimedia.org/wikipedia/commons/thumb/8/89/Ingenieur_Kalffstraat_Torenallee_Eindhoven.jpg/1280px-Ingenieur_Kalffstraat_Torenallee_Eindhoven.jpg</t>
        </is>
      </c>
      <c r="F181" s="53" t="n">
        <v>46318</v>
      </c>
      <c r="G181" s="44" t="inlineStr">
        <is>
          <t>Fotoğraflar/eindhoven_strijp-s_05.jpg</t>
        </is>
      </c>
      <c r="H181" s="44" t="inlineStr">
        <is>
          <t>465f39ca8eb7f98749519881818867476c27f833f7ff664741f15dc1c4aa8c31</t>
        </is>
      </c>
      <c r="I181" s="44" t="inlineStr">
        <is>
          <t>Teslimler/WebKopyalari/465f39ca8eb7f98749519881818867476c27f833f7ff664741f15dc1c4aa8c31.webp</t>
        </is>
      </c>
      <c r="J181" s="44" t="inlineStr">
        <is>
          <t>602876a930cbf67658f5acf112c597386bc5a0494bec47734bd84b1ca7197dd5</t>
        </is>
      </c>
      <c r="K181" s="44" t="n">
        <v>1280</v>
      </c>
      <c r="L181" s="44" t="n">
        <v>848</v>
      </c>
      <c r="M181" s="44" t="inlineStr">
        <is>
          <t>Özgün teslim dosyası korundu. EXIF yönü uygulandı; kırpma yapılmadan en çok 1600 px, WebP kalite 84. Önceki kaynak değişiklik notları ayrıca korunur.</t>
        </is>
      </c>
      <c r="N181" s="44" t="inlineStr">
        <is>
          <t>Kayıttan doğrulandı</t>
        </is>
      </c>
      <c r="O181" s="44" t="n"/>
    </row>
    <row r="182" ht="54" customHeight="1">
      <c r="A182" s="44" t="inlineStr">
        <is>
          <t>eindhoven:photo:philips-museum-04</t>
        </is>
      </c>
      <c r="B182" s="44" t="inlineStr">
        <is>
          <t>https://commons.wikimedia.org/wiki/User:S._Perquin</t>
        </is>
      </c>
      <c r="C182" s="44" t="inlineStr">
        <is>
          <t>https://commons.wikimedia.org/wiki/User:S._Perquin</t>
        </is>
      </c>
      <c r="D182" s="44" t="inlineStr">
        <is>
          <t>https://upload.wikimedia.org/wikipedia/commons/f/f2/Philips_Museum_werkplaats_%282025%29_%281%29.jpg?utm_source=commons.wikimedia.org&amp;utm_campaign=imageinfo&amp;utm_content=original</t>
        </is>
      </c>
      <c r="E182" s="44" t="inlineStr">
        <is>
          <t>https://thumb.wikimedia.org/wikipedia/commons/thumb/f/f2/Philips_Museum_werkplaats_%282025%29_%281%29.jpg/1280px-Philips_Museum_werkplaats_%282025%29_%281%29.jpg</t>
        </is>
      </c>
      <c r="F182" s="53" t="n">
        <v>46318</v>
      </c>
      <c r="G182" s="44" t="inlineStr">
        <is>
          <t>Fotoğraflar/eindhoven_philips-museum_04.jpg</t>
        </is>
      </c>
      <c r="H182" s="44" t="inlineStr">
        <is>
          <t>304cee99972bd12b23670cc6b3869f99c4c8b391ed535fbc649e4846d2ae4fcd</t>
        </is>
      </c>
      <c r="I182" s="44" t="inlineStr">
        <is>
          <t>Teslimler/WebKopyalari/304cee99972bd12b23670cc6b3869f99c4c8b391ed535fbc649e4846d2ae4fcd.webp</t>
        </is>
      </c>
      <c r="J182" s="44" t="inlineStr">
        <is>
          <t>b66772db44ff9547be243007339049211efe58d93b17bfce93427f41299dc35b</t>
        </is>
      </c>
      <c r="K182" s="44" t="n">
        <v>1280</v>
      </c>
      <c r="L182" s="44" t="n">
        <v>853</v>
      </c>
      <c r="M182" s="44" t="inlineStr">
        <is>
          <t>Özgün teslim dosyası korundu. EXIF yönü uygulandı; kırpma yapılmadan en çok 1600 px, WebP kalite 84. Önceki kaynak değişiklik notları ayrıca korunur.</t>
        </is>
      </c>
      <c r="N182" s="44" t="inlineStr">
        <is>
          <t>Kayıttan doğrulandı</t>
        </is>
      </c>
      <c r="O182" s="44" t="n"/>
    </row>
    <row r="183" ht="54" customHeight="1">
      <c r="A183" s="44" t="inlineStr">
        <is>
          <t>eindhoven:photo:museumpark-vonk-prehistorisch-dorp-04</t>
        </is>
      </c>
      <c r="B183" s="44" t="inlineStr">
        <is>
          <t>https://www.wikidata.org/wiki/Q124428562</t>
        </is>
      </c>
      <c r="C183" s="44" t="inlineStr">
        <is>
          <t>https://www.wikidata.org/wiki/Q124428562</t>
        </is>
      </c>
      <c r="D183" s="44" t="inlineStr">
        <is>
          <t>https://upload.wikimedia.org/wikipedia/commons/7/79/Gebouw_Museumpark_VONK_%282026%29_%285%29.jpg?utm_source=commons.wikimedia.org&amp;utm_campaign=imageinfo&amp;utm_content=original</t>
        </is>
      </c>
      <c r="E183" s="44" t="inlineStr">
        <is>
          <t>https://thumb.wikimedia.org/wikipedia/commons/thumb/7/79/Gebouw_Museumpark_VONK_%282026%29_%285%29.jpg/1280px-Gebouw_Museumpark_VONK_%282026%29_%285%29.jpg</t>
        </is>
      </c>
      <c r="F183" s="53" t="n">
        <v>46318</v>
      </c>
      <c r="G183" s="44" t="inlineStr">
        <is>
          <t>Fotoğraflar/eindhoven_museumpark-vonk-prehistorisch-dorp_04.jpg</t>
        </is>
      </c>
      <c r="H183" s="44" t="inlineStr">
        <is>
          <t>859f8d30c03c9572d3b984e73d700f4becf6440faf4496b92e860e8b61abf6b6</t>
        </is>
      </c>
      <c r="I183" s="44" t="inlineStr">
        <is>
          <t>Teslimler/WebKopyalari/859f8d30c03c9572d3b984e73d700f4becf6440faf4496b92e860e8b61abf6b6.webp</t>
        </is>
      </c>
      <c r="J183" s="44" t="inlineStr">
        <is>
          <t>7d744b9f342690c3fa57887b8f5d5bbde78d00e110c67a72048f89dbfe8f57eb</t>
        </is>
      </c>
      <c r="K183" s="44" t="n">
        <v>1280</v>
      </c>
      <c r="L183" s="44" t="n">
        <v>853</v>
      </c>
      <c r="M183" s="44" t="inlineStr">
        <is>
          <t>Özgün teslim dosyası korundu. EXIF yönü uygulandı; kırpma yapılmadan en çok 1600 px, WebP kalite 84. Önceki kaynak değişiklik notları ayrıca korunur.</t>
        </is>
      </c>
      <c r="N183" s="44" t="inlineStr">
        <is>
          <t>Kayıttan doğrulandı</t>
        </is>
      </c>
      <c r="O183" s="44" t="n"/>
    </row>
    <row r="184" ht="54" customHeight="1">
      <c r="A184" s="44" t="inlineStr">
        <is>
          <t>eindhoven:photo:museumpark-vonk-prehistorisch-dorp-05</t>
        </is>
      </c>
      <c r="B184" s="44" t="inlineStr">
        <is>
          <t>https://www.wikidata.org/wiki/Q124428562</t>
        </is>
      </c>
      <c r="C184" s="44" t="inlineStr">
        <is>
          <t>https://www.wikidata.org/wiki/Q124428562</t>
        </is>
      </c>
      <c r="D184" s="44" t="inlineStr">
        <is>
          <t>https://upload.wikimedia.org/wikipedia/commons/6/6f/Introshow_Museumpark_VONK_%282026%29_%281%29.jpg?utm_source=commons.wikimedia.org&amp;utm_campaign=imageinfo&amp;utm_content=original</t>
        </is>
      </c>
      <c r="E184" s="44" t="inlineStr">
        <is>
          <t>https://thumb.wikimedia.org/wikipedia/commons/thumb/6/6f/Introshow_Museumpark_VONK_%282026%29_%281%29.jpg/1280px-Introshow_Museumpark_VONK_%282026%29_%281%29.jpg</t>
        </is>
      </c>
      <c r="F184" s="53" t="n">
        <v>46318</v>
      </c>
      <c r="G184" s="44" t="inlineStr">
        <is>
          <t>Fotoğraflar/eindhoven_museumpark-vonk-prehistorisch-dorp_05.jpg</t>
        </is>
      </c>
      <c r="H184" s="44" t="inlineStr">
        <is>
          <t>672d381dc3a518c7abbcf23282d7f6f8d2fa9e1ed5891f102843b7a8bbdee81d</t>
        </is>
      </c>
      <c r="I184" s="44" t="inlineStr">
        <is>
          <t>Teslimler/WebKopyalari/672d381dc3a518c7abbcf23282d7f6f8d2fa9e1ed5891f102843b7a8bbdee81d.webp</t>
        </is>
      </c>
      <c r="J184" s="44" t="inlineStr">
        <is>
          <t>2b5716f7223d6c4f66ceb02768493afde13063999b9da48eb27b31ab90d99f1c</t>
        </is>
      </c>
      <c r="K184" s="44" t="n">
        <v>1067</v>
      </c>
      <c r="L184" s="44" t="n">
        <v>1600</v>
      </c>
      <c r="M184" s="44" t="inlineStr">
        <is>
          <t>Özgün teslim dosyası korundu. EXIF yönü uygulandı; kırpma yapılmadan en çok 1600 px, WebP kalite 84. Önceki kaynak değişiklik notları ayrıca korunur.</t>
        </is>
      </c>
      <c r="N184" s="44" t="inlineStr">
        <is>
          <t>Kayıttan doğrulandı</t>
        </is>
      </c>
      <c r="O184" s="44" t="n"/>
    </row>
    <row r="185" ht="54" customHeight="1">
      <c r="A185" s="44" t="inlineStr">
        <is>
          <t>eindhoven:photo:philips-stadion-psv-04</t>
        </is>
      </c>
      <c r="B185" s="44" t="inlineStr">
        <is>
          <t>https://commons.wikimedia.org/wiki/User:Michielverbeek</t>
        </is>
      </c>
      <c r="C185" s="44" t="inlineStr">
        <is>
          <t>https://commons.wikimedia.org/wiki/User:Michielverbeek</t>
        </is>
      </c>
      <c r="D185" s="44" t="inlineStr">
        <is>
          <t>https://upload.wikimedia.org/wikipedia/commons/8/84/Eindhoven%2C_het_Philips_Stadion_IMG_8630_2019-01-20_12.22.jpg?utm_source=commons.wikimedia.org&amp;utm_campaign=imageinfo&amp;utm_content=original</t>
        </is>
      </c>
      <c r="E185" s="44" t="inlineStr">
        <is>
          <t>https://thumb.wikimedia.org/wikipedia/commons/thumb/8/84/Eindhoven%2C_het_Philips_Stadion_IMG_8630_2019-01-20_12.22.jpg/1280px-Eindhoven%2C_het_Philips_Stadion_IMG_8630_2019-01-20_12.22.jpg</t>
        </is>
      </c>
      <c r="F185" s="53" t="n">
        <v>46318</v>
      </c>
      <c r="G185" s="44" t="inlineStr">
        <is>
          <t>Fotoğraflar/eindhoven_philips-stadion-psv_04.jpg</t>
        </is>
      </c>
      <c r="H185" s="44" t="inlineStr">
        <is>
          <t>7a587ba791e2907b0b0e02f19b88fc7c20d537ab4474073d0e28c661216fd10d</t>
        </is>
      </c>
      <c r="I185" s="44" t="inlineStr">
        <is>
          <t>Teslimler/WebKopyalari/7a587ba791e2907b0b0e02f19b88fc7c20d537ab4474073d0e28c661216fd10d.webp</t>
        </is>
      </c>
      <c r="J185" s="44" t="inlineStr">
        <is>
          <t>732c8e9b7847062fe9deed1c243f1d41ccc89bb91ed19225482c02305e3f377b</t>
        </is>
      </c>
      <c r="K185" s="44" t="n">
        <v>1280</v>
      </c>
      <c r="L185" s="44" t="n">
        <v>853</v>
      </c>
      <c r="M185" s="44" t="inlineStr">
        <is>
          <t>Özgün teslim dosyası korundu. EXIF yönü uygulandı; kırpma yapılmadan en çok 1600 px, WebP kalite 84. Önceki kaynak değişiklik notları ayrıca korunur.</t>
        </is>
      </c>
      <c r="N185" s="44" t="inlineStr">
        <is>
          <t>Kayıttan doğrulandı</t>
        </is>
      </c>
      <c r="O185" s="44" t="n"/>
    </row>
    <row r="186" ht="54" customHeight="1">
      <c r="A186" s="44" t="inlineStr">
        <is>
          <t>eindhoven:photo:genneper-parken-03</t>
        </is>
      </c>
      <c r="B186" s="44" t="inlineStr">
        <is>
          <t>https://commons.wikimedia.org/wiki/User:Rosemoon</t>
        </is>
      </c>
      <c r="C186" s="44" t="inlineStr">
        <is>
          <t>https://commons.wikimedia.org/wiki/User:Rosemoon</t>
        </is>
      </c>
      <c r="D186" s="44" t="inlineStr">
        <is>
          <t>https://upload.wikimedia.org/wikipedia/commons/5/51/Genneperweg%2C_Eindhoven.JPG?utm_source=commons.wikimedia.org&amp;utm_campaign=imageinfo&amp;utm_content=original</t>
        </is>
      </c>
      <c r="E186" s="44" t="inlineStr">
        <is>
          <t>https://thumb.wikimedia.org/wikipedia/commons/thumb/5/51/Genneperweg%2C_Eindhoven.JPG/1280px-Genneperweg%2C_Eindhoven.JPG</t>
        </is>
      </c>
      <c r="F186" s="53" t="n">
        <v>46318</v>
      </c>
      <c r="G186" s="44" t="inlineStr">
        <is>
          <t>Fotoğraflar/eindhoven_genneper-parken_03.jpg</t>
        </is>
      </c>
      <c r="H186" s="44" t="inlineStr">
        <is>
          <t>d0c323bc8232086ea008e11658034f62384b8af1efed7612d8b0cbef39edc183</t>
        </is>
      </c>
      <c r="I186" s="44" t="inlineStr">
        <is>
          <t>Teslimler/WebKopyalari/d0c323bc8232086ea008e11658034f62384b8af1efed7612d8b0cbef39edc183.webp</t>
        </is>
      </c>
      <c r="J186" s="44" t="inlineStr">
        <is>
          <t>72f7cff44ab83e79cda1a7ef75a55d58c58f64833e380574eb621d3ada445c95</t>
        </is>
      </c>
      <c r="K186" s="44" t="n">
        <v>1280</v>
      </c>
      <c r="L186" s="44" t="n">
        <v>960</v>
      </c>
      <c r="M186" s="44" t="inlineStr">
        <is>
          <t>Özgün teslim dosyası korundu. EXIF yönü uygulandı; kırpma yapılmadan en çok 1600 px, WebP kalite 84. Önceki kaynak değişiklik notları ayrıca korunur.</t>
        </is>
      </c>
      <c r="N186" s="44" t="inlineStr">
        <is>
          <t>Kayıttan doğrulandı</t>
        </is>
      </c>
      <c r="O186" s="44" t="n"/>
    </row>
    <row r="187" ht="54" customHeight="1">
      <c r="A187" s="44" t="inlineStr">
        <is>
          <t>eindhoven:photo:stadswandelpark-05</t>
        </is>
      </c>
      <c r="B187" s="44" t="inlineStr">
        <is>
          <t>https://www.wikidata.org/wiki/Q15080600</t>
        </is>
      </c>
      <c r="C187" s="44" t="inlineStr">
        <is>
          <t>https://www.wikidata.org/wiki/Q15080600</t>
        </is>
      </c>
      <c r="D187" s="44" t="inlineStr">
        <is>
          <t>https://upload.wikimedia.org/wikipedia/commons/d/da/13-06-29-eindhoven-50mm-56.jpg?utm_source=commons.wikimedia.org&amp;utm_campaign=imageinfo&amp;utm_content=original</t>
        </is>
      </c>
      <c r="E187" s="44" t="inlineStr">
        <is>
          <t>https://thumb.wikimedia.org/wikipedia/commons/thumb/d/da/13-06-29-eindhoven-50mm-56.jpg/1280px-13-06-29-eindhoven-50mm-56.jpg</t>
        </is>
      </c>
      <c r="F187" s="53" t="n">
        <v>46318</v>
      </c>
      <c r="G187" s="44" t="inlineStr">
        <is>
          <t>Fotoğraflar/eindhoven_stadswandelpark_05.jpg</t>
        </is>
      </c>
      <c r="H187" s="44" t="inlineStr">
        <is>
          <t>f59a6e7ae5a1dabfcc5ea5e5fa55091ac714d82fe98bc1f70db0ee9adbbaa71a</t>
        </is>
      </c>
      <c r="I187" s="44" t="inlineStr">
        <is>
          <t>Teslimler/WebKopyalari/f59a6e7ae5a1dabfcc5ea5e5fa55091ac714d82fe98bc1f70db0ee9adbbaa71a.webp</t>
        </is>
      </c>
      <c r="J187" s="44" t="inlineStr">
        <is>
          <t>1d1989fb67565a2ce9470e1499bae1517ea990264deaa47f34689c3127e33552</t>
        </is>
      </c>
      <c r="K187" s="44" t="n">
        <v>1280</v>
      </c>
      <c r="L187" s="44" t="n">
        <v>850</v>
      </c>
      <c r="M187" s="44" t="inlineStr">
        <is>
          <t>Özgün teslim dosyası korundu. EXIF yönü uygulandı; kırpma yapılmadan en çok 1600 px, WebP kalite 84. Önceki kaynak değişiklik notları ayrıca korunur.</t>
        </is>
      </c>
      <c r="N187" s="44" t="inlineStr">
        <is>
          <t>Kayıttan doğrulandı</t>
        </is>
      </c>
      <c r="O187" s="44" t="n"/>
    </row>
    <row r="188" ht="54" customHeight="1">
      <c r="A188" s="44" t="inlineStr">
        <is>
          <t>eindhoven:photo:henri-dunantpark-05</t>
        </is>
      </c>
      <c r="B188" s="44" t="inlineStr">
        <is>
          <t>https://commons.wikimedia.org/wiki/User:S._Perquin</t>
        </is>
      </c>
      <c r="C188" s="44" t="inlineStr">
        <is>
          <t>https://commons.wikimedia.org/wiki/User:S._Perquin</t>
        </is>
      </c>
      <c r="D188" s="44" t="inlineStr">
        <is>
          <t>https://upload.wikimedia.org/wikipedia/commons/2/2b/Speelpark_De_Splinter_%282025%29_%2844%29.jpg?utm_source=commons.wikimedia.org&amp;utm_campaign=imageinfo&amp;utm_content=original</t>
        </is>
      </c>
      <c r="E188" s="44" t="inlineStr">
        <is>
          <t>https://thumb.wikimedia.org/wikipedia/commons/thumb/2/2b/Speelpark_De_Splinter_%282025%29_%2844%29.jpg/1280px-Speelpark_De_Splinter_%282025%29_%2844%29.jpg</t>
        </is>
      </c>
      <c r="F188" s="53" t="n">
        <v>46318</v>
      </c>
      <c r="G188" s="44" t="inlineStr">
        <is>
          <t>Fotoğraflar/eindhoven_henri-dunantpark_05.jpg</t>
        </is>
      </c>
      <c r="H188" s="44" t="inlineStr">
        <is>
          <t>94f430e8508b4791132871c212b3ade9f9c031769592b7b60cc463afb8a3e5c9</t>
        </is>
      </c>
      <c r="I188" s="44" t="inlineStr">
        <is>
          <t>Teslimler/WebKopyalari/94f430e8508b4791132871c212b3ade9f9c031769592b7b60cc463afb8a3e5c9.webp</t>
        </is>
      </c>
      <c r="J188" s="44" t="inlineStr">
        <is>
          <t>9f6ffccaafc07ee9ffbb06ebec7c4697a84517de34be4d72f1d914a1bd76d88a</t>
        </is>
      </c>
      <c r="K188" s="44" t="n">
        <v>1280</v>
      </c>
      <c r="L188" s="44" t="n">
        <v>853</v>
      </c>
      <c r="M188" s="44" t="inlineStr">
        <is>
          <t>Özgün teslim dosyası korundu. EXIF yönü uygulandı; kırpma yapılmadan en çok 1600 px, WebP kalite 84. Önceki kaynak değişiklik notları ayrıca korunur.</t>
        </is>
      </c>
      <c r="N188" s="44" t="inlineStr">
        <is>
          <t>Kayıttan doğrulandı</t>
        </is>
      </c>
      <c r="O188" s="44" t="n"/>
    </row>
    <row r="189" ht="54" customHeight="1">
      <c r="A189" s="44" t="inlineStr">
        <is>
          <t>eindhoven:photo:speelpark-de-splinter-05</t>
        </is>
      </c>
      <c r="B189" s="44" t="inlineStr">
        <is>
          <t>https://commons.wikimedia.org/wiki/User:S._Perquin</t>
        </is>
      </c>
      <c r="C189" s="44" t="inlineStr">
        <is>
          <t>https://commons.wikimedia.org/wiki/User:S._Perquin</t>
        </is>
      </c>
      <c r="D189" s="44" t="inlineStr">
        <is>
          <t>https://upload.wikimedia.org/wikipedia/commons/e/e5/Speelpark_De_Splinter_%282025%29_%2814%29.jpg?utm_source=commons.wikimedia.org&amp;utm_campaign=imageinfo&amp;utm_content=original</t>
        </is>
      </c>
      <c r="E189" s="44" t="inlineStr">
        <is>
          <t>https://thumb.wikimedia.org/wikipedia/commons/thumb/e/e5/Speelpark_De_Splinter_%282025%29_%2814%29.jpg/1280px-Speelpark_De_Splinter_%282025%29_%2814%29.jpg</t>
        </is>
      </c>
      <c r="F189" s="53" t="n">
        <v>46318</v>
      </c>
      <c r="G189" s="44" t="inlineStr">
        <is>
          <t>Fotoğraflar/eindhoven_speelpark-de-splinter_05.jpg</t>
        </is>
      </c>
      <c r="H189" s="44" t="inlineStr">
        <is>
          <t>f75dc41dc3b48caaecf424939a3b90a59e9278c8735114b10ae8b64f98378b0e</t>
        </is>
      </c>
      <c r="I189" s="44" t="inlineStr">
        <is>
          <t>Teslimler/WebKopyalari/f75dc41dc3b48caaecf424939a3b90a59e9278c8735114b10ae8b64f98378b0e.webp</t>
        </is>
      </c>
      <c r="J189" s="44" t="inlineStr">
        <is>
          <t>179ca12789eac93d5d57e7f3125d74577caa291d0460bd8a758971388cd653ec</t>
        </is>
      </c>
      <c r="K189" s="44" t="n">
        <v>1280</v>
      </c>
      <c r="L189" s="44" t="n">
        <v>853</v>
      </c>
      <c r="M189" s="44" t="inlineStr">
        <is>
          <t>Özgün teslim dosyası korundu. EXIF yönü uygulandı; kırpma yapılmadan en çok 1600 px, WebP kalite 84. Önceki kaynak değişiklik notları ayrıca korunur.</t>
        </is>
      </c>
      <c r="N189" s="44" t="inlineStr">
        <is>
          <t>Kayıttan doğrulandı</t>
        </is>
      </c>
      <c r="O189" s="44" t="n"/>
    </row>
    <row r="190" ht="54" customHeight="1">
      <c r="A190" s="44" t="inlineStr">
        <is>
          <t>eindhoven:photo:stratumseind-04</t>
        </is>
      </c>
      <c r="B190" s="44" t="inlineStr">
        <is>
          <t>https://commons.wikimedia.org/wiki/User:Rosemoon</t>
        </is>
      </c>
      <c r="C190" s="44" t="inlineStr">
        <is>
          <t>https://commons.wikimedia.org/wiki/User:Rosemoon</t>
        </is>
      </c>
      <c r="D190" s="44" t="inlineStr">
        <is>
          <t>https://upload.wikimedia.org/wikipedia/commons/1/1e/Stratumseind_20%2C_Eindhoven.JPG?utm_source=commons.wikimedia.org&amp;utm_campaign=imageinfo&amp;utm_content=original</t>
        </is>
      </c>
      <c r="E190" s="44" t="inlineStr">
        <is>
          <t>https://thumb.wikimedia.org/wikipedia/commons/thumb/1/1e/Stratumseind_20%2C_Eindhoven.JPG/1280px-Stratumseind_20%2C_Eindhoven.JPG</t>
        </is>
      </c>
      <c r="F190" s="53" t="n">
        <v>46318</v>
      </c>
      <c r="G190" s="44" t="inlineStr">
        <is>
          <t>Fotoğraflar/eindhoven_stratumseind_04.jpg</t>
        </is>
      </c>
      <c r="H190" s="44" t="inlineStr">
        <is>
          <t>dfd6c1547a5f00fc11498da915194fadc63875124b82478f499fa8051f7af016</t>
        </is>
      </c>
      <c r="I190" s="44" t="inlineStr">
        <is>
          <t>Teslimler/WebKopyalari/dfd6c1547a5f00fc11498da915194fadc63875124b82478f499fa8051f7af016.webp</t>
        </is>
      </c>
      <c r="J190" s="44" t="inlineStr">
        <is>
          <t>53b30bcae8970b708d03058b8f27300d89abbe061d119701243f72e282373c4a</t>
        </is>
      </c>
      <c r="K190" s="44" t="n">
        <v>1200</v>
      </c>
      <c r="L190" s="44" t="n">
        <v>1600</v>
      </c>
      <c r="M190" s="44" t="inlineStr">
        <is>
          <t>Özgün teslim dosyası korundu. EXIF yönü uygulandı; kırpma yapılmadan en çok 1600 px, WebP kalite 84. Önceki kaynak değişiklik notları ayrıca korunur.</t>
        </is>
      </c>
      <c r="N190" s="44" t="inlineStr">
        <is>
          <t>Kayıttan doğrulandı</t>
        </is>
      </c>
      <c r="O190" s="44" t="n"/>
    </row>
    <row r="191" ht="54" customHeight="1">
      <c r="A191" s="44" t="inlineStr">
        <is>
          <t>eindhoven:photo:stratumseind-05</t>
        </is>
      </c>
      <c r="B191" s="44" t="inlineStr">
        <is>
          <t>https://commons.wikimedia.org/wiki/User:Rosemoon</t>
        </is>
      </c>
      <c r="C191" s="44" t="inlineStr">
        <is>
          <t>https://commons.wikimedia.org/wiki/User:Rosemoon</t>
        </is>
      </c>
      <c r="D191" s="44" t="inlineStr">
        <is>
          <t>https://upload.wikimedia.org/wikipedia/commons/6/6c/Stratumseind_22%2C_Eindhoven.JPG?utm_source=commons.wikimedia.org&amp;utm_campaign=imageinfo&amp;utm_content=original</t>
        </is>
      </c>
      <c r="E191" s="44" t="inlineStr">
        <is>
          <t>https://thumb.wikimedia.org/wikipedia/commons/thumb/6/6c/Stratumseind_22%2C_Eindhoven.JPG/1280px-Stratumseind_22%2C_Eindhoven.JPG</t>
        </is>
      </c>
      <c r="F191" s="53" t="n">
        <v>46318</v>
      </c>
      <c r="G191" s="44" t="inlineStr">
        <is>
          <t>Fotoğraflar/eindhoven_stratumseind_05.jpg</t>
        </is>
      </c>
      <c r="H191" s="44" t="inlineStr">
        <is>
          <t>9017be2cb814b3feee2c683225bcca09d6358094edb671dc48a065ad4a67367b</t>
        </is>
      </c>
      <c r="I191" s="44" t="inlineStr">
        <is>
          <t>Teslimler/WebKopyalari/9017be2cb814b3feee2c683225bcca09d6358094edb671dc48a065ad4a67367b.webp</t>
        </is>
      </c>
      <c r="J191" s="44" t="inlineStr">
        <is>
          <t>19f2470e5de41fced29789ae5301de549bfd3a22a77398390b8b82b7006d492c</t>
        </is>
      </c>
      <c r="K191" s="44" t="n">
        <v>1200</v>
      </c>
      <c r="L191" s="44" t="n">
        <v>1600</v>
      </c>
      <c r="M191" s="44" t="inlineStr">
        <is>
          <t>Özgün teslim dosyası korundu. EXIF yönü uygulandı; kırpma yapılmadan en çok 1600 px, WebP kalite 84. Önceki kaynak değişiklik notları ayrıca korunur.</t>
        </is>
      </c>
      <c r="N191" s="44" t="inlineStr">
        <is>
          <t>Kayıttan doğrulandı</t>
        </is>
      </c>
      <c r="O191" s="44" t="n"/>
    </row>
    <row r="192" ht="54" customHeight="1">
      <c r="A192" s="44" t="inlineStr">
        <is>
          <t>eindhoven:photo:sint-catharinakerk-05</t>
        </is>
      </c>
      <c r="B192" s="44" t="inlineStr">
        <is>
          <t>https://web.archive.org/web/20161029103829/http://www.panoramio.com/user/4678999?with_photo_id=101355669</t>
        </is>
      </c>
      <c r="C192" s="44" t="inlineStr">
        <is>
          <t>https://web.archive.org/web/20161029103829/http://www.panoramio.com/user/4678999?with_photo_id=101355669</t>
        </is>
      </c>
      <c r="D192" s="44" t="inlineStr">
        <is>
          <t>https://upload.wikimedia.org/wikipedia/commons/3/38/Binnenstad%2C_5611_Eindhoven%2C_Netherlands_-_panoramio_%2821%29.jpg?utm_source=commons.wikimedia.org&amp;utm_campaign=imageinfo&amp;utm_content=original</t>
        </is>
      </c>
      <c r="E192" s="44" t="inlineStr">
        <is>
          <t>https://thumb.wikimedia.org/wikipedia/commons/thumb/3/38/Binnenstad%2C_5611_Eindhoven%2C_Netherlands_-_panoramio_%2821%29.jpg/1280px-Binnenstad%2C_5611_Eindhoven%2C_Netherlands_-_panoramio_%2821%29.jpg</t>
        </is>
      </c>
      <c r="F192" s="53" t="n">
        <v>46318</v>
      </c>
      <c r="G192" s="44" t="inlineStr">
        <is>
          <t>Fotoğraflar/eindhoven_sint-catharinakerk_05.jpg</t>
        </is>
      </c>
      <c r="H192" s="44" t="inlineStr">
        <is>
          <t>bc109848db5758c3c7149dbd7bae090cc772cf555fd96ff18e9f9a095d96eeb9</t>
        </is>
      </c>
      <c r="I192" s="44" t="inlineStr">
        <is>
          <t>Teslimler/WebKopyalari/bc109848db5758c3c7149dbd7bae090cc772cf555fd96ff18e9f9a095d96eeb9.webp</t>
        </is>
      </c>
      <c r="J192" s="44" t="inlineStr">
        <is>
          <t>ce4444fff60d32ed65f426c8273230bec659ce379482a77a9c9db9462e373c98</t>
        </is>
      </c>
      <c r="K192" s="44" t="n">
        <v>1280</v>
      </c>
      <c r="L192" s="44" t="n">
        <v>717</v>
      </c>
      <c r="M192" s="44" t="inlineStr">
        <is>
          <t>Özgün teslim dosyası korundu. EXIF yönü uygulandı; kırpma yapılmadan en çok 1600 px, WebP kalite 84. Önceki kaynak değişiklik notları ayrıca korunur.</t>
        </is>
      </c>
      <c r="N192" s="44" t="inlineStr">
        <is>
          <t>Kayıttan doğrulandı</t>
        </is>
      </c>
      <c r="O192" s="44" t="n"/>
    </row>
    <row r="193" ht="54" customHeight="1">
      <c r="A193" s="44" t="inlineStr">
        <is>
          <t>eindhoven:photo:klokgebouw-04</t>
        </is>
      </c>
      <c r="B193" s="44" t="inlineStr">
        <is>
          <t>https://commons.wikimedia.org/wiki/User:Tukka</t>
        </is>
      </c>
      <c r="C193" s="44" t="inlineStr">
        <is>
          <t>https://commons.wikimedia.org/wiki/User:Tukka</t>
        </is>
      </c>
      <c r="D193" s="44" t="inlineStr">
        <is>
          <t>https://upload.wikimedia.org/wikipedia/commons/d/d5/Klokgebouw_Philips_Strijp-S_3.jpg?utm_source=commons.wikimedia.org&amp;utm_campaign=imageinfo&amp;utm_content=original</t>
        </is>
      </c>
      <c r="E193" s="44" t="inlineStr">
        <is>
          <t>https://thumb.wikimedia.org/wikipedia/commons/thumb/d/d5/Klokgebouw_Philips_Strijp-S_3.jpg/1280px-Klokgebouw_Philips_Strijp-S_3.jpg</t>
        </is>
      </c>
      <c r="F193" s="53" t="n">
        <v>46318</v>
      </c>
      <c r="G193" s="44" t="inlineStr">
        <is>
          <t>Fotoğraflar/eindhoven_klokgebouw_04.jpg</t>
        </is>
      </c>
      <c r="H193" s="44" t="inlineStr">
        <is>
          <t>35d72421dc5459715a88c9c512774edfdd01be8ac2be647095474b05c1a1d362</t>
        </is>
      </c>
      <c r="I193" s="44" t="inlineStr">
        <is>
          <t>Teslimler/WebKopyalari/35d72421dc5459715a88c9c512774edfdd01be8ac2be647095474b05c1a1d362.webp</t>
        </is>
      </c>
      <c r="J193" s="44" t="inlineStr">
        <is>
          <t>3d63892166a25ecbb08fd7f7ae0668536e529f2f9a704c30c7c972f523b47f6c</t>
        </is>
      </c>
      <c r="K193" s="44" t="n">
        <v>1280</v>
      </c>
      <c r="L193" s="44" t="n">
        <v>848</v>
      </c>
      <c r="M193" s="44" t="inlineStr">
        <is>
          <t>Özgün teslim dosyası korundu. EXIF yönü uygulandı; kırpma yapılmadan en çok 1600 px, WebP kalite 84. Önceki kaynak değişiklik notları ayrıca korunur.</t>
        </is>
      </c>
      <c r="N193" s="44" t="inlineStr">
        <is>
          <t>Kayıttan doğrulandı</t>
        </is>
      </c>
      <c r="O193" s="44" t="n"/>
    </row>
    <row r="194" ht="54" customHeight="1">
      <c r="A194" s="44" t="inlineStr">
        <is>
          <t>eindhoven:photo:genneper-watermolen-04</t>
        </is>
      </c>
      <c r="B194" s="44" t="inlineStr">
        <is>
          <t>https://commons.wikimedia.org/wiki/User:Wammes_Waggel</t>
        </is>
      </c>
      <c r="C194" s="44" t="inlineStr">
        <is>
          <t>https://commons.wikimedia.org/wiki/User:Wammes_Waggel</t>
        </is>
      </c>
      <c r="D194" s="44" t="inlineStr">
        <is>
          <t>https://upload.wikimedia.org/wikipedia/commons/1/15/Gennepermolen-2.jpg?utm_source=commons.wikimedia.org&amp;utm_campaign=imageinfo&amp;utm_content=original</t>
        </is>
      </c>
      <c r="E194" s="44" t="inlineStr">
        <is>
          <t>https://thumb.wikimedia.org/wikipedia/commons/thumb/1/15/Gennepermolen-2.jpg/1280px-Gennepermolen-2.jpg</t>
        </is>
      </c>
      <c r="F194" s="53" t="n">
        <v>46318</v>
      </c>
      <c r="G194" s="44" t="inlineStr">
        <is>
          <t>Fotoğraflar/eindhoven_genneper-watermolen_04.jpg</t>
        </is>
      </c>
      <c r="H194" s="44" t="inlineStr">
        <is>
          <t>4052475b477518b7c8beed836ed85650f2156efb57dde0986ea8e12ac31e43ca</t>
        </is>
      </c>
      <c r="I194" s="44" t="inlineStr">
        <is>
          <t>Teslimler/WebKopyalari/4052475b477518b7c8beed836ed85650f2156efb57dde0986ea8e12ac31e43ca.webp</t>
        </is>
      </c>
      <c r="J194" s="44" t="inlineStr">
        <is>
          <t>a69913f0e0fd698a7efbb83e5794109bf4f1690c4454b31ad79832e77200f1fb</t>
        </is>
      </c>
      <c r="K194" s="44" t="n">
        <v>1280</v>
      </c>
      <c r="L194" s="44" t="n">
        <v>851</v>
      </c>
      <c r="M194" s="44" t="inlineStr">
        <is>
          <t>Özgün teslim dosyası korundu. EXIF yönü uygulandı; kırpma yapılmadan en çok 1600 px, WebP kalite 84. Önceki kaynak değişiklik notları ayrıca korunur.</t>
        </is>
      </c>
      <c r="N194" s="44" t="inlineStr">
        <is>
          <t>Kayıttan doğrulandı</t>
        </is>
      </c>
      <c r="O194" s="44" t="n"/>
    </row>
    <row r="195" ht="54" customHeight="1">
      <c r="A195" s="44" t="inlineStr">
        <is>
          <t>eindhoven:photo:genneper-watermolen-05</t>
        </is>
      </c>
      <c r="B195" s="44" t="inlineStr">
        <is>
          <t>https://commons.wikimedia.org/wiki/User:Rosemoon</t>
        </is>
      </c>
      <c r="C195" s="44" t="inlineStr">
        <is>
          <t>https://commons.wikimedia.org/wiki/User:Rosemoon</t>
        </is>
      </c>
      <c r="D195" s="44" t="inlineStr">
        <is>
          <t>https://upload.wikimedia.org/wikipedia/commons/2/27/Molenbeek_Dommel_bij_Genneper_Watermolen_Eindhoven.JPG?utm_source=commons.wikimedia.org&amp;utm_campaign=imageinfo&amp;utm_content=original</t>
        </is>
      </c>
      <c r="E195" s="44" t="inlineStr">
        <is>
          <t>https://thumb.wikimedia.org/wikipedia/commons/thumb/2/27/Molenbeek_Dommel_bij_Genneper_Watermolen_Eindhoven.JPG/1280px-Molenbeek_Dommel_bij_Genneper_Watermolen_Eindhoven.JPG</t>
        </is>
      </c>
      <c r="F195" s="53" t="n">
        <v>46318</v>
      </c>
      <c r="G195" s="44" t="inlineStr">
        <is>
          <t>Fotoğraflar/eindhoven_genneper-watermolen_05.jpg</t>
        </is>
      </c>
      <c r="H195" s="44" t="inlineStr">
        <is>
          <t>20d1fc9b47730f4140891f0981247aab4817d4641da2147fcf13e3115a3231b8</t>
        </is>
      </c>
      <c r="I195" s="44" t="inlineStr">
        <is>
          <t>Teslimler/WebKopyalari/20d1fc9b47730f4140891f0981247aab4817d4641da2147fcf13e3115a3231b8.webp</t>
        </is>
      </c>
      <c r="J195" s="44" t="inlineStr">
        <is>
          <t>4d5529d95833290069052be36427a01487bd75539ccd9f8eb2b2fbba61b1f412</t>
        </is>
      </c>
      <c r="K195" s="44" t="n">
        <v>1280</v>
      </c>
      <c r="L195" s="44" t="n">
        <v>960</v>
      </c>
      <c r="M195" s="44" t="inlineStr">
        <is>
          <t>Özgün teslim dosyası korundu. EXIF yönü uygulandı; kırpma yapılmadan en çok 1600 px, WebP kalite 84. Önceki kaynak değişiklik notları ayrıca korunur.</t>
        </is>
      </c>
      <c r="N195" s="44" t="inlineStr">
        <is>
          <t>Kayıttan doğrulandı</t>
        </is>
      </c>
      <c r="O195" s="44" t="n"/>
    </row>
    <row r="196" ht="54" customHeight="1">
      <c r="A196" s="44" t="inlineStr">
        <is>
          <t>eindhoven:photo:catharinakerkhof-05</t>
        </is>
      </c>
      <c r="B196" s="44" t="inlineStr">
        <is>
          <t>https://www.wikidata.org/wiki/Q100423837</t>
        </is>
      </c>
      <c r="C196" s="44" t="inlineStr">
        <is>
          <t>https://www.wikidata.org/wiki/Q100423837</t>
        </is>
      </c>
      <c r="D196" s="44" t="inlineStr">
        <is>
          <t>https://upload.wikimedia.org/wikipedia/commons/7/7a/Grafkapel_familie_Smits_van_Oyen%3B_overzicht_achterzijde_-_Eindhoven_-_20410849_-_RCE.jpg?utm_source=commons.wikimedia.org&amp;utm_campaign=imageinfo&amp;utm_content=original</t>
        </is>
      </c>
      <c r="E196" s="44" t="inlineStr">
        <is>
          <t>https://thumb.wikimedia.org/wikipedia/commons/thumb/7/7a/Grafkapel_familie_Smits_van_Oyen%3B_overzicht_achterzijde_-_Eindhoven_-_20410849_-_RCE.jpg/1280px-Grafkapel_familie_Smits_van_Oyen%3B_overzicht_achterzijde_-_Eindhoven_-_20410849_-_RCE.jpg</t>
        </is>
      </c>
      <c r="F196" s="53" t="n">
        <v>46318</v>
      </c>
      <c r="G196" s="44" t="inlineStr">
        <is>
          <t>Fotoğraflar/eindhoven_catharinakerkhof_05.jpg</t>
        </is>
      </c>
      <c r="H196" s="44" t="inlineStr">
        <is>
          <t>1fc6b362d3d62c201ace344413f8d0b64af9947c7915755f898626d1aa44266e</t>
        </is>
      </c>
      <c r="I196" s="44" t="inlineStr">
        <is>
          <t>Teslimler/WebKopyalari/1fc6b362d3d62c201ace344413f8d0b64af9947c7915755f898626d1aa44266e.webp</t>
        </is>
      </c>
      <c r="J196" s="44" t="inlineStr">
        <is>
          <t>c1c8453fb45b84a75c896c9884469f339ab8400e7c46780bb8e44c2ee222efdd</t>
        </is>
      </c>
      <c r="K196" s="44" t="n">
        <v>1280</v>
      </c>
      <c r="L196" s="44" t="n">
        <v>853</v>
      </c>
      <c r="M196" s="44" t="inlineStr">
        <is>
          <t>Özgün teslim dosyası korundu. EXIF yönü uygulandı; kırpma yapılmadan en çok 1600 px, WebP kalite 84. Önceki kaynak değişiklik notları ayrıca korunur.</t>
        </is>
      </c>
      <c r="N196" s="44" t="inlineStr">
        <is>
          <t>Kayıttan doğrulandı</t>
        </is>
      </c>
      <c r="O196" s="44" t="n"/>
    </row>
    <row r="197" ht="54" customHeight="1">
      <c r="A197" s="44" t="inlineStr">
        <is>
          <t>eindhoven:photo:18-septemberplein-05</t>
        </is>
      </c>
      <c r="B197" s="44" t="inlineStr">
        <is>
          <t>https://www.wikidata.org/wiki/Q15080600</t>
        </is>
      </c>
      <c r="C197" s="44" t="inlineStr">
        <is>
          <t>https://www.wikidata.org/wiki/Q15080600</t>
        </is>
      </c>
      <c r="D197" s="44" t="inlineStr">
        <is>
          <t>https://upload.wikimedia.org/wikipedia/commons/5/56/13-06-28-eindhoven-by-RalfR-60.jpg?utm_source=commons.wikimedia.org&amp;utm_campaign=imageinfo&amp;utm_content=original</t>
        </is>
      </c>
      <c r="E197" s="44" t="inlineStr">
        <is>
          <t>https://thumb.wikimedia.org/wikipedia/commons/thumb/5/56/13-06-28-eindhoven-by-RalfR-60.jpg/1280px-13-06-28-eindhoven-by-RalfR-60.jpg</t>
        </is>
      </c>
      <c r="F197" s="53" t="n">
        <v>46318</v>
      </c>
      <c r="G197" s="44" t="inlineStr">
        <is>
          <t>Fotoğraflar/eindhoven_18-septemberplein_05.jpg</t>
        </is>
      </c>
      <c r="H197" s="44" t="inlineStr">
        <is>
          <t>b150d2fa099a89ec401cf5ef93ece82412f2fde02ad67b077bcf9e01c260a89b</t>
        </is>
      </c>
      <c r="I197" s="44" t="inlineStr">
        <is>
          <t>Teslimler/WebKopyalari/b150d2fa099a89ec401cf5ef93ece82412f2fde02ad67b077bcf9e01c260a89b.webp</t>
        </is>
      </c>
      <c r="J197" s="44" t="inlineStr">
        <is>
          <t>00454a37d65798086241b2719ed435c89fc474701705761019e7a02625303b03</t>
        </is>
      </c>
      <c r="K197" s="44" t="n">
        <v>1063</v>
      </c>
      <c r="L197" s="44" t="n">
        <v>1600</v>
      </c>
      <c r="M197" s="44" t="inlineStr">
        <is>
          <t>Özgün teslim dosyası korundu. EXIF yönü uygulandı; kırpma yapılmadan en çok 1600 px, WebP kalite 84. Önceki kaynak değişiklik notları ayrıca korunur.</t>
        </is>
      </c>
      <c r="N197" s="44" t="inlineStr">
        <is>
          <t>Kayıttan doğrulandı</t>
        </is>
      </c>
      <c r="O197" s="44" t="n"/>
    </row>
    <row r="198" ht="54" customHeight="1">
      <c r="A198" s="44" t="inlineStr">
        <is>
          <t>eindhoven:photo:philipsdorp-04</t>
        </is>
      </c>
      <c r="B198" s="44" t="inlineStr">
        <is>
          <t>https://www.wikidata.org/wiki/Q88378993</t>
        </is>
      </c>
      <c r="C198" s="44" t="inlineStr">
        <is>
          <t>https://www.wikidata.org/wiki/Q88378993</t>
        </is>
      </c>
      <c r="D198" s="44" t="inlineStr">
        <is>
          <t>https://upload.wikimedia.org/wikipedia/commons/6/69/Frederiklaan_Eindhoven-_Philipsdorp_1509-130.jpg?utm_source=commons.wikimedia.org&amp;utm_campaign=imageinfo&amp;utm_content=original</t>
        </is>
      </c>
      <c r="E198" s="44" t="inlineStr">
        <is>
          <t>https://thumb.wikimedia.org/wikipedia/commons/thumb/6/69/Frederiklaan_Eindhoven-_Philipsdorp_1509-130.jpg/1280px-Frederiklaan_Eindhoven-_Philipsdorp_1509-130.jpg</t>
        </is>
      </c>
      <c r="F198" s="53" t="n">
        <v>46318</v>
      </c>
      <c r="G198" s="44" t="inlineStr">
        <is>
          <t>Fotoğraflar/eindhoven_philipsdorp_04.jpg</t>
        </is>
      </c>
      <c r="H198" s="44" t="inlineStr">
        <is>
          <t>54ffe8004deff8f732818c9835712b3402152b73cc19283c6b921a63af794c07</t>
        </is>
      </c>
      <c r="I198" s="44" t="inlineStr">
        <is>
          <t>Teslimler/WebKopyalari/54ffe8004deff8f732818c9835712b3402152b73cc19283c6b921a63af794c07.webp</t>
        </is>
      </c>
      <c r="J198" s="44" t="inlineStr">
        <is>
          <t>ee9d2a05c959adae3ce2d0761a50582073b126e4b9b9ffd257fc3259b3d29213</t>
        </is>
      </c>
      <c r="K198" s="44" t="n">
        <v>1280</v>
      </c>
      <c r="L198" s="44" t="n">
        <v>1280</v>
      </c>
      <c r="M198" s="44" t="inlineStr">
        <is>
          <t>Özgün teslim dosyası korundu. EXIF yönü uygulandı; kırpma yapılmadan en çok 1600 px, WebP kalite 84. Önceki kaynak değişiklik notları ayrıca korunur.</t>
        </is>
      </c>
      <c r="N198" s="44" t="inlineStr">
        <is>
          <t>Kayıttan doğrulandı</t>
        </is>
      </c>
      <c r="O198" s="44" t="n"/>
    </row>
    <row r="199" ht="54" customHeight="1">
      <c r="A199" s="44" t="inlineStr">
        <is>
          <t>eindhoven:photo:de-witte-dame-lichtfabriek-04</t>
        </is>
      </c>
      <c r="B199" s="44" t="inlineStr">
        <is>
          <t>https://commons.wikimedia.org/wiki/User:Romaine</t>
        </is>
      </c>
      <c r="C199" s="44" t="inlineStr">
        <is>
          <t>https://commons.wikimedia.org/wiki/User:Romaine</t>
        </is>
      </c>
      <c r="D199" s="44" t="inlineStr">
        <is>
          <t>https://upload.wikimedia.org/wikipedia/commons/1/14/Eindhoven-Witte_Dame_%285%29.jpg?utm_source=commons.wikimedia.org&amp;utm_campaign=imageinfo&amp;utm_content=original</t>
        </is>
      </c>
      <c r="E199" s="44" t="inlineStr">
        <is>
          <t>https://thumb.wikimedia.org/wikipedia/commons/thumb/1/14/Eindhoven-Witte_Dame_%285%29.jpg/1280px-Eindhoven-Witte_Dame_%285%29.jpg</t>
        </is>
      </c>
      <c r="F199" s="53" t="n">
        <v>46318</v>
      </c>
      <c r="G199" s="44" t="inlineStr">
        <is>
          <t>Fotoğraflar/eindhoven_de-witte-dame-lichtfabriek_04.jpg</t>
        </is>
      </c>
      <c r="H199" s="44" t="inlineStr">
        <is>
          <t>c96617536de1292bdbf19b345259c85be9fca6a009ff2ab2b71c9366d9649308</t>
        </is>
      </c>
      <c r="I199" s="44" t="inlineStr">
        <is>
          <t>Teslimler/WebKopyalari/c96617536de1292bdbf19b345259c85be9fca6a009ff2ab2b71c9366d9649308.webp</t>
        </is>
      </c>
      <c r="J199" s="44" t="inlineStr">
        <is>
          <t>20b036c00c1ceadc8d42b12931cf0c888e8c0a5b4742de1325f183d3eeeb3e3c</t>
        </is>
      </c>
      <c r="K199" s="44" t="n">
        <v>1280</v>
      </c>
      <c r="L199" s="44" t="n">
        <v>720</v>
      </c>
      <c r="M199" s="44" t="inlineStr">
        <is>
          <t>Özgün teslim dosyası korundu. EXIF yönü uygulandı; kırpma yapılmadan en çok 1600 px, WebP kalite 84. Önceki kaynak değişiklik notları ayrıca korunur.</t>
        </is>
      </c>
      <c r="N199" s="44" t="inlineStr">
        <is>
          <t>Kayıttan doğrulandı</t>
        </is>
      </c>
      <c r="O199" s="44" t="n"/>
    </row>
    <row r="200" ht="54" customHeight="1">
      <c r="A200" s="44" t="inlineStr">
        <is>
          <t>eindhoven:photo:stadhuis-van-eindhoven-04</t>
        </is>
      </c>
      <c r="B200" s="44" t="inlineStr">
        <is>
          <t>https://commons.wikimedia.org/wiki/User:Rosemoon</t>
        </is>
      </c>
      <c r="C200" s="44" t="inlineStr">
        <is>
          <t>https://commons.wikimedia.org/wiki/User:Rosemoon</t>
        </is>
      </c>
      <c r="D200" s="44" t="inlineStr">
        <is>
          <t>https://upload.wikimedia.org/wikipedia/commons/6/6e/Stadhuis_van_Eindhoven.JPG?utm_source=commons.wikimedia.org&amp;utm_campaign=imageinfo&amp;utm_content=original</t>
        </is>
      </c>
      <c r="E200" s="44" t="inlineStr">
        <is>
          <t>https://thumb.wikimedia.org/wikipedia/commons/thumb/6/6e/Stadhuis_van_Eindhoven.JPG/1280px-Stadhuis_van_Eindhoven.JPG</t>
        </is>
      </c>
      <c r="F200" s="53" t="n">
        <v>46318</v>
      </c>
      <c r="G200" s="44" t="inlineStr">
        <is>
          <t>Fotoğraflar/eindhoven_stadhuis-van-eindhoven_04.jpg</t>
        </is>
      </c>
      <c r="H200" s="44" t="inlineStr">
        <is>
          <t>170370799de9934dba3c029d36dc7ed9a02147c0b98254324d50803bff47ee91</t>
        </is>
      </c>
      <c r="I200" s="44" t="inlineStr">
        <is>
          <t>Teslimler/WebKopyalari/170370799de9934dba3c029d36dc7ed9a02147c0b98254324d50803bff47ee91.webp</t>
        </is>
      </c>
      <c r="J200" s="44" t="inlineStr">
        <is>
          <t>010cccea6eb98cf5e6b09474d19f75696fb3ce24de859f56bdf2278274d2b433</t>
        </is>
      </c>
      <c r="K200" s="44" t="n">
        <v>1280</v>
      </c>
      <c r="L200" s="44" t="n">
        <v>960</v>
      </c>
      <c r="M200" s="44" t="inlineStr">
        <is>
          <t>Özgün teslim dosyası korundu. EXIF yönü uygulandı; kırpma yapılmadan en çok 1600 px, WebP kalite 84. Önceki kaynak değişiklik notları ayrıca korunur.</t>
        </is>
      </c>
      <c r="N200" s="44" t="inlineStr">
        <is>
          <t>Kayıttan doğrulandı</t>
        </is>
      </c>
      <c r="O200" s="44" t="n"/>
    </row>
    <row r="201" ht="54" customHeight="1">
      <c r="A201" s="44" t="inlineStr">
        <is>
          <t>eindhoven:photo:centrum-bolgesi-05</t>
        </is>
      </c>
      <c r="B201" s="44" t="inlineStr">
        <is>
          <t>https://commons.wikimedia.org/wiki/User:G.Lanting</t>
        </is>
      </c>
      <c r="C201" s="44" t="inlineStr">
        <is>
          <t>https://commons.wikimedia.org/wiki/User:G.Lanting</t>
        </is>
      </c>
      <c r="D201" s="44" t="inlineStr">
        <is>
          <t>https://upload.wikimedia.org/wikipedia/commons/4/43/Eindhoven_Centrum_024.JPG?utm_source=commons.wikimedia.org&amp;utm_campaign=imageinfo&amp;utm_content=original</t>
        </is>
      </c>
      <c r="E201" s="44" t="inlineStr">
        <is>
          <t>https://thumb.wikimedia.org/wikipedia/commons/thumb/4/43/Eindhoven_Centrum_024.JPG/1280px-Eindhoven_Centrum_024.JPG</t>
        </is>
      </c>
      <c r="F201" s="53" t="n">
        <v>46318</v>
      </c>
      <c r="G201" s="44" t="inlineStr">
        <is>
          <t>Fotoğraflar/eindhoven_centrum-bolgesi_05.jpg</t>
        </is>
      </c>
      <c r="H201" s="44" t="inlineStr">
        <is>
          <t>10f9c8f3d110da28ee9f70a5d0e20fff4401cc4387e474fbfbbf84079943427d</t>
        </is>
      </c>
      <c r="I201" s="44" t="inlineStr">
        <is>
          <t>Teslimler/WebKopyalari/10f9c8f3d110da28ee9f70a5d0e20fff4401cc4387e474fbfbbf84079943427d.webp</t>
        </is>
      </c>
      <c r="J201" s="44" t="inlineStr">
        <is>
          <t>26a6767458f72821c8627a5cd01d97ab5aa3b43b41aecd6203eebcfcd15d2a1b</t>
        </is>
      </c>
      <c r="K201" s="44" t="n">
        <v>1280</v>
      </c>
      <c r="L201" s="44" t="n">
        <v>960</v>
      </c>
      <c r="M201" s="44" t="inlineStr">
        <is>
          <t>Özgün teslim dosyası korundu. EXIF yönü uygulandı; kırpma yapılmadan en çok 1600 px, WebP kalite 84. Önceki kaynak değişiklik notları ayrıca korunur.</t>
        </is>
      </c>
      <c r="N201" s="44" t="inlineStr">
        <is>
          <t>Kayıttan doğrulandı</t>
        </is>
      </c>
      <c r="O201" s="44" t="n"/>
    </row>
    <row r="202" ht="54" customHeight="1">
      <c r="A202" s="44" t="inlineStr">
        <is>
          <t>eindhoven:photo:strijp-s-mahallesi-03</t>
        </is>
      </c>
      <c r="B202" s="44" t="inlineStr">
        <is>
          <t>https://commons.wikimedia.org/wiki/User:Sneeuwvlakte</t>
        </is>
      </c>
      <c r="C202" s="44" t="inlineStr">
        <is>
          <t>https://commons.wikimedia.org/wiki/User:Sneeuwvlakte</t>
        </is>
      </c>
      <c r="D202" s="44" t="inlineStr">
        <is>
          <t>https://upload.wikimedia.org/wikipedia/commons/a/a2/Station_Eindhoven_Strijp-S_%282024%29.jpg?utm_source=commons.wikimedia.org&amp;utm_campaign=imageinfo&amp;utm_content=original</t>
        </is>
      </c>
      <c r="E202" s="44" t="inlineStr">
        <is>
          <t>https://thumb.wikimedia.org/wikipedia/commons/thumb/a/a2/Station_Eindhoven_Strijp-S_%282024%29.jpg/1280px-Station_Eindhoven_Strijp-S_%282024%29.jpg</t>
        </is>
      </c>
      <c r="F202" s="53" t="n">
        <v>46318</v>
      </c>
      <c r="G202" s="44" t="inlineStr">
        <is>
          <t>Fotoğraflar/eindhoven_strijp-s-mahallesi_03.jpg</t>
        </is>
      </c>
      <c r="H202" s="44" t="inlineStr">
        <is>
          <t>5ac660b93dcb98c1b781de565cdf49f54a7542f52e969a52b643e02d93ad9ab3</t>
        </is>
      </c>
      <c r="I202" s="44" t="inlineStr">
        <is>
          <t>Teslimler/WebKopyalari/5ac660b93dcb98c1b781de565cdf49f54a7542f52e969a52b643e02d93ad9ab3.webp</t>
        </is>
      </c>
      <c r="J202" s="44" t="inlineStr">
        <is>
          <t>697154c7ace480d1aa649e846fa15f137c84d5c1c752123deefca81d04715de1</t>
        </is>
      </c>
      <c r="K202" s="44" t="n">
        <v>1280</v>
      </c>
      <c r="L202" s="44" t="n">
        <v>960</v>
      </c>
      <c r="M202" s="44" t="inlineStr">
        <is>
          <t>Özgün teslim dosyası korundu. EXIF yönü uygulandı; kırpma yapılmadan en çok 1600 px, WebP kalite 84. Önceki kaynak değişiklik notları ayrıca korunur.</t>
        </is>
      </c>
      <c r="N202" s="44" t="inlineStr">
        <is>
          <t>Kayıttan doğrulandı</t>
        </is>
      </c>
      <c r="O202" s="44" t="n"/>
    </row>
    <row r="203" ht="54" customHeight="1">
      <c r="A203" s="44" t="inlineStr">
        <is>
          <t>eindhoven:photo:strijp-s-mahallesi-04</t>
        </is>
      </c>
      <c r="B203" s="44" t="inlineStr">
        <is>
          <t>https://commons.wikimedia.org/wiki/User:Tukka</t>
        </is>
      </c>
      <c r="C203" s="44" t="inlineStr">
        <is>
          <t>https://commons.wikimedia.org/wiki/User:Tukka</t>
        </is>
      </c>
      <c r="D203" s="44" t="inlineStr">
        <is>
          <t>https://upload.wikimedia.org/wikipedia/commons/a/a0/Torenallee_Eindhoven_3.jpg?utm_source=commons.wikimedia.org&amp;utm_campaign=imageinfo&amp;utm_content=original</t>
        </is>
      </c>
      <c r="E203" s="44" t="inlineStr">
        <is>
          <t>https://thumb.wikimedia.org/wikipedia/commons/thumb/a/a0/Torenallee_Eindhoven_3.jpg/1280px-Torenallee_Eindhoven_3.jpg</t>
        </is>
      </c>
      <c r="F203" s="53" t="n">
        <v>46318</v>
      </c>
      <c r="G203" s="44" t="inlineStr">
        <is>
          <t>Fotoğraflar/eindhoven_strijp-s-mahallesi_04.jpg</t>
        </is>
      </c>
      <c r="H203" s="44" t="inlineStr">
        <is>
          <t>189ad37ede889bb61d95eb4231d79b6f215db310d0735cd08cf5956aa7c06530</t>
        </is>
      </c>
      <c r="I203" s="44" t="inlineStr">
        <is>
          <t>Teslimler/WebKopyalari/189ad37ede889bb61d95eb4231d79b6f215db310d0735cd08cf5956aa7c06530.webp</t>
        </is>
      </c>
      <c r="J203" s="44" t="inlineStr">
        <is>
          <t>8620866849d7a27f5e428211c9b81ea2833be5fb6318003402834b7446f78088</t>
        </is>
      </c>
      <c r="K203" s="44" t="n">
        <v>1280</v>
      </c>
      <c r="L203" s="44" t="n">
        <v>848</v>
      </c>
      <c r="M203" s="44" t="inlineStr">
        <is>
          <t>Özgün teslim dosyası korundu. EXIF yönü uygulandı; kırpma yapılmadan en çok 1600 px, WebP kalite 84. Önceki kaynak değişiklik notları ayrıca korunur.</t>
        </is>
      </c>
      <c r="N203" s="44" t="inlineStr">
        <is>
          <t>Kayıttan doğrulandı</t>
        </is>
      </c>
      <c r="O203" s="44" t="n"/>
    </row>
    <row r="204" ht="54" customHeight="1">
      <c r="A204" s="44" t="inlineStr">
        <is>
          <t>eindhoven:photo:strijp-s-mahallesi-05</t>
        </is>
      </c>
      <c r="B204" s="44" t="inlineStr">
        <is>
          <t>https://www.flickr.com/people/141420435@N08</t>
        </is>
      </c>
      <c r="C204" s="44" t="inlineStr">
        <is>
          <t>https://www.flickr.com/people/141420435@N08</t>
        </is>
      </c>
      <c r="D204" s="44" t="inlineStr">
        <is>
          <t>https://upload.wikimedia.org/wikipedia/commons/e/e1/Trudo_Toren_Strijp-S_Eindhoven_%2851284789918%29.jpg?utm_source=commons.wikimedia.org&amp;utm_campaign=imageinfo&amp;utm_content=original</t>
        </is>
      </c>
      <c r="E204" s="44" t="inlineStr">
        <is>
          <t>https://thumb.wikimedia.org/wikipedia/commons/thumb/e/e1/Trudo_Toren_Strijp-S_Eindhoven_%2851284789918%29.jpg/1280px-Trudo_Toren_Strijp-S_Eindhoven_%2851284789918%29.jpg</t>
        </is>
      </c>
      <c r="F204" s="53" t="n">
        <v>46318</v>
      </c>
      <c r="G204" s="44" t="inlineStr">
        <is>
          <t>Fotoğraflar/eindhoven_strijp-s-mahallesi_05.jpg</t>
        </is>
      </c>
      <c r="H204" s="44" t="inlineStr">
        <is>
          <t>c372d95e866ac6c2596583f7d291c06523025409facca98f5e3f51765739bee6</t>
        </is>
      </c>
      <c r="I204" s="44" t="inlineStr">
        <is>
          <t>Teslimler/WebKopyalari/c372d95e866ac6c2596583f7d291c06523025409facca98f5e3f51765739bee6.webp</t>
        </is>
      </c>
      <c r="J204" s="44" t="inlineStr">
        <is>
          <t>e2b41c5c026072e7772cf012d20b291aae80e439ead832623755c2bb270a54b6</t>
        </is>
      </c>
      <c r="K204" s="44" t="n">
        <v>1280</v>
      </c>
      <c r="L204" s="44" t="n">
        <v>853</v>
      </c>
      <c r="M204" s="44" t="inlineStr">
        <is>
          <t>Özgün teslim dosyası korundu. EXIF yönü uygulandı; kırpma yapılmadan en çok 1600 px, WebP kalite 84. Önceki kaynak değişiklik notları ayrıca korunur.</t>
        </is>
      </c>
      <c r="N204" s="44" t="inlineStr">
        <is>
          <t>Kayıttan doğrulandı</t>
        </is>
      </c>
      <c r="O204" s="44" t="n"/>
    </row>
    <row r="205" ht="54" customHeight="1">
      <c r="A205" s="44" t="inlineStr">
        <is>
          <t>eindhoven:photo:philipsdorp-mahallesi-03</t>
        </is>
      </c>
      <c r="B205" s="44" t="inlineStr">
        <is>
          <t>https://www.wikidata.org/wiki/Q88378993</t>
        </is>
      </c>
      <c r="C205" s="44" t="inlineStr">
        <is>
          <t>https://www.wikidata.org/wiki/Q88378993</t>
        </is>
      </c>
      <c r="D205" s="44" t="inlineStr">
        <is>
          <t>https://upload.wikimedia.org/wikipedia/commons/1/1c/PSV_stadion_Eindhoven-_Philipsdorp_1509-56.jpg?utm_source=commons.wikimedia.org&amp;utm_campaign=imageinfo&amp;utm_content=original</t>
        </is>
      </c>
      <c r="E205" s="44" t="inlineStr">
        <is>
          <t>https://thumb.wikimedia.org/wikipedia/commons/thumb/1/1c/PSV_stadion_Eindhoven-_Philipsdorp_1509-56.jpg/1280px-PSV_stadion_Eindhoven-_Philipsdorp_1509-56.jpg</t>
        </is>
      </c>
      <c r="F205" s="53" t="n">
        <v>46318</v>
      </c>
      <c r="G205" s="44" t="inlineStr">
        <is>
          <t>Fotoğraflar/eindhoven_philipsdorp-mahallesi_03.jpg</t>
        </is>
      </c>
      <c r="H205" s="44" t="inlineStr">
        <is>
          <t>921bb27399b9ea67577af26857b375e3b42ace46e0f62a89a023077f3db465a0</t>
        </is>
      </c>
      <c r="I205" s="44" t="inlineStr">
        <is>
          <t>Teslimler/WebKopyalari/921bb27399b9ea67577af26857b375e3b42ace46e0f62a89a023077f3db465a0.webp</t>
        </is>
      </c>
      <c r="J205" s="44" t="inlineStr">
        <is>
          <t>efc0361b1db2cc105d3d1ffbccc1aa9fe187da0abb99adbfd0ae44540fb1039f</t>
        </is>
      </c>
      <c r="K205" s="44" t="n">
        <v>1280</v>
      </c>
      <c r="L205" s="44" t="n">
        <v>853</v>
      </c>
      <c r="M205" s="44" t="inlineStr">
        <is>
          <t>Özgün teslim dosyası korundu. EXIF yönü uygulandı; kırpma yapılmadan en çok 1600 px, WebP kalite 84. Önceki kaynak değişiklik notları ayrıca korunur.</t>
        </is>
      </c>
      <c r="N205" s="44" t="inlineStr">
        <is>
          <t>Kayıttan doğrulandı</t>
        </is>
      </c>
      <c r="O205" s="44" t="n"/>
    </row>
    <row r="206" ht="54" customHeight="1">
      <c r="A206" s="44" t="inlineStr">
        <is>
          <t>eindhoven:photo:witte-dorp-mahallesi-05</t>
        </is>
      </c>
      <c r="B206" s="44" t="inlineStr">
        <is>
          <t>https://commons.wikimedia.org/wiki/User:Rosemoon</t>
        </is>
      </c>
      <c r="C206" s="44" t="inlineStr">
        <is>
          <t>https://commons.wikimedia.org/wiki/User:Rosemoon</t>
        </is>
      </c>
      <c r="D206" s="44" t="inlineStr">
        <is>
          <t>https://upload.wikimedia.org/wikipedia/commons/e/e7/Monument_518738%2C_Geldropseweg_136_Eindhoven_-_2.jpg?utm_source=commons.wikimedia.org&amp;utm_campaign=imageinfo&amp;utm_content=original</t>
        </is>
      </c>
      <c r="E206" s="44" t="inlineStr">
        <is>
          <t>https://thumb.wikimedia.org/wikipedia/commons/thumb/e/e7/Monument_518738%2C_Geldropseweg_136_Eindhoven_-_2.jpg/1280px-Monument_518738%2C_Geldropseweg_136_Eindhoven_-_2.jpg</t>
        </is>
      </c>
      <c r="F206" s="53" t="n">
        <v>46318</v>
      </c>
      <c r="G206" s="44" t="inlineStr">
        <is>
          <t>Fotoğraflar/eindhoven_witte-dorp-mahallesi_05.jpg</t>
        </is>
      </c>
      <c r="H206" s="44" t="inlineStr">
        <is>
          <t>095ada33bc7206313a7622bfa8253eb7acb6fab3df15e3ac268045f30517c6f4</t>
        </is>
      </c>
      <c r="I206" s="44" t="inlineStr">
        <is>
          <t>Teslimler/WebKopyalari/095ada33bc7206313a7622bfa8253eb7acb6fab3df15e3ac268045f30517c6f4.webp</t>
        </is>
      </c>
      <c r="J206" s="44" t="inlineStr">
        <is>
          <t>85230a0c24bcc9e3d31c1e1aff238ad091f6b13a422ee15dad2e43c3c0c28902</t>
        </is>
      </c>
      <c r="K206" s="44" t="n">
        <v>1280</v>
      </c>
      <c r="L206" s="44" t="n">
        <v>960</v>
      </c>
      <c r="M206" s="44" t="inlineStr">
        <is>
          <t>Özgün teslim dosyası korundu. EXIF yönü uygulandı; kırpma yapılmadan en çok 1600 px, WebP kalite 84. Önceki kaynak değişiklik notları ayrıca korunur.</t>
        </is>
      </c>
      <c r="N206" s="44" t="inlineStr">
        <is>
          <t>Kayıttan doğrulandı</t>
        </is>
      </c>
      <c r="O206" s="44" t="n"/>
    </row>
    <row r="207" ht="54" customHeight="1">
      <c r="A207" s="44" t="inlineStr">
        <is>
          <t>eindhoven:photo:riel-mahallesi-05</t>
        </is>
      </c>
      <c r="B207" s="44" t="inlineStr">
        <is>
          <t>https://commons.wikimedia.org/wiki/User:Mark_Bergsma</t>
        </is>
      </c>
      <c r="C207" s="44" t="inlineStr">
        <is>
          <t>https://commons.wikimedia.org/wiki/User:Mark_Bergsma</t>
        </is>
      </c>
      <c r="D207" s="44" t="inlineStr">
        <is>
          <t>https://upload.wikimedia.org/wikipedia/commons/1/1b/Riel13_Eindhoven.jpg?utm_source=commons.wikimedia.org&amp;utm_campaign=imageinfo&amp;utm_content=original</t>
        </is>
      </c>
      <c r="E207" s="44" t="inlineStr">
        <is>
          <t>https://thumb.wikimedia.org/wikipedia/commons/thumb/1/1b/Riel13_Eindhoven.jpg/1280px-Riel13_Eindhoven.jpg</t>
        </is>
      </c>
      <c r="F207" s="53" t="n">
        <v>46318</v>
      </c>
      <c r="G207" s="44" t="inlineStr">
        <is>
          <t>Fotoğraflar/eindhoven_riel-mahallesi_05.jpg</t>
        </is>
      </c>
      <c r="H207" s="44" t="inlineStr">
        <is>
          <t>7db7261be006fe2c9d2b62a360a8b2210ddb112ea4d661283ba99f8fbfb3f8fd</t>
        </is>
      </c>
      <c r="I207" s="44" t="inlineStr">
        <is>
          <t>Teslimler/WebKopyalari/7db7261be006fe2c9d2b62a360a8b2210ddb112ea4d661283ba99f8fbfb3f8fd.webp</t>
        </is>
      </c>
      <c r="J207" s="44" t="inlineStr">
        <is>
          <t>dc7474144e0f41a1b73bd893e1a7c9d55ce536e30c2e006a6340a3a042b211ba</t>
        </is>
      </c>
      <c r="K207" s="44" t="n">
        <v>1280</v>
      </c>
      <c r="L207" s="44" t="n">
        <v>720</v>
      </c>
      <c r="M207" s="44" t="inlineStr">
        <is>
          <t>Özgün teslim dosyası korundu. EXIF yönü uygulandı; kırpma yapılmadan en çok 1600 px, WebP kalite 84. Önceki kaynak değişiklik notları ayrıca korunur.</t>
        </is>
      </c>
      <c r="N207" s="44" t="inlineStr">
        <is>
          <t>Kayıttan doğrulandı</t>
        </is>
      </c>
      <c r="O207" s="44" t="n"/>
    </row>
    <row r="208" ht="54" customHeight="1">
      <c r="A208" s="44" t="inlineStr">
        <is>
          <t>eindhoven:photo:tongelre-bolgesi-05</t>
        </is>
      </c>
      <c r="B208" s="44" t="inlineStr">
        <is>
          <t>https://commons.wikimedia.org/wiki/User:Rosemoon</t>
        </is>
      </c>
      <c r="C208" s="44" t="inlineStr">
        <is>
          <t>https://commons.wikimedia.org/wiki/User:Rosemoon</t>
        </is>
      </c>
      <c r="D208" s="44" t="inlineStr">
        <is>
          <t>https://upload.wikimedia.org/wikipedia/commons/c/c8/Wijkcentrum_%27t_Oude_Raadhuis_Tongelre_Eindhoven.JPG?utm_source=commons.wikimedia.org&amp;utm_campaign=imageinfo&amp;utm_content=original</t>
        </is>
      </c>
      <c r="E208" s="44" t="inlineStr">
        <is>
          <t>https://thumb.wikimedia.org/wikipedia/commons/thumb/c/c8/Wijkcentrum_%27t_Oude_Raadhuis_Tongelre_Eindhoven.JPG/1280px-Wijkcentrum_%27t_Oude_Raadhuis_Tongelre_Eindhoven.JPG</t>
        </is>
      </c>
      <c r="F208" s="53" t="n">
        <v>46318</v>
      </c>
      <c r="G208" s="44" t="inlineStr">
        <is>
          <t>Fotoğraflar/eindhoven_tongelre-bolgesi_05.jpg</t>
        </is>
      </c>
      <c r="H208" s="44" t="inlineStr">
        <is>
          <t>86761de8ef24290946c754ff8f455dc1c2777a4516afde86b8d41e303443ea86</t>
        </is>
      </c>
      <c r="I208" s="44" t="inlineStr">
        <is>
          <t>Teslimler/WebKopyalari/86761de8ef24290946c754ff8f455dc1c2777a4516afde86b8d41e303443ea86.webp</t>
        </is>
      </c>
      <c r="J208" s="44" t="inlineStr">
        <is>
          <t>9fe8749fc0dff59f6da233b6110d0d58cb7cccb87f37d415f830e3d1f4839c95</t>
        </is>
      </c>
      <c r="K208" s="44" t="n">
        <v>1280</v>
      </c>
      <c r="L208" s="44" t="n">
        <v>960</v>
      </c>
      <c r="M208" s="44" t="inlineStr">
        <is>
          <t>Özgün teslim dosyası korundu. EXIF yönü uygulandı; kırpma yapılmadan en çok 1600 px, WebP kalite 84. Önceki kaynak değişiklik notları ayrıca korunur.</t>
        </is>
      </c>
      <c r="N208" s="44" t="inlineStr">
        <is>
          <t>Kayıttan doğrulandı</t>
        </is>
      </c>
      <c r="O208" s="44" t="n"/>
    </row>
    <row r="209" ht="54" customHeight="1">
      <c r="A209" s="44" t="inlineStr">
        <is>
          <t>eindhoven:photo:landgoed-de-grote-beek-01</t>
        </is>
      </c>
      <c r="B209" s="44" t="inlineStr">
        <is>
          <t>https://www.wikidata.org/wiki/Q59248002</t>
        </is>
      </c>
      <c r="C209" s="44" t="inlineStr">
        <is>
          <t>https://www.wikidata.org/wiki/Q59248002</t>
        </is>
      </c>
      <c r="D209" s="44" t="inlineStr">
        <is>
          <t>https://upload.wikimedia.org/wikipedia/commons/a/a4/Overzicht_achtergevel_hoofdgebouw_met_omgeving_-_Eindhoven_-_20380598_-_RCE.jpg</t>
        </is>
      </c>
      <c r="E209" s="44" t="inlineStr">
        <is>
          <t>https://thumb.wikimedia.org/wikipedia/commons/thumb/a/a4/Overzicht_achtergevel_hoofdgebouw_met_omgeving_-_Eindhoven_-_20380598_-_RCE.jpg/1280px-Overzicht_achtergevel_hoofdgebouw_met_omgeving_-_Eindhoven_-_20380598_-_RCE.jpg</t>
        </is>
      </c>
      <c r="F209" s="53" t="n">
        <v>46318</v>
      </c>
      <c r="G209" s="44" t="inlineStr">
        <is>
          <t>Fotoğraflar/eindhoven_landgoed-de-grote-beek_01.jpg</t>
        </is>
      </c>
      <c r="H209" s="44" t="inlineStr">
        <is>
          <t>e017b1514aee7efff646d068eda32c46f9c4f50d3efbf4bc44cac303015f7cbd</t>
        </is>
      </c>
      <c r="I209" s="44" t="inlineStr">
        <is>
          <t>Teslimler/WebKopyalari/e017b1514aee7efff646d068eda32c46f9c4f50d3efbf4bc44cac303015f7cbd.webp</t>
        </is>
      </c>
      <c r="J209" s="44" t="inlineStr">
        <is>
          <t>19752feb4560456c924035be1476bc6a8197bf35c401997998a07ac8f2e96cf1</t>
        </is>
      </c>
      <c r="K209" s="44" t="n">
        <v>1280</v>
      </c>
      <c r="L209" s="44" t="n">
        <v>1021</v>
      </c>
      <c r="M209" s="44" t="inlineStr">
        <is>
          <t>Özgün teslim dosyası korundu. EXIF yönü uygulandı; kırpma yapılmadan en çok 1600 px, WebP kalite 84. Önceki kaynak değişiklik notları ayrıca korunur.</t>
        </is>
      </c>
      <c r="N209" s="44" t="inlineStr">
        <is>
          <t>Kayıttan doğrulandı</t>
        </is>
      </c>
      <c r="O209" s="44" t="n"/>
    </row>
    <row r="210" ht="54" customHeight="1">
      <c r="A210" s="44" t="inlineStr">
        <is>
          <t>eindhoven:photo:landgoed-de-grote-beek-02</t>
        </is>
      </c>
      <c r="B210" s="44" t="inlineStr">
        <is>
          <t>https://www.wikidata.org/wiki/Q59248002</t>
        </is>
      </c>
      <c r="C210" s="44" t="inlineStr">
        <is>
          <t>https://www.wikidata.org/wiki/Q59248002</t>
        </is>
      </c>
      <c r="D210" s="44" t="inlineStr">
        <is>
          <t>https://upload.wikimedia.org/wikipedia/commons/8/87/Overzicht_voorgevel_hoofdgebouw_-_Eindhoven_-_20380617_-_RCE.jpg</t>
        </is>
      </c>
      <c r="E210" s="44" t="inlineStr">
        <is>
          <t>https://thumb.wikimedia.org/wikipedia/commons/thumb/8/87/Overzicht_voorgevel_hoofdgebouw_-_Eindhoven_-_20380617_-_RCE.jpg/1280px-Overzicht_voorgevel_hoofdgebouw_-_Eindhoven_-_20380617_-_RCE.jpg</t>
        </is>
      </c>
      <c r="F210" s="53" t="n">
        <v>46318</v>
      </c>
      <c r="G210" s="44" t="inlineStr">
        <is>
          <t>Fotoğraflar/eindhoven_landgoed-de-grote-beek_02.jpg</t>
        </is>
      </c>
      <c r="H210" s="44" t="inlineStr">
        <is>
          <t>de56cb380465a71e6dcbded84d87dce2a075d1ba52d3ca84cbdc5d654f6c6ad2</t>
        </is>
      </c>
      <c r="I210" s="44" t="inlineStr">
        <is>
          <t>Teslimler/WebKopyalari/de56cb380465a71e6dcbded84d87dce2a075d1ba52d3ca84cbdc5d654f6c6ad2.webp</t>
        </is>
      </c>
      <c r="J210" s="44" t="inlineStr">
        <is>
          <t>43ba7d6a8d47f3c5c4c6de800b5e133c1caea1b7c96506a343bc1aef614295d2</t>
        </is>
      </c>
      <c r="K210" s="44" t="n">
        <v>1280</v>
      </c>
      <c r="L210" s="44" t="n">
        <v>1021</v>
      </c>
      <c r="M210" s="44" t="inlineStr">
        <is>
          <t>Özgün teslim dosyası korundu. EXIF yönü uygulandı; kırpma yapılmadan en çok 1600 px, WebP kalite 84. Önceki kaynak değişiklik notları ayrıca korunur.</t>
        </is>
      </c>
      <c r="N210" s="44" t="inlineStr">
        <is>
          <t>Kayıttan doğrulandı</t>
        </is>
      </c>
      <c r="O210" s="44" t="n"/>
    </row>
    <row r="211" ht="54" customHeight="1">
      <c r="A211" s="44" t="inlineStr">
        <is>
          <t>eindhoven:photo:stratumse-heide-01</t>
        </is>
      </c>
      <c r="B211" s="44" t="n"/>
      <c r="C211" s="44" t="inlineStr">
        <is>
          <t>https://commons.wikimedia.org/wiki/File:Bizons_in_Stratumse_Heide.jpg</t>
        </is>
      </c>
      <c r="D211" s="44" t="inlineStr">
        <is>
          <t>https://upload.wikimedia.org/wikipedia/commons/0/0a/Bizons_in_Stratumse_Heide.jpg</t>
        </is>
      </c>
      <c r="E211" s="44" t="inlineStr">
        <is>
          <t>https://thumb.wikimedia.org/wikipedia/commons/thumb/0/0a/Bizons_in_Stratumse_Heide.jpg/1280px-Bizons_in_Stratumse_Heide.jpg</t>
        </is>
      </c>
      <c r="F211" s="53" t="n">
        <v>46318</v>
      </c>
      <c r="G211" s="44" t="inlineStr">
        <is>
          <t>Fotoğraflar/eindhoven_stratumse-heide_01.jpg</t>
        </is>
      </c>
      <c r="H211" s="44" t="inlineStr">
        <is>
          <t>21d61ab9c9def75f905af8b0feedee7ddb7e33000307a837949f7d0c550ee639</t>
        </is>
      </c>
      <c r="I211" s="44" t="inlineStr">
        <is>
          <t>Teslimler/WebKopyalari/21d61ab9c9def75f905af8b0feedee7ddb7e33000307a837949f7d0c550ee639.webp</t>
        </is>
      </c>
      <c r="J211" s="44" t="inlineStr">
        <is>
          <t>4669c0a039690ced3534702f366aa46bd5f3ff5a96e9716aa579d39f6efb6944</t>
        </is>
      </c>
      <c r="K211" s="44" t="n">
        <v>1200</v>
      </c>
      <c r="L211" s="44" t="n">
        <v>1600</v>
      </c>
      <c r="M211" s="44" t="inlineStr">
        <is>
          <t>Özgün teslim dosyası korundu. EXIF yönü uygulandı; kırpma yapılmadan en çok 1600 px, WebP kalite 84. Önceki kaynak değişiklik notları ayrıca korunur.</t>
        </is>
      </c>
      <c r="N211" s="44" t="inlineStr">
        <is>
          <t>Eksik alan var</t>
        </is>
      </c>
      <c r="O211" s="44" t="inlineStr">
        <is>
          <t>Kaynakta ayrı fotoğrafçı profil bağlantısı bulunmadı; fotoğraf kaynak sayfasına atıf korunur. Bağlantı uydurulmaz.</t>
        </is>
      </c>
    </row>
    <row r="212" ht="54" customHeight="1">
      <c r="A212" s="44" t="inlineStr">
        <is>
          <t>eindhoven:photo:inkijkmuseum-01</t>
        </is>
      </c>
      <c r="B212" s="44" t="inlineStr">
        <is>
          <t>https://commons.wikimedia.org/wiki/User:Sneeuwvlakte</t>
        </is>
      </c>
      <c r="C212" s="44" t="inlineStr">
        <is>
          <t>https://commons.wikimedia.org/wiki/User:Sneeuwvlakte</t>
        </is>
      </c>
      <c r="D212" s="44" t="inlineStr">
        <is>
          <t>https://upload.wikimedia.org/wikipedia/commons/d/db/Inkijkmuseum_-_Eindhoven_%282026-09-18%29.jpg</t>
        </is>
      </c>
      <c r="E212" s="44" t="inlineStr">
        <is>
          <t>https://thumb.wikimedia.org/wikipedia/commons/thumb/d/db/Inkijkmuseum_-_Eindhoven_%282026-09-18%29.jpg/1280px-Inkijkmuseum_-_Eindhoven_%282026-09-18%29.jpg</t>
        </is>
      </c>
      <c r="F212" s="53" t="n">
        <v>46318</v>
      </c>
      <c r="G212" s="44" t="inlineStr">
        <is>
          <t>Fotoğraflar/eindhoven_inkijkmuseum_01.jpg</t>
        </is>
      </c>
      <c r="H212" s="44" t="inlineStr">
        <is>
          <t>478b88c88ab50d8a14cfd3f55e8d60631cded32d55359cb093d2a1790ec13f3a</t>
        </is>
      </c>
      <c r="I212" s="44" t="inlineStr">
        <is>
          <t>Teslimler/WebKopyalari/478b88c88ab50d8a14cfd3f55e8d60631cded32d55359cb093d2a1790ec13f3a.webp</t>
        </is>
      </c>
      <c r="J212" s="44" t="inlineStr">
        <is>
          <t>7c70185358684093ac4b596fc7dad4f47acc5c8b6038145f814ba2abf3d9cd77</t>
        </is>
      </c>
      <c r="K212" s="44" t="n">
        <v>1280</v>
      </c>
      <c r="L212" s="44" t="n">
        <v>853</v>
      </c>
      <c r="M212" s="44" t="inlineStr">
        <is>
          <t>Özgün teslim dosyası korundu. EXIF yönü uygulandı; kırpma yapılmadan en çok 1600 px, WebP kalite 84. Önceki kaynak değişiklik notları ayrıca korunur.</t>
        </is>
      </c>
      <c r="N212" s="44" t="inlineStr">
        <is>
          <t>Kayıttan doğrulandı</t>
        </is>
      </c>
      <c r="O212" s="44" t="n"/>
    </row>
    <row r="213" ht="54" customHeight="1">
      <c r="A213" s="44" t="inlineStr">
        <is>
          <t>eindhoven:photo:inkijkmuseum-02</t>
        </is>
      </c>
      <c r="B213" s="44" t="inlineStr">
        <is>
          <t>https://commons.wikimedia.org/wiki/User:Rosemoon</t>
        </is>
      </c>
      <c r="C213" s="44" t="inlineStr">
        <is>
          <t>https://commons.wikimedia.org/wiki/User:Rosemoon</t>
        </is>
      </c>
      <c r="D213" s="44" t="inlineStr">
        <is>
          <t>https://upload.wikimedia.org/wikipedia/commons/6/6f/Inkijkmuseum_Eindhoven_1.jpg</t>
        </is>
      </c>
      <c r="E213" s="44" t="inlineStr">
        <is>
          <t>https://thumb.wikimedia.org/wikipedia/commons/thumb/6/6f/Inkijkmuseum_Eindhoven_1.jpg/1280px-Inkijkmuseum_Eindhoven_1.jpg</t>
        </is>
      </c>
      <c r="F213" s="53" t="n">
        <v>46318</v>
      </c>
      <c r="G213" s="44" t="inlineStr">
        <is>
          <t>Fotoğraflar/eindhoven_inkijkmuseum_02.jpg</t>
        </is>
      </c>
      <c r="H213" s="44" t="inlineStr">
        <is>
          <t>1be744dd7cac68a3b391d284b6efde28a0bc7b5ed5e346f246bb37725e7c13dd</t>
        </is>
      </c>
      <c r="I213" s="44" t="inlineStr">
        <is>
          <t>Teslimler/WebKopyalari/1be744dd7cac68a3b391d284b6efde28a0bc7b5ed5e346f246bb37725e7c13dd.webp</t>
        </is>
      </c>
      <c r="J213" s="44" t="inlineStr">
        <is>
          <t>90f197e71232e9443c4e217ffbd320d5c9bc7dbf7e31db7d6c86706cebf98c86</t>
        </is>
      </c>
      <c r="K213" s="44" t="n">
        <v>1200</v>
      </c>
      <c r="L213" s="44" t="n">
        <v>1600</v>
      </c>
      <c r="M213" s="44" t="inlineStr">
        <is>
          <t>Özgün teslim dosyası korundu. EXIF yönü uygulandı; kırpma yapılmadan en çok 1600 px, WebP kalite 84. Önceki kaynak değişiklik notları ayrıca korunur.</t>
        </is>
      </c>
      <c r="N213" s="44" t="inlineStr">
        <is>
          <t>Kayıttan doğrulandı</t>
        </is>
      </c>
      <c r="O213" s="44" t="n"/>
    </row>
    <row r="214" ht="54" customHeight="1">
      <c r="A214" s="44" t="inlineStr">
        <is>
          <t>eindhoven:photo:inkijkmuseum-03</t>
        </is>
      </c>
      <c r="B214" s="44" t="inlineStr">
        <is>
          <t>https://commons.wikimedia.org/wiki/User:Rosemoon</t>
        </is>
      </c>
      <c r="C214" s="44" t="inlineStr">
        <is>
          <t>https://commons.wikimedia.org/wiki/User:Rosemoon</t>
        </is>
      </c>
      <c r="D214" s="44" t="inlineStr">
        <is>
          <t>https://upload.wikimedia.org/wikipedia/commons/b/bf/Inkijkmuseum_Eindhoven_2.jpg</t>
        </is>
      </c>
      <c r="E214" s="44" t="inlineStr">
        <is>
          <t>https://thumb.wikimedia.org/wikipedia/commons/thumb/b/bf/Inkijkmuseum_Eindhoven_2.jpg/1280px-Inkijkmuseum_Eindhoven_2.jpg</t>
        </is>
      </c>
      <c r="F214" s="53" t="n">
        <v>46318</v>
      </c>
      <c r="G214" s="44" t="inlineStr">
        <is>
          <t>Fotoğraflar/eindhoven_inkijkmuseum_03.jpg</t>
        </is>
      </c>
      <c r="H214" s="44" t="inlineStr">
        <is>
          <t>022afc9afb0e4d5e9a2af2c9421155f93b47929ff4e699c527c88cd38a893905</t>
        </is>
      </c>
      <c r="I214" s="44" t="inlineStr">
        <is>
          <t>Teslimler/WebKopyalari/022afc9afb0e4d5e9a2af2c9421155f93b47929ff4e699c527c88cd38a893905.webp</t>
        </is>
      </c>
      <c r="J214" s="44" t="inlineStr">
        <is>
          <t>80e7e27b0a7da99e94254ca7c38d67e1eb6f225303af49fe9b917e0b8992f235</t>
        </is>
      </c>
      <c r="K214" s="44" t="n">
        <v>1280</v>
      </c>
      <c r="L214" s="44" t="n">
        <v>960</v>
      </c>
      <c r="M214" s="44" t="inlineStr">
        <is>
          <t>Özgün teslim dosyası korundu. EXIF yönü uygulandı; kırpma yapılmadan en çok 1600 px, WebP kalite 84. Önceki kaynak değişiklik notları ayrıca korunur.</t>
        </is>
      </c>
      <c r="N214" s="44" t="inlineStr">
        <is>
          <t>Kayıttan doğrulandı</t>
        </is>
      </c>
      <c r="O214" s="44" t="n"/>
    </row>
    <row r="215" ht="54" customHeight="1">
      <c r="A215" s="44" t="inlineStr">
        <is>
          <t>eindhoven:photo:de-vooruitgang-01</t>
        </is>
      </c>
      <c r="B215" s="44" t="n"/>
      <c r="C215" s="44" t="inlineStr">
        <is>
          <t>https://commons.wikimedia.org/wiki/File:Gamko_koelingen_in_caf%C3%A9_de_Vooruitgang.jpg</t>
        </is>
      </c>
      <c r="D215" s="44" t="inlineStr">
        <is>
          <t>https://upload.wikimedia.org/wikipedia/commons/9/95/Gamko_koelingen_in_caf%C3%A9_de_Vooruitgang.jpg</t>
        </is>
      </c>
      <c r="E215" s="44" t="inlineStr">
        <is>
          <t>https://thumb.wikimedia.org/wikipedia/commons/thumb/9/95/Gamko_koelingen_in_caf%C3%A9_de_Vooruitgang.jpg/1280px-Gamko_koelingen_in_caf%C3%A9_de_Vooruitgang.jpg</t>
        </is>
      </c>
      <c r="F215" s="53" t="n">
        <v>46318</v>
      </c>
      <c r="G215" s="44" t="inlineStr">
        <is>
          <t>Fotoğraflar/eindhoven_de-vooruitgang_01.jpg</t>
        </is>
      </c>
      <c r="H215" s="44" t="inlineStr">
        <is>
          <t>06d6436016f923a09b57ca91d9dad32876cdddf4fc2f476a0d1341cb757bda0b</t>
        </is>
      </c>
      <c r="I215" s="44" t="inlineStr">
        <is>
          <t>Teslimler/WebKopyalari/06d6436016f923a09b57ca91d9dad32876cdddf4fc2f476a0d1341cb757bda0b.webp</t>
        </is>
      </c>
      <c r="J215" s="44" t="inlineStr">
        <is>
          <t>18021923ad68a24920eedfc47a2bcd0e577c26b898863030a66349dbf76e8003</t>
        </is>
      </c>
      <c r="K215" s="44" t="n">
        <v>1280</v>
      </c>
      <c r="L215" s="44" t="n">
        <v>855</v>
      </c>
      <c r="M215" s="44" t="inlineStr">
        <is>
          <t>Özgün teslim dosyası korundu. EXIF yönü uygulandı; kırpma yapılmadan en çok 1600 px, WebP kalite 84. Önceki kaynak değişiklik notları ayrıca korunur.</t>
        </is>
      </c>
      <c r="N215" s="44" t="inlineStr">
        <is>
          <t>Eksik alan var</t>
        </is>
      </c>
      <c r="O215" s="44" t="inlineStr">
        <is>
          <t>Kaynakta ayrı fotoğrafçı profil bağlantısı bulunmadı; fotoğraf kaynak sayfasına atıf korunur. Bağlantı uydurulmaz.</t>
        </is>
      </c>
    </row>
    <row r="216" ht="54" customHeight="1">
      <c r="A216" s="44" t="inlineStr">
        <is>
          <t>eindhoven:photo:de-vooruitgang-02</t>
        </is>
      </c>
      <c r="B216" s="44" t="inlineStr">
        <is>
          <t>https://commons.wikimedia.org/wiki/User:Rosemoon</t>
        </is>
      </c>
      <c r="C216" s="44" t="inlineStr">
        <is>
          <t>https://commons.wikimedia.org/wiki/User:Rosemoon</t>
        </is>
      </c>
      <c r="D216" s="44" t="inlineStr">
        <is>
          <t>https://upload.wikimedia.org/wikipedia/commons/3/36/Markt_11%2C_EindhovenStadscafe_-_De_Vooruitgang_GM.JPG</t>
        </is>
      </c>
      <c r="E216" s="44" t="inlineStr">
        <is>
          <t>https://thumb.wikimedia.org/wikipedia/commons/thumb/3/36/Markt_11%2C_EindhovenStadscafe_-_De_Vooruitgang_GM.JPG/1280px-Markt_11%2C_EindhovenStadscafe_-_De_Vooruitgang_GM.JPG</t>
        </is>
      </c>
      <c r="F216" s="53" t="n">
        <v>46318</v>
      </c>
      <c r="G216" s="44" t="inlineStr">
        <is>
          <t>Fotoğraflar/eindhoven_de-vooruitgang_02.jpg</t>
        </is>
      </c>
      <c r="H216" s="44" t="inlineStr">
        <is>
          <t>a10f39ecb9afaabd4ae18b0c4178f9e1c6db22e7e7066a7835d816c0b5548c1c</t>
        </is>
      </c>
      <c r="I216" s="44" t="inlineStr">
        <is>
          <t>Teslimler/WebKopyalari/a10f39ecb9afaabd4ae18b0c4178f9e1c6db22e7e7066a7835d816c0b5548c1c.webp</t>
        </is>
      </c>
      <c r="J216" s="44" t="inlineStr">
        <is>
          <t>a0665bac6773fb834165d0e25dcb522eb5db4128fea94e65e01978dcfc21571b</t>
        </is>
      </c>
      <c r="K216" s="44" t="n">
        <v>1200</v>
      </c>
      <c r="L216" s="44" t="n">
        <v>1600</v>
      </c>
      <c r="M216" s="44" t="inlineStr">
        <is>
          <t>Özgün teslim dosyası korundu. EXIF yönü uygulandı; kırpma yapılmadan en çok 1600 px, WebP kalite 84. Önceki kaynak değişiklik notları ayrıca korunur.</t>
        </is>
      </c>
      <c r="N216" s="44" t="inlineStr">
        <is>
          <t>Kayıttan doğrulandı</t>
        </is>
      </c>
      <c r="O216" s="44" t="n"/>
    </row>
    <row r="217" ht="54" customHeight="1">
      <c r="A217" s="44" t="inlineStr">
        <is>
          <t>eindhoven:photo:de-wildeman-01</t>
        </is>
      </c>
      <c r="B217" s="44" t="inlineStr">
        <is>
          <t>https://commons.wikimedia.org/wiki/User:Rosemoon</t>
        </is>
      </c>
      <c r="C217" s="44" t="inlineStr">
        <is>
          <t>https://commons.wikimedia.org/wiki/User:Rosemoon</t>
        </is>
      </c>
      <c r="D217" s="44" t="inlineStr">
        <is>
          <t>https://upload.wikimedia.org/wikipedia/commons/5/53/Markt_9-10%2C_Eindhoven_Cafe_De_Wildeman.JPG</t>
        </is>
      </c>
      <c r="E217" s="44" t="inlineStr">
        <is>
          <t>https://thumb.wikimedia.org/wikipedia/commons/thumb/5/53/Markt_9-10%2C_Eindhoven_Cafe_De_Wildeman.JPG/1280px-Markt_9-10%2C_Eindhoven_Cafe_De_Wildeman.JPG</t>
        </is>
      </c>
      <c r="F217" s="53" t="n">
        <v>46318</v>
      </c>
      <c r="G217" s="44" t="inlineStr">
        <is>
          <t>Fotoğraflar/eindhoven_de-wildeman_01.jpg</t>
        </is>
      </c>
      <c r="H217" s="44" t="inlineStr">
        <is>
          <t>b900f0ad4c4e94f1ea3f580a0b46f71bb0b2a6351e653be51c027ee8e34c8ffe</t>
        </is>
      </c>
      <c r="I217" s="44" t="inlineStr">
        <is>
          <t>Teslimler/WebKopyalari/b900f0ad4c4e94f1ea3f580a0b46f71bb0b2a6351e653be51c027ee8e34c8ffe.webp</t>
        </is>
      </c>
      <c r="J217" s="44" t="inlineStr">
        <is>
          <t>2f8c13e18e73e1fd88c25eb30b31181ee6cfbbafc5d7f05050b369636c2bc47b</t>
        </is>
      </c>
      <c r="K217" s="44" t="n">
        <v>1200</v>
      </c>
      <c r="L217" s="44" t="n">
        <v>1600</v>
      </c>
      <c r="M217" s="44" t="inlineStr">
        <is>
          <t>Özgün teslim dosyası korundu. EXIF yönü uygulandı; kırpma yapılmadan en çok 1600 px, WebP kalite 84. Önceki kaynak değişiklik notları ayrıca korunur.</t>
        </is>
      </c>
      <c r="N217" s="44" t="inlineStr">
        <is>
          <t>Kayıttan doğrulandı</t>
        </is>
      </c>
      <c r="O217" s="44" t="n"/>
    </row>
    <row r="218" ht="54" customHeight="1">
      <c r="A218" s="44" t="inlineStr">
        <is>
          <t>eindhoven:photo:restaurant-1910-01</t>
        </is>
      </c>
      <c r="B218" s="44" t="inlineStr">
        <is>
          <t>https://commons.wikimedia.org/wiki/User:Rosemoon</t>
        </is>
      </c>
      <c r="C218" s="44" t="inlineStr">
        <is>
          <t>https://commons.wikimedia.org/wiki/User:Rosemoon</t>
        </is>
      </c>
      <c r="D218" s="44" t="inlineStr">
        <is>
          <t>https://upload.wikimedia.org/wikipedia/commons/b/bc/Restaurant_1910_Willemstraat_43A_Eindhoven.JPG</t>
        </is>
      </c>
      <c r="E218" s="44" t="inlineStr">
        <is>
          <t>https://thumb.wikimedia.org/wikipedia/commons/thumb/b/bc/Restaurant_1910_Willemstraat_43A_Eindhoven.JPG/1280px-Restaurant_1910_Willemstraat_43A_Eindhoven.JPG</t>
        </is>
      </c>
      <c r="F218" s="53" t="n">
        <v>46318</v>
      </c>
      <c r="G218" s="44" t="inlineStr">
        <is>
          <t>Fotoğraflar/eindhoven_restaurant-1910_01.jpg</t>
        </is>
      </c>
      <c r="H218" s="44" t="inlineStr">
        <is>
          <t>fabef9ea0c6dce5c181cd0bd2420fc4945f9d73382ebee160aa1f0389297c2a2</t>
        </is>
      </c>
      <c r="I218" s="44" t="inlineStr">
        <is>
          <t>Teslimler/WebKopyalari/fabef9ea0c6dce5c181cd0bd2420fc4945f9d73382ebee160aa1f0389297c2a2.webp</t>
        </is>
      </c>
      <c r="J218" s="44" t="inlineStr">
        <is>
          <t>cc066b1e00851c39518e159503079e0d501db43d8231a2b5cd9fd5f1f6c94d2b</t>
        </is>
      </c>
      <c r="K218" s="44" t="n">
        <v>1280</v>
      </c>
      <c r="L218" s="44" t="n">
        <v>960</v>
      </c>
      <c r="M218" s="44" t="inlineStr">
        <is>
          <t>Özgün teslim dosyası korundu. EXIF yönü uygulandı; kırpma yapılmadan en çok 1600 px, WebP kalite 84. Önceki kaynak değişiklik notları ayrıca korunur.</t>
        </is>
      </c>
      <c r="N218" s="44" t="inlineStr">
        <is>
          <t>Kayıttan doğrulandı</t>
        </is>
      </c>
      <c r="O218" s="44" t="n"/>
    </row>
    <row r="219" ht="54" customHeight="1">
      <c r="A219" s="44" t="inlineStr">
        <is>
          <t>eindhoven:photo:de-gaper-01</t>
        </is>
      </c>
      <c r="B219" s="44" t="inlineStr">
        <is>
          <t>https://commons.wikimedia.org/wiki/User:Rosemoon</t>
        </is>
      </c>
      <c r="C219" s="44" t="inlineStr">
        <is>
          <t>https://commons.wikimedia.org/wiki/User:Rosemoon</t>
        </is>
      </c>
      <c r="D219" s="44" t="inlineStr">
        <is>
          <t>https://upload.wikimedia.org/wikipedia/commons/8/83/De_Gaper_Wilhelminaplein_5_Eindhoven_%281%29.JPG</t>
        </is>
      </c>
      <c r="E219" s="44" t="inlineStr">
        <is>
          <t>https://thumb.wikimedia.org/wikipedia/commons/thumb/8/83/De_Gaper_Wilhelminaplein_5_Eindhoven_%281%29.JPG/1280px-De_Gaper_Wilhelminaplein_5_Eindhoven_%281%29.JPG</t>
        </is>
      </c>
      <c r="F219" s="53" t="n">
        <v>46318</v>
      </c>
      <c r="G219" s="44" t="inlineStr">
        <is>
          <t>Fotoğraflar/eindhoven_de-gaper_01.jpg</t>
        </is>
      </c>
      <c r="H219" s="44" t="inlineStr">
        <is>
          <t>eb3d5dada5607b3224729f9b415352006c2e70802b7385650108d9f85ced67c0</t>
        </is>
      </c>
      <c r="I219" s="44" t="inlineStr">
        <is>
          <t>Teslimler/WebKopyalari/eb3d5dada5607b3224729f9b415352006c2e70802b7385650108d9f85ced67c0.webp</t>
        </is>
      </c>
      <c r="J219" s="44" t="inlineStr">
        <is>
          <t>0120db453a3f2351e034c664d02059f430fe0df3671a20ab758810600e1f7af7</t>
        </is>
      </c>
      <c r="K219" s="44" t="n">
        <v>1280</v>
      </c>
      <c r="L219" s="44" t="n">
        <v>960</v>
      </c>
      <c r="M219" s="44" t="inlineStr">
        <is>
          <t>Özgün teslim dosyası korundu. EXIF yönü uygulandı; kırpma yapılmadan en çok 1600 px, WebP kalite 84. Önceki kaynak değişiklik notları ayrıca korunur.</t>
        </is>
      </c>
      <c r="N219" s="44" t="inlineStr">
        <is>
          <t>Kayıttan doğrulandı</t>
        </is>
      </c>
      <c r="O219" s="44" t="n"/>
    </row>
    <row r="220" ht="54" customHeight="1">
      <c r="A220" s="44" t="inlineStr">
        <is>
          <t>eindhoven:photo:cafe-wilhelmina-01</t>
        </is>
      </c>
      <c r="B220" s="44" t="inlineStr">
        <is>
          <t>https://commons.wikimedia.org/wiki/User:Rosemoon</t>
        </is>
      </c>
      <c r="C220" s="44" t="inlineStr">
        <is>
          <t>https://commons.wikimedia.org/wiki/User:Rosemoon</t>
        </is>
      </c>
      <c r="D220" s="44" t="inlineStr">
        <is>
          <t>https://upload.wikimedia.org/wikipedia/commons/8/8d/Wilhelminaplein_6-7_Eindhoven.JPG</t>
        </is>
      </c>
      <c r="E220" s="44" t="inlineStr">
        <is>
          <t>https://thumb.wikimedia.org/wikipedia/commons/thumb/8/8d/Wilhelminaplein_6-7_Eindhoven.JPG/1280px-Wilhelminaplein_6-7_Eindhoven.JPG</t>
        </is>
      </c>
      <c r="F220" s="53" t="n">
        <v>46318</v>
      </c>
      <c r="G220" s="44" t="inlineStr">
        <is>
          <t>Fotoğraflar/eindhoven_cafe-wilhelmina_01.jpg</t>
        </is>
      </c>
      <c r="H220" s="44" t="inlineStr">
        <is>
          <t>da912aa7fa90500e36be14223af52bab94b96db693eea760f43b46934e406a05</t>
        </is>
      </c>
      <c r="I220" s="44" t="inlineStr">
        <is>
          <t>Teslimler/WebKopyalari/da912aa7fa90500e36be14223af52bab94b96db693eea760f43b46934e406a05.webp</t>
        </is>
      </c>
      <c r="J220" s="44" t="inlineStr">
        <is>
          <t>eca3b78534e4635a7871b2fd4ec4789e669c1f7335f58a4b12882a039ccf2061</t>
        </is>
      </c>
      <c r="K220" s="44" t="n">
        <v>1200</v>
      </c>
      <c r="L220" s="44" t="n">
        <v>1600</v>
      </c>
      <c r="M220" s="44" t="inlineStr">
        <is>
          <t>Özgün teslim dosyası korundu. EXIF yönü uygulandı; kırpma yapılmadan en çok 1600 px, WebP kalite 84. Önceki kaynak değişiklik notları ayrıca korunur.</t>
        </is>
      </c>
      <c r="N220" s="44" t="inlineStr">
        <is>
          <t>Kayıttan doğrulandı</t>
        </is>
      </c>
      <c r="O220" s="44" t="n"/>
    </row>
    <row r="221" ht="54" customHeight="1">
      <c r="A221" s="44" t="inlineStr">
        <is>
          <t>eindhoven:photo:altstadt-eindhoven-01</t>
        </is>
      </c>
      <c r="B221" s="44" t="inlineStr">
        <is>
          <t>https://www.wikidata.org/wiki/Q88378993</t>
        </is>
      </c>
      <c r="C221" s="44" t="inlineStr">
        <is>
          <t>https://www.wikidata.org/wiki/Q88378993</t>
        </is>
      </c>
      <c r="D221" s="44" t="inlineStr">
        <is>
          <t>https://upload.wikimedia.org/wikipedia/commons/e/e5/Stratumseind_Eindhoven_-_Centrum_1803-78.jpg</t>
        </is>
      </c>
      <c r="E221" s="44" t="inlineStr">
        <is>
          <t>https://thumb.wikimedia.org/wikipedia/commons/thumb/e/e5/Stratumseind_Eindhoven_-_Centrum_1803-78.jpg/1280px-Stratumseind_Eindhoven_-_Centrum_1803-78.jpg</t>
        </is>
      </c>
      <c r="F221" s="53" t="n">
        <v>46318</v>
      </c>
      <c r="G221" s="44" t="inlineStr">
        <is>
          <t>Fotoğraflar/eindhoven_altstadt-eindhoven_01.jpg</t>
        </is>
      </c>
      <c r="H221" s="44" t="inlineStr">
        <is>
          <t>a69d663d6858a082f07e829f96117b51d3692922baddd2544f7eda5210e0c8c2</t>
        </is>
      </c>
      <c r="I221" s="44" t="inlineStr">
        <is>
          <t>Teslimler/WebKopyalari/a69d663d6858a082f07e829f96117b51d3692922baddd2544f7eda5210e0c8c2.webp</t>
        </is>
      </c>
      <c r="J221" s="44" t="inlineStr">
        <is>
          <t>eb16c5b92f869fe41c622e2c0501c9cc6c921f224aebdf19079a327d22da09b1</t>
        </is>
      </c>
      <c r="K221" s="44" t="n">
        <v>1280</v>
      </c>
      <c r="L221" s="44" t="n">
        <v>1038</v>
      </c>
      <c r="M221" s="44" t="inlineStr">
        <is>
          <t>Özgün teslim dosyası korundu. EXIF yönü uygulandı; kırpma yapılmadan en çok 1600 px, WebP kalite 84. Önceki kaynak değişiklik notları ayrıca korunur.</t>
        </is>
      </c>
      <c r="N221" s="44" t="inlineStr">
        <is>
          <t>Kayıttan doğrulandı</t>
        </is>
      </c>
      <c r="O221" s="44" t="n"/>
    </row>
    <row r="222" ht="54" customHeight="1">
      <c r="A222" s="44" t="inlineStr">
        <is>
          <t>eindhoven:photo:altstadt-eindhoven-02</t>
        </is>
      </c>
      <c r="B222" s="44" t="inlineStr">
        <is>
          <t>https://commons.wikimedia.org/wiki/User:Rosemoon</t>
        </is>
      </c>
      <c r="C222" s="44" t="inlineStr">
        <is>
          <t>https://commons.wikimedia.org/wiki/User:Rosemoon</t>
        </is>
      </c>
      <c r="D222" s="44" t="inlineStr">
        <is>
          <t>https://upload.wikimedia.org/wikipedia/commons/b/b2/Stratumseind_71%2C_Eindhoven.JPG?utm_source=commons.wikimedia.org&amp;utm_campaign=imageinfo&amp;utm_content=original</t>
        </is>
      </c>
      <c r="E222" s="44" t="inlineStr">
        <is>
          <t>https://thumb.wikimedia.org/wikipedia/commons/thumb/b/b2/Stratumseind_71%2C_Eindhoven.JPG/1280px-Stratumseind_71%2C_Eindhoven.JPG</t>
        </is>
      </c>
      <c r="F222" s="53" t="n">
        <v>46318</v>
      </c>
      <c r="G222" s="44" t="inlineStr">
        <is>
          <t>Fotoğraflar/eindhoven_altstadt-eindhoven_02.jpg</t>
        </is>
      </c>
      <c r="H222" s="44" t="inlineStr">
        <is>
          <t>90008ab27507dec39300ee641287e6d096d7f954841caed51d4c625841302143</t>
        </is>
      </c>
      <c r="I222" s="44" t="inlineStr">
        <is>
          <t>Teslimler/WebKopyalari/90008ab27507dec39300ee641287e6d096d7f954841caed51d4c625841302143.webp</t>
        </is>
      </c>
      <c r="J222" s="44" t="inlineStr">
        <is>
          <t>dd95a92bbd3b2973d702aac1292167251c52f2dfe7dcacc9b338fac8281bf656</t>
        </is>
      </c>
      <c r="K222" s="44" t="n">
        <v>1280</v>
      </c>
      <c r="L222" s="44" t="n">
        <v>960</v>
      </c>
      <c r="M222" s="44" t="inlineStr">
        <is>
          <t>Özgün teslim dosyası korundu. EXIF yönü uygulandı; kırpma yapılmadan en çok 1600 px, WebP kalite 84. Önceki kaynak değişiklik notları ayrıca korunur.</t>
        </is>
      </c>
      <c r="N222" s="44" t="inlineStr">
        <is>
          <t>Kayıttan doğrulandı</t>
        </is>
      </c>
      <c r="O222" s="44" t="n"/>
    </row>
    <row r="223" ht="54" customHeight="1">
      <c r="A223" s="44" t="inlineStr">
        <is>
          <t>eindhoven:photo:rugby-club-eindhoven-01</t>
        </is>
      </c>
      <c r="B223" s="44" t="inlineStr">
        <is>
          <t>https://commons.wikimedia.org/wiki/User:Joris</t>
        </is>
      </c>
      <c r="C223" s="44" t="inlineStr">
        <is>
          <t>https://commons.wikimedia.org/wiki/User:Joris</t>
        </is>
      </c>
      <c r="D223" s="44" t="inlineStr">
        <is>
          <t>https://upload.wikimedia.org/wikipedia/commons/1/10/Rugbyclub_Eindhoven_1.jpg?utm_source=commons.wikimedia.org&amp;utm_campaign=imageinfo&amp;utm_content=original</t>
        </is>
      </c>
      <c r="E223" s="44" t="inlineStr">
        <is>
          <t>https://thumb.wikimedia.org/wikipedia/commons/thumb/1/10/Rugbyclub_Eindhoven_1.jpg/1280px-Rugbyclub_Eindhoven_1.jpg</t>
        </is>
      </c>
      <c r="F223" s="53" t="n">
        <v>46318</v>
      </c>
      <c r="G223" s="44" t="inlineStr">
        <is>
          <t>Fotoğraflar/eindhoven_rugby-club-eindhoven_01.jpg</t>
        </is>
      </c>
      <c r="H223" s="44" t="inlineStr">
        <is>
          <t>678754cde2f22e1d18ec39085640b9e12213ef1a9c64ca22f59ac15c5f88204b</t>
        </is>
      </c>
      <c r="I223" s="44" t="inlineStr">
        <is>
          <t>Teslimler/WebKopyalari/678754cde2f22e1d18ec39085640b9e12213ef1a9c64ca22f59ac15c5f88204b.webp</t>
        </is>
      </c>
      <c r="J223" s="44" t="inlineStr">
        <is>
          <t>5b753f96d2b4d64dcd6c1cf84eee186ecd84c6d955217afbbb93977c9429859b</t>
        </is>
      </c>
      <c r="K223" s="44" t="n">
        <v>1280</v>
      </c>
      <c r="L223" s="44" t="n">
        <v>721</v>
      </c>
      <c r="M223" s="44" t="inlineStr">
        <is>
          <t>Özgün teslim dosyası korundu. EXIF yönü uygulandı; kırpma yapılmadan en çok 1600 px, WebP kalite 84. Önceki kaynak değişiklik notları ayrıca korunur.</t>
        </is>
      </c>
      <c r="N223" s="44" t="inlineStr">
        <is>
          <t>Kayıttan doğrulandı</t>
        </is>
      </c>
      <c r="O223" s="44" t="n"/>
    </row>
    <row r="224" ht="54" customHeight="1">
      <c r="A224" s="44" t="inlineStr">
        <is>
          <t>eindhoven:photo:rugby-club-eindhoven-02</t>
        </is>
      </c>
      <c r="B224" s="44" t="inlineStr">
        <is>
          <t>https://commons.wikimedia.org/wiki/User:Joris</t>
        </is>
      </c>
      <c r="C224" s="44" t="inlineStr">
        <is>
          <t>https://commons.wikimedia.org/wiki/User:Joris</t>
        </is>
      </c>
      <c r="D224" s="44" t="inlineStr">
        <is>
          <t>https://upload.wikimedia.org/wikipedia/commons/2/28/Rugbyclub_Eindhoven_2.jpg?utm_source=commons.wikimedia.org&amp;utm_campaign=imageinfo&amp;utm_content=original</t>
        </is>
      </c>
      <c r="E224" s="44" t="inlineStr">
        <is>
          <t>https://thumb.wikimedia.org/wikipedia/commons/thumb/2/28/Rugbyclub_Eindhoven_2.jpg/1280px-Rugbyclub_Eindhoven_2.jpg</t>
        </is>
      </c>
      <c r="F224" s="53" t="n">
        <v>46318</v>
      </c>
      <c r="G224" s="44" t="inlineStr">
        <is>
          <t>Fotoğraflar/eindhoven_rugby-club-eindhoven_02.jpg</t>
        </is>
      </c>
      <c r="H224" s="44" t="inlineStr">
        <is>
          <t>32cf905debbdecd8efa9da2339a25ece3e0ee59a3ad5157347c356fc0aaac2be</t>
        </is>
      </c>
      <c r="I224" s="44" t="inlineStr">
        <is>
          <t>Teslimler/WebKopyalari/32cf905debbdecd8efa9da2339a25ece3e0ee59a3ad5157347c356fc0aaac2be.webp</t>
        </is>
      </c>
      <c r="J224" s="44" t="inlineStr">
        <is>
          <t>d56a732b270c780df79a930d590d88748e2e69a741492b7b0f861b6f1af524ef</t>
        </is>
      </c>
      <c r="K224" s="44" t="n">
        <v>1280</v>
      </c>
      <c r="L224" s="44" t="n">
        <v>721</v>
      </c>
      <c r="M224" s="44" t="inlineStr">
        <is>
          <t>Özgün teslim dosyası korundu. EXIF yönü uygulandı; kırpma yapılmadan en çok 1600 px, WebP kalite 84. Önceki kaynak değişiklik notları ayrıca korunur.</t>
        </is>
      </c>
      <c r="N224" s="44" t="inlineStr">
        <is>
          <t>Kayıttan doğrulandı</t>
        </is>
      </c>
      <c r="O224" s="44" t="n"/>
    </row>
    <row r="225" ht="54" customHeight="1">
      <c r="A225" s="44" t="inlineStr">
        <is>
          <t>eindhoven:photo:hc-oranje-rood-01</t>
        </is>
      </c>
      <c r="B225" s="44" t="inlineStr">
        <is>
          <t>https://de.wikipedia.org/wiki/Benutzer:Feathil</t>
        </is>
      </c>
      <c r="C225" s="44" t="inlineStr">
        <is>
          <t>https://de.wikipedia.org/wiki/Benutzer:Feathil</t>
        </is>
      </c>
      <c r="D225" s="44" t="inlineStr">
        <is>
          <t>https://upload.wikimedia.org/wikipedia/commons/4/43/Oranje-rood-stadion.jpg</t>
        </is>
      </c>
      <c r="E225" s="44" t="inlineStr">
        <is>
          <t>https://thumb.wikimedia.org/wikipedia/commons/thumb/4/43/Oranje-rood-stadion.jpg/1280px-Oranje-rood-stadion.jpg</t>
        </is>
      </c>
      <c r="F225" s="53" t="n">
        <v>46318</v>
      </c>
      <c r="G225" s="44" t="inlineStr">
        <is>
          <t>Fotoğraflar/eindhoven_hc-oranje-rood_01.jpg</t>
        </is>
      </c>
      <c r="H225" s="44" t="inlineStr">
        <is>
          <t>ee3bba419569412fd8b54dc4670be4b2d18f731a2b1b06ccc5add28bf3279c71</t>
        </is>
      </c>
      <c r="I225" s="44" t="inlineStr">
        <is>
          <t>Teslimler/WebKopyalari/ee3bba419569412fd8b54dc4670be4b2d18f731a2b1b06ccc5add28bf3279c71.webp</t>
        </is>
      </c>
      <c r="J225" s="44" t="inlineStr">
        <is>
          <t>f5d6587fa87500eb5da7bd4922c2f4f3f6fc4d7b760cf7914e82b4f498252ebd</t>
        </is>
      </c>
      <c r="K225" s="44" t="n">
        <v>1280</v>
      </c>
      <c r="L225" s="44" t="n">
        <v>853</v>
      </c>
      <c r="M225" s="44" t="inlineStr">
        <is>
          <t>Özgün teslim dosyası korundu. EXIF yönü uygulandı; kırpma yapılmadan en çok 1600 px, WebP kalite 84. Önceki kaynak değişiklik notları ayrıca korunur.</t>
        </is>
      </c>
      <c r="N225" s="44" t="inlineStr">
        <is>
          <t>Kayıttan doğrulandı</t>
        </is>
      </c>
      <c r="O225" s="44" t="n"/>
    </row>
    <row r="226" ht="54" customHeight="1">
      <c r="A226" s="44" t="inlineStr">
        <is>
          <t>eindhoven:photo:kapak-01</t>
        </is>
      </c>
      <c r="B226" s="44" t="inlineStr">
        <is>
          <t>https://www.wikidata.org/wiki/Q15080600</t>
        </is>
      </c>
      <c r="C226" s="44" t="inlineStr">
        <is>
          <t>https://www.wikidata.org/wiki/Q15080600</t>
        </is>
      </c>
      <c r="D226" s="44" t="inlineStr">
        <is>
          <t>https://upload.wikimedia.org/wikipedia/commons/5/57/13-06-28-eindhoven-by-RalfR-16.jpg?utm_source=commons.wikimedia.org&amp;utm_campaign=imageinfo&amp;utm_content=original</t>
        </is>
      </c>
      <c r="E226" s="44" t="inlineStr">
        <is>
          <t>https://thumb.wikimedia.org/wikipedia/commons/thumb/5/57/13-06-28-eindhoven-by-RalfR-16.jpg/1280px-13-06-28-eindhoven-by-RalfR-16.jpg</t>
        </is>
      </c>
      <c r="F226" s="53" t="n">
        <v>46318</v>
      </c>
      <c r="G226" s="44" t="inlineStr">
        <is>
          <t>Fotoğraflar/eindhoven_kapak_01.jpg</t>
        </is>
      </c>
      <c r="H226" s="44" t="inlineStr">
        <is>
          <t>1df5445ff7ebe3e5549a3f2f309e499437d230623a87227117998dc29fc1e6fc</t>
        </is>
      </c>
      <c r="I226" s="44" t="inlineStr">
        <is>
          <t>Teslimler/WebKopyalari/1df5445ff7ebe3e5549a3f2f309e499437d230623a87227117998dc29fc1e6fc.webp</t>
        </is>
      </c>
      <c r="J226" s="44" t="inlineStr">
        <is>
          <t>7cd581bf4e87813fa1463df15c430eb6e02883674c0ee0fc4d8700d3f7f93ca3</t>
        </is>
      </c>
      <c r="K226" s="44" t="n">
        <v>1280</v>
      </c>
      <c r="L226" s="44" t="n">
        <v>850</v>
      </c>
      <c r="M226" s="44" t="inlineStr">
        <is>
          <t>Özgün teslim dosyası korundu. EXIF yönü uygulandı; kırpma yapılmadan en çok 1600 px, WebP kalite 84. Önceki kaynak değişiklik notları ayrıca korunur.</t>
        </is>
      </c>
      <c r="N226" s="44" t="inlineStr">
        <is>
          <t>Kayıttan doğrulandı</t>
        </is>
      </c>
      <c r="O226" s="44" t="n"/>
    </row>
    <row r="227" ht="54" customHeight="1">
      <c r="A227" s="44" t="inlineStr">
        <is>
          <t>eindhoven:photo:kapak-02</t>
        </is>
      </c>
      <c r="B227" s="44" t="inlineStr">
        <is>
          <t>https://commons.wikimedia.org/wiki/User:Choinowski</t>
        </is>
      </c>
      <c r="C227" s="44" t="inlineStr">
        <is>
          <t>https://commons.wikimedia.org/wiki/User:Choinowski</t>
        </is>
      </c>
      <c r="D227" s="44" t="inlineStr">
        <is>
          <t>https://upload.wikimedia.org/wikipedia/commons/8/8e/Klokgebouw_Eindhoven.jpg?utm_source=commons.wikimedia.org&amp;utm_campaign=imageinfo&amp;utm_content=original</t>
        </is>
      </c>
      <c r="E227" s="44" t="inlineStr">
        <is>
          <t>https://thumb.wikimedia.org/wikipedia/commons/thumb/8/8e/Klokgebouw_Eindhoven.jpg/1280px-Klokgebouw_Eindhoven.jpg</t>
        </is>
      </c>
      <c r="F227" s="53" t="n">
        <v>46318</v>
      </c>
      <c r="G227" s="44" t="inlineStr">
        <is>
          <t>Fotoğraflar/eindhoven_kapak_02.jpg</t>
        </is>
      </c>
      <c r="H227" s="44" t="inlineStr">
        <is>
          <t>855df4b7b2f6662a4d802ba47f0f27e3e472e429f27060961a6c3e25b03733c9</t>
        </is>
      </c>
      <c r="I227" s="44" t="inlineStr">
        <is>
          <t>Teslimler/WebKopyalari/855df4b7b2f6662a4d802ba47f0f27e3e472e429f27060961a6c3e25b03733c9.webp</t>
        </is>
      </c>
      <c r="J227" s="44" t="inlineStr">
        <is>
          <t>86dcd8f88b4ea2e16490ab9e020ced2b099d87d47dfe82e4d521810b9d139800</t>
        </is>
      </c>
      <c r="K227" s="44" t="n">
        <v>1280</v>
      </c>
      <c r="L227" s="44" t="n">
        <v>853</v>
      </c>
      <c r="M227" s="44" t="inlineStr">
        <is>
          <t>Özgün teslim dosyası korundu. EXIF yönü uygulandı; kırpma yapılmadan en çok 1600 px, WebP kalite 84. Önceki kaynak değişiklik notları ayrıca korunur.</t>
        </is>
      </c>
      <c r="N227" s="44" t="inlineStr">
        <is>
          <t>Kayıttan doğrulandı</t>
        </is>
      </c>
      <c r="O227" s="44" t="n"/>
    </row>
    <row r="228" ht="54" customHeight="1">
      <c r="A228" s="44" t="inlineStr">
        <is>
          <t>eindhoven:photo:kapak-03</t>
        </is>
      </c>
      <c r="B228" s="44" t="inlineStr">
        <is>
          <t>https://commons.wikimedia.org/wiki/User:Choinowski</t>
        </is>
      </c>
      <c r="C228" s="44" t="inlineStr">
        <is>
          <t>https://commons.wikimedia.org/wiki/User:Choinowski</t>
        </is>
      </c>
      <c r="D228" s="44" t="inlineStr">
        <is>
          <t>https://upload.wikimedia.org/wikipedia/commons/b/bd/Uitbreiding_Van_Abbemuseum.jpg?utm_source=commons.wikimedia.org&amp;utm_campaign=imageinfo&amp;utm_content=original</t>
        </is>
      </c>
      <c r="E228" s="44" t="inlineStr">
        <is>
          <t>https://thumb.wikimedia.org/wikipedia/commons/thumb/b/bd/Uitbreiding_Van_Abbemuseum.jpg/1280px-Uitbreiding_Van_Abbemuseum.jpg</t>
        </is>
      </c>
      <c r="F228" s="53" t="n">
        <v>46318</v>
      </c>
      <c r="G228" s="44" t="inlineStr">
        <is>
          <t>Fotoğraflar/eindhoven_kapak_03.jpg</t>
        </is>
      </c>
      <c r="H228" s="44" t="inlineStr">
        <is>
          <t>5b7bb1a887f86730dcc46c45d232c1db83d9f3240430bda60d90c2e9d1c55d66</t>
        </is>
      </c>
      <c r="I228" s="44" t="inlineStr">
        <is>
          <t>Teslimler/WebKopyalari/5b7bb1a887f86730dcc46c45d232c1db83d9f3240430bda60d90c2e9d1c55d66.webp</t>
        </is>
      </c>
      <c r="J228" s="44" t="inlineStr">
        <is>
          <t>34e5ed06e9684326fb297610865f70698e87e5865b70cd077f1514d14a88f35b</t>
        </is>
      </c>
      <c r="K228" s="44" t="n">
        <v>1280</v>
      </c>
      <c r="L228" s="44" t="n">
        <v>853</v>
      </c>
      <c r="M228" s="44" t="inlineStr">
        <is>
          <t>Özgün teslim dosyası korundu. EXIF yönü uygulandı; kırpma yapılmadan en çok 1600 px, WebP kalite 84. Önceki kaynak değişiklik notları ayrıca korunur.</t>
        </is>
      </c>
      <c r="N228" s="44" t="inlineStr">
        <is>
          <t>Kayıttan doğrulandı</t>
        </is>
      </c>
      <c r="O228" s="44" t="n"/>
    </row>
    <row r="229" ht="54" customHeight="1">
      <c r="A229" s="44" t="inlineStr">
        <is>
          <t>eindhoven:photo:kapak-04</t>
        </is>
      </c>
      <c r="B229" s="44" t="n"/>
      <c r="C229" s="44" t="inlineStr">
        <is>
          <t>https://commons.wikimedia.org/wiki/File:HenriDunantPark.jpg</t>
        </is>
      </c>
      <c r="D229" s="44" t="inlineStr">
        <is>
          <t>https://upload.wikimedia.org/wikipedia/commons/0/06/HenriDunantPark.jpg?utm_source=commons.wikimedia.org&amp;utm_campaign=imageinfo&amp;utm_content=original</t>
        </is>
      </c>
      <c r="E229" s="44" t="inlineStr">
        <is>
          <t>https://thumb.wikimedia.org/wikipedia/commons/thumb/0/06/HenriDunantPark.jpg/1280px-HenriDunantPark.jpg</t>
        </is>
      </c>
      <c r="F229" s="53" t="n">
        <v>46318</v>
      </c>
      <c r="G229" s="44" t="inlineStr">
        <is>
          <t>Fotoğraflar/eindhoven_kapak_04.jpg</t>
        </is>
      </c>
      <c r="H229" s="44" t="inlineStr">
        <is>
          <t>99597a9a72bfdebd093ee9b2be28cdc0071b4108c37cc17547dcc3ae93d1cd2a</t>
        </is>
      </c>
      <c r="I229" s="44" t="inlineStr">
        <is>
          <t>Teslimler/WebKopyalari/99597a9a72bfdebd093ee9b2be28cdc0071b4108c37cc17547dcc3ae93d1cd2a.webp</t>
        </is>
      </c>
      <c r="J229" s="44" t="inlineStr">
        <is>
          <t>dd5a225d733e4f547290db33d213c0115d4f015f4541562e8b62eb0701027c4f</t>
        </is>
      </c>
      <c r="K229" s="44" t="n">
        <v>1280</v>
      </c>
      <c r="L229" s="44" t="n">
        <v>849</v>
      </c>
      <c r="M229" s="44" t="inlineStr">
        <is>
          <t>Özgün teslim dosyası korundu. EXIF yönü uygulandı; kırpma yapılmadan en çok 1600 px, WebP kalite 84. Önceki kaynak değişiklik notları ayrıca korunur.</t>
        </is>
      </c>
      <c r="N229" s="44" t="inlineStr">
        <is>
          <t>Eksik alan var</t>
        </is>
      </c>
      <c r="O229" s="44" t="inlineStr">
        <is>
          <t>Kaynakta ayrı fotoğrafçı profil bağlantısı bulunmadı; fotoğraf kaynak sayfasına atıf korunur. Bağlantı uydurulmaz.</t>
        </is>
      </c>
    </row>
    <row r="230" ht="54" customHeight="1">
      <c r="A230" s="44" t="inlineStr">
        <is>
          <t>eindhoven:photo:kapak-05</t>
        </is>
      </c>
      <c r="B230" s="44" t="n"/>
      <c r="C230" s="44" t="inlineStr">
        <is>
          <t>https://commons.wikimedia.org/wiki/File:De_Laak_2012-09-20_15-05-20.jpg</t>
        </is>
      </c>
      <c r="D230" s="44" t="inlineStr">
        <is>
          <t>https://upload.wikimedia.org/wikipedia/commons/1/16/De_Laak_2012-09-20_15-05-20.jpg?utm_source=commons.wikimedia.org&amp;utm_campaign=imageinfo&amp;utm_content=original</t>
        </is>
      </c>
      <c r="E230" s="44" t="inlineStr">
        <is>
          <t>https://thumb.wikimedia.org/wikipedia/commons/thumb/1/16/De_Laak_2012-09-20_15-05-20.jpg/1280px-De_Laak_2012-09-20_15-05-20.jpg</t>
        </is>
      </c>
      <c r="F230" s="53" t="n">
        <v>46318</v>
      </c>
      <c r="G230" s="44" t="inlineStr">
        <is>
          <t>Fotoğraflar/eindhoven_kapak_05.jpg</t>
        </is>
      </c>
      <c r="H230" s="44" t="inlineStr">
        <is>
          <t>d30be382f89b5e3e01b5f2848202de8fe64922c112d25547fffc97af1ce5ae12</t>
        </is>
      </c>
      <c r="I230" s="44" t="inlineStr">
        <is>
          <t>Teslimler/WebKopyalari/d30be382f89b5e3e01b5f2848202de8fe64922c112d25547fffc97af1ce5ae12.webp</t>
        </is>
      </c>
      <c r="J230" s="44" t="inlineStr">
        <is>
          <t>dc020c67db5ebb3cfc78ebe0f65386c3cfc9c3d46361b012598a71f482be96dc</t>
        </is>
      </c>
      <c r="K230" s="44" t="n">
        <v>1280</v>
      </c>
      <c r="L230" s="44" t="n">
        <v>960</v>
      </c>
      <c r="M230" s="44" t="inlineStr">
        <is>
          <t>Özgün teslim dosyası korundu. EXIF yönü uygulandı; kırpma yapılmadan en çok 1600 px, WebP kalite 84. Önceki kaynak değişiklik notları ayrıca korunur.</t>
        </is>
      </c>
      <c r="N230" s="44" t="inlineStr">
        <is>
          <t>Eksik alan var</t>
        </is>
      </c>
      <c r="O230" s="44" t="inlineStr">
        <is>
          <t>Kaynakta ayrı fotoğrafçı profil bağlantısı bulunmadı; fotoğraf kaynak sayfasına atıf korunur. Bağlantı uydurulmaz.</t>
        </is>
      </c>
    </row>
    <row r="231" ht="54" customHeight="1">
      <c r="A231" s="44" t="inlineStr">
        <is>
          <t>eindhoven:photo:kapak-06</t>
        </is>
      </c>
      <c r="B231" s="44" t="inlineStr">
        <is>
          <t>https://www.wikidata.org/wiki/Q15080600</t>
        </is>
      </c>
      <c r="C231" s="44" t="inlineStr">
        <is>
          <t>https://www.wikidata.org/wiki/Q15080600</t>
        </is>
      </c>
      <c r="D231" s="44" t="inlineStr">
        <is>
          <t>https://upload.wikimedia.org/wikipedia/commons/9/95/13-06-29-eindhoven-50mm-04.jpg?utm_source=commons.wikimedia.org&amp;utm_campaign=imageinfo&amp;utm_content=original</t>
        </is>
      </c>
      <c r="E231" s="44" t="inlineStr">
        <is>
          <t>https://thumb.wikimedia.org/wikipedia/commons/thumb/9/95/13-06-29-eindhoven-50mm-04.jpg/1280px-13-06-29-eindhoven-50mm-04.jpg</t>
        </is>
      </c>
      <c r="F231" s="53" t="n">
        <v>46318</v>
      </c>
      <c r="G231" s="44" t="inlineStr">
        <is>
          <t>Fotoğraflar/eindhoven_kapak_06.jpg</t>
        </is>
      </c>
      <c r="H231" s="44" t="inlineStr">
        <is>
          <t>4df9475b5e7006732e939f16efed5c22127de9e92c3ab2196e853fa9a5db0b10</t>
        </is>
      </c>
      <c r="I231" s="44" t="inlineStr">
        <is>
          <t>Teslimler/WebKopyalari/4df9475b5e7006732e939f16efed5c22127de9e92c3ab2196e853fa9a5db0b10.webp</t>
        </is>
      </c>
      <c r="J231" s="44" t="inlineStr">
        <is>
          <t>be5b14a26f7dbce7916d37c4d441dd1952f4d26bee7c59f8d178073fc9be32a7</t>
        </is>
      </c>
      <c r="K231" s="44" t="n">
        <v>1280</v>
      </c>
      <c r="L231" s="44" t="n">
        <v>850</v>
      </c>
      <c r="M231" s="44" t="inlineStr">
        <is>
          <t>Özgün teslim dosyası korundu. EXIF yönü uygulandı; kırpma yapılmadan en çok 1600 px, WebP kalite 84. Önceki kaynak değişiklik notları ayrıca korunur.</t>
        </is>
      </c>
      <c r="N231" s="44" t="inlineStr">
        <is>
          <t>Kayıttan doğrulandı</t>
        </is>
      </c>
      <c r="O231" s="44" t="n"/>
    </row>
    <row r="232" ht="54" customHeight="1">
      <c r="A232" s="44" t="inlineStr">
        <is>
          <t>eindhoven:photo:kapak-07</t>
        </is>
      </c>
      <c r="B232" s="44" t="inlineStr">
        <is>
          <t>https://www.wikidata.org/wiki/Q88378993</t>
        </is>
      </c>
      <c r="C232" s="44" t="inlineStr">
        <is>
          <t>https://www.wikidata.org/wiki/Q88378993</t>
        </is>
      </c>
      <c r="D232" s="44" t="inlineStr">
        <is>
          <t>https://upload.wikimedia.org/wikipedia/commons/0/01/Centraal_Station_Eindhoven_-_Centrum_1803-100.jpg?utm_source=commons.wikimedia.org&amp;utm_campaign=imageinfo&amp;utm_content=original</t>
        </is>
      </c>
      <c r="E232" s="44" t="inlineStr">
        <is>
          <t>https://thumb.wikimedia.org/wikipedia/commons/thumb/0/01/Centraal_Station_Eindhoven_-_Centrum_1803-100.jpg/1280px-Centraal_Station_Eindhoven_-_Centrum_1803-100.jpg</t>
        </is>
      </c>
      <c r="F232" s="53" t="n">
        <v>46318</v>
      </c>
      <c r="G232" s="44" t="inlineStr">
        <is>
          <t>Fotoğraflar/eindhoven_kapak_07.jpg</t>
        </is>
      </c>
      <c r="H232" s="44" t="inlineStr">
        <is>
          <t>56c16af5ff0b554a3e4f6b9d8d762ab2d289fce623f7c1771150dbf9eaee4719</t>
        </is>
      </c>
      <c r="I232" s="44" t="inlineStr">
        <is>
          <t>Teslimler/WebKopyalari/56c16af5ff0b554a3e4f6b9d8d762ab2d289fce623f7c1771150dbf9eaee4719.webp</t>
        </is>
      </c>
      <c r="J232" s="44" t="inlineStr">
        <is>
          <t>f8dedc9e6c979172075a9122d1ed2f295851c8c5ba2e1e8f59a4321fae0c1692</t>
        </is>
      </c>
      <c r="K232" s="44" t="n">
        <v>1280</v>
      </c>
      <c r="L232" s="44" t="n">
        <v>720</v>
      </c>
      <c r="M232" s="44" t="inlineStr">
        <is>
          <t>Özgün teslim dosyası korundu. EXIF yönü uygulandı; kırpma yapılmadan en çok 1600 px, WebP kalite 84. Önceki kaynak değişiklik notları ayrıca korunur.</t>
        </is>
      </c>
      <c r="N232" s="44" t="inlineStr">
        <is>
          <t>Kayıttan doğrulandı</t>
        </is>
      </c>
      <c r="O232" s="44" t="n"/>
    </row>
    <row r="233" ht="54" customHeight="1">
      <c r="A233" s="44" t="inlineStr">
        <is>
          <t>eindhoven:photo:kapak-08</t>
        </is>
      </c>
      <c r="B233" s="44" t="inlineStr">
        <is>
          <t>https://web.archive.org/web/20161024102204/http://www.panoramio.com/user/5753243?with_photo_id=85605272</t>
        </is>
      </c>
      <c r="C233" s="44" t="inlineStr">
        <is>
          <t>https://web.archive.org/web/20161024102204/http://www.panoramio.com/user/5753243?with_photo_id=85605272</t>
        </is>
      </c>
      <c r="D233" s="44" t="inlineStr">
        <is>
          <t>https://upload.wikimedia.org/wikipedia/commons/d/d7/Anton_loft_building_in_Strip-S_-_panoramio.jpg?utm_source=commons.wikimedia.org&amp;utm_campaign=imageinfo&amp;utm_content=original</t>
        </is>
      </c>
      <c r="E233" s="44" t="inlineStr">
        <is>
          <t>https://thumb.wikimedia.org/wikipedia/commons/thumb/d/d7/Anton_loft_building_in_Strip-S_-_panoramio.jpg/1280px-Anton_loft_building_in_Strip-S_-_panoramio.jpg</t>
        </is>
      </c>
      <c r="F233" s="53" t="n">
        <v>46318</v>
      </c>
      <c r="G233" s="44" t="inlineStr">
        <is>
          <t>Fotoğraflar/eindhoven_kapak_08.jpg</t>
        </is>
      </c>
      <c r="H233" s="44" t="inlineStr">
        <is>
          <t>2b8136d8c1bd250c5d037ee013159c1ca8ef4eb8ace8317c573c2309b0211320</t>
        </is>
      </c>
      <c r="I233" s="44" t="inlineStr">
        <is>
          <t>Teslimler/WebKopyalari/2b8136d8c1bd250c5d037ee013159c1ca8ef4eb8ace8317c573c2309b0211320.webp</t>
        </is>
      </c>
      <c r="J233" s="44" t="inlineStr">
        <is>
          <t>1f5aef5dc6f9fe8013adb8aa554efdc6d291c5f585ca274f2eaf0828b58523d6</t>
        </is>
      </c>
      <c r="K233" s="44" t="n">
        <v>1280</v>
      </c>
      <c r="L233" s="44" t="n">
        <v>852</v>
      </c>
      <c r="M233" s="44" t="inlineStr">
        <is>
          <t>Özgün teslim dosyası korundu. EXIF yönü uygulandı; kırpma yapılmadan en çok 1600 px, WebP kalite 84. Önceki kaynak değişiklik notları ayrıca korunur.</t>
        </is>
      </c>
      <c r="N233" s="44" t="inlineStr">
        <is>
          <t>Kayıttan doğrulandı</t>
        </is>
      </c>
      <c r="O233" s="44" t="n"/>
    </row>
    <row r="234" ht="54" customHeight="1">
      <c r="A234" s="44" t="n"/>
      <c r="B234" s="44" t="n"/>
      <c r="C234" s="44" t="n"/>
      <c r="D234" s="44" t="n"/>
      <c r="E234" s="44" t="n"/>
      <c r="F234" s="44" t="n"/>
      <c r="G234" s="44" t="n"/>
      <c r="H234" s="44" t="n"/>
      <c r="I234" s="44" t="n"/>
      <c r="J234" s="44" t="n"/>
      <c r="K234" s="44" t="n"/>
      <c r="L234" s="44" t="n"/>
      <c r="M234" s="44" t="n"/>
      <c r="N234" s="44" t="n"/>
      <c r="O234" s="44" t="n"/>
    </row>
    <row r="235" ht="54" customHeight="1">
      <c r="A235" s="44" t="n"/>
      <c r="B235" s="44" t="n"/>
      <c r="C235" s="44" t="n"/>
      <c r="D235" s="44" t="n"/>
      <c r="E235" s="44" t="n"/>
      <c r="F235" s="44" t="n"/>
      <c r="G235" s="44" t="n"/>
      <c r="H235" s="44" t="n"/>
      <c r="I235" s="44" t="n"/>
      <c r="J235" s="44" t="n"/>
      <c r="K235" s="44" t="n"/>
      <c r="L235" s="44" t="n"/>
      <c r="M235" s="44" t="n"/>
      <c r="N235" s="44" t="n"/>
      <c r="O235" s="44" t="n"/>
    </row>
    <row r="236" ht="54" customHeight="1">
      <c r="A236" s="44" t="n"/>
      <c r="B236" s="44" t="n"/>
      <c r="C236" s="44" t="n"/>
      <c r="D236" s="44" t="n"/>
      <c r="E236" s="44" t="n"/>
      <c r="F236" s="44" t="n"/>
      <c r="G236" s="44" t="n"/>
      <c r="H236" s="44" t="n"/>
      <c r="I236" s="44" t="n"/>
      <c r="J236" s="44" t="n"/>
      <c r="K236" s="44" t="n"/>
      <c r="L236" s="44" t="n"/>
      <c r="M236" s="44" t="n"/>
      <c r="N236" s="44" t="n"/>
      <c r="O236" s="44" t="n"/>
    </row>
    <row r="237" ht="54" customHeight="1">
      <c r="A237" s="44" t="n"/>
      <c r="B237" s="44" t="n"/>
      <c r="C237" s="44" t="n"/>
      <c r="D237" s="44" t="n"/>
      <c r="E237" s="44" t="n"/>
      <c r="F237" s="44" t="n"/>
      <c r="G237" s="44" t="n"/>
      <c r="H237" s="44" t="n"/>
      <c r="I237" s="44" t="n"/>
      <c r="J237" s="44" t="n"/>
      <c r="K237" s="44" t="n"/>
      <c r="L237" s="44" t="n"/>
      <c r="M237" s="44" t="n"/>
      <c r="N237" s="44" t="n"/>
      <c r="O237" s="44" t="n"/>
    </row>
    <row r="238" ht="54" customHeight="1">
      <c r="A238" s="44" t="n"/>
      <c r="B238" s="44" t="n"/>
      <c r="C238" s="44" t="n"/>
      <c r="D238" s="44" t="n"/>
      <c r="E238" s="44" t="n"/>
      <c r="F238" s="44" t="n"/>
      <c r="G238" s="44" t="n"/>
      <c r="H238" s="44" t="n"/>
      <c r="I238" s="44" t="n"/>
      <c r="J238" s="44" t="n"/>
      <c r="K238" s="44" t="n"/>
      <c r="L238" s="44" t="n"/>
      <c r="M238" s="44" t="n"/>
      <c r="N238" s="44" t="n"/>
      <c r="O238" s="44" t="n"/>
    </row>
    <row r="239" ht="54" customHeight="1">
      <c r="A239" s="44" t="n"/>
      <c r="B239" s="44" t="n"/>
      <c r="C239" s="44" t="n"/>
      <c r="D239" s="44" t="n"/>
      <c r="E239" s="44" t="n"/>
      <c r="F239" s="44" t="n"/>
      <c r="G239" s="44" t="n"/>
      <c r="H239" s="44" t="n"/>
      <c r="I239" s="44" t="n"/>
      <c r="J239" s="44" t="n"/>
      <c r="K239" s="44" t="n"/>
      <c r="L239" s="44" t="n"/>
      <c r="M239" s="44" t="n"/>
      <c r="N239" s="44" t="n"/>
      <c r="O239" s="44" t="n"/>
    </row>
    <row r="240" ht="54" customHeight="1">
      <c r="A240" s="44" t="n"/>
      <c r="B240" s="44" t="n"/>
      <c r="C240" s="44" t="n"/>
      <c r="D240" s="44" t="n"/>
      <c r="E240" s="44" t="n"/>
      <c r="F240" s="44" t="n"/>
      <c r="G240" s="44" t="n"/>
      <c r="H240" s="44" t="n"/>
      <c r="I240" s="44" t="n"/>
      <c r="J240" s="44" t="n"/>
      <c r="K240" s="44" t="n"/>
      <c r="L240" s="44" t="n"/>
      <c r="M240" s="44" t="n"/>
      <c r="N240" s="44" t="n"/>
      <c r="O240" s="44" t="n"/>
    </row>
    <row r="241" ht="54" customHeight="1">
      <c r="A241" s="44" t="n"/>
      <c r="B241" s="44" t="n"/>
      <c r="C241" s="44" t="n"/>
      <c r="D241" s="44" t="n"/>
      <c r="E241" s="44" t="n"/>
      <c r="F241" s="44" t="n"/>
      <c r="G241" s="44" t="n"/>
      <c r="H241" s="44" t="n"/>
      <c r="I241" s="44" t="n"/>
      <c r="J241" s="44" t="n"/>
      <c r="K241" s="44" t="n"/>
      <c r="L241" s="44" t="n"/>
      <c r="M241" s="44" t="n"/>
      <c r="N241" s="44" t="n"/>
      <c r="O241" s="44" t="n"/>
    </row>
    <row r="242" ht="54" customHeight="1">
      <c r="A242" s="44" t="n"/>
      <c r="B242" s="44" t="n"/>
      <c r="C242" s="44" t="n"/>
      <c r="D242" s="44" t="n"/>
      <c r="E242" s="44" t="n"/>
      <c r="F242" s="44" t="n"/>
      <c r="G242" s="44" t="n"/>
      <c r="H242" s="44" t="n"/>
      <c r="I242" s="44" t="n"/>
      <c r="J242" s="44" t="n"/>
      <c r="K242" s="44" t="n"/>
      <c r="L242" s="44" t="n"/>
      <c r="M242" s="44" t="n"/>
      <c r="N242" s="44" t="n"/>
      <c r="O242" s="44" t="n"/>
    </row>
    <row r="243" ht="54" customHeight="1">
      <c r="A243" s="44" t="n"/>
      <c r="B243" s="44" t="n"/>
      <c r="C243" s="44" t="n"/>
      <c r="D243" s="44" t="n"/>
      <c r="E243" s="44" t="n"/>
      <c r="F243" s="44" t="n"/>
      <c r="G243" s="44" t="n"/>
      <c r="H243" s="44" t="n"/>
      <c r="I243" s="44" t="n"/>
      <c r="J243" s="44" t="n"/>
      <c r="K243" s="44" t="n"/>
      <c r="L243" s="44" t="n"/>
      <c r="M243" s="44" t="n"/>
      <c r="N243" s="44" t="n"/>
      <c r="O243" s="44" t="n"/>
    </row>
    <row r="244" ht="54" customHeight="1">
      <c r="A244" s="44" t="n"/>
      <c r="B244" s="44" t="n"/>
      <c r="C244" s="44" t="n"/>
      <c r="D244" s="44" t="n"/>
      <c r="E244" s="44" t="n"/>
      <c r="F244" s="44" t="n"/>
      <c r="G244" s="44" t="n"/>
      <c r="H244" s="44" t="n"/>
      <c r="I244" s="44" t="n"/>
      <c r="J244" s="44" t="n"/>
      <c r="K244" s="44" t="n"/>
      <c r="L244" s="44" t="n"/>
      <c r="M244" s="44" t="n"/>
      <c r="N244" s="44" t="n"/>
      <c r="O244" s="44" t="n"/>
    </row>
    <row r="245" ht="54" customHeight="1">
      <c r="A245" s="44" t="n"/>
      <c r="B245" s="44" t="n"/>
      <c r="C245" s="44" t="n"/>
      <c r="D245" s="44" t="n"/>
      <c r="E245" s="44" t="n"/>
      <c r="F245" s="44" t="n"/>
      <c r="G245" s="44" t="n"/>
      <c r="H245" s="44" t="n"/>
      <c r="I245" s="44" t="n"/>
      <c r="J245" s="44" t="n"/>
      <c r="K245" s="44" t="n"/>
      <c r="L245" s="44" t="n"/>
      <c r="M245" s="44" t="n"/>
      <c r="N245" s="44" t="n"/>
      <c r="O245" s="44" t="n"/>
    </row>
    <row r="246" ht="54" customHeight="1">
      <c r="A246" s="44" t="n"/>
      <c r="B246" s="44" t="n"/>
      <c r="C246" s="44" t="n"/>
      <c r="D246" s="44" t="n"/>
      <c r="E246" s="44" t="n"/>
      <c r="F246" s="44" t="n"/>
      <c r="G246" s="44" t="n"/>
      <c r="H246" s="44" t="n"/>
      <c r="I246" s="44" t="n"/>
      <c r="J246" s="44" t="n"/>
      <c r="K246" s="44" t="n"/>
      <c r="L246" s="44" t="n"/>
      <c r="M246" s="44" t="n"/>
      <c r="N246" s="44" t="n"/>
      <c r="O246" s="44" t="n"/>
    </row>
    <row r="247" ht="54" customHeight="1">
      <c r="A247" s="44" t="n"/>
      <c r="B247" s="44" t="n"/>
      <c r="C247" s="44" t="n"/>
      <c r="D247" s="44" t="n"/>
      <c r="E247" s="44" t="n"/>
      <c r="F247" s="44" t="n"/>
      <c r="G247" s="44" t="n"/>
      <c r="H247" s="44" t="n"/>
      <c r="I247" s="44" t="n"/>
      <c r="J247" s="44" t="n"/>
      <c r="K247" s="44" t="n"/>
      <c r="L247" s="44" t="n"/>
      <c r="M247" s="44" t="n"/>
      <c r="N247" s="44" t="n"/>
      <c r="O247" s="44" t="n"/>
    </row>
    <row r="248" ht="54" customHeight="1">
      <c r="A248" s="44" t="n"/>
      <c r="B248" s="44" t="n"/>
      <c r="C248" s="44" t="n"/>
      <c r="D248" s="44" t="n"/>
      <c r="E248" s="44" t="n"/>
      <c r="F248" s="44" t="n"/>
      <c r="G248" s="44" t="n"/>
      <c r="H248" s="44" t="n"/>
      <c r="I248" s="44" t="n"/>
      <c r="J248" s="44" t="n"/>
      <c r="K248" s="44" t="n"/>
      <c r="L248" s="44" t="n"/>
      <c r="M248" s="44" t="n"/>
      <c r="N248" s="44" t="n"/>
      <c r="O248" s="44" t="n"/>
    </row>
    <row r="249" ht="54" customHeight="1">
      <c r="A249" s="44" t="n"/>
      <c r="B249" s="44" t="n"/>
      <c r="C249" s="44" t="n"/>
      <c r="D249" s="44" t="n"/>
      <c r="E249" s="44" t="n"/>
      <c r="F249" s="44" t="n"/>
      <c r="G249" s="44" t="n"/>
      <c r="H249" s="44" t="n"/>
      <c r="I249" s="44" t="n"/>
      <c r="J249" s="44" t="n"/>
      <c r="K249" s="44" t="n"/>
      <c r="L249" s="44" t="n"/>
      <c r="M249" s="44" t="n"/>
      <c r="N249" s="44" t="n"/>
      <c r="O249" s="44" t="n"/>
    </row>
    <row r="250" ht="54" customHeight="1">
      <c r="A250" s="44" t="n"/>
      <c r="B250" s="44" t="n"/>
      <c r="C250" s="44" t="n"/>
      <c r="D250" s="44" t="n"/>
      <c r="E250" s="44" t="n"/>
      <c r="F250" s="44" t="n"/>
      <c r="G250" s="44" t="n"/>
      <c r="H250" s="44" t="n"/>
      <c r="I250" s="44" t="n"/>
      <c r="J250" s="44" t="n"/>
      <c r="K250" s="44" t="n"/>
      <c r="L250" s="44" t="n"/>
      <c r="M250" s="44" t="n"/>
      <c r="N250" s="44" t="n"/>
      <c r="O250" s="44" t="n"/>
    </row>
    <row r="251" ht="54" customHeight="1">
      <c r="A251" s="44" t="n"/>
      <c r="B251" s="44" t="n"/>
      <c r="C251" s="44" t="n"/>
      <c r="D251" s="44" t="n"/>
      <c r="E251" s="44" t="n"/>
      <c r="F251" s="44" t="n"/>
      <c r="G251" s="44" t="n"/>
      <c r="H251" s="44" t="n"/>
      <c r="I251" s="44" t="n"/>
      <c r="J251" s="44" t="n"/>
      <c r="K251" s="44" t="n"/>
      <c r="L251" s="44" t="n"/>
      <c r="M251" s="44" t="n"/>
      <c r="N251" s="44" t="n"/>
      <c r="O251" s="44" t="n"/>
    </row>
    <row r="252" ht="54" customHeight="1">
      <c r="A252" s="44" t="n"/>
      <c r="B252" s="44" t="n"/>
      <c r="C252" s="44" t="n"/>
      <c r="D252" s="44" t="n"/>
      <c r="E252" s="44" t="n"/>
      <c r="F252" s="44" t="n"/>
      <c r="G252" s="44" t="n"/>
      <c r="H252" s="44" t="n"/>
      <c r="I252" s="44" t="n"/>
      <c r="J252" s="44" t="n"/>
      <c r="K252" s="44" t="n"/>
      <c r="L252" s="44" t="n"/>
      <c r="M252" s="44" t="n"/>
      <c r="N252" s="44" t="n"/>
      <c r="O252" s="44" t="n"/>
    </row>
    <row r="253" ht="54" customHeight="1">
      <c r="A253" s="44" t="n"/>
      <c r="B253" s="44" t="n"/>
      <c r="C253" s="44" t="n"/>
      <c r="D253" s="44" t="n"/>
      <c r="E253" s="44" t="n"/>
      <c r="F253" s="44" t="n"/>
      <c r="G253" s="44" t="n"/>
      <c r="H253" s="44" t="n"/>
      <c r="I253" s="44" t="n"/>
      <c r="J253" s="44" t="n"/>
      <c r="K253" s="44" t="n"/>
      <c r="L253" s="44" t="n"/>
      <c r="M253" s="44" t="n"/>
      <c r="N253" s="44" t="n"/>
      <c r="O253" s="44" t="n"/>
    </row>
    <row r="254" ht="54" customHeight="1">
      <c r="A254" s="44" t="n"/>
      <c r="B254" s="44" t="n"/>
      <c r="C254" s="44" t="n"/>
      <c r="D254" s="44" t="n"/>
      <c r="E254" s="44" t="n"/>
      <c r="F254" s="44" t="n"/>
      <c r="G254" s="44" t="n"/>
      <c r="H254" s="44" t="n"/>
      <c r="I254" s="44" t="n"/>
      <c r="J254" s="44" t="n"/>
      <c r="K254" s="44" t="n"/>
      <c r="L254" s="44" t="n"/>
      <c r="M254" s="44" t="n"/>
      <c r="N254" s="44" t="n"/>
      <c r="O254" s="44" t="n"/>
    </row>
    <row r="255" ht="54" customHeight="1">
      <c r="A255" s="44" t="n"/>
      <c r="B255" s="44" t="n"/>
      <c r="C255" s="44" t="n"/>
      <c r="D255" s="44" t="n"/>
      <c r="E255" s="44" t="n"/>
      <c r="F255" s="44" t="n"/>
      <c r="G255" s="44" t="n"/>
      <c r="H255" s="44" t="n"/>
      <c r="I255" s="44" t="n"/>
      <c r="J255" s="44" t="n"/>
      <c r="K255" s="44" t="n"/>
      <c r="L255" s="44" t="n"/>
      <c r="M255" s="44" t="n"/>
      <c r="N255" s="44" t="n"/>
      <c r="O255" s="44" t="n"/>
    </row>
    <row r="256" ht="54" customHeight="1">
      <c r="A256" s="44" t="n"/>
      <c r="B256" s="44" t="n"/>
      <c r="C256" s="44" t="n"/>
      <c r="D256" s="44" t="n"/>
      <c r="E256" s="44" t="n"/>
      <c r="F256" s="44" t="n"/>
      <c r="G256" s="44" t="n"/>
      <c r="H256" s="44" t="n"/>
      <c r="I256" s="44" t="n"/>
      <c r="J256" s="44" t="n"/>
      <c r="K256" s="44" t="n"/>
      <c r="L256" s="44" t="n"/>
      <c r="M256" s="44" t="n"/>
      <c r="N256" s="44" t="n"/>
      <c r="O256" s="44" t="n"/>
    </row>
    <row r="257" ht="54" customHeight="1">
      <c r="A257" s="44" t="n"/>
      <c r="B257" s="44" t="n"/>
      <c r="C257" s="44" t="n"/>
      <c r="D257" s="44" t="n"/>
      <c r="E257" s="44" t="n"/>
      <c r="F257" s="44" t="n"/>
      <c r="G257" s="44" t="n"/>
      <c r="H257" s="44" t="n"/>
      <c r="I257" s="44" t="n"/>
      <c r="J257" s="44" t="n"/>
      <c r="K257" s="44" t="n"/>
      <c r="L257" s="44" t="n"/>
      <c r="M257" s="44" t="n"/>
      <c r="N257" s="44" t="n"/>
      <c r="O257" s="44" t="n"/>
    </row>
    <row r="258" ht="54" customHeight="1">
      <c r="A258" s="44" t="n"/>
      <c r="B258" s="44" t="n"/>
      <c r="C258" s="44" t="n"/>
      <c r="D258" s="44" t="n"/>
      <c r="E258" s="44" t="n"/>
      <c r="F258" s="44" t="n"/>
      <c r="G258" s="44" t="n"/>
      <c r="H258" s="44" t="n"/>
      <c r="I258" s="44" t="n"/>
      <c r="J258" s="44" t="n"/>
      <c r="K258" s="44" t="n"/>
      <c r="L258" s="44" t="n"/>
      <c r="M258" s="44" t="n"/>
      <c r="N258" s="44" t="n"/>
      <c r="O258" s="44" t="n"/>
    </row>
    <row r="259" ht="54" customHeight="1">
      <c r="A259" s="44" t="n"/>
      <c r="B259" s="44" t="n"/>
      <c r="C259" s="44" t="n"/>
      <c r="D259" s="44" t="n"/>
      <c r="E259" s="44" t="n"/>
      <c r="F259" s="44" t="n"/>
      <c r="G259" s="44" t="n"/>
      <c r="H259" s="44" t="n"/>
      <c r="I259" s="44" t="n"/>
      <c r="J259" s="44" t="n"/>
      <c r="K259" s="44" t="n"/>
      <c r="L259" s="44" t="n"/>
      <c r="M259" s="44" t="n"/>
      <c r="N259" s="44" t="n"/>
      <c r="O259" s="44" t="n"/>
    </row>
    <row r="260" ht="54" customHeight="1">
      <c r="A260" s="44" t="n"/>
      <c r="B260" s="44" t="n"/>
      <c r="C260" s="44" t="n"/>
      <c r="D260" s="44" t="n"/>
      <c r="E260" s="44" t="n"/>
      <c r="F260" s="44" t="n"/>
      <c r="G260" s="44" t="n"/>
      <c r="H260" s="44" t="n"/>
      <c r="I260" s="44" t="n"/>
      <c r="J260" s="44" t="n"/>
      <c r="K260" s="44" t="n"/>
      <c r="L260" s="44" t="n"/>
      <c r="M260" s="44" t="n"/>
      <c r="N260" s="44" t="n"/>
      <c r="O260" s="44" t="n"/>
    </row>
    <row r="261" ht="54" customHeight="1">
      <c r="A261" s="44" t="n"/>
      <c r="B261" s="44" t="n"/>
      <c r="C261" s="44" t="n"/>
      <c r="D261" s="44" t="n"/>
      <c r="E261" s="44" t="n"/>
      <c r="F261" s="44" t="n"/>
      <c r="G261" s="44" t="n"/>
      <c r="H261" s="44" t="n"/>
      <c r="I261" s="44" t="n"/>
      <c r="J261" s="44" t="n"/>
      <c r="K261" s="44" t="n"/>
      <c r="L261" s="44" t="n"/>
      <c r="M261" s="44" t="n"/>
      <c r="N261" s="44" t="n"/>
      <c r="O261" s="44" t="n"/>
    </row>
    <row r="262" ht="54" customHeight="1">
      <c r="A262" s="44" t="n"/>
      <c r="B262" s="44" t="n"/>
      <c r="C262" s="44" t="n"/>
      <c r="D262" s="44" t="n"/>
      <c r="E262" s="44" t="n"/>
      <c r="F262" s="44" t="n"/>
      <c r="G262" s="44" t="n"/>
      <c r="H262" s="44" t="n"/>
      <c r="I262" s="44" t="n"/>
      <c r="J262" s="44" t="n"/>
      <c r="K262" s="44" t="n"/>
      <c r="L262" s="44" t="n"/>
      <c r="M262" s="44" t="n"/>
      <c r="N262" s="44" t="n"/>
      <c r="O262" s="44" t="n"/>
    </row>
    <row r="263" ht="54" customHeight="1">
      <c r="A263" s="44" t="n"/>
      <c r="B263" s="44" t="n"/>
      <c r="C263" s="44" t="n"/>
      <c r="D263" s="44" t="n"/>
      <c r="E263" s="44" t="n"/>
      <c r="F263" s="44" t="n"/>
      <c r="G263" s="44" t="n"/>
      <c r="H263" s="44" t="n"/>
      <c r="I263" s="44" t="n"/>
      <c r="J263" s="44" t="n"/>
      <c r="K263" s="44" t="n"/>
      <c r="L263" s="44" t="n"/>
      <c r="M263" s="44" t="n"/>
      <c r="N263" s="44" t="n"/>
      <c r="O263" s="44" t="n"/>
    </row>
    <row r="264" ht="54" customHeight="1">
      <c r="A264" s="44" t="n"/>
      <c r="B264" s="44" t="n"/>
      <c r="C264" s="44" t="n"/>
      <c r="D264" s="44" t="n"/>
      <c r="E264" s="44" t="n"/>
      <c r="F264" s="44" t="n"/>
      <c r="G264" s="44" t="n"/>
      <c r="H264" s="44" t="n"/>
      <c r="I264" s="44" t="n"/>
      <c r="J264" s="44" t="n"/>
      <c r="K264" s="44" t="n"/>
      <c r="L264" s="44" t="n"/>
      <c r="M264" s="44" t="n"/>
      <c r="N264" s="44" t="n"/>
      <c r="O264" s="44" t="n"/>
    </row>
    <row r="265" ht="54" customHeight="1">
      <c r="A265" s="44" t="n"/>
      <c r="B265" s="44" t="n"/>
      <c r="C265" s="44" t="n"/>
      <c r="D265" s="44" t="n"/>
      <c r="E265" s="44" t="n"/>
      <c r="F265" s="44" t="n"/>
      <c r="G265" s="44" t="n"/>
      <c r="H265" s="44" t="n"/>
      <c r="I265" s="44" t="n"/>
      <c r="J265" s="44" t="n"/>
      <c r="K265" s="44" t="n"/>
      <c r="L265" s="44" t="n"/>
      <c r="M265" s="44" t="n"/>
      <c r="N265" s="44" t="n"/>
      <c r="O265" s="44" t="n"/>
    </row>
    <row r="266" ht="54" customHeight="1">
      <c r="A266" s="44" t="n"/>
      <c r="B266" s="44" t="n"/>
      <c r="C266" s="44" t="n"/>
      <c r="D266" s="44" t="n"/>
      <c r="E266" s="44" t="n"/>
      <c r="F266" s="44" t="n"/>
      <c r="G266" s="44" t="n"/>
      <c r="H266" s="44" t="n"/>
      <c r="I266" s="44" t="n"/>
      <c r="J266" s="44" t="n"/>
      <c r="K266" s="44" t="n"/>
      <c r="L266" s="44" t="n"/>
      <c r="M266" s="44" t="n"/>
      <c r="N266" s="44" t="n"/>
      <c r="O266" s="44" t="n"/>
    </row>
    <row r="267" ht="54" customHeight="1">
      <c r="A267" s="44" t="n"/>
      <c r="B267" s="44" t="n"/>
      <c r="C267" s="44" t="n"/>
      <c r="D267" s="44" t="n"/>
      <c r="E267" s="44" t="n"/>
      <c r="F267" s="44" t="n"/>
      <c r="G267" s="44" t="n"/>
      <c r="H267" s="44" t="n"/>
      <c r="I267" s="44" t="n"/>
      <c r="J267" s="44" t="n"/>
      <c r="K267" s="44" t="n"/>
      <c r="L267" s="44" t="n"/>
      <c r="M267" s="44" t="n"/>
      <c r="N267" s="44" t="n"/>
      <c r="O267" s="44" t="n"/>
    </row>
    <row r="268" ht="54" customHeight="1">
      <c r="A268" s="44" t="n"/>
      <c r="B268" s="44" t="n"/>
      <c r="C268" s="44" t="n"/>
      <c r="D268" s="44" t="n"/>
      <c r="E268" s="44" t="n"/>
      <c r="F268" s="44" t="n"/>
      <c r="G268" s="44" t="n"/>
      <c r="H268" s="44" t="n"/>
      <c r="I268" s="44" t="n"/>
      <c r="J268" s="44" t="n"/>
      <c r="K268" s="44" t="n"/>
      <c r="L268" s="44" t="n"/>
      <c r="M268" s="44" t="n"/>
      <c r="N268" s="44" t="n"/>
      <c r="O268" s="44" t="n"/>
    </row>
    <row r="269" ht="54" customHeight="1">
      <c r="A269" s="44" t="n"/>
      <c r="B269" s="44" t="n"/>
      <c r="C269" s="44" t="n"/>
      <c r="D269" s="44" t="n"/>
      <c r="E269" s="44" t="n"/>
      <c r="F269" s="44" t="n"/>
      <c r="G269" s="44" t="n"/>
      <c r="H269" s="44" t="n"/>
      <c r="I269" s="44" t="n"/>
      <c r="J269" s="44" t="n"/>
      <c r="K269" s="44" t="n"/>
      <c r="L269" s="44" t="n"/>
      <c r="M269" s="44" t="n"/>
      <c r="N269" s="44" t="n"/>
      <c r="O269" s="44" t="n"/>
    </row>
    <row r="270" ht="54" customHeight="1">
      <c r="A270" s="44" t="n"/>
      <c r="B270" s="44" t="n"/>
      <c r="C270" s="44" t="n"/>
      <c r="D270" s="44" t="n"/>
      <c r="E270" s="44" t="n"/>
      <c r="F270" s="44" t="n"/>
      <c r="G270" s="44" t="n"/>
      <c r="H270" s="44" t="n"/>
      <c r="I270" s="44" t="n"/>
      <c r="J270" s="44" t="n"/>
      <c r="K270" s="44" t="n"/>
      <c r="L270" s="44" t="n"/>
      <c r="M270" s="44" t="n"/>
      <c r="N270" s="44" t="n"/>
      <c r="O270" s="44" t="n"/>
    </row>
    <row r="271" ht="54" customHeight="1">
      <c r="A271" s="44" t="n"/>
      <c r="B271" s="44" t="n"/>
      <c r="C271" s="44" t="n"/>
      <c r="D271" s="44" t="n"/>
      <c r="E271" s="44" t="n"/>
      <c r="F271" s="44" t="n"/>
      <c r="G271" s="44" t="n"/>
      <c r="H271" s="44" t="n"/>
      <c r="I271" s="44" t="n"/>
      <c r="J271" s="44" t="n"/>
      <c r="K271" s="44" t="n"/>
      <c r="L271" s="44" t="n"/>
      <c r="M271" s="44" t="n"/>
      <c r="N271" s="44" t="n"/>
      <c r="O271" s="44" t="n"/>
    </row>
    <row r="272" ht="54" customHeight="1">
      <c r="A272" s="44" t="n"/>
      <c r="B272" s="44" t="n"/>
      <c r="C272" s="44" t="n"/>
      <c r="D272" s="44" t="n"/>
      <c r="E272" s="44" t="n"/>
      <c r="F272" s="44" t="n"/>
      <c r="G272" s="44" t="n"/>
      <c r="H272" s="44" t="n"/>
      <c r="I272" s="44" t="n"/>
      <c r="J272" s="44" t="n"/>
      <c r="K272" s="44" t="n"/>
      <c r="L272" s="44" t="n"/>
      <c r="M272" s="44" t="n"/>
      <c r="N272" s="44" t="n"/>
      <c r="O272" s="44" t="n"/>
    </row>
    <row r="273" ht="54" customHeight="1">
      <c r="A273" s="44" t="n"/>
      <c r="B273" s="44" t="n"/>
      <c r="C273" s="44" t="n"/>
      <c r="D273" s="44" t="n"/>
      <c r="E273" s="44" t="n"/>
      <c r="F273" s="44" t="n"/>
      <c r="G273" s="44" t="n"/>
      <c r="H273" s="44" t="n"/>
      <c r="I273" s="44" t="n"/>
      <c r="J273" s="44" t="n"/>
      <c r="K273" s="44" t="n"/>
      <c r="L273" s="44" t="n"/>
      <c r="M273" s="44" t="n"/>
      <c r="N273" s="44" t="n"/>
      <c r="O273" s="44" t="n"/>
    </row>
    <row r="274" ht="54" customHeight="1">
      <c r="A274" s="44" t="n"/>
      <c r="B274" s="44" t="n"/>
      <c r="C274" s="44" t="n"/>
      <c r="D274" s="44" t="n"/>
      <c r="E274" s="44" t="n"/>
      <c r="F274" s="44" t="n"/>
      <c r="G274" s="44" t="n"/>
      <c r="H274" s="44" t="n"/>
      <c r="I274" s="44" t="n"/>
      <c r="J274" s="44" t="n"/>
      <c r="K274" s="44" t="n"/>
      <c r="L274" s="44" t="n"/>
      <c r="M274" s="44" t="n"/>
      <c r="N274" s="44" t="n"/>
      <c r="O274" s="44" t="n"/>
    </row>
    <row r="275" ht="54" customHeight="1">
      <c r="A275" s="44" t="n"/>
      <c r="B275" s="44" t="n"/>
      <c r="C275" s="44" t="n"/>
      <c r="D275" s="44" t="n"/>
      <c r="E275" s="44" t="n"/>
      <c r="F275" s="44" t="n"/>
      <c r="G275" s="44" t="n"/>
      <c r="H275" s="44" t="n"/>
      <c r="I275" s="44" t="n"/>
      <c r="J275" s="44" t="n"/>
      <c r="K275" s="44" t="n"/>
      <c r="L275" s="44" t="n"/>
      <c r="M275" s="44" t="n"/>
      <c r="N275" s="44" t="n"/>
      <c r="O275" s="44" t="n"/>
    </row>
    <row r="276" ht="54" customHeight="1">
      <c r="A276" s="44" t="n"/>
      <c r="B276" s="44" t="n"/>
      <c r="C276" s="44" t="n"/>
      <c r="D276" s="44" t="n"/>
      <c r="E276" s="44" t="n"/>
      <c r="F276" s="44" t="n"/>
      <c r="G276" s="44" t="n"/>
      <c r="H276" s="44" t="n"/>
      <c r="I276" s="44" t="n"/>
      <c r="J276" s="44" t="n"/>
      <c r="K276" s="44" t="n"/>
      <c r="L276" s="44" t="n"/>
      <c r="M276" s="44" t="n"/>
      <c r="N276" s="44" t="n"/>
      <c r="O276" s="44" t="n"/>
    </row>
    <row r="277" ht="54" customHeight="1">
      <c r="A277" s="44" t="n"/>
      <c r="B277" s="44" t="n"/>
      <c r="C277" s="44" t="n"/>
      <c r="D277" s="44" t="n"/>
      <c r="E277" s="44" t="n"/>
      <c r="F277" s="44" t="n"/>
      <c r="G277" s="44" t="n"/>
      <c r="H277" s="44" t="n"/>
      <c r="I277" s="44" t="n"/>
      <c r="J277" s="44" t="n"/>
      <c r="K277" s="44" t="n"/>
      <c r="L277" s="44" t="n"/>
      <c r="M277" s="44" t="n"/>
      <c r="N277" s="44" t="n"/>
      <c r="O277" s="44" t="n"/>
    </row>
    <row r="278" ht="54" customHeight="1">
      <c r="A278" s="44" t="n"/>
      <c r="B278" s="44" t="n"/>
      <c r="C278" s="44" t="n"/>
      <c r="D278" s="44" t="n"/>
      <c r="E278" s="44" t="n"/>
      <c r="F278" s="44" t="n"/>
      <c r="G278" s="44" t="n"/>
      <c r="H278" s="44" t="n"/>
      <c r="I278" s="44" t="n"/>
      <c r="J278" s="44" t="n"/>
      <c r="K278" s="44" t="n"/>
      <c r="L278" s="44" t="n"/>
      <c r="M278" s="44" t="n"/>
      <c r="N278" s="44" t="n"/>
      <c r="O278" s="44" t="n"/>
    </row>
    <row r="279" ht="54" customHeight="1">
      <c r="A279" s="44" t="n"/>
      <c r="B279" s="44" t="n"/>
      <c r="C279" s="44" t="n"/>
      <c r="D279" s="44" t="n"/>
      <c r="E279" s="44" t="n"/>
      <c r="F279" s="44" t="n"/>
      <c r="G279" s="44" t="n"/>
      <c r="H279" s="44" t="n"/>
      <c r="I279" s="44" t="n"/>
      <c r="J279" s="44" t="n"/>
      <c r="K279" s="44" t="n"/>
      <c r="L279" s="44" t="n"/>
      <c r="M279" s="44" t="n"/>
      <c r="N279" s="44" t="n"/>
      <c r="O279" s="44" t="n"/>
    </row>
    <row r="280" ht="54" customHeight="1">
      <c r="A280" s="44" t="n"/>
      <c r="B280" s="44" t="n"/>
      <c r="C280" s="44" t="n"/>
      <c r="D280" s="44" t="n"/>
      <c r="E280" s="44" t="n"/>
      <c r="F280" s="44" t="n"/>
      <c r="G280" s="44" t="n"/>
      <c r="H280" s="44" t="n"/>
      <c r="I280" s="44" t="n"/>
      <c r="J280" s="44" t="n"/>
      <c r="K280" s="44" t="n"/>
      <c r="L280" s="44" t="n"/>
      <c r="M280" s="44" t="n"/>
      <c r="N280" s="44" t="n"/>
      <c r="O280" s="44" t="n"/>
    </row>
    <row r="281" ht="54" customHeight="1">
      <c r="A281" s="44" t="n"/>
      <c r="B281" s="44" t="n"/>
      <c r="C281" s="44" t="n"/>
      <c r="D281" s="44" t="n"/>
      <c r="E281" s="44" t="n"/>
      <c r="F281" s="44" t="n"/>
      <c r="G281" s="44" t="n"/>
      <c r="H281" s="44" t="n"/>
      <c r="I281" s="44" t="n"/>
      <c r="J281" s="44" t="n"/>
      <c r="K281" s="44" t="n"/>
      <c r="L281" s="44" t="n"/>
      <c r="M281" s="44" t="n"/>
      <c r="N281" s="44" t="n"/>
      <c r="O281" s="44" t="n"/>
    </row>
    <row r="282" ht="54" customHeight="1">
      <c r="A282" s="44" t="n"/>
      <c r="B282" s="44" t="n"/>
      <c r="C282" s="44" t="n"/>
      <c r="D282" s="44" t="n"/>
      <c r="E282" s="44" t="n"/>
      <c r="F282" s="44" t="n"/>
      <c r="G282" s="44" t="n"/>
      <c r="H282" s="44" t="n"/>
      <c r="I282" s="44" t="n"/>
      <c r="J282" s="44" t="n"/>
      <c r="K282" s="44" t="n"/>
      <c r="L282" s="44" t="n"/>
      <c r="M282" s="44" t="n"/>
      <c r="N282" s="44" t="n"/>
      <c r="O282" s="44" t="n"/>
    </row>
    <row r="283" ht="54" customHeight="1">
      <c r="A283" s="44" t="n"/>
      <c r="B283" s="44" t="n"/>
      <c r="C283" s="44" t="n"/>
      <c r="D283" s="44" t="n"/>
      <c r="E283" s="44" t="n"/>
      <c r="F283" s="44" t="n"/>
      <c r="G283" s="44" t="n"/>
      <c r="H283" s="44" t="n"/>
      <c r="I283" s="44" t="n"/>
      <c r="J283" s="44" t="n"/>
      <c r="K283" s="44" t="n"/>
      <c r="L283" s="44" t="n"/>
      <c r="M283" s="44" t="n"/>
      <c r="N283" s="44" t="n"/>
      <c r="O283" s="44" t="n"/>
    </row>
    <row r="284" ht="54" customHeight="1">
      <c r="A284" s="44" t="n"/>
      <c r="B284" s="44" t="n"/>
      <c r="C284" s="44" t="n"/>
      <c r="D284" s="44" t="n"/>
      <c r="E284" s="44" t="n"/>
      <c r="F284" s="44" t="n"/>
      <c r="G284" s="44" t="n"/>
      <c r="H284" s="44" t="n"/>
      <c r="I284" s="44" t="n"/>
      <c r="J284" s="44" t="n"/>
      <c r="K284" s="44" t="n"/>
      <c r="L284" s="44" t="n"/>
      <c r="M284" s="44" t="n"/>
      <c r="N284" s="44" t="n"/>
      <c r="O284" s="44" t="n"/>
    </row>
    <row r="285" ht="54" customHeight="1">
      <c r="A285" s="44" t="n"/>
      <c r="B285" s="44" t="n"/>
      <c r="C285" s="44" t="n"/>
      <c r="D285" s="44" t="n"/>
      <c r="E285" s="44" t="n"/>
      <c r="F285" s="44" t="n"/>
      <c r="G285" s="44" t="n"/>
      <c r="H285" s="44" t="n"/>
      <c r="I285" s="44" t="n"/>
      <c r="J285" s="44" t="n"/>
      <c r="K285" s="44" t="n"/>
      <c r="L285" s="44" t="n"/>
      <c r="M285" s="44" t="n"/>
      <c r="N285" s="44" t="n"/>
      <c r="O285" s="44" t="n"/>
    </row>
    <row r="286" ht="54" customHeight="1">
      <c r="A286" s="44" t="n"/>
      <c r="B286" s="44" t="n"/>
      <c r="C286" s="44" t="n"/>
      <c r="D286" s="44" t="n"/>
      <c r="E286" s="44" t="n"/>
      <c r="F286" s="44" t="n"/>
      <c r="G286" s="44" t="n"/>
      <c r="H286" s="44" t="n"/>
      <c r="I286" s="44" t="n"/>
      <c r="J286" s="44" t="n"/>
      <c r="K286" s="44" t="n"/>
      <c r="L286" s="44" t="n"/>
      <c r="M286" s="44" t="n"/>
      <c r="N286" s="44" t="n"/>
      <c r="O286" s="44" t="n"/>
    </row>
    <row r="287" ht="54" customHeight="1">
      <c r="A287" s="44" t="n"/>
      <c r="B287" s="44" t="n"/>
      <c r="C287" s="44" t="n"/>
      <c r="D287" s="44" t="n"/>
      <c r="E287" s="44" t="n"/>
      <c r="F287" s="44" t="n"/>
      <c r="G287" s="44" t="n"/>
      <c r="H287" s="44" t="n"/>
      <c r="I287" s="44" t="n"/>
      <c r="J287" s="44" t="n"/>
      <c r="K287" s="44" t="n"/>
      <c r="L287" s="44" t="n"/>
      <c r="M287" s="44" t="n"/>
      <c r="N287" s="44" t="n"/>
      <c r="O287" s="44" t="n"/>
    </row>
    <row r="288" ht="54" customHeight="1">
      <c r="A288" s="44" t="n"/>
      <c r="B288" s="44" t="n"/>
      <c r="C288" s="44" t="n"/>
      <c r="D288" s="44" t="n"/>
      <c r="E288" s="44" t="n"/>
      <c r="F288" s="44" t="n"/>
      <c r="G288" s="44" t="n"/>
      <c r="H288" s="44" t="n"/>
      <c r="I288" s="44" t="n"/>
      <c r="J288" s="44" t="n"/>
      <c r="K288" s="44" t="n"/>
      <c r="L288" s="44" t="n"/>
      <c r="M288" s="44" t="n"/>
      <c r="N288" s="44" t="n"/>
      <c r="O288" s="44" t="n"/>
    </row>
    <row r="289" ht="54" customHeight="1">
      <c r="A289" s="44" t="n"/>
      <c r="B289" s="44" t="n"/>
      <c r="C289" s="44" t="n"/>
      <c r="D289" s="44" t="n"/>
      <c r="E289" s="44" t="n"/>
      <c r="F289" s="44" t="n"/>
      <c r="G289" s="44" t="n"/>
      <c r="H289" s="44" t="n"/>
      <c r="I289" s="44" t="n"/>
      <c r="J289" s="44" t="n"/>
      <c r="K289" s="44" t="n"/>
      <c r="L289" s="44" t="n"/>
      <c r="M289" s="44" t="n"/>
      <c r="N289" s="44" t="n"/>
      <c r="O289" s="44" t="n"/>
    </row>
    <row r="290" ht="54" customHeight="1">
      <c r="A290" s="44" t="n"/>
      <c r="B290" s="44" t="n"/>
      <c r="C290" s="44" t="n"/>
      <c r="D290" s="44" t="n"/>
      <c r="E290" s="44" t="n"/>
      <c r="F290" s="44" t="n"/>
      <c r="G290" s="44" t="n"/>
      <c r="H290" s="44" t="n"/>
      <c r="I290" s="44" t="n"/>
      <c r="J290" s="44" t="n"/>
      <c r="K290" s="44" t="n"/>
      <c r="L290" s="44" t="n"/>
      <c r="M290" s="44" t="n"/>
      <c r="N290" s="44" t="n"/>
      <c r="O290" s="44" t="n"/>
    </row>
    <row r="291" ht="54" customHeight="1">
      <c r="A291" s="44" t="n"/>
      <c r="B291" s="44" t="n"/>
      <c r="C291" s="44" t="n"/>
      <c r="D291" s="44" t="n"/>
      <c r="E291" s="44" t="n"/>
      <c r="F291" s="44" t="n"/>
      <c r="G291" s="44" t="n"/>
      <c r="H291" s="44" t="n"/>
      <c r="I291" s="44" t="n"/>
      <c r="J291" s="44" t="n"/>
      <c r="K291" s="44" t="n"/>
      <c r="L291" s="44" t="n"/>
      <c r="M291" s="44" t="n"/>
      <c r="N291" s="44" t="n"/>
      <c r="O291" s="44" t="n"/>
    </row>
    <row r="292" ht="54" customHeight="1">
      <c r="A292" s="44" t="n"/>
      <c r="B292" s="44" t="n"/>
      <c r="C292" s="44" t="n"/>
      <c r="D292" s="44" t="n"/>
      <c r="E292" s="44" t="n"/>
      <c r="F292" s="44" t="n"/>
      <c r="G292" s="44" t="n"/>
      <c r="H292" s="44" t="n"/>
      <c r="I292" s="44" t="n"/>
      <c r="J292" s="44" t="n"/>
      <c r="K292" s="44" t="n"/>
      <c r="L292" s="44" t="n"/>
      <c r="M292" s="44" t="n"/>
      <c r="N292" s="44" t="n"/>
      <c r="O292" s="44" t="n"/>
    </row>
    <row r="293" ht="54" customHeight="1">
      <c r="A293" s="44" t="n"/>
      <c r="B293" s="44" t="n"/>
      <c r="C293" s="44" t="n"/>
      <c r="D293" s="44" t="n"/>
      <c r="E293" s="44" t="n"/>
      <c r="F293" s="44" t="n"/>
      <c r="G293" s="44" t="n"/>
      <c r="H293" s="44" t="n"/>
      <c r="I293" s="44" t="n"/>
      <c r="J293" s="44" t="n"/>
      <c r="K293" s="44" t="n"/>
      <c r="L293" s="44" t="n"/>
      <c r="M293" s="44" t="n"/>
      <c r="N293" s="44" t="n"/>
      <c r="O293" s="44" t="n"/>
    </row>
    <row r="294" ht="54" customHeight="1">
      <c r="A294" s="44" t="n"/>
      <c r="B294" s="44" t="n"/>
      <c r="C294" s="44" t="n"/>
      <c r="D294" s="44" t="n"/>
      <c r="E294" s="44" t="n"/>
      <c r="F294" s="44" t="n"/>
      <c r="G294" s="44" t="n"/>
      <c r="H294" s="44" t="n"/>
      <c r="I294" s="44" t="n"/>
      <c r="J294" s="44" t="n"/>
      <c r="K294" s="44" t="n"/>
      <c r="L294" s="44" t="n"/>
      <c r="M294" s="44" t="n"/>
      <c r="N294" s="44" t="n"/>
      <c r="O294" s="44" t="n"/>
    </row>
    <row r="295" ht="54" customHeight="1">
      <c r="A295" s="44" t="n"/>
      <c r="B295" s="44" t="n"/>
      <c r="C295" s="44" t="n"/>
      <c r="D295" s="44" t="n"/>
      <c r="E295" s="44" t="n"/>
      <c r="F295" s="44" t="n"/>
      <c r="G295" s="44" t="n"/>
      <c r="H295" s="44" t="n"/>
      <c r="I295" s="44" t="n"/>
      <c r="J295" s="44" t="n"/>
      <c r="K295" s="44" t="n"/>
      <c r="L295" s="44" t="n"/>
      <c r="M295" s="44" t="n"/>
      <c r="N295" s="44" t="n"/>
      <c r="O295" s="44" t="n"/>
    </row>
    <row r="296" ht="54" customHeight="1">
      <c r="A296" s="44" t="n"/>
      <c r="B296" s="44" t="n"/>
      <c r="C296" s="44" t="n"/>
      <c r="D296" s="44" t="n"/>
      <c r="E296" s="44" t="n"/>
      <c r="F296" s="44" t="n"/>
      <c r="G296" s="44" t="n"/>
      <c r="H296" s="44" t="n"/>
      <c r="I296" s="44" t="n"/>
      <c r="J296" s="44" t="n"/>
      <c r="K296" s="44" t="n"/>
      <c r="L296" s="44" t="n"/>
      <c r="M296" s="44" t="n"/>
      <c r="N296" s="44" t="n"/>
      <c r="O296" s="44" t="n"/>
    </row>
    <row r="297" ht="54" customHeight="1">
      <c r="A297" s="44" t="n"/>
      <c r="B297" s="44" t="n"/>
      <c r="C297" s="44" t="n"/>
      <c r="D297" s="44" t="n"/>
      <c r="E297" s="44" t="n"/>
      <c r="F297" s="44" t="n"/>
      <c r="G297" s="44" t="n"/>
      <c r="H297" s="44" t="n"/>
      <c r="I297" s="44" t="n"/>
      <c r="J297" s="44" t="n"/>
      <c r="K297" s="44" t="n"/>
      <c r="L297" s="44" t="n"/>
      <c r="M297" s="44" t="n"/>
      <c r="N297" s="44" t="n"/>
      <c r="O297" s="44" t="n"/>
    </row>
    <row r="298" ht="54" customHeight="1">
      <c r="A298" s="44" t="n"/>
      <c r="B298" s="44" t="n"/>
      <c r="C298" s="44" t="n"/>
      <c r="D298" s="44" t="n"/>
      <c r="E298" s="44" t="n"/>
      <c r="F298" s="44" t="n"/>
      <c r="G298" s="44" t="n"/>
      <c r="H298" s="44" t="n"/>
      <c r="I298" s="44" t="n"/>
      <c r="J298" s="44" t="n"/>
      <c r="K298" s="44" t="n"/>
      <c r="L298" s="44" t="n"/>
      <c r="M298" s="44" t="n"/>
      <c r="N298" s="44" t="n"/>
      <c r="O298" s="44" t="n"/>
    </row>
    <row r="299" ht="54" customHeight="1">
      <c r="A299" s="44" t="n"/>
      <c r="B299" s="44" t="n"/>
      <c r="C299" s="44" t="n"/>
      <c r="D299" s="44" t="n"/>
      <c r="E299" s="44" t="n"/>
      <c r="F299" s="44" t="n"/>
      <c r="G299" s="44" t="n"/>
      <c r="H299" s="44" t="n"/>
      <c r="I299" s="44" t="n"/>
      <c r="J299" s="44" t="n"/>
      <c r="K299" s="44" t="n"/>
      <c r="L299" s="44" t="n"/>
      <c r="M299" s="44" t="n"/>
      <c r="N299" s="44" t="n"/>
      <c r="O299" s="44" t="n"/>
    </row>
    <row r="300" ht="54" customHeight="1">
      <c r="A300" s="44" t="n"/>
      <c r="B300" s="44" t="n"/>
      <c r="C300" s="44" t="n"/>
      <c r="D300" s="44" t="n"/>
      <c r="E300" s="44" t="n"/>
      <c r="F300" s="44" t="n"/>
      <c r="G300" s="44" t="n"/>
      <c r="H300" s="44" t="n"/>
      <c r="I300" s="44" t="n"/>
      <c r="J300" s="44" t="n"/>
      <c r="K300" s="44" t="n"/>
      <c r="L300" s="44" t="n"/>
      <c r="M300" s="44" t="n"/>
      <c r="N300" s="44" t="n"/>
      <c r="O300" s="44" t="n"/>
    </row>
    <row r="301" ht="54" customHeight="1">
      <c r="A301" s="44" t="n"/>
      <c r="B301" s="44" t="n"/>
      <c r="C301" s="44" t="n"/>
      <c r="D301" s="44" t="n"/>
      <c r="E301" s="44" t="n"/>
      <c r="F301" s="44" t="n"/>
      <c r="G301" s="44" t="n"/>
      <c r="H301" s="44" t="n"/>
      <c r="I301" s="44" t="n"/>
      <c r="J301" s="44" t="n"/>
      <c r="K301" s="44" t="n"/>
      <c r="L301" s="44" t="n"/>
      <c r="M301" s="44" t="n"/>
      <c r="N301" s="44" t="n"/>
      <c r="O301" s="44" t="n"/>
    </row>
    <row r="302" ht="54" customHeight="1">
      <c r="A302" s="44" t="n"/>
      <c r="B302" s="44" t="n"/>
      <c r="C302" s="44" t="n"/>
      <c r="D302" s="44" t="n"/>
      <c r="E302" s="44" t="n"/>
      <c r="F302" s="44" t="n"/>
      <c r="G302" s="44" t="n"/>
      <c r="H302" s="44" t="n"/>
      <c r="I302" s="44" t="n"/>
      <c r="J302" s="44" t="n"/>
      <c r="K302" s="44" t="n"/>
      <c r="L302" s="44" t="n"/>
      <c r="M302" s="44" t="n"/>
      <c r="N302" s="44" t="n"/>
      <c r="O302" s="44" t="n"/>
    </row>
    <row r="303" ht="54" customHeight="1">
      <c r="A303" s="44" t="n"/>
      <c r="B303" s="44" t="n"/>
      <c r="C303" s="44" t="n"/>
      <c r="D303" s="44" t="n"/>
      <c r="E303" s="44" t="n"/>
      <c r="F303" s="44" t="n"/>
      <c r="G303" s="44" t="n"/>
      <c r="H303" s="44" t="n"/>
      <c r="I303" s="44" t="n"/>
      <c r="J303" s="44" t="n"/>
      <c r="K303" s="44" t="n"/>
      <c r="L303" s="44" t="n"/>
      <c r="M303" s="44" t="n"/>
      <c r="N303" s="44" t="n"/>
      <c r="O303" s="44" t="n"/>
    </row>
    <row r="304" ht="54" customHeight="1">
      <c r="A304" s="44" t="n"/>
      <c r="B304" s="44" t="n"/>
      <c r="C304" s="44" t="n"/>
      <c r="D304" s="44" t="n"/>
      <c r="E304" s="44" t="n"/>
      <c r="F304" s="44" t="n"/>
      <c r="G304" s="44" t="n"/>
      <c r="H304" s="44" t="n"/>
      <c r="I304" s="44" t="n"/>
      <c r="J304" s="44" t="n"/>
      <c r="K304" s="44" t="n"/>
      <c r="L304" s="44" t="n"/>
      <c r="M304" s="44" t="n"/>
      <c r="N304" s="44" t="n"/>
      <c r="O304" s="44" t="n"/>
    </row>
    <row r="305" ht="54" customHeight="1">
      <c r="A305" s="44" t="n"/>
      <c r="B305" s="44" t="n"/>
      <c r="C305" s="44" t="n"/>
      <c r="D305" s="44" t="n"/>
      <c r="E305" s="44" t="n"/>
      <c r="F305" s="44" t="n"/>
      <c r="G305" s="44" t="n"/>
      <c r="H305" s="44" t="n"/>
      <c r="I305" s="44" t="n"/>
      <c r="J305" s="44" t="n"/>
      <c r="K305" s="44" t="n"/>
      <c r="L305" s="44" t="n"/>
      <c r="M305" s="44" t="n"/>
      <c r="N305" s="44" t="n"/>
      <c r="O305" s="44" t="n"/>
    </row>
    <row r="306" ht="54" customHeight="1">
      <c r="A306" s="44" t="n"/>
      <c r="B306" s="44" t="n"/>
      <c r="C306" s="44" t="n"/>
      <c r="D306" s="44" t="n"/>
      <c r="E306" s="44" t="n"/>
      <c r="F306" s="44" t="n"/>
      <c r="G306" s="44" t="n"/>
      <c r="H306" s="44" t="n"/>
      <c r="I306" s="44" t="n"/>
      <c r="J306" s="44" t="n"/>
      <c r="K306" s="44" t="n"/>
      <c r="L306" s="44" t="n"/>
      <c r="M306" s="44" t="n"/>
      <c r="N306" s="44" t="n"/>
      <c r="O306" s="44" t="n"/>
    </row>
    <row r="307" ht="54" customHeight="1">
      <c r="A307" s="44" t="n"/>
      <c r="B307" s="44" t="n"/>
      <c r="C307" s="44" t="n"/>
      <c r="D307" s="44" t="n"/>
      <c r="E307" s="44" t="n"/>
      <c r="F307" s="44" t="n"/>
      <c r="G307" s="44" t="n"/>
      <c r="H307" s="44" t="n"/>
      <c r="I307" s="44" t="n"/>
      <c r="J307" s="44" t="n"/>
      <c r="K307" s="44" t="n"/>
      <c r="L307" s="44" t="n"/>
      <c r="M307" s="44" t="n"/>
      <c r="N307" s="44" t="n"/>
      <c r="O307" s="44" t="n"/>
    </row>
    <row r="308" ht="54" customHeight="1">
      <c r="A308" s="44" t="n"/>
      <c r="B308" s="44" t="n"/>
      <c r="C308" s="44" t="n"/>
      <c r="D308" s="44" t="n"/>
      <c r="E308" s="44" t="n"/>
      <c r="F308" s="44" t="n"/>
      <c r="G308" s="44" t="n"/>
      <c r="H308" s="44" t="n"/>
      <c r="I308" s="44" t="n"/>
      <c r="J308" s="44" t="n"/>
      <c r="K308" s="44" t="n"/>
      <c r="L308" s="44" t="n"/>
      <c r="M308" s="44" t="n"/>
      <c r="N308" s="44" t="n"/>
      <c r="O308" s="44" t="n"/>
    </row>
    <row r="309" ht="54" customHeight="1">
      <c r="A309" s="44" t="n"/>
      <c r="B309" s="44" t="n"/>
      <c r="C309" s="44" t="n"/>
      <c r="D309" s="44" t="n"/>
      <c r="E309" s="44" t="n"/>
      <c r="F309" s="44" t="n"/>
      <c r="G309" s="44" t="n"/>
      <c r="H309" s="44" t="n"/>
      <c r="I309" s="44" t="n"/>
      <c r="J309" s="44" t="n"/>
      <c r="K309" s="44" t="n"/>
      <c r="L309" s="44" t="n"/>
      <c r="M309" s="44" t="n"/>
      <c r="N309" s="44" t="n"/>
      <c r="O309" s="44" t="n"/>
    </row>
    <row r="310" ht="54" customHeight="1">
      <c r="A310" s="44" t="n"/>
      <c r="B310" s="44" t="n"/>
      <c r="C310" s="44" t="n"/>
      <c r="D310" s="44" t="n"/>
      <c r="E310" s="44" t="n"/>
      <c r="F310" s="44" t="n"/>
      <c r="G310" s="44" t="n"/>
      <c r="H310" s="44" t="n"/>
      <c r="I310" s="44" t="n"/>
      <c r="J310" s="44" t="n"/>
      <c r="K310" s="44" t="n"/>
      <c r="L310" s="44" t="n"/>
      <c r="M310" s="44" t="n"/>
      <c r="N310" s="44" t="n"/>
      <c r="O310" s="44" t="n"/>
    </row>
    <row r="311" ht="54" customHeight="1">
      <c r="A311" s="44" t="n"/>
      <c r="B311" s="44" t="n"/>
      <c r="C311" s="44" t="n"/>
      <c r="D311" s="44" t="n"/>
      <c r="E311" s="44" t="n"/>
      <c r="F311" s="44" t="n"/>
      <c r="G311" s="44" t="n"/>
      <c r="H311" s="44" t="n"/>
      <c r="I311" s="44" t="n"/>
      <c r="J311" s="44" t="n"/>
      <c r="K311" s="44" t="n"/>
      <c r="L311" s="44" t="n"/>
      <c r="M311" s="44" t="n"/>
      <c r="N311" s="44" t="n"/>
      <c r="O311" s="44" t="n"/>
    </row>
    <row r="312" ht="54" customHeight="1">
      <c r="A312" s="44" t="n"/>
      <c r="B312" s="44" t="n"/>
      <c r="C312" s="44" t="n"/>
      <c r="D312" s="44" t="n"/>
      <c r="E312" s="44" t="n"/>
      <c r="F312" s="44" t="n"/>
      <c r="G312" s="44" t="n"/>
      <c r="H312" s="44" t="n"/>
      <c r="I312" s="44" t="n"/>
      <c r="J312" s="44" t="n"/>
      <c r="K312" s="44" t="n"/>
      <c r="L312" s="44" t="n"/>
      <c r="M312" s="44" t="n"/>
      <c r="N312" s="44" t="n"/>
      <c r="O312" s="44" t="n"/>
    </row>
    <row r="313" ht="54" customHeight="1">
      <c r="A313" s="44" t="n"/>
      <c r="B313" s="44" t="n"/>
      <c r="C313" s="44" t="n"/>
      <c r="D313" s="44" t="n"/>
      <c r="E313" s="44" t="n"/>
      <c r="F313" s="44" t="n"/>
      <c r="G313" s="44" t="n"/>
      <c r="H313" s="44" t="n"/>
      <c r="I313" s="44" t="n"/>
      <c r="J313" s="44" t="n"/>
      <c r="K313" s="44" t="n"/>
      <c r="L313" s="44" t="n"/>
      <c r="M313" s="44" t="n"/>
      <c r="N313" s="44" t="n"/>
      <c r="O313" s="44" t="n"/>
    </row>
    <row r="314" ht="54" customHeight="1">
      <c r="A314" s="44" t="n"/>
      <c r="B314" s="44" t="n"/>
      <c r="C314" s="44" t="n"/>
      <c r="D314" s="44" t="n"/>
      <c r="E314" s="44" t="n"/>
      <c r="F314" s="44" t="n"/>
      <c r="G314" s="44" t="n"/>
      <c r="H314" s="44" t="n"/>
      <c r="I314" s="44" t="n"/>
      <c r="J314" s="44" t="n"/>
      <c r="K314" s="44" t="n"/>
      <c r="L314" s="44" t="n"/>
      <c r="M314" s="44" t="n"/>
      <c r="N314" s="44" t="n"/>
      <c r="O314" s="44" t="n"/>
    </row>
    <row r="315" ht="54" customHeight="1">
      <c r="A315" s="44" t="n"/>
      <c r="B315" s="44" t="n"/>
      <c r="C315" s="44" t="n"/>
      <c r="D315" s="44" t="n"/>
      <c r="E315" s="44" t="n"/>
      <c r="F315" s="44" t="n"/>
      <c r="G315" s="44" t="n"/>
      <c r="H315" s="44" t="n"/>
      <c r="I315" s="44" t="n"/>
      <c r="J315" s="44" t="n"/>
      <c r="K315" s="44" t="n"/>
      <c r="L315" s="44" t="n"/>
      <c r="M315" s="44" t="n"/>
      <c r="N315" s="44" t="n"/>
      <c r="O315" s="44" t="n"/>
    </row>
    <row r="316" ht="54" customHeight="1">
      <c r="A316" s="44" t="n"/>
      <c r="B316" s="44" t="n"/>
      <c r="C316" s="44" t="n"/>
      <c r="D316" s="44" t="n"/>
      <c r="E316" s="44" t="n"/>
      <c r="F316" s="44" t="n"/>
      <c r="G316" s="44" t="n"/>
      <c r="H316" s="44" t="n"/>
      <c r="I316" s="44" t="n"/>
      <c r="J316" s="44" t="n"/>
      <c r="K316" s="44" t="n"/>
      <c r="L316" s="44" t="n"/>
      <c r="M316" s="44" t="n"/>
      <c r="N316" s="44" t="n"/>
      <c r="O316" s="44" t="n"/>
    </row>
    <row r="317" ht="54" customHeight="1">
      <c r="A317" s="44" t="n"/>
      <c r="B317" s="44" t="n"/>
      <c r="C317" s="44" t="n"/>
      <c r="D317" s="44" t="n"/>
      <c r="E317" s="44" t="n"/>
      <c r="F317" s="44" t="n"/>
      <c r="G317" s="44" t="n"/>
      <c r="H317" s="44" t="n"/>
      <c r="I317" s="44" t="n"/>
      <c r="J317" s="44" t="n"/>
      <c r="K317" s="44" t="n"/>
      <c r="L317" s="44" t="n"/>
      <c r="M317" s="44" t="n"/>
      <c r="N317" s="44" t="n"/>
      <c r="O317" s="44" t="n"/>
    </row>
    <row r="318" ht="54" customHeight="1">
      <c r="A318" s="44" t="n"/>
      <c r="B318" s="44" t="n"/>
      <c r="C318" s="44" t="n"/>
      <c r="D318" s="44" t="n"/>
      <c r="E318" s="44" t="n"/>
      <c r="F318" s="44" t="n"/>
      <c r="G318" s="44" t="n"/>
      <c r="H318" s="44" t="n"/>
      <c r="I318" s="44" t="n"/>
      <c r="J318" s="44" t="n"/>
      <c r="K318" s="44" t="n"/>
      <c r="L318" s="44" t="n"/>
      <c r="M318" s="44" t="n"/>
      <c r="N318" s="44" t="n"/>
      <c r="O318" s="44" t="n"/>
    </row>
    <row r="319" ht="54" customHeight="1">
      <c r="A319" s="44" t="n"/>
      <c r="B319" s="44" t="n"/>
      <c r="C319" s="44" t="n"/>
      <c r="D319" s="44" t="n"/>
      <c r="E319" s="44" t="n"/>
      <c r="F319" s="44" t="n"/>
      <c r="G319" s="44" t="n"/>
      <c r="H319" s="44" t="n"/>
      <c r="I319" s="44" t="n"/>
      <c r="J319" s="44" t="n"/>
      <c r="K319" s="44" t="n"/>
      <c r="L319" s="44" t="n"/>
      <c r="M319" s="44" t="n"/>
      <c r="N319" s="44" t="n"/>
      <c r="O319" s="44" t="n"/>
    </row>
    <row r="320" ht="54" customHeight="1">
      <c r="A320" s="44" t="n"/>
      <c r="B320" s="44" t="n"/>
      <c r="C320" s="44" t="n"/>
      <c r="D320" s="44" t="n"/>
      <c r="E320" s="44" t="n"/>
      <c r="F320" s="44" t="n"/>
      <c r="G320" s="44" t="n"/>
      <c r="H320" s="44" t="n"/>
      <c r="I320" s="44" t="n"/>
      <c r="J320" s="44" t="n"/>
      <c r="K320" s="44" t="n"/>
      <c r="L320" s="44" t="n"/>
      <c r="M320" s="44" t="n"/>
      <c r="N320" s="44" t="n"/>
      <c r="O320" s="44" t="n"/>
    </row>
    <row r="321" ht="54" customHeight="1">
      <c r="A321" s="44" t="n"/>
      <c r="B321" s="44" t="n"/>
      <c r="C321" s="44" t="n"/>
      <c r="D321" s="44" t="n"/>
      <c r="E321" s="44" t="n"/>
      <c r="F321" s="44" t="n"/>
      <c r="G321" s="44" t="n"/>
      <c r="H321" s="44" t="n"/>
      <c r="I321" s="44" t="n"/>
      <c r="J321" s="44" t="n"/>
      <c r="K321" s="44" t="n"/>
      <c r="L321" s="44" t="n"/>
      <c r="M321" s="44" t="n"/>
      <c r="N321" s="44" t="n"/>
      <c r="O321" s="44" t="n"/>
    </row>
    <row r="322" ht="54" customHeight="1">
      <c r="A322" s="44" t="n"/>
      <c r="B322" s="44" t="n"/>
      <c r="C322" s="44" t="n"/>
      <c r="D322" s="44" t="n"/>
      <c r="E322" s="44" t="n"/>
      <c r="F322" s="44" t="n"/>
      <c r="G322" s="44" t="n"/>
      <c r="H322" s="44" t="n"/>
      <c r="I322" s="44" t="n"/>
      <c r="J322" s="44" t="n"/>
      <c r="K322" s="44" t="n"/>
      <c r="L322" s="44" t="n"/>
      <c r="M322" s="44" t="n"/>
      <c r="N322" s="44" t="n"/>
      <c r="O322" s="44" t="n"/>
    </row>
    <row r="323" ht="54" customHeight="1">
      <c r="A323" s="44" t="n"/>
      <c r="B323" s="44" t="n"/>
      <c r="C323" s="44" t="n"/>
      <c r="D323" s="44" t="n"/>
      <c r="E323" s="44" t="n"/>
      <c r="F323" s="44" t="n"/>
      <c r="G323" s="44" t="n"/>
      <c r="H323" s="44" t="n"/>
      <c r="I323" s="44" t="n"/>
      <c r="J323" s="44" t="n"/>
      <c r="K323" s="44" t="n"/>
      <c r="L323" s="44" t="n"/>
      <c r="M323" s="44" t="n"/>
      <c r="N323" s="44" t="n"/>
      <c r="O323" s="44" t="n"/>
    </row>
    <row r="324" ht="54" customHeight="1">
      <c r="A324" s="44" t="n"/>
      <c r="B324" s="44" t="n"/>
      <c r="C324" s="44" t="n"/>
      <c r="D324" s="44" t="n"/>
      <c r="E324" s="44" t="n"/>
      <c r="F324" s="44" t="n"/>
      <c r="G324" s="44" t="n"/>
      <c r="H324" s="44" t="n"/>
      <c r="I324" s="44" t="n"/>
      <c r="J324" s="44" t="n"/>
      <c r="K324" s="44" t="n"/>
      <c r="L324" s="44" t="n"/>
      <c r="M324" s="44" t="n"/>
      <c r="N324" s="44" t="n"/>
      <c r="O324" s="44" t="n"/>
    </row>
    <row r="325" ht="54" customHeight="1">
      <c r="A325" s="44" t="n"/>
      <c r="B325" s="44" t="n"/>
      <c r="C325" s="44" t="n"/>
      <c r="D325" s="44" t="n"/>
      <c r="E325" s="44" t="n"/>
      <c r="F325" s="44" t="n"/>
      <c r="G325" s="44" t="n"/>
      <c r="H325" s="44" t="n"/>
      <c r="I325" s="44" t="n"/>
      <c r="J325" s="44" t="n"/>
      <c r="K325" s="44" t="n"/>
      <c r="L325" s="44" t="n"/>
      <c r="M325" s="44" t="n"/>
      <c r="N325" s="44" t="n"/>
      <c r="O325" s="44" t="n"/>
    </row>
    <row r="326" ht="54" customHeight="1">
      <c r="A326" s="44" t="n"/>
      <c r="B326" s="44" t="n"/>
      <c r="C326" s="44" t="n"/>
      <c r="D326" s="44" t="n"/>
      <c r="E326" s="44" t="n"/>
      <c r="F326" s="44" t="n"/>
      <c r="G326" s="44" t="n"/>
      <c r="H326" s="44" t="n"/>
      <c r="I326" s="44" t="n"/>
      <c r="J326" s="44" t="n"/>
      <c r="K326" s="44" t="n"/>
      <c r="L326" s="44" t="n"/>
      <c r="M326" s="44" t="n"/>
      <c r="N326" s="44" t="n"/>
      <c r="O326" s="44" t="n"/>
    </row>
    <row r="327" ht="54" customHeight="1">
      <c r="A327" s="44" t="n"/>
      <c r="B327" s="44" t="n"/>
      <c r="C327" s="44" t="n"/>
      <c r="D327" s="44" t="n"/>
      <c r="E327" s="44" t="n"/>
      <c r="F327" s="44" t="n"/>
      <c r="G327" s="44" t="n"/>
      <c r="H327" s="44" t="n"/>
      <c r="I327" s="44" t="n"/>
      <c r="J327" s="44" t="n"/>
      <c r="K327" s="44" t="n"/>
      <c r="L327" s="44" t="n"/>
      <c r="M327" s="44" t="n"/>
      <c r="N327" s="44" t="n"/>
      <c r="O327" s="44" t="n"/>
    </row>
    <row r="328" ht="54" customHeight="1">
      <c r="A328" s="44" t="n"/>
      <c r="B328" s="44" t="n"/>
      <c r="C328" s="44" t="n"/>
      <c r="D328" s="44" t="n"/>
      <c r="E328" s="44" t="n"/>
      <c r="F328" s="44" t="n"/>
      <c r="G328" s="44" t="n"/>
      <c r="H328" s="44" t="n"/>
      <c r="I328" s="44" t="n"/>
      <c r="J328" s="44" t="n"/>
      <c r="K328" s="44" t="n"/>
      <c r="L328" s="44" t="n"/>
      <c r="M328" s="44" t="n"/>
      <c r="N328" s="44" t="n"/>
      <c r="O328" s="44" t="n"/>
    </row>
    <row r="329" ht="54" customHeight="1">
      <c r="A329" s="44" t="n"/>
      <c r="B329" s="44" t="n"/>
      <c r="C329" s="44" t="n"/>
      <c r="D329" s="44" t="n"/>
      <c r="E329" s="44" t="n"/>
      <c r="F329" s="44" t="n"/>
      <c r="G329" s="44" t="n"/>
      <c r="H329" s="44" t="n"/>
      <c r="I329" s="44" t="n"/>
      <c r="J329" s="44" t="n"/>
      <c r="K329" s="44" t="n"/>
      <c r="L329" s="44" t="n"/>
      <c r="M329" s="44" t="n"/>
      <c r="N329" s="44" t="n"/>
      <c r="O329" s="44" t="n"/>
    </row>
    <row r="330" ht="54" customHeight="1">
      <c r="A330" s="44" t="n"/>
      <c r="B330" s="44" t="n"/>
      <c r="C330" s="44" t="n"/>
      <c r="D330" s="44" t="n"/>
      <c r="E330" s="44" t="n"/>
      <c r="F330" s="44" t="n"/>
      <c r="G330" s="44" t="n"/>
      <c r="H330" s="44" t="n"/>
      <c r="I330" s="44" t="n"/>
      <c r="J330" s="44" t="n"/>
      <c r="K330" s="44" t="n"/>
      <c r="L330" s="44" t="n"/>
      <c r="M330" s="44" t="n"/>
      <c r="N330" s="44" t="n"/>
      <c r="O330" s="44" t="n"/>
    </row>
    <row r="331" ht="54" customHeight="1">
      <c r="A331" s="44" t="n"/>
      <c r="B331" s="44" t="n"/>
      <c r="C331" s="44" t="n"/>
      <c r="D331" s="44" t="n"/>
      <c r="E331" s="44" t="n"/>
      <c r="F331" s="44" t="n"/>
      <c r="G331" s="44" t="n"/>
      <c r="H331" s="44" t="n"/>
      <c r="I331" s="44" t="n"/>
      <c r="J331" s="44" t="n"/>
      <c r="K331" s="44" t="n"/>
      <c r="L331" s="44" t="n"/>
      <c r="M331" s="44" t="n"/>
      <c r="N331" s="44" t="n"/>
      <c r="O331" s="44" t="n"/>
    </row>
    <row r="332" ht="54" customHeight="1">
      <c r="A332" s="44" t="n"/>
      <c r="B332" s="44" t="n"/>
      <c r="C332" s="44" t="n"/>
      <c r="D332" s="44" t="n"/>
      <c r="E332" s="44" t="n"/>
      <c r="F332" s="44" t="n"/>
      <c r="G332" s="44" t="n"/>
      <c r="H332" s="44" t="n"/>
      <c r="I332" s="44" t="n"/>
      <c r="J332" s="44" t="n"/>
      <c r="K332" s="44" t="n"/>
      <c r="L332" s="44" t="n"/>
      <c r="M332" s="44" t="n"/>
      <c r="N332" s="44" t="n"/>
      <c r="O332" s="44" t="n"/>
    </row>
    <row r="333" ht="54" customHeight="1">
      <c r="A333" s="44" t="n"/>
      <c r="B333" s="44" t="n"/>
      <c r="C333" s="44" t="n"/>
      <c r="D333" s="44" t="n"/>
      <c r="E333" s="44" t="n"/>
      <c r="F333" s="44" t="n"/>
      <c r="G333" s="44" t="n"/>
      <c r="H333" s="44" t="n"/>
      <c r="I333" s="44" t="n"/>
      <c r="J333" s="44" t="n"/>
      <c r="K333" s="44" t="n"/>
      <c r="L333" s="44" t="n"/>
      <c r="M333" s="44" t="n"/>
      <c r="N333" s="44" t="n"/>
      <c r="O333" s="44" t="n"/>
    </row>
    <row r="334" ht="54" customHeight="1">
      <c r="A334" s="44" t="n"/>
      <c r="B334" s="44" t="n"/>
      <c r="C334" s="44" t="n"/>
      <c r="D334" s="44" t="n"/>
      <c r="E334" s="44" t="n"/>
      <c r="F334" s="44" t="n"/>
      <c r="G334" s="44" t="n"/>
      <c r="H334" s="44" t="n"/>
      <c r="I334" s="44" t="n"/>
      <c r="J334" s="44" t="n"/>
      <c r="K334" s="44" t="n"/>
      <c r="L334" s="44" t="n"/>
      <c r="M334" s="44" t="n"/>
      <c r="N334" s="44" t="n"/>
      <c r="O334" s="44" t="n"/>
    </row>
    <row r="335" ht="54" customHeight="1">
      <c r="A335" s="44" t="n"/>
      <c r="B335" s="44" t="n"/>
      <c r="C335" s="44" t="n"/>
      <c r="D335" s="44" t="n"/>
      <c r="E335" s="44" t="n"/>
      <c r="F335" s="44" t="n"/>
      <c r="G335" s="44" t="n"/>
      <c r="H335" s="44" t="n"/>
      <c r="I335" s="44" t="n"/>
      <c r="J335" s="44" t="n"/>
      <c r="K335" s="44" t="n"/>
      <c r="L335" s="44" t="n"/>
      <c r="M335" s="44" t="n"/>
      <c r="N335" s="44" t="n"/>
      <c r="O335" s="44" t="n"/>
    </row>
    <row r="336" ht="54" customHeight="1">
      <c r="A336" s="44" t="n"/>
      <c r="B336" s="44" t="n"/>
      <c r="C336" s="44" t="n"/>
      <c r="D336" s="44" t="n"/>
      <c r="E336" s="44" t="n"/>
      <c r="F336" s="44" t="n"/>
      <c r="G336" s="44" t="n"/>
      <c r="H336" s="44" t="n"/>
      <c r="I336" s="44" t="n"/>
      <c r="J336" s="44" t="n"/>
      <c r="K336" s="44" t="n"/>
      <c r="L336" s="44" t="n"/>
      <c r="M336" s="44" t="n"/>
      <c r="N336" s="44" t="n"/>
      <c r="O336" s="44" t="n"/>
    </row>
    <row r="337" ht="54" customHeight="1">
      <c r="A337" s="44" t="n"/>
      <c r="B337" s="44" t="n"/>
      <c r="C337" s="44" t="n"/>
      <c r="D337" s="44" t="n"/>
      <c r="E337" s="44" t="n"/>
      <c r="F337" s="44" t="n"/>
      <c r="G337" s="44" t="n"/>
      <c r="H337" s="44" t="n"/>
      <c r="I337" s="44" t="n"/>
      <c r="J337" s="44" t="n"/>
      <c r="K337" s="44" t="n"/>
      <c r="L337" s="44" t="n"/>
      <c r="M337" s="44" t="n"/>
      <c r="N337" s="44" t="n"/>
      <c r="O337" s="44" t="n"/>
    </row>
    <row r="338" ht="54" customHeight="1">
      <c r="A338" s="44" t="n"/>
      <c r="B338" s="44" t="n"/>
      <c r="C338" s="44" t="n"/>
      <c r="D338" s="44" t="n"/>
      <c r="E338" s="44" t="n"/>
      <c r="F338" s="44" t="n"/>
      <c r="G338" s="44" t="n"/>
      <c r="H338" s="44" t="n"/>
      <c r="I338" s="44" t="n"/>
      <c r="J338" s="44" t="n"/>
      <c r="K338" s="44" t="n"/>
      <c r="L338" s="44" t="n"/>
      <c r="M338" s="44" t="n"/>
      <c r="N338" s="44" t="n"/>
      <c r="O338" s="44" t="n"/>
    </row>
    <row r="339" ht="54" customHeight="1">
      <c r="A339" s="44" t="n"/>
      <c r="B339" s="44" t="n"/>
      <c r="C339" s="44" t="n"/>
      <c r="D339" s="44" t="n"/>
      <c r="E339" s="44" t="n"/>
      <c r="F339" s="44" t="n"/>
      <c r="G339" s="44" t="n"/>
      <c r="H339" s="44" t="n"/>
      <c r="I339" s="44" t="n"/>
      <c r="J339" s="44" t="n"/>
      <c r="K339" s="44" t="n"/>
      <c r="L339" s="44" t="n"/>
      <c r="M339" s="44" t="n"/>
      <c r="N339" s="44" t="n"/>
      <c r="O339" s="44" t="n"/>
    </row>
    <row r="340" ht="54" customHeight="1">
      <c r="A340" s="44" t="n"/>
      <c r="B340" s="44" t="n"/>
      <c r="C340" s="44" t="n"/>
      <c r="D340" s="44" t="n"/>
      <c r="E340" s="44" t="n"/>
      <c r="F340" s="44" t="n"/>
      <c r="G340" s="44" t="n"/>
      <c r="H340" s="44" t="n"/>
      <c r="I340" s="44" t="n"/>
      <c r="J340" s="44" t="n"/>
      <c r="K340" s="44" t="n"/>
      <c r="L340" s="44" t="n"/>
      <c r="M340" s="44" t="n"/>
      <c r="N340" s="44" t="n"/>
      <c r="O340" s="44" t="n"/>
    </row>
    <row r="341" ht="54" customHeight="1">
      <c r="A341" s="44" t="n"/>
      <c r="B341" s="44" t="n"/>
      <c r="C341" s="44" t="n"/>
      <c r="D341" s="44" t="n"/>
      <c r="E341" s="44" t="n"/>
      <c r="F341" s="44" t="n"/>
      <c r="G341" s="44" t="n"/>
      <c r="H341" s="44" t="n"/>
      <c r="I341" s="44" t="n"/>
      <c r="J341" s="44" t="n"/>
      <c r="K341" s="44" t="n"/>
      <c r="L341" s="44" t="n"/>
      <c r="M341" s="44" t="n"/>
      <c r="N341" s="44" t="n"/>
      <c r="O341" s="44" t="n"/>
    </row>
    <row r="342" ht="54" customHeight="1">
      <c r="A342" s="44" t="n"/>
      <c r="B342" s="44" t="n"/>
      <c r="C342" s="44" t="n"/>
      <c r="D342" s="44" t="n"/>
      <c r="E342" s="44" t="n"/>
      <c r="F342" s="44" t="n"/>
      <c r="G342" s="44" t="n"/>
      <c r="H342" s="44" t="n"/>
      <c r="I342" s="44" t="n"/>
      <c r="J342" s="44" t="n"/>
      <c r="K342" s="44" t="n"/>
      <c r="L342" s="44" t="n"/>
      <c r="M342" s="44" t="n"/>
      <c r="N342" s="44" t="n"/>
      <c r="O342" s="44" t="n"/>
    </row>
    <row r="343" ht="54" customHeight="1">
      <c r="A343" s="44" t="n"/>
      <c r="B343" s="44" t="n"/>
      <c r="C343" s="44" t="n"/>
      <c r="D343" s="44" t="n"/>
      <c r="E343" s="44" t="n"/>
      <c r="F343" s="44" t="n"/>
      <c r="G343" s="44" t="n"/>
      <c r="H343" s="44" t="n"/>
      <c r="I343" s="44" t="n"/>
      <c r="J343" s="44" t="n"/>
      <c r="K343" s="44" t="n"/>
      <c r="L343" s="44" t="n"/>
      <c r="M343" s="44" t="n"/>
      <c r="N343" s="44" t="n"/>
      <c r="O343" s="44" t="n"/>
    </row>
    <row r="344" ht="54" customHeight="1">
      <c r="A344" s="44" t="n"/>
      <c r="B344" s="44" t="n"/>
      <c r="C344" s="44" t="n"/>
      <c r="D344" s="44" t="n"/>
      <c r="E344" s="44" t="n"/>
      <c r="F344" s="44" t="n"/>
      <c r="G344" s="44" t="n"/>
      <c r="H344" s="44" t="n"/>
      <c r="I344" s="44" t="n"/>
      <c r="J344" s="44" t="n"/>
      <c r="K344" s="44" t="n"/>
      <c r="L344" s="44" t="n"/>
      <c r="M344" s="44" t="n"/>
      <c r="N344" s="44" t="n"/>
      <c r="O344" s="44" t="n"/>
    </row>
    <row r="345" ht="54" customHeight="1">
      <c r="A345" s="44" t="n"/>
      <c r="B345" s="44" t="n"/>
      <c r="C345" s="44" t="n"/>
      <c r="D345" s="44" t="n"/>
      <c r="E345" s="44" t="n"/>
      <c r="F345" s="44" t="n"/>
      <c r="G345" s="44" t="n"/>
      <c r="H345" s="44" t="n"/>
      <c r="I345" s="44" t="n"/>
      <c r="J345" s="44" t="n"/>
      <c r="K345" s="44" t="n"/>
      <c r="L345" s="44" t="n"/>
      <c r="M345" s="44" t="n"/>
      <c r="N345" s="44" t="n"/>
      <c r="O345" s="44" t="n"/>
    </row>
    <row r="346" ht="54" customHeight="1">
      <c r="A346" s="44" t="n"/>
      <c r="B346" s="44" t="n"/>
      <c r="C346" s="44" t="n"/>
      <c r="D346" s="44" t="n"/>
      <c r="E346" s="44" t="n"/>
      <c r="F346" s="44" t="n"/>
      <c r="G346" s="44" t="n"/>
      <c r="H346" s="44" t="n"/>
      <c r="I346" s="44" t="n"/>
      <c r="J346" s="44" t="n"/>
      <c r="K346" s="44" t="n"/>
      <c r="L346" s="44" t="n"/>
      <c r="M346" s="44" t="n"/>
      <c r="N346" s="44" t="n"/>
      <c r="O346" s="44" t="n"/>
    </row>
    <row r="347" ht="54" customHeight="1">
      <c r="A347" s="44" t="n"/>
      <c r="B347" s="44" t="n"/>
      <c r="C347" s="44" t="n"/>
      <c r="D347" s="44" t="n"/>
      <c r="E347" s="44" t="n"/>
      <c r="F347" s="44" t="n"/>
      <c r="G347" s="44" t="n"/>
      <c r="H347" s="44" t="n"/>
      <c r="I347" s="44" t="n"/>
      <c r="J347" s="44" t="n"/>
      <c r="K347" s="44" t="n"/>
      <c r="L347" s="44" t="n"/>
      <c r="M347" s="44" t="n"/>
      <c r="N347" s="44" t="n"/>
      <c r="O347" s="44" t="n"/>
    </row>
    <row r="348" ht="54" customHeight="1">
      <c r="A348" s="44" t="n"/>
      <c r="B348" s="44" t="n"/>
      <c r="C348" s="44" t="n"/>
      <c r="D348" s="44" t="n"/>
      <c r="E348" s="44" t="n"/>
      <c r="F348" s="44" t="n"/>
      <c r="G348" s="44" t="n"/>
      <c r="H348" s="44" t="n"/>
      <c r="I348" s="44" t="n"/>
      <c r="J348" s="44" t="n"/>
      <c r="K348" s="44" t="n"/>
      <c r="L348" s="44" t="n"/>
      <c r="M348" s="44" t="n"/>
      <c r="N348" s="44" t="n"/>
      <c r="O348" s="44" t="n"/>
    </row>
    <row r="349" ht="54" customHeight="1">
      <c r="A349" s="44" t="n"/>
      <c r="B349" s="44" t="n"/>
      <c r="C349" s="44" t="n"/>
      <c r="D349" s="44" t="n"/>
      <c r="E349" s="44" t="n"/>
      <c r="F349" s="44" t="n"/>
      <c r="G349" s="44" t="n"/>
      <c r="H349" s="44" t="n"/>
      <c r="I349" s="44" t="n"/>
      <c r="J349" s="44" t="n"/>
      <c r="K349" s="44" t="n"/>
      <c r="L349" s="44" t="n"/>
      <c r="M349" s="44" t="n"/>
      <c r="N349" s="44" t="n"/>
      <c r="O349" s="44" t="n"/>
    </row>
    <row r="350" ht="54" customHeight="1">
      <c r="A350" s="44" t="n"/>
      <c r="B350" s="44" t="n"/>
      <c r="C350" s="44" t="n"/>
      <c r="D350" s="44" t="n"/>
      <c r="E350" s="44" t="n"/>
      <c r="F350" s="44" t="n"/>
      <c r="G350" s="44" t="n"/>
      <c r="H350" s="44" t="n"/>
      <c r="I350" s="44" t="n"/>
      <c r="J350" s="44" t="n"/>
      <c r="K350" s="44" t="n"/>
      <c r="L350" s="44" t="n"/>
      <c r="M350" s="44" t="n"/>
      <c r="N350" s="44" t="n"/>
      <c r="O350" s="44" t="n"/>
    </row>
    <row r="351" ht="54" customHeight="1">
      <c r="A351" s="44" t="n"/>
      <c r="B351" s="44" t="n"/>
      <c r="C351" s="44" t="n"/>
      <c r="D351" s="44" t="n"/>
      <c r="E351" s="44" t="n"/>
      <c r="F351" s="44" t="n"/>
      <c r="G351" s="44" t="n"/>
      <c r="H351" s="44" t="n"/>
      <c r="I351" s="44" t="n"/>
      <c r="J351" s="44" t="n"/>
      <c r="K351" s="44" t="n"/>
      <c r="L351" s="44" t="n"/>
      <c r="M351" s="44" t="n"/>
      <c r="N351" s="44" t="n"/>
      <c r="O351" s="44" t="n"/>
    </row>
    <row r="352" ht="54" customHeight="1">
      <c r="A352" s="44" t="n"/>
      <c r="B352" s="44" t="n"/>
      <c r="C352" s="44" t="n"/>
      <c r="D352" s="44" t="n"/>
      <c r="E352" s="44" t="n"/>
      <c r="F352" s="44" t="n"/>
      <c r="G352" s="44" t="n"/>
      <c r="H352" s="44" t="n"/>
      <c r="I352" s="44" t="n"/>
      <c r="J352" s="44" t="n"/>
      <c r="K352" s="44" t="n"/>
      <c r="L352" s="44" t="n"/>
      <c r="M352" s="44" t="n"/>
      <c r="N352" s="44" t="n"/>
      <c r="O352" s="44" t="n"/>
    </row>
    <row r="353" ht="54" customHeight="1">
      <c r="A353" s="44" t="n"/>
      <c r="B353" s="44" t="n"/>
      <c r="C353" s="44" t="n"/>
      <c r="D353" s="44" t="n"/>
      <c r="E353" s="44" t="n"/>
      <c r="F353" s="44" t="n"/>
      <c r="G353" s="44" t="n"/>
      <c r="H353" s="44" t="n"/>
      <c r="I353" s="44" t="n"/>
      <c r="J353" s="44" t="n"/>
      <c r="K353" s="44" t="n"/>
      <c r="L353" s="44" t="n"/>
      <c r="M353" s="44" t="n"/>
      <c r="N353" s="44" t="n"/>
      <c r="O353" s="44" t="n"/>
    </row>
    <row r="354" ht="54" customHeight="1">
      <c r="A354" s="44" t="n"/>
      <c r="B354" s="44" t="n"/>
      <c r="C354" s="44" t="n"/>
      <c r="D354" s="44" t="n"/>
      <c r="E354" s="44" t="n"/>
      <c r="F354" s="44" t="n"/>
      <c r="G354" s="44" t="n"/>
      <c r="H354" s="44" t="n"/>
      <c r="I354" s="44" t="n"/>
      <c r="J354" s="44" t="n"/>
      <c r="K354" s="44" t="n"/>
      <c r="L354" s="44" t="n"/>
      <c r="M354" s="44" t="n"/>
      <c r="N354" s="44" t="n"/>
      <c r="O354" s="44" t="n"/>
    </row>
    <row r="355" ht="54" customHeight="1">
      <c r="A355" s="44" t="n"/>
      <c r="B355" s="44" t="n"/>
      <c r="C355" s="44" t="n"/>
      <c r="D355" s="44" t="n"/>
      <c r="E355" s="44" t="n"/>
      <c r="F355" s="44" t="n"/>
      <c r="G355" s="44" t="n"/>
      <c r="H355" s="44" t="n"/>
      <c r="I355" s="44" t="n"/>
      <c r="J355" s="44" t="n"/>
      <c r="K355" s="44" t="n"/>
      <c r="L355" s="44" t="n"/>
      <c r="M355" s="44" t="n"/>
      <c r="N355" s="44" t="n"/>
      <c r="O355" s="44" t="n"/>
    </row>
    <row r="356" ht="54" customHeight="1">
      <c r="A356" s="44" t="n"/>
      <c r="B356" s="44" t="n"/>
      <c r="C356" s="44" t="n"/>
      <c r="D356" s="44" t="n"/>
      <c r="E356" s="44" t="n"/>
      <c r="F356" s="44" t="n"/>
      <c r="G356" s="44" t="n"/>
      <c r="H356" s="44" t="n"/>
      <c r="I356" s="44" t="n"/>
      <c r="J356" s="44" t="n"/>
      <c r="K356" s="44" t="n"/>
      <c r="L356" s="44" t="n"/>
      <c r="M356" s="44" t="n"/>
      <c r="N356" s="44" t="n"/>
      <c r="O356" s="44" t="n"/>
    </row>
    <row r="357" ht="54" customHeight="1">
      <c r="A357" s="44" t="n"/>
      <c r="B357" s="44" t="n"/>
      <c r="C357" s="44" t="n"/>
      <c r="D357" s="44" t="n"/>
      <c r="E357" s="44" t="n"/>
      <c r="F357" s="44" t="n"/>
      <c r="G357" s="44" t="n"/>
      <c r="H357" s="44" t="n"/>
      <c r="I357" s="44" t="n"/>
      <c r="J357" s="44" t="n"/>
      <c r="K357" s="44" t="n"/>
      <c r="L357" s="44" t="n"/>
      <c r="M357" s="44" t="n"/>
      <c r="N357" s="44" t="n"/>
      <c r="O357" s="44" t="n"/>
    </row>
    <row r="358" ht="54" customHeight="1">
      <c r="A358" s="44" t="n"/>
      <c r="B358" s="44" t="n"/>
      <c r="C358" s="44" t="n"/>
      <c r="D358" s="44" t="n"/>
      <c r="E358" s="44" t="n"/>
      <c r="F358" s="44" t="n"/>
      <c r="G358" s="44" t="n"/>
      <c r="H358" s="44" t="n"/>
      <c r="I358" s="44" t="n"/>
      <c r="J358" s="44" t="n"/>
      <c r="K358" s="44" t="n"/>
      <c r="L358" s="44" t="n"/>
      <c r="M358" s="44" t="n"/>
      <c r="N358" s="44" t="n"/>
      <c r="O358" s="44" t="n"/>
    </row>
    <row r="359" ht="54" customHeight="1">
      <c r="A359" s="44" t="n"/>
      <c r="B359" s="44" t="n"/>
      <c r="C359" s="44" t="n"/>
      <c r="D359" s="44" t="n"/>
      <c r="E359" s="44" t="n"/>
      <c r="F359" s="44" t="n"/>
      <c r="G359" s="44" t="n"/>
      <c r="H359" s="44" t="n"/>
      <c r="I359" s="44" t="n"/>
      <c r="J359" s="44" t="n"/>
      <c r="K359" s="44" t="n"/>
      <c r="L359" s="44" t="n"/>
      <c r="M359" s="44" t="n"/>
      <c r="N359" s="44" t="n"/>
      <c r="O359" s="44" t="n"/>
    </row>
    <row r="360" ht="54" customHeight="1">
      <c r="A360" s="44" t="n"/>
      <c r="B360" s="44" t="n"/>
      <c r="C360" s="44" t="n"/>
      <c r="D360" s="44" t="n"/>
      <c r="E360" s="44" t="n"/>
      <c r="F360" s="44" t="n"/>
      <c r="G360" s="44" t="n"/>
      <c r="H360" s="44" t="n"/>
      <c r="I360" s="44" t="n"/>
      <c r="J360" s="44" t="n"/>
      <c r="K360" s="44" t="n"/>
      <c r="L360" s="44" t="n"/>
      <c r="M360" s="44" t="n"/>
      <c r="N360" s="44" t="n"/>
      <c r="O360" s="44" t="n"/>
    </row>
    <row r="361" ht="54" customHeight="1">
      <c r="A361" s="44" t="n"/>
      <c r="B361" s="44" t="n"/>
      <c r="C361" s="44" t="n"/>
      <c r="D361" s="44" t="n"/>
      <c r="E361" s="44" t="n"/>
      <c r="F361" s="44" t="n"/>
      <c r="G361" s="44" t="n"/>
      <c r="H361" s="44" t="n"/>
      <c r="I361" s="44" t="n"/>
      <c r="J361" s="44" t="n"/>
      <c r="K361" s="44" t="n"/>
      <c r="L361" s="44" t="n"/>
      <c r="M361" s="44" t="n"/>
      <c r="N361" s="44" t="n"/>
      <c r="O361" s="44" t="n"/>
    </row>
    <row r="362" ht="54" customHeight="1">
      <c r="A362" s="44" t="n"/>
      <c r="B362" s="44" t="n"/>
      <c r="C362" s="44" t="n"/>
      <c r="D362" s="44" t="n"/>
      <c r="E362" s="44" t="n"/>
      <c r="F362" s="44" t="n"/>
      <c r="G362" s="44" t="n"/>
      <c r="H362" s="44" t="n"/>
      <c r="I362" s="44" t="n"/>
      <c r="J362" s="44" t="n"/>
      <c r="K362" s="44" t="n"/>
      <c r="L362" s="44" t="n"/>
      <c r="M362" s="44" t="n"/>
      <c r="N362" s="44" t="n"/>
      <c r="O362" s="44" t="n"/>
    </row>
    <row r="363" ht="54" customHeight="1">
      <c r="A363" s="44" t="n"/>
      <c r="B363" s="44" t="n"/>
      <c r="C363" s="44" t="n"/>
      <c r="D363" s="44" t="n"/>
      <c r="E363" s="44" t="n"/>
      <c r="F363" s="44" t="n"/>
      <c r="G363" s="44" t="n"/>
      <c r="H363" s="44" t="n"/>
      <c r="I363" s="44" t="n"/>
      <c r="J363" s="44" t="n"/>
      <c r="K363" s="44" t="n"/>
      <c r="L363" s="44" t="n"/>
      <c r="M363" s="44" t="n"/>
      <c r="N363" s="44" t="n"/>
      <c r="O363" s="44" t="n"/>
    </row>
    <row r="364" ht="54" customHeight="1">
      <c r="A364" s="44" t="n"/>
      <c r="B364" s="44" t="n"/>
      <c r="C364" s="44" t="n"/>
      <c r="D364" s="44" t="n"/>
      <c r="E364" s="44" t="n"/>
      <c r="F364" s="44" t="n"/>
      <c r="G364" s="44" t="n"/>
      <c r="H364" s="44" t="n"/>
      <c r="I364" s="44" t="n"/>
      <c r="J364" s="44" t="n"/>
      <c r="K364" s="44" t="n"/>
      <c r="L364" s="44" t="n"/>
      <c r="M364" s="44" t="n"/>
      <c r="N364" s="44" t="n"/>
      <c r="O364" s="44" t="n"/>
    </row>
    <row r="365" ht="54" customHeight="1">
      <c r="A365" s="44" t="n"/>
      <c r="B365" s="44" t="n"/>
      <c r="C365" s="44" t="n"/>
      <c r="D365" s="44" t="n"/>
      <c r="E365" s="44" t="n"/>
      <c r="F365" s="44" t="n"/>
      <c r="G365" s="44" t="n"/>
      <c r="H365" s="44" t="n"/>
      <c r="I365" s="44" t="n"/>
      <c r="J365" s="44" t="n"/>
      <c r="K365" s="44" t="n"/>
      <c r="L365" s="44" t="n"/>
      <c r="M365" s="44" t="n"/>
      <c r="N365" s="44" t="n"/>
      <c r="O365" s="44" t="n"/>
    </row>
    <row r="366" ht="54" customHeight="1">
      <c r="A366" s="44" t="n"/>
      <c r="B366" s="44" t="n"/>
      <c r="C366" s="44" t="n"/>
      <c r="D366" s="44" t="n"/>
      <c r="E366" s="44" t="n"/>
      <c r="F366" s="44" t="n"/>
      <c r="G366" s="44" t="n"/>
      <c r="H366" s="44" t="n"/>
      <c r="I366" s="44" t="n"/>
      <c r="J366" s="44" t="n"/>
      <c r="K366" s="44" t="n"/>
      <c r="L366" s="44" t="n"/>
      <c r="M366" s="44" t="n"/>
      <c r="N366" s="44" t="n"/>
      <c r="O366" s="44" t="n"/>
    </row>
    <row r="367" ht="54" customHeight="1">
      <c r="A367" s="44" t="n"/>
      <c r="B367" s="44" t="n"/>
      <c r="C367" s="44" t="n"/>
      <c r="D367" s="44" t="n"/>
      <c r="E367" s="44" t="n"/>
      <c r="F367" s="44" t="n"/>
      <c r="G367" s="44" t="n"/>
      <c r="H367" s="44" t="n"/>
      <c r="I367" s="44" t="n"/>
      <c r="J367" s="44" t="n"/>
      <c r="K367" s="44" t="n"/>
      <c r="L367" s="44" t="n"/>
      <c r="M367" s="44" t="n"/>
      <c r="N367" s="44" t="n"/>
      <c r="O367" s="44" t="n"/>
    </row>
    <row r="368" ht="54" customHeight="1">
      <c r="A368" s="44" t="n"/>
      <c r="B368" s="44" t="n"/>
      <c r="C368" s="44" t="n"/>
      <c r="D368" s="44" t="n"/>
      <c r="E368" s="44" t="n"/>
      <c r="F368" s="44" t="n"/>
      <c r="G368" s="44" t="n"/>
      <c r="H368" s="44" t="n"/>
      <c r="I368" s="44" t="n"/>
      <c r="J368" s="44" t="n"/>
      <c r="K368" s="44" t="n"/>
      <c r="L368" s="44" t="n"/>
      <c r="M368" s="44" t="n"/>
      <c r="N368" s="44" t="n"/>
      <c r="O368" s="44" t="n"/>
    </row>
    <row r="369" ht="54" customHeight="1">
      <c r="A369" s="44" t="n"/>
      <c r="B369" s="44" t="n"/>
      <c r="C369" s="44" t="n"/>
      <c r="D369" s="44" t="n"/>
      <c r="E369" s="44" t="n"/>
      <c r="F369" s="44" t="n"/>
      <c r="G369" s="44" t="n"/>
      <c r="H369" s="44" t="n"/>
      <c r="I369" s="44" t="n"/>
      <c r="J369" s="44" t="n"/>
      <c r="K369" s="44" t="n"/>
      <c r="L369" s="44" t="n"/>
      <c r="M369" s="44" t="n"/>
      <c r="N369" s="44" t="n"/>
      <c r="O369" s="44" t="n"/>
    </row>
    <row r="370" ht="54" customHeight="1">
      <c r="A370" s="44" t="n"/>
      <c r="B370" s="44" t="n"/>
      <c r="C370" s="44" t="n"/>
      <c r="D370" s="44" t="n"/>
      <c r="E370" s="44" t="n"/>
      <c r="F370" s="44" t="n"/>
      <c r="G370" s="44" t="n"/>
      <c r="H370" s="44" t="n"/>
      <c r="I370" s="44" t="n"/>
      <c r="J370" s="44" t="n"/>
      <c r="K370" s="44" t="n"/>
      <c r="L370" s="44" t="n"/>
      <c r="M370" s="44" t="n"/>
      <c r="N370" s="44" t="n"/>
      <c r="O370" s="44" t="n"/>
    </row>
    <row r="371" ht="54" customHeight="1">
      <c r="A371" s="44" t="n"/>
      <c r="B371" s="44" t="n"/>
      <c r="C371" s="44" t="n"/>
      <c r="D371" s="44" t="n"/>
      <c r="E371" s="44" t="n"/>
      <c r="F371" s="44" t="n"/>
      <c r="G371" s="44" t="n"/>
      <c r="H371" s="44" t="n"/>
      <c r="I371" s="44" t="n"/>
      <c r="J371" s="44" t="n"/>
      <c r="K371" s="44" t="n"/>
      <c r="L371" s="44" t="n"/>
      <c r="M371" s="44" t="n"/>
      <c r="N371" s="44" t="n"/>
      <c r="O371" s="44" t="n"/>
    </row>
    <row r="372" ht="54" customHeight="1">
      <c r="A372" s="44" t="n"/>
      <c r="B372" s="44" t="n"/>
      <c r="C372" s="44" t="n"/>
      <c r="D372" s="44" t="n"/>
      <c r="E372" s="44" t="n"/>
      <c r="F372" s="44" t="n"/>
      <c r="G372" s="44" t="n"/>
      <c r="H372" s="44" t="n"/>
      <c r="I372" s="44" t="n"/>
      <c r="J372" s="44" t="n"/>
      <c r="K372" s="44" t="n"/>
      <c r="L372" s="44" t="n"/>
      <c r="M372" s="44" t="n"/>
      <c r="N372" s="44" t="n"/>
      <c r="O372" s="44" t="n"/>
    </row>
    <row r="373" ht="54" customHeight="1">
      <c r="A373" s="44" t="n"/>
      <c r="B373" s="44" t="n"/>
      <c r="C373" s="44" t="n"/>
      <c r="D373" s="44" t="n"/>
      <c r="E373" s="44" t="n"/>
      <c r="F373" s="44" t="n"/>
      <c r="G373" s="44" t="n"/>
      <c r="H373" s="44" t="n"/>
      <c r="I373" s="44" t="n"/>
      <c r="J373" s="44" t="n"/>
      <c r="K373" s="44" t="n"/>
      <c r="L373" s="44" t="n"/>
      <c r="M373" s="44" t="n"/>
      <c r="N373" s="44" t="n"/>
      <c r="O373" s="44" t="n"/>
    </row>
    <row r="374" ht="54" customHeight="1">
      <c r="A374" s="44" t="n"/>
      <c r="B374" s="44" t="n"/>
      <c r="C374" s="44" t="n"/>
      <c r="D374" s="44" t="n"/>
      <c r="E374" s="44" t="n"/>
      <c r="F374" s="44" t="n"/>
      <c r="G374" s="44" t="n"/>
      <c r="H374" s="44" t="n"/>
      <c r="I374" s="44" t="n"/>
      <c r="J374" s="44" t="n"/>
      <c r="K374" s="44" t="n"/>
      <c r="L374" s="44" t="n"/>
      <c r="M374" s="44" t="n"/>
      <c r="N374" s="44" t="n"/>
      <c r="O374" s="44" t="n"/>
    </row>
    <row r="375" ht="54" customHeight="1">
      <c r="A375" s="44" t="n"/>
      <c r="B375" s="44" t="n"/>
      <c r="C375" s="44" t="n"/>
      <c r="D375" s="44" t="n"/>
      <c r="E375" s="44" t="n"/>
      <c r="F375" s="44" t="n"/>
      <c r="G375" s="44" t="n"/>
      <c r="H375" s="44" t="n"/>
      <c r="I375" s="44" t="n"/>
      <c r="J375" s="44" t="n"/>
      <c r="K375" s="44" t="n"/>
      <c r="L375" s="44" t="n"/>
      <c r="M375" s="44" t="n"/>
      <c r="N375" s="44" t="n"/>
      <c r="O375" s="44" t="n"/>
    </row>
    <row r="376" ht="54" customHeight="1">
      <c r="A376" s="44" t="n"/>
      <c r="B376" s="44" t="n"/>
      <c r="C376" s="44" t="n"/>
      <c r="D376" s="44" t="n"/>
      <c r="E376" s="44" t="n"/>
      <c r="F376" s="44" t="n"/>
      <c r="G376" s="44" t="n"/>
      <c r="H376" s="44" t="n"/>
      <c r="I376" s="44" t="n"/>
      <c r="J376" s="44" t="n"/>
      <c r="K376" s="44" t="n"/>
      <c r="L376" s="44" t="n"/>
      <c r="M376" s="44" t="n"/>
      <c r="N376" s="44" t="n"/>
      <c r="O376" s="44" t="n"/>
    </row>
    <row r="377" ht="54" customHeight="1">
      <c r="A377" s="44" t="n"/>
      <c r="B377" s="44" t="n"/>
      <c r="C377" s="44" t="n"/>
      <c r="D377" s="44" t="n"/>
      <c r="E377" s="44" t="n"/>
      <c r="F377" s="44" t="n"/>
      <c r="G377" s="44" t="n"/>
      <c r="H377" s="44" t="n"/>
      <c r="I377" s="44" t="n"/>
      <c r="J377" s="44" t="n"/>
      <c r="K377" s="44" t="n"/>
      <c r="L377" s="44" t="n"/>
      <c r="M377" s="44" t="n"/>
      <c r="N377" s="44" t="n"/>
      <c r="O377" s="44" t="n"/>
    </row>
    <row r="378" ht="54" customHeight="1">
      <c r="A378" s="44" t="n"/>
      <c r="B378" s="44" t="n"/>
      <c r="C378" s="44" t="n"/>
      <c r="D378" s="44" t="n"/>
      <c r="E378" s="44" t="n"/>
      <c r="F378" s="44" t="n"/>
      <c r="G378" s="44" t="n"/>
      <c r="H378" s="44" t="n"/>
      <c r="I378" s="44" t="n"/>
      <c r="J378" s="44" t="n"/>
      <c r="K378" s="44" t="n"/>
      <c r="L378" s="44" t="n"/>
      <c r="M378" s="44" t="n"/>
      <c r="N378" s="44" t="n"/>
      <c r="O378" s="44" t="n"/>
    </row>
    <row r="379" ht="54" customHeight="1">
      <c r="A379" s="44" t="n"/>
      <c r="B379" s="44" t="n"/>
      <c r="C379" s="44" t="n"/>
      <c r="D379" s="44" t="n"/>
      <c r="E379" s="44" t="n"/>
      <c r="F379" s="44" t="n"/>
      <c r="G379" s="44" t="n"/>
      <c r="H379" s="44" t="n"/>
      <c r="I379" s="44" t="n"/>
      <c r="J379" s="44" t="n"/>
      <c r="K379" s="44" t="n"/>
      <c r="L379" s="44" t="n"/>
      <c r="M379" s="44" t="n"/>
      <c r="N379" s="44" t="n"/>
      <c r="O379" s="44" t="n"/>
    </row>
    <row r="380" ht="54" customHeight="1">
      <c r="A380" s="44" t="n"/>
      <c r="B380" s="44" t="n"/>
      <c r="C380" s="44" t="n"/>
      <c r="D380" s="44" t="n"/>
      <c r="E380" s="44" t="n"/>
      <c r="F380" s="44" t="n"/>
      <c r="G380" s="44" t="n"/>
      <c r="H380" s="44" t="n"/>
      <c r="I380" s="44" t="n"/>
      <c r="J380" s="44" t="n"/>
      <c r="K380" s="44" t="n"/>
      <c r="L380" s="44" t="n"/>
      <c r="M380" s="44" t="n"/>
      <c r="N380" s="44" t="n"/>
      <c r="O380" s="44" t="n"/>
    </row>
    <row r="381" ht="54" customHeight="1">
      <c r="A381" s="44" t="n"/>
      <c r="B381" s="44" t="n"/>
      <c r="C381" s="44" t="n"/>
      <c r="D381" s="44" t="n"/>
      <c r="E381" s="44" t="n"/>
      <c r="F381" s="44" t="n"/>
      <c r="G381" s="44" t="n"/>
      <c r="H381" s="44" t="n"/>
      <c r="I381" s="44" t="n"/>
      <c r="J381" s="44" t="n"/>
      <c r="K381" s="44" t="n"/>
      <c r="L381" s="44" t="n"/>
      <c r="M381" s="44" t="n"/>
      <c r="N381" s="44" t="n"/>
      <c r="O381" s="44" t="n"/>
    </row>
    <row r="382" ht="54" customHeight="1">
      <c r="A382" s="44" t="n"/>
      <c r="B382" s="44" t="n"/>
      <c r="C382" s="44" t="n"/>
      <c r="D382" s="44" t="n"/>
      <c r="E382" s="44" t="n"/>
      <c r="F382" s="44" t="n"/>
      <c r="G382" s="44" t="n"/>
      <c r="H382" s="44" t="n"/>
      <c r="I382" s="44" t="n"/>
      <c r="J382" s="44" t="n"/>
      <c r="K382" s="44" t="n"/>
      <c r="L382" s="44" t="n"/>
      <c r="M382" s="44" t="n"/>
      <c r="N382" s="44" t="n"/>
      <c r="O382" s="44" t="n"/>
    </row>
    <row r="383" ht="54" customHeight="1">
      <c r="A383" s="44" t="n"/>
      <c r="B383" s="44" t="n"/>
      <c r="C383" s="44" t="n"/>
      <c r="D383" s="44" t="n"/>
      <c r="E383" s="44" t="n"/>
      <c r="F383" s="44" t="n"/>
      <c r="G383" s="44" t="n"/>
      <c r="H383" s="44" t="n"/>
      <c r="I383" s="44" t="n"/>
      <c r="J383" s="44" t="n"/>
      <c r="K383" s="44" t="n"/>
      <c r="L383" s="44" t="n"/>
      <c r="M383" s="44" t="n"/>
      <c r="N383" s="44" t="n"/>
      <c r="O383" s="44" t="n"/>
    </row>
    <row r="384" ht="54" customHeight="1">
      <c r="A384" s="44" t="n"/>
      <c r="B384" s="44" t="n"/>
      <c r="C384" s="44" t="n"/>
      <c r="D384" s="44" t="n"/>
      <c r="E384" s="44" t="n"/>
      <c r="F384" s="44" t="n"/>
      <c r="G384" s="44" t="n"/>
      <c r="H384" s="44" t="n"/>
      <c r="I384" s="44" t="n"/>
      <c r="J384" s="44" t="n"/>
      <c r="K384" s="44" t="n"/>
      <c r="L384" s="44" t="n"/>
      <c r="M384" s="44" t="n"/>
      <c r="N384" s="44" t="n"/>
      <c r="O384" s="44" t="n"/>
    </row>
    <row r="385" ht="54" customHeight="1">
      <c r="A385" s="44" t="n"/>
      <c r="B385" s="44" t="n"/>
      <c r="C385" s="44" t="n"/>
      <c r="D385" s="44" t="n"/>
      <c r="E385" s="44" t="n"/>
      <c r="F385" s="44" t="n"/>
      <c r="G385" s="44" t="n"/>
      <c r="H385" s="44" t="n"/>
      <c r="I385" s="44" t="n"/>
      <c r="J385" s="44" t="n"/>
      <c r="K385" s="44" t="n"/>
      <c r="L385" s="44" t="n"/>
      <c r="M385" s="44" t="n"/>
      <c r="N385" s="44" t="n"/>
      <c r="O385" s="44" t="n"/>
    </row>
    <row r="386" ht="54" customHeight="1">
      <c r="A386" s="44" t="n"/>
      <c r="B386" s="44" t="n"/>
      <c r="C386" s="44" t="n"/>
      <c r="D386" s="44" t="n"/>
      <c r="E386" s="44" t="n"/>
      <c r="F386" s="44" t="n"/>
      <c r="G386" s="44" t="n"/>
      <c r="H386" s="44" t="n"/>
      <c r="I386" s="44" t="n"/>
      <c r="J386" s="44" t="n"/>
      <c r="K386" s="44" t="n"/>
      <c r="L386" s="44" t="n"/>
      <c r="M386" s="44" t="n"/>
      <c r="N386" s="44" t="n"/>
      <c r="O386" s="44" t="n"/>
    </row>
    <row r="387" ht="54" customHeight="1">
      <c r="A387" s="44" t="n"/>
      <c r="B387" s="44" t="n"/>
      <c r="C387" s="44" t="n"/>
      <c r="D387" s="44" t="n"/>
      <c r="E387" s="44" t="n"/>
      <c r="F387" s="44" t="n"/>
      <c r="G387" s="44" t="n"/>
      <c r="H387" s="44" t="n"/>
      <c r="I387" s="44" t="n"/>
      <c r="J387" s="44" t="n"/>
      <c r="K387" s="44" t="n"/>
      <c r="L387" s="44" t="n"/>
      <c r="M387" s="44" t="n"/>
      <c r="N387" s="44" t="n"/>
      <c r="O387" s="44" t="n"/>
    </row>
    <row r="388" ht="54" customHeight="1">
      <c r="A388" s="44" t="n"/>
      <c r="B388" s="44" t="n"/>
      <c r="C388" s="44" t="n"/>
      <c r="D388" s="44" t="n"/>
      <c r="E388" s="44" t="n"/>
      <c r="F388" s="44" t="n"/>
      <c r="G388" s="44" t="n"/>
      <c r="H388" s="44" t="n"/>
      <c r="I388" s="44" t="n"/>
      <c r="J388" s="44" t="n"/>
      <c r="K388" s="44" t="n"/>
      <c r="L388" s="44" t="n"/>
      <c r="M388" s="44" t="n"/>
      <c r="N388" s="44" t="n"/>
      <c r="O388" s="44" t="n"/>
    </row>
    <row r="389" ht="54" customHeight="1">
      <c r="A389" s="44" t="n"/>
      <c r="B389" s="44" t="n"/>
      <c r="C389" s="44" t="n"/>
      <c r="D389" s="44" t="n"/>
      <c r="E389" s="44" t="n"/>
      <c r="F389" s="44" t="n"/>
      <c r="G389" s="44" t="n"/>
      <c r="H389" s="44" t="n"/>
      <c r="I389" s="44" t="n"/>
      <c r="J389" s="44" t="n"/>
      <c r="K389" s="44" t="n"/>
      <c r="L389" s="44" t="n"/>
      <c r="M389" s="44" t="n"/>
      <c r="N389" s="44" t="n"/>
      <c r="O389" s="44" t="n"/>
    </row>
    <row r="390" ht="54" customHeight="1">
      <c r="A390" s="44" t="n"/>
      <c r="B390" s="44" t="n"/>
      <c r="C390" s="44" t="n"/>
      <c r="D390" s="44" t="n"/>
      <c r="E390" s="44" t="n"/>
      <c r="F390" s="44" t="n"/>
      <c r="G390" s="44" t="n"/>
      <c r="H390" s="44" t="n"/>
      <c r="I390" s="44" t="n"/>
      <c r="J390" s="44" t="n"/>
      <c r="K390" s="44" t="n"/>
      <c r="L390" s="44" t="n"/>
      <c r="M390" s="44" t="n"/>
      <c r="N390" s="44" t="n"/>
      <c r="O390" s="44" t="n"/>
    </row>
    <row r="391" ht="54" customHeight="1">
      <c r="A391" s="44" t="n"/>
      <c r="B391" s="44" t="n"/>
      <c r="C391" s="44" t="n"/>
      <c r="D391" s="44" t="n"/>
      <c r="E391" s="44" t="n"/>
      <c r="F391" s="44" t="n"/>
      <c r="G391" s="44" t="n"/>
      <c r="H391" s="44" t="n"/>
      <c r="I391" s="44" t="n"/>
      <c r="J391" s="44" t="n"/>
      <c r="K391" s="44" t="n"/>
      <c r="L391" s="44" t="n"/>
      <c r="M391" s="44" t="n"/>
      <c r="N391" s="44" t="n"/>
      <c r="O391" s="44" t="n"/>
    </row>
    <row r="392" ht="54" customHeight="1">
      <c r="A392" s="44" t="n"/>
      <c r="B392" s="44" t="n"/>
      <c r="C392" s="44" t="n"/>
      <c r="D392" s="44" t="n"/>
      <c r="E392" s="44" t="n"/>
      <c r="F392" s="44" t="n"/>
      <c r="G392" s="44" t="n"/>
      <c r="H392" s="44" t="n"/>
      <c r="I392" s="44" t="n"/>
      <c r="J392" s="44" t="n"/>
      <c r="K392" s="44" t="n"/>
      <c r="L392" s="44" t="n"/>
      <c r="M392" s="44" t="n"/>
      <c r="N392" s="44" t="n"/>
      <c r="O392" s="44" t="n"/>
    </row>
    <row r="393" ht="54" customHeight="1">
      <c r="A393" s="44" t="n"/>
      <c r="B393" s="44" t="n"/>
      <c r="C393" s="44" t="n"/>
      <c r="D393" s="44" t="n"/>
      <c r="E393" s="44" t="n"/>
      <c r="F393" s="44" t="n"/>
      <c r="G393" s="44" t="n"/>
      <c r="H393" s="44" t="n"/>
      <c r="I393" s="44" t="n"/>
      <c r="J393" s="44" t="n"/>
      <c r="K393" s="44" t="n"/>
      <c r="L393" s="44" t="n"/>
      <c r="M393" s="44" t="n"/>
      <c r="N393" s="44" t="n"/>
      <c r="O393" s="44" t="n"/>
    </row>
    <row r="394" ht="54" customHeight="1">
      <c r="A394" s="44" t="n"/>
      <c r="B394" s="44" t="n"/>
      <c r="C394" s="44" t="n"/>
      <c r="D394" s="44" t="n"/>
      <c r="E394" s="44" t="n"/>
      <c r="F394" s="44" t="n"/>
      <c r="G394" s="44" t="n"/>
      <c r="H394" s="44" t="n"/>
      <c r="I394" s="44" t="n"/>
      <c r="J394" s="44" t="n"/>
      <c r="K394" s="44" t="n"/>
      <c r="L394" s="44" t="n"/>
      <c r="M394" s="44" t="n"/>
      <c r="N394" s="44" t="n"/>
      <c r="O394" s="44" t="n"/>
    </row>
    <row r="395" ht="54" customHeight="1">
      <c r="A395" s="44" t="n"/>
      <c r="B395" s="44" t="n"/>
      <c r="C395" s="44" t="n"/>
      <c r="D395" s="44" t="n"/>
      <c r="E395" s="44" t="n"/>
      <c r="F395" s="44" t="n"/>
      <c r="G395" s="44" t="n"/>
      <c r="H395" s="44" t="n"/>
      <c r="I395" s="44" t="n"/>
      <c r="J395" s="44" t="n"/>
      <c r="K395" s="44" t="n"/>
      <c r="L395" s="44" t="n"/>
      <c r="M395" s="44" t="n"/>
      <c r="N395" s="44" t="n"/>
      <c r="O395" s="44" t="n"/>
    </row>
    <row r="396" ht="54" customHeight="1">
      <c r="A396" s="44" t="n"/>
      <c r="B396" s="44" t="n"/>
      <c r="C396" s="44" t="n"/>
      <c r="D396" s="44" t="n"/>
      <c r="E396" s="44" t="n"/>
      <c r="F396" s="44" t="n"/>
      <c r="G396" s="44" t="n"/>
      <c r="H396" s="44" t="n"/>
      <c r="I396" s="44" t="n"/>
      <c r="J396" s="44" t="n"/>
      <c r="K396" s="44" t="n"/>
      <c r="L396" s="44" t="n"/>
      <c r="M396" s="44" t="n"/>
      <c r="N396" s="44" t="n"/>
      <c r="O396" s="44" t="n"/>
    </row>
    <row r="397" ht="54" customHeight="1">
      <c r="A397" s="44" t="n"/>
      <c r="B397" s="44" t="n"/>
      <c r="C397" s="44" t="n"/>
      <c r="D397" s="44" t="n"/>
      <c r="E397" s="44" t="n"/>
      <c r="F397" s="44" t="n"/>
      <c r="G397" s="44" t="n"/>
      <c r="H397" s="44" t="n"/>
      <c r="I397" s="44" t="n"/>
      <c r="J397" s="44" t="n"/>
      <c r="K397" s="44" t="n"/>
      <c r="L397" s="44" t="n"/>
      <c r="M397" s="44" t="n"/>
      <c r="N397" s="44" t="n"/>
      <c r="O397" s="44" t="n"/>
    </row>
    <row r="398" ht="54" customHeight="1">
      <c r="A398" s="44" t="n"/>
      <c r="B398" s="44" t="n"/>
      <c r="C398" s="44" t="n"/>
      <c r="D398" s="44" t="n"/>
      <c r="E398" s="44" t="n"/>
      <c r="F398" s="44" t="n"/>
      <c r="G398" s="44" t="n"/>
      <c r="H398" s="44" t="n"/>
      <c r="I398" s="44" t="n"/>
      <c r="J398" s="44" t="n"/>
      <c r="K398" s="44" t="n"/>
      <c r="L398" s="44" t="n"/>
      <c r="M398" s="44" t="n"/>
      <c r="N398" s="44" t="n"/>
      <c r="O398" s="44" t="n"/>
    </row>
    <row r="399" ht="54" customHeight="1">
      <c r="A399" s="44" t="n"/>
      <c r="B399" s="44" t="n"/>
      <c r="C399" s="44" t="n"/>
      <c r="D399" s="44" t="n"/>
      <c r="E399" s="44" t="n"/>
      <c r="F399" s="44" t="n"/>
      <c r="G399" s="44" t="n"/>
      <c r="H399" s="44" t="n"/>
      <c r="I399" s="44" t="n"/>
      <c r="J399" s="44" t="n"/>
      <c r="K399" s="44" t="n"/>
      <c r="L399" s="44" t="n"/>
      <c r="M399" s="44" t="n"/>
      <c r="N399" s="44" t="n"/>
      <c r="O399" s="44" t="n"/>
    </row>
    <row r="400" ht="54" customHeight="1">
      <c r="A400" s="44" t="n"/>
      <c r="B400" s="44" t="n"/>
      <c r="C400" s="44" t="n"/>
      <c r="D400" s="44" t="n"/>
      <c r="E400" s="44" t="n"/>
      <c r="F400" s="44" t="n"/>
      <c r="G400" s="44" t="n"/>
      <c r="H400" s="44" t="n"/>
      <c r="I400" s="44" t="n"/>
      <c r="J400" s="44" t="n"/>
      <c r="K400" s="44" t="n"/>
      <c r="L400" s="44" t="n"/>
      <c r="M400" s="44" t="n"/>
      <c r="N400" s="44" t="n"/>
      <c r="O400" s="44" t="n"/>
    </row>
    <row r="401" ht="54" customHeight="1">
      <c r="A401" s="44" t="n"/>
      <c r="B401" s="44" t="n"/>
      <c r="C401" s="44" t="n"/>
      <c r="D401" s="44" t="n"/>
      <c r="E401" s="44" t="n"/>
      <c r="F401" s="44" t="n"/>
      <c r="G401" s="44" t="n"/>
      <c r="H401" s="44" t="n"/>
      <c r="I401" s="44" t="n"/>
      <c r="J401" s="44" t="n"/>
      <c r="K401" s="44" t="n"/>
      <c r="L401" s="44" t="n"/>
      <c r="M401" s="44" t="n"/>
      <c r="N401" s="44" t="n"/>
      <c r="O401" s="44" t="n"/>
    </row>
    <row r="402" ht="54" customHeight="1">
      <c r="A402" s="44" t="n"/>
      <c r="B402" s="44" t="n"/>
      <c r="C402" s="44" t="n"/>
      <c r="D402" s="44" t="n"/>
      <c r="E402" s="44" t="n"/>
      <c r="F402" s="44" t="n"/>
      <c r="G402" s="44" t="n"/>
      <c r="H402" s="44" t="n"/>
      <c r="I402" s="44" t="n"/>
      <c r="J402" s="44" t="n"/>
      <c r="K402" s="44" t="n"/>
      <c r="L402" s="44" t="n"/>
      <c r="M402" s="44" t="n"/>
      <c r="N402" s="44" t="n"/>
      <c r="O402" s="44" t="n"/>
    </row>
    <row r="403" ht="54" customHeight="1">
      <c r="A403" s="44" t="n"/>
      <c r="B403" s="44" t="n"/>
      <c r="C403" s="44" t="n"/>
      <c r="D403" s="44" t="n"/>
      <c r="E403" s="44" t="n"/>
      <c r="F403" s="44" t="n"/>
      <c r="G403" s="44" t="n"/>
      <c r="H403" s="44" t="n"/>
      <c r="I403" s="44" t="n"/>
      <c r="J403" s="44" t="n"/>
      <c r="K403" s="44" t="n"/>
      <c r="L403" s="44" t="n"/>
      <c r="M403" s="44" t="n"/>
      <c r="N403" s="44" t="n"/>
      <c r="O403" s="44" t="n"/>
    </row>
    <row r="404" ht="54" customHeight="1">
      <c r="A404" s="44" t="n"/>
      <c r="B404" s="44" t="n"/>
      <c r="C404" s="44" t="n"/>
      <c r="D404" s="44" t="n"/>
      <c r="E404" s="44" t="n"/>
      <c r="F404" s="44" t="n"/>
      <c r="G404" s="44" t="n"/>
      <c r="H404" s="44" t="n"/>
      <c r="I404" s="44" t="n"/>
      <c r="J404" s="44" t="n"/>
      <c r="K404" s="44" t="n"/>
      <c r="L404" s="44" t="n"/>
      <c r="M404" s="44" t="n"/>
      <c r="N404" s="44" t="n"/>
      <c r="O404" s="44" t="n"/>
    </row>
    <row r="405" ht="54" customHeight="1">
      <c r="A405" s="44" t="n"/>
      <c r="B405" s="44" t="n"/>
      <c r="C405" s="44" t="n"/>
      <c r="D405" s="44" t="n"/>
      <c r="E405" s="44" t="n"/>
      <c r="F405" s="44" t="n"/>
      <c r="G405" s="44" t="n"/>
      <c r="H405" s="44" t="n"/>
      <c r="I405" s="44" t="n"/>
      <c r="J405" s="44" t="n"/>
      <c r="K405" s="44" t="n"/>
      <c r="L405" s="44" t="n"/>
      <c r="M405" s="44" t="n"/>
      <c r="N405" s="44" t="n"/>
      <c r="O405" s="44" t="n"/>
    </row>
    <row r="406" ht="54" customHeight="1">
      <c r="A406" s="44" t="n"/>
      <c r="B406" s="44" t="n"/>
      <c r="C406" s="44" t="n"/>
      <c r="D406" s="44" t="n"/>
      <c r="E406" s="44" t="n"/>
      <c r="F406" s="44" t="n"/>
      <c r="G406" s="44" t="n"/>
      <c r="H406" s="44" t="n"/>
      <c r="I406" s="44" t="n"/>
      <c r="J406" s="44" t="n"/>
      <c r="K406" s="44" t="n"/>
      <c r="L406" s="44" t="n"/>
      <c r="M406" s="44" t="n"/>
      <c r="N406" s="44" t="n"/>
      <c r="O406" s="44" t="n"/>
    </row>
    <row r="407" ht="54" customHeight="1">
      <c r="A407" s="44" t="n"/>
      <c r="B407" s="44" t="n"/>
      <c r="C407" s="44" t="n"/>
      <c r="D407" s="44" t="n"/>
      <c r="E407" s="44" t="n"/>
      <c r="F407" s="44" t="n"/>
      <c r="G407" s="44" t="n"/>
      <c r="H407" s="44" t="n"/>
      <c r="I407" s="44" t="n"/>
      <c r="J407" s="44" t="n"/>
      <c r="K407" s="44" t="n"/>
      <c r="L407" s="44" t="n"/>
      <c r="M407" s="44" t="n"/>
      <c r="N407" s="44" t="n"/>
      <c r="O407" s="44" t="n"/>
    </row>
    <row r="408" ht="54" customHeight="1">
      <c r="A408" s="44" t="n"/>
      <c r="B408" s="44" t="n"/>
      <c r="C408" s="44" t="n"/>
      <c r="D408" s="44" t="n"/>
      <c r="E408" s="44" t="n"/>
      <c r="F408" s="44" t="n"/>
      <c r="G408" s="44" t="n"/>
      <c r="H408" s="44" t="n"/>
      <c r="I408" s="44" t="n"/>
      <c r="J408" s="44" t="n"/>
      <c r="K408" s="44" t="n"/>
      <c r="L408" s="44" t="n"/>
      <c r="M408" s="44" t="n"/>
      <c r="N408" s="44" t="n"/>
      <c r="O408" s="44" t="n"/>
    </row>
    <row r="409" ht="54" customHeight="1">
      <c r="A409" s="44" t="n"/>
      <c r="B409" s="44" t="n"/>
      <c r="C409" s="44" t="n"/>
      <c r="D409" s="44" t="n"/>
      <c r="E409" s="44" t="n"/>
      <c r="F409" s="44" t="n"/>
      <c r="G409" s="44" t="n"/>
      <c r="H409" s="44" t="n"/>
      <c r="I409" s="44" t="n"/>
      <c r="J409" s="44" t="n"/>
      <c r="K409" s="44" t="n"/>
      <c r="L409" s="44" t="n"/>
      <c r="M409" s="44" t="n"/>
      <c r="N409" s="44" t="n"/>
      <c r="O409" s="44" t="n"/>
    </row>
    <row r="410" ht="54" customHeight="1">
      <c r="A410" s="44" t="n"/>
      <c r="B410" s="44" t="n"/>
      <c r="C410" s="44" t="n"/>
      <c r="D410" s="44" t="n"/>
      <c r="E410" s="44" t="n"/>
      <c r="F410" s="44" t="n"/>
      <c r="G410" s="44" t="n"/>
      <c r="H410" s="44" t="n"/>
      <c r="I410" s="44" t="n"/>
      <c r="J410" s="44" t="n"/>
      <c r="K410" s="44" t="n"/>
      <c r="L410" s="44" t="n"/>
      <c r="M410" s="44" t="n"/>
      <c r="N410" s="44" t="n"/>
      <c r="O410" s="44" t="n"/>
    </row>
    <row r="411" ht="54" customHeight="1">
      <c r="A411" s="44" t="n"/>
      <c r="B411" s="44" t="n"/>
      <c r="C411" s="44" t="n"/>
      <c r="D411" s="44" t="n"/>
      <c r="E411" s="44" t="n"/>
      <c r="F411" s="44" t="n"/>
      <c r="G411" s="44" t="n"/>
      <c r="H411" s="44" t="n"/>
      <c r="I411" s="44" t="n"/>
      <c r="J411" s="44" t="n"/>
      <c r="K411" s="44" t="n"/>
      <c r="L411" s="44" t="n"/>
      <c r="M411" s="44" t="n"/>
      <c r="N411" s="44" t="n"/>
      <c r="O411" s="44" t="n"/>
    </row>
    <row r="412" ht="54" customHeight="1">
      <c r="A412" s="44" t="n"/>
      <c r="B412" s="44" t="n"/>
      <c r="C412" s="44" t="n"/>
      <c r="D412" s="44" t="n"/>
      <c r="E412" s="44" t="n"/>
      <c r="F412" s="44" t="n"/>
      <c r="G412" s="44" t="n"/>
      <c r="H412" s="44" t="n"/>
      <c r="I412" s="44" t="n"/>
      <c r="J412" s="44" t="n"/>
      <c r="K412" s="44" t="n"/>
      <c r="L412" s="44" t="n"/>
      <c r="M412" s="44" t="n"/>
      <c r="N412" s="44" t="n"/>
      <c r="O412" s="44" t="n"/>
    </row>
    <row r="413" ht="54" customHeight="1">
      <c r="A413" s="44" t="n"/>
      <c r="B413" s="44" t="n"/>
      <c r="C413" s="44" t="n"/>
      <c r="D413" s="44" t="n"/>
      <c r="E413" s="44" t="n"/>
      <c r="F413" s="44" t="n"/>
      <c r="G413" s="44" t="n"/>
      <c r="H413" s="44" t="n"/>
      <c r="I413" s="44" t="n"/>
      <c r="J413" s="44" t="n"/>
      <c r="K413" s="44" t="n"/>
      <c r="L413" s="44" t="n"/>
      <c r="M413" s="44" t="n"/>
      <c r="N413" s="44" t="n"/>
      <c r="O413" s="44" t="n"/>
    </row>
    <row r="414" ht="54" customHeight="1">
      <c r="A414" s="44" t="n"/>
      <c r="B414" s="44" t="n"/>
      <c r="C414" s="44" t="n"/>
      <c r="D414" s="44" t="n"/>
      <c r="E414" s="44" t="n"/>
      <c r="F414" s="44" t="n"/>
      <c r="G414" s="44" t="n"/>
      <c r="H414" s="44" t="n"/>
      <c r="I414" s="44" t="n"/>
      <c r="J414" s="44" t="n"/>
      <c r="K414" s="44" t="n"/>
      <c r="L414" s="44" t="n"/>
      <c r="M414" s="44" t="n"/>
      <c r="N414" s="44" t="n"/>
      <c r="O414" s="44" t="n"/>
    </row>
    <row r="415" ht="54" customHeight="1">
      <c r="A415" s="44" t="n"/>
      <c r="B415" s="44" t="n"/>
      <c r="C415" s="44" t="n"/>
      <c r="D415" s="44" t="n"/>
      <c r="E415" s="44" t="n"/>
      <c r="F415" s="44" t="n"/>
      <c r="G415" s="44" t="n"/>
      <c r="H415" s="44" t="n"/>
      <c r="I415" s="44" t="n"/>
      <c r="J415" s="44" t="n"/>
      <c r="K415" s="44" t="n"/>
      <c r="L415" s="44" t="n"/>
      <c r="M415" s="44" t="n"/>
      <c r="N415" s="44" t="n"/>
      <c r="O415" s="44" t="n"/>
    </row>
    <row r="416" ht="54" customHeight="1">
      <c r="A416" s="44" t="n"/>
      <c r="B416" s="44" t="n"/>
      <c r="C416" s="44" t="n"/>
      <c r="D416" s="44" t="n"/>
      <c r="E416" s="44" t="n"/>
      <c r="F416" s="44" t="n"/>
      <c r="G416" s="44" t="n"/>
      <c r="H416" s="44" t="n"/>
      <c r="I416" s="44" t="n"/>
      <c r="J416" s="44" t="n"/>
      <c r="K416" s="44" t="n"/>
      <c r="L416" s="44" t="n"/>
      <c r="M416" s="44" t="n"/>
      <c r="N416" s="44" t="n"/>
      <c r="O416" s="44" t="n"/>
    </row>
    <row r="417" ht="54" customHeight="1">
      <c r="A417" s="44" t="n"/>
      <c r="B417" s="44" t="n"/>
      <c r="C417" s="44" t="n"/>
      <c r="D417" s="44" t="n"/>
      <c r="E417" s="44" t="n"/>
      <c r="F417" s="44" t="n"/>
      <c r="G417" s="44" t="n"/>
      <c r="H417" s="44" t="n"/>
      <c r="I417" s="44" t="n"/>
      <c r="J417" s="44" t="n"/>
      <c r="K417" s="44" t="n"/>
      <c r="L417" s="44" t="n"/>
      <c r="M417" s="44" t="n"/>
      <c r="N417" s="44" t="n"/>
      <c r="O417" s="44" t="n"/>
    </row>
    <row r="418" ht="54" customHeight="1">
      <c r="A418" s="44" t="n"/>
      <c r="B418" s="44" t="n"/>
      <c r="C418" s="44" t="n"/>
      <c r="D418" s="44" t="n"/>
      <c r="E418" s="44" t="n"/>
      <c r="F418" s="44" t="n"/>
      <c r="G418" s="44" t="n"/>
      <c r="H418" s="44" t="n"/>
      <c r="I418" s="44" t="n"/>
      <c r="J418" s="44" t="n"/>
      <c r="K418" s="44" t="n"/>
      <c r="L418" s="44" t="n"/>
      <c r="M418" s="44" t="n"/>
      <c r="N418" s="44" t="n"/>
      <c r="O418" s="44" t="n"/>
    </row>
    <row r="419" ht="54" customHeight="1">
      <c r="A419" s="44" t="n"/>
      <c r="B419" s="44" t="n"/>
      <c r="C419" s="44" t="n"/>
      <c r="D419" s="44" t="n"/>
      <c r="E419" s="44" t="n"/>
      <c r="F419" s="44" t="n"/>
      <c r="G419" s="44" t="n"/>
      <c r="H419" s="44" t="n"/>
      <c r="I419" s="44" t="n"/>
      <c r="J419" s="44" t="n"/>
      <c r="K419" s="44" t="n"/>
      <c r="L419" s="44" t="n"/>
      <c r="M419" s="44" t="n"/>
      <c r="N419" s="44" t="n"/>
      <c r="O419" s="44" t="n"/>
    </row>
    <row r="420" ht="54" customHeight="1">
      <c r="A420" s="44" t="n"/>
      <c r="B420" s="44" t="n"/>
      <c r="C420" s="44" t="n"/>
      <c r="D420" s="44" t="n"/>
      <c r="E420" s="44" t="n"/>
      <c r="F420" s="44" t="n"/>
      <c r="G420" s="44" t="n"/>
      <c r="H420" s="44" t="n"/>
      <c r="I420" s="44" t="n"/>
      <c r="J420" s="44" t="n"/>
      <c r="K420" s="44" t="n"/>
      <c r="L420" s="44" t="n"/>
      <c r="M420" s="44" t="n"/>
      <c r="N420" s="44" t="n"/>
      <c r="O420" s="44" t="n"/>
    </row>
    <row r="421" ht="54" customHeight="1">
      <c r="A421" s="44" t="n"/>
      <c r="B421" s="44" t="n"/>
      <c r="C421" s="44" t="n"/>
      <c r="D421" s="44" t="n"/>
      <c r="E421" s="44" t="n"/>
      <c r="F421" s="44" t="n"/>
      <c r="G421" s="44" t="n"/>
      <c r="H421" s="44" t="n"/>
      <c r="I421" s="44" t="n"/>
      <c r="J421" s="44" t="n"/>
      <c r="K421" s="44" t="n"/>
      <c r="L421" s="44" t="n"/>
      <c r="M421" s="44" t="n"/>
      <c r="N421" s="44" t="n"/>
      <c r="O421" s="44" t="n"/>
    </row>
    <row r="422" ht="54" customHeight="1">
      <c r="A422" s="44" t="n"/>
      <c r="B422" s="44" t="n"/>
      <c r="C422" s="44" t="n"/>
      <c r="D422" s="44" t="n"/>
      <c r="E422" s="44" t="n"/>
      <c r="F422" s="44" t="n"/>
      <c r="G422" s="44" t="n"/>
      <c r="H422" s="44" t="n"/>
      <c r="I422" s="44" t="n"/>
      <c r="J422" s="44" t="n"/>
      <c r="K422" s="44" t="n"/>
      <c r="L422" s="44" t="n"/>
      <c r="M422" s="44" t="n"/>
      <c r="N422" s="44" t="n"/>
      <c r="O422" s="44" t="n"/>
    </row>
    <row r="423" ht="54" customHeight="1">
      <c r="A423" s="44" t="n"/>
      <c r="B423" s="44" t="n"/>
      <c r="C423" s="44" t="n"/>
      <c r="D423" s="44" t="n"/>
      <c r="E423" s="44" t="n"/>
      <c r="F423" s="44" t="n"/>
      <c r="G423" s="44" t="n"/>
      <c r="H423" s="44" t="n"/>
      <c r="I423" s="44" t="n"/>
      <c r="J423" s="44" t="n"/>
      <c r="K423" s="44" t="n"/>
      <c r="L423" s="44" t="n"/>
      <c r="M423" s="44" t="n"/>
      <c r="N423" s="44" t="n"/>
      <c r="O423" s="44" t="n"/>
    </row>
    <row r="424" ht="54" customHeight="1">
      <c r="A424" s="44" t="n"/>
      <c r="B424" s="44" t="n"/>
      <c r="C424" s="44" t="n"/>
      <c r="D424" s="44" t="n"/>
      <c r="E424" s="44" t="n"/>
      <c r="F424" s="44" t="n"/>
      <c r="G424" s="44" t="n"/>
      <c r="H424" s="44" t="n"/>
      <c r="I424" s="44" t="n"/>
      <c r="J424" s="44" t="n"/>
      <c r="K424" s="44" t="n"/>
      <c r="L424" s="44" t="n"/>
      <c r="M424" s="44" t="n"/>
      <c r="N424" s="44" t="n"/>
      <c r="O424" s="44" t="n"/>
    </row>
    <row r="425" ht="54" customHeight="1">
      <c r="A425" s="44" t="n"/>
      <c r="B425" s="44" t="n"/>
      <c r="C425" s="44" t="n"/>
      <c r="D425" s="44" t="n"/>
      <c r="E425" s="44" t="n"/>
      <c r="F425" s="44" t="n"/>
      <c r="G425" s="44" t="n"/>
      <c r="H425" s="44" t="n"/>
      <c r="I425" s="44" t="n"/>
      <c r="J425" s="44" t="n"/>
      <c r="K425" s="44" t="n"/>
      <c r="L425" s="44" t="n"/>
      <c r="M425" s="44" t="n"/>
      <c r="N425" s="44" t="n"/>
      <c r="O425" s="44" t="n"/>
    </row>
    <row r="426" ht="54" customHeight="1">
      <c r="A426" s="44" t="n"/>
      <c r="B426" s="44" t="n"/>
      <c r="C426" s="44" t="n"/>
      <c r="D426" s="44" t="n"/>
      <c r="E426" s="44" t="n"/>
      <c r="F426" s="44" t="n"/>
      <c r="G426" s="44" t="n"/>
      <c r="H426" s="44" t="n"/>
      <c r="I426" s="44" t="n"/>
      <c r="J426" s="44" t="n"/>
      <c r="K426" s="44" t="n"/>
      <c r="L426" s="44" t="n"/>
      <c r="M426" s="44" t="n"/>
      <c r="N426" s="44" t="n"/>
      <c r="O426" s="44" t="n"/>
    </row>
    <row r="427" ht="54" customHeight="1">
      <c r="A427" s="44" t="n"/>
      <c r="B427" s="44" t="n"/>
      <c r="C427" s="44" t="n"/>
      <c r="D427" s="44" t="n"/>
      <c r="E427" s="44" t="n"/>
      <c r="F427" s="44" t="n"/>
      <c r="G427" s="44" t="n"/>
      <c r="H427" s="44" t="n"/>
      <c r="I427" s="44" t="n"/>
      <c r="J427" s="44" t="n"/>
      <c r="K427" s="44" t="n"/>
      <c r="L427" s="44" t="n"/>
      <c r="M427" s="44" t="n"/>
      <c r="N427" s="44" t="n"/>
      <c r="O427" s="44" t="n"/>
    </row>
    <row r="428" ht="54" customHeight="1">
      <c r="A428" s="44" t="n"/>
      <c r="B428" s="44" t="n"/>
      <c r="C428" s="44" t="n"/>
      <c r="D428" s="44" t="n"/>
      <c r="E428" s="44" t="n"/>
      <c r="F428" s="44" t="n"/>
      <c r="G428" s="44" t="n"/>
      <c r="H428" s="44" t="n"/>
      <c r="I428" s="44" t="n"/>
      <c r="J428" s="44" t="n"/>
      <c r="K428" s="44" t="n"/>
      <c r="L428" s="44" t="n"/>
      <c r="M428" s="44" t="n"/>
      <c r="N428" s="44" t="n"/>
      <c r="O428" s="44" t="n"/>
    </row>
    <row r="429" ht="54" customHeight="1">
      <c r="A429" s="44" t="n"/>
      <c r="B429" s="44" t="n"/>
      <c r="C429" s="44" t="n"/>
      <c r="D429" s="44" t="n"/>
      <c r="E429" s="44" t="n"/>
      <c r="F429" s="44" t="n"/>
      <c r="G429" s="44" t="n"/>
      <c r="H429" s="44" t="n"/>
      <c r="I429" s="44" t="n"/>
      <c r="J429" s="44" t="n"/>
      <c r="K429" s="44" t="n"/>
      <c r="L429" s="44" t="n"/>
      <c r="M429" s="44" t="n"/>
      <c r="N429" s="44" t="n"/>
      <c r="O429" s="44" t="n"/>
    </row>
    <row r="430" ht="54" customHeight="1">
      <c r="A430" s="44" t="n"/>
      <c r="B430" s="44" t="n"/>
      <c r="C430" s="44" t="n"/>
      <c r="D430" s="44" t="n"/>
      <c r="E430" s="44" t="n"/>
      <c r="F430" s="44" t="n"/>
      <c r="G430" s="44" t="n"/>
      <c r="H430" s="44" t="n"/>
      <c r="I430" s="44" t="n"/>
      <c r="J430" s="44" t="n"/>
      <c r="K430" s="44" t="n"/>
      <c r="L430" s="44" t="n"/>
      <c r="M430" s="44" t="n"/>
      <c r="N430" s="44" t="n"/>
      <c r="O430" s="44" t="n"/>
    </row>
    <row r="431" ht="54" customHeight="1">
      <c r="A431" s="44" t="n"/>
      <c r="B431" s="44" t="n"/>
      <c r="C431" s="44" t="n"/>
      <c r="D431" s="44" t="n"/>
      <c r="E431" s="44" t="n"/>
      <c r="F431" s="44" t="n"/>
      <c r="G431" s="44" t="n"/>
      <c r="H431" s="44" t="n"/>
      <c r="I431" s="44" t="n"/>
      <c r="J431" s="44" t="n"/>
      <c r="K431" s="44" t="n"/>
      <c r="L431" s="44" t="n"/>
      <c r="M431" s="44" t="n"/>
      <c r="N431" s="44" t="n"/>
      <c r="O431" s="44" t="n"/>
    </row>
    <row r="432" ht="54" customHeight="1">
      <c r="A432" s="44" t="n"/>
      <c r="B432" s="44" t="n"/>
      <c r="C432" s="44" t="n"/>
      <c r="D432" s="44" t="n"/>
      <c r="E432" s="44" t="n"/>
      <c r="F432" s="44" t="n"/>
      <c r="G432" s="44" t="n"/>
      <c r="H432" s="44" t="n"/>
      <c r="I432" s="44" t="n"/>
      <c r="J432" s="44" t="n"/>
      <c r="K432" s="44" t="n"/>
      <c r="L432" s="44" t="n"/>
      <c r="M432" s="44" t="n"/>
      <c r="N432" s="44" t="n"/>
      <c r="O432" s="44" t="n"/>
    </row>
    <row r="433" ht="54" customHeight="1">
      <c r="A433" s="44" t="n"/>
      <c r="B433" s="44" t="n"/>
      <c r="C433" s="44" t="n"/>
      <c r="D433" s="44" t="n"/>
      <c r="E433" s="44" t="n"/>
      <c r="F433" s="44" t="n"/>
      <c r="G433" s="44" t="n"/>
      <c r="H433" s="44" t="n"/>
      <c r="I433" s="44" t="n"/>
      <c r="J433" s="44" t="n"/>
      <c r="K433" s="44" t="n"/>
      <c r="L433" s="44" t="n"/>
      <c r="M433" s="44" t="n"/>
      <c r="N433" s="44" t="n"/>
      <c r="O433" s="44" t="n"/>
    </row>
    <row r="434" ht="54" customHeight="1">
      <c r="A434" s="44" t="n"/>
      <c r="B434" s="44" t="n"/>
      <c r="C434" s="44" t="n"/>
      <c r="D434" s="44" t="n"/>
      <c r="E434" s="44" t="n"/>
      <c r="F434" s="44" t="n"/>
      <c r="G434" s="44" t="n"/>
      <c r="H434" s="44" t="n"/>
      <c r="I434" s="44" t="n"/>
      <c r="J434" s="44" t="n"/>
      <c r="K434" s="44" t="n"/>
      <c r="L434" s="44" t="n"/>
      <c r="M434" s="44" t="n"/>
      <c r="N434" s="44" t="n"/>
      <c r="O434" s="44" t="n"/>
    </row>
    <row r="435" ht="54" customHeight="1">
      <c r="A435" s="44" t="n"/>
      <c r="B435" s="44" t="n"/>
      <c r="C435" s="44" t="n"/>
      <c r="D435" s="44" t="n"/>
      <c r="E435" s="44" t="n"/>
      <c r="F435" s="44" t="n"/>
      <c r="G435" s="44" t="n"/>
      <c r="H435" s="44" t="n"/>
      <c r="I435" s="44" t="n"/>
      <c r="J435" s="44" t="n"/>
      <c r="K435" s="44" t="n"/>
      <c r="L435" s="44" t="n"/>
      <c r="M435" s="44" t="n"/>
      <c r="N435" s="44" t="n"/>
      <c r="O435" s="44" t="n"/>
    </row>
    <row r="436" ht="54" customHeight="1">
      <c r="A436" s="44" t="n"/>
      <c r="B436" s="44" t="n"/>
      <c r="C436" s="44" t="n"/>
      <c r="D436" s="44" t="n"/>
      <c r="E436" s="44" t="n"/>
      <c r="F436" s="44" t="n"/>
      <c r="G436" s="44" t="n"/>
      <c r="H436" s="44" t="n"/>
      <c r="I436" s="44" t="n"/>
      <c r="J436" s="44" t="n"/>
      <c r="K436" s="44" t="n"/>
      <c r="L436" s="44" t="n"/>
      <c r="M436" s="44" t="n"/>
      <c r="N436" s="44" t="n"/>
      <c r="O436" s="44" t="n"/>
    </row>
    <row r="437" ht="54" customHeight="1">
      <c r="A437" s="44" t="n"/>
      <c r="B437" s="44" t="n"/>
      <c r="C437" s="44" t="n"/>
      <c r="D437" s="44" t="n"/>
      <c r="E437" s="44" t="n"/>
      <c r="F437" s="44" t="n"/>
      <c r="G437" s="44" t="n"/>
      <c r="H437" s="44" t="n"/>
      <c r="I437" s="44" t="n"/>
      <c r="J437" s="44" t="n"/>
      <c r="K437" s="44" t="n"/>
      <c r="L437" s="44" t="n"/>
      <c r="M437" s="44" t="n"/>
      <c r="N437" s="44" t="n"/>
      <c r="O437" s="44" t="n"/>
    </row>
    <row r="438" ht="54" customHeight="1">
      <c r="A438" s="44" t="n"/>
      <c r="B438" s="44" t="n"/>
      <c r="C438" s="44" t="n"/>
      <c r="D438" s="44" t="n"/>
      <c r="E438" s="44" t="n"/>
      <c r="F438" s="44" t="n"/>
      <c r="G438" s="44" t="n"/>
      <c r="H438" s="44" t="n"/>
      <c r="I438" s="44" t="n"/>
      <c r="J438" s="44" t="n"/>
      <c r="K438" s="44" t="n"/>
      <c r="L438" s="44" t="n"/>
      <c r="M438" s="44" t="n"/>
      <c r="N438" s="44" t="n"/>
      <c r="O438" s="44" t="n"/>
    </row>
    <row r="439" ht="54" customHeight="1">
      <c r="A439" s="44" t="n"/>
      <c r="B439" s="44" t="n"/>
      <c r="C439" s="44" t="n"/>
      <c r="D439" s="44" t="n"/>
      <c r="E439" s="44" t="n"/>
      <c r="F439" s="44" t="n"/>
      <c r="G439" s="44" t="n"/>
      <c r="H439" s="44" t="n"/>
      <c r="I439" s="44" t="n"/>
      <c r="J439" s="44" t="n"/>
      <c r="K439" s="44" t="n"/>
      <c r="L439" s="44" t="n"/>
      <c r="M439" s="44" t="n"/>
      <c r="N439" s="44" t="n"/>
      <c r="O439" s="44" t="n"/>
    </row>
    <row r="440" ht="54" customHeight="1">
      <c r="A440" s="44" t="n"/>
      <c r="B440" s="44" t="n"/>
      <c r="C440" s="44" t="n"/>
      <c r="D440" s="44" t="n"/>
      <c r="E440" s="44" t="n"/>
      <c r="F440" s="44" t="n"/>
      <c r="G440" s="44" t="n"/>
      <c r="H440" s="44" t="n"/>
      <c r="I440" s="44" t="n"/>
      <c r="J440" s="44" t="n"/>
      <c r="K440" s="44" t="n"/>
      <c r="L440" s="44" t="n"/>
      <c r="M440" s="44" t="n"/>
      <c r="N440" s="44" t="n"/>
      <c r="O440" s="44" t="n"/>
    </row>
    <row r="441" ht="54" customHeight="1">
      <c r="A441" s="44" t="n"/>
      <c r="B441" s="44" t="n"/>
      <c r="C441" s="44" t="n"/>
      <c r="D441" s="44" t="n"/>
      <c r="E441" s="44" t="n"/>
      <c r="F441" s="44" t="n"/>
      <c r="G441" s="44" t="n"/>
      <c r="H441" s="44" t="n"/>
      <c r="I441" s="44" t="n"/>
      <c r="J441" s="44" t="n"/>
      <c r="K441" s="44" t="n"/>
      <c r="L441" s="44" t="n"/>
      <c r="M441" s="44" t="n"/>
      <c r="N441" s="44" t="n"/>
      <c r="O441" s="44" t="n"/>
    </row>
    <row r="442" ht="54" customHeight="1">
      <c r="A442" s="44" t="n"/>
      <c r="B442" s="44" t="n"/>
      <c r="C442" s="44" t="n"/>
      <c r="D442" s="44" t="n"/>
      <c r="E442" s="44" t="n"/>
      <c r="F442" s="44" t="n"/>
      <c r="G442" s="44" t="n"/>
      <c r="H442" s="44" t="n"/>
      <c r="I442" s="44" t="n"/>
      <c r="J442" s="44" t="n"/>
      <c r="K442" s="44" t="n"/>
      <c r="L442" s="44" t="n"/>
      <c r="M442" s="44" t="n"/>
      <c r="N442" s="44" t="n"/>
      <c r="O442" s="44" t="n"/>
    </row>
    <row r="443" ht="54" customHeight="1">
      <c r="A443" s="44" t="n"/>
      <c r="B443" s="44" t="n"/>
      <c r="C443" s="44" t="n"/>
      <c r="D443" s="44" t="n"/>
      <c r="E443" s="44" t="n"/>
      <c r="F443" s="44" t="n"/>
      <c r="G443" s="44" t="n"/>
      <c r="H443" s="44" t="n"/>
      <c r="I443" s="44" t="n"/>
      <c r="J443" s="44" t="n"/>
      <c r="K443" s="44" t="n"/>
      <c r="L443" s="44" t="n"/>
      <c r="M443" s="44" t="n"/>
      <c r="N443" s="44" t="n"/>
      <c r="O443" s="44" t="n"/>
    </row>
    <row r="444" ht="54" customHeight="1">
      <c r="A444" s="44" t="n"/>
      <c r="B444" s="44" t="n"/>
      <c r="C444" s="44" t="n"/>
      <c r="D444" s="44" t="n"/>
      <c r="E444" s="44" t="n"/>
      <c r="F444" s="44" t="n"/>
      <c r="G444" s="44" t="n"/>
      <c r="H444" s="44" t="n"/>
      <c r="I444" s="44" t="n"/>
      <c r="J444" s="44" t="n"/>
      <c r="K444" s="44" t="n"/>
      <c r="L444" s="44" t="n"/>
      <c r="M444" s="44" t="n"/>
      <c r="N444" s="44" t="n"/>
      <c r="O444" s="44" t="n"/>
    </row>
    <row r="445" ht="54" customHeight="1">
      <c r="A445" s="44" t="n"/>
      <c r="B445" s="44" t="n"/>
      <c r="C445" s="44" t="n"/>
      <c r="D445" s="44" t="n"/>
      <c r="E445" s="44" t="n"/>
      <c r="F445" s="44" t="n"/>
      <c r="G445" s="44" t="n"/>
      <c r="H445" s="44" t="n"/>
      <c r="I445" s="44" t="n"/>
      <c r="J445" s="44" t="n"/>
      <c r="K445" s="44" t="n"/>
      <c r="L445" s="44" t="n"/>
      <c r="M445" s="44" t="n"/>
      <c r="N445" s="44" t="n"/>
      <c r="O445" s="44" t="n"/>
    </row>
    <row r="446" ht="54" customHeight="1">
      <c r="A446" s="44" t="n"/>
      <c r="B446" s="44" t="n"/>
      <c r="C446" s="44" t="n"/>
      <c r="D446" s="44" t="n"/>
      <c r="E446" s="44" t="n"/>
      <c r="F446" s="44" t="n"/>
      <c r="G446" s="44" t="n"/>
      <c r="H446" s="44" t="n"/>
      <c r="I446" s="44" t="n"/>
      <c r="J446" s="44" t="n"/>
      <c r="K446" s="44" t="n"/>
      <c r="L446" s="44" t="n"/>
      <c r="M446" s="44" t="n"/>
      <c r="N446" s="44" t="n"/>
      <c r="O446" s="44" t="n"/>
    </row>
    <row r="447" ht="54" customHeight="1">
      <c r="A447" s="44" t="n"/>
      <c r="B447" s="44" t="n"/>
      <c r="C447" s="44" t="n"/>
      <c r="D447" s="44" t="n"/>
      <c r="E447" s="44" t="n"/>
      <c r="F447" s="44" t="n"/>
      <c r="G447" s="44" t="n"/>
      <c r="H447" s="44" t="n"/>
      <c r="I447" s="44" t="n"/>
      <c r="J447" s="44" t="n"/>
      <c r="K447" s="44" t="n"/>
      <c r="L447" s="44" t="n"/>
      <c r="M447" s="44" t="n"/>
      <c r="N447" s="44" t="n"/>
      <c r="O447" s="44" t="n"/>
    </row>
    <row r="448" ht="54" customHeight="1">
      <c r="A448" s="44" t="n"/>
      <c r="B448" s="44" t="n"/>
      <c r="C448" s="44" t="n"/>
      <c r="D448" s="44" t="n"/>
      <c r="E448" s="44" t="n"/>
      <c r="F448" s="44" t="n"/>
      <c r="G448" s="44" t="n"/>
      <c r="H448" s="44" t="n"/>
      <c r="I448" s="44" t="n"/>
      <c r="J448" s="44" t="n"/>
      <c r="K448" s="44" t="n"/>
      <c r="L448" s="44" t="n"/>
      <c r="M448" s="44" t="n"/>
      <c r="N448" s="44" t="n"/>
      <c r="O448" s="44" t="n"/>
    </row>
    <row r="449" ht="54" customHeight="1">
      <c r="A449" s="44" t="n"/>
      <c r="B449" s="44" t="n"/>
      <c r="C449" s="44" t="n"/>
      <c r="D449" s="44" t="n"/>
      <c r="E449" s="44" t="n"/>
      <c r="F449" s="44" t="n"/>
      <c r="G449" s="44" t="n"/>
      <c r="H449" s="44" t="n"/>
      <c r="I449" s="44" t="n"/>
      <c r="J449" s="44" t="n"/>
      <c r="K449" s="44" t="n"/>
      <c r="L449" s="44" t="n"/>
      <c r="M449" s="44" t="n"/>
      <c r="N449" s="44" t="n"/>
      <c r="O449" s="44" t="n"/>
    </row>
    <row r="450" ht="54" customHeight="1">
      <c r="A450" s="44" t="n"/>
      <c r="B450" s="44" t="n"/>
      <c r="C450" s="44" t="n"/>
      <c r="D450" s="44" t="n"/>
      <c r="E450" s="44" t="n"/>
      <c r="F450" s="44" t="n"/>
      <c r="G450" s="44" t="n"/>
      <c r="H450" s="44" t="n"/>
      <c r="I450" s="44" t="n"/>
      <c r="J450" s="44" t="n"/>
      <c r="K450" s="44" t="n"/>
      <c r="L450" s="44" t="n"/>
      <c r="M450" s="44" t="n"/>
      <c r="N450" s="44" t="n"/>
      <c r="O450" s="44" t="n"/>
    </row>
    <row r="451" ht="54" customHeight="1">
      <c r="A451" s="44" t="n"/>
      <c r="B451" s="44" t="n"/>
      <c r="C451" s="44" t="n"/>
      <c r="D451" s="44" t="n"/>
      <c r="E451" s="44" t="n"/>
      <c r="F451" s="44" t="n"/>
      <c r="G451" s="44" t="n"/>
      <c r="H451" s="44" t="n"/>
      <c r="I451" s="44" t="n"/>
      <c r="J451" s="44" t="n"/>
      <c r="K451" s="44" t="n"/>
      <c r="L451" s="44" t="n"/>
      <c r="M451" s="44" t="n"/>
      <c r="N451" s="44" t="n"/>
      <c r="O451" s="44" t="n"/>
    </row>
    <row r="452" ht="54" customHeight="1">
      <c r="A452" s="44" t="n"/>
      <c r="B452" s="44" t="n"/>
      <c r="C452" s="44" t="n"/>
      <c r="D452" s="44" t="n"/>
      <c r="E452" s="44" t="n"/>
      <c r="F452" s="44" t="n"/>
      <c r="G452" s="44" t="n"/>
      <c r="H452" s="44" t="n"/>
      <c r="I452" s="44" t="n"/>
      <c r="J452" s="44" t="n"/>
      <c r="K452" s="44" t="n"/>
      <c r="L452" s="44" t="n"/>
      <c r="M452" s="44" t="n"/>
      <c r="N452" s="44" t="n"/>
      <c r="O452" s="44" t="n"/>
    </row>
    <row r="453" ht="54" customHeight="1">
      <c r="A453" s="44" t="n"/>
      <c r="B453" s="44" t="n"/>
      <c r="C453" s="44" t="n"/>
      <c r="D453" s="44" t="n"/>
      <c r="E453" s="44" t="n"/>
      <c r="F453" s="44" t="n"/>
      <c r="G453" s="44" t="n"/>
      <c r="H453" s="44" t="n"/>
      <c r="I453" s="44" t="n"/>
      <c r="J453" s="44" t="n"/>
      <c r="K453" s="44" t="n"/>
      <c r="L453" s="44" t="n"/>
      <c r="M453" s="44" t="n"/>
      <c r="N453" s="44" t="n"/>
      <c r="O453" s="44" t="n"/>
    </row>
    <row r="454" ht="54" customHeight="1">
      <c r="A454" s="44" t="n"/>
      <c r="B454" s="44" t="n"/>
      <c r="C454" s="44" t="n"/>
      <c r="D454" s="44" t="n"/>
      <c r="E454" s="44" t="n"/>
      <c r="F454" s="44" t="n"/>
      <c r="G454" s="44" t="n"/>
      <c r="H454" s="44" t="n"/>
      <c r="I454" s="44" t="n"/>
      <c r="J454" s="44" t="n"/>
      <c r="K454" s="44" t="n"/>
      <c r="L454" s="44" t="n"/>
      <c r="M454" s="44" t="n"/>
      <c r="N454" s="44" t="n"/>
      <c r="O454" s="44" t="n"/>
    </row>
    <row r="455" ht="54" customHeight="1">
      <c r="A455" s="44" t="n"/>
      <c r="B455" s="44" t="n"/>
      <c r="C455" s="44" t="n"/>
      <c r="D455" s="44" t="n"/>
      <c r="E455" s="44" t="n"/>
      <c r="F455" s="44" t="n"/>
      <c r="G455" s="44" t="n"/>
      <c r="H455" s="44" t="n"/>
      <c r="I455" s="44" t="n"/>
      <c r="J455" s="44" t="n"/>
      <c r="K455" s="44" t="n"/>
      <c r="L455" s="44" t="n"/>
      <c r="M455" s="44" t="n"/>
      <c r="N455" s="44" t="n"/>
      <c r="O455" s="44" t="n"/>
    </row>
    <row r="456" ht="54" customHeight="1">
      <c r="A456" s="44" t="n"/>
      <c r="B456" s="44" t="n"/>
      <c r="C456" s="44" t="n"/>
      <c r="D456" s="44" t="n"/>
      <c r="E456" s="44" t="n"/>
      <c r="F456" s="44" t="n"/>
      <c r="G456" s="44" t="n"/>
      <c r="H456" s="44" t="n"/>
      <c r="I456" s="44" t="n"/>
      <c r="J456" s="44" t="n"/>
      <c r="K456" s="44" t="n"/>
      <c r="L456" s="44" t="n"/>
      <c r="M456" s="44" t="n"/>
      <c r="N456" s="44" t="n"/>
      <c r="O456" s="44" t="n"/>
    </row>
    <row r="457" ht="54" customHeight="1">
      <c r="A457" s="44" t="n"/>
      <c r="B457" s="44" t="n"/>
      <c r="C457" s="44" t="n"/>
      <c r="D457" s="44" t="n"/>
      <c r="E457" s="44" t="n"/>
      <c r="F457" s="44" t="n"/>
      <c r="G457" s="44" t="n"/>
      <c r="H457" s="44" t="n"/>
      <c r="I457" s="44" t="n"/>
      <c r="J457" s="44" t="n"/>
      <c r="K457" s="44" t="n"/>
      <c r="L457" s="44" t="n"/>
      <c r="M457" s="44" t="n"/>
      <c r="N457" s="44" t="n"/>
      <c r="O457" s="44" t="n"/>
    </row>
    <row r="458" ht="54" customHeight="1">
      <c r="A458" s="44" t="n"/>
      <c r="B458" s="44" t="n"/>
      <c r="C458" s="44" t="n"/>
      <c r="D458" s="44" t="n"/>
      <c r="E458" s="44" t="n"/>
      <c r="F458" s="44" t="n"/>
      <c r="G458" s="44" t="n"/>
      <c r="H458" s="44" t="n"/>
      <c r="I458" s="44" t="n"/>
      <c r="J458" s="44" t="n"/>
      <c r="K458" s="44" t="n"/>
      <c r="L458" s="44" t="n"/>
      <c r="M458" s="44" t="n"/>
      <c r="N458" s="44" t="n"/>
      <c r="O458" s="44" t="n"/>
    </row>
    <row r="459" ht="54" customHeight="1">
      <c r="A459" s="44" t="n"/>
      <c r="B459" s="44" t="n"/>
      <c r="C459" s="44" t="n"/>
      <c r="D459" s="44" t="n"/>
      <c r="E459" s="44" t="n"/>
      <c r="F459" s="44" t="n"/>
      <c r="G459" s="44" t="n"/>
      <c r="H459" s="44" t="n"/>
      <c r="I459" s="44" t="n"/>
      <c r="J459" s="44" t="n"/>
      <c r="K459" s="44" t="n"/>
      <c r="L459" s="44" t="n"/>
      <c r="M459" s="44" t="n"/>
      <c r="N459" s="44" t="n"/>
      <c r="O459" s="44" t="n"/>
    </row>
    <row r="460" ht="54" customHeight="1">
      <c r="A460" s="44" t="n"/>
      <c r="B460" s="44" t="n"/>
      <c r="C460" s="44" t="n"/>
      <c r="D460" s="44" t="n"/>
      <c r="E460" s="44" t="n"/>
      <c r="F460" s="44" t="n"/>
      <c r="G460" s="44" t="n"/>
      <c r="H460" s="44" t="n"/>
      <c r="I460" s="44" t="n"/>
      <c r="J460" s="44" t="n"/>
      <c r="K460" s="44" t="n"/>
      <c r="L460" s="44" t="n"/>
      <c r="M460" s="44" t="n"/>
      <c r="N460" s="44" t="n"/>
      <c r="O460" s="44" t="n"/>
    </row>
    <row r="461" ht="54" customHeight="1">
      <c r="A461" s="44" t="n"/>
      <c r="B461" s="44" t="n"/>
      <c r="C461" s="44" t="n"/>
      <c r="D461" s="44" t="n"/>
      <c r="E461" s="44" t="n"/>
      <c r="F461" s="44" t="n"/>
      <c r="G461" s="44" t="n"/>
      <c r="H461" s="44" t="n"/>
      <c r="I461" s="44" t="n"/>
      <c r="J461" s="44" t="n"/>
      <c r="K461" s="44" t="n"/>
      <c r="L461" s="44" t="n"/>
      <c r="M461" s="44" t="n"/>
      <c r="N461" s="44" t="n"/>
      <c r="O461" s="44" t="n"/>
    </row>
    <row r="462" ht="54" customHeight="1">
      <c r="A462" s="44" t="n"/>
      <c r="B462" s="44" t="n"/>
      <c r="C462" s="44" t="n"/>
      <c r="D462" s="44" t="n"/>
      <c r="E462" s="44" t="n"/>
      <c r="F462" s="44" t="n"/>
      <c r="G462" s="44" t="n"/>
      <c r="H462" s="44" t="n"/>
      <c r="I462" s="44" t="n"/>
      <c r="J462" s="44" t="n"/>
      <c r="K462" s="44" t="n"/>
      <c r="L462" s="44" t="n"/>
      <c r="M462" s="44" t="n"/>
      <c r="N462" s="44" t="n"/>
      <c r="O462" s="44" t="n"/>
    </row>
    <row r="463" ht="54" customHeight="1">
      <c r="A463" s="44" t="n"/>
      <c r="B463" s="44" t="n"/>
      <c r="C463" s="44" t="n"/>
      <c r="D463" s="44" t="n"/>
      <c r="E463" s="44" t="n"/>
      <c r="F463" s="44" t="n"/>
      <c r="G463" s="44" t="n"/>
      <c r="H463" s="44" t="n"/>
      <c r="I463" s="44" t="n"/>
      <c r="J463" s="44" t="n"/>
      <c r="K463" s="44" t="n"/>
      <c r="L463" s="44" t="n"/>
      <c r="M463" s="44" t="n"/>
      <c r="N463" s="44" t="n"/>
      <c r="O463" s="44" t="n"/>
    </row>
    <row r="464" ht="54" customHeight="1">
      <c r="A464" s="44" t="n"/>
      <c r="B464" s="44" t="n"/>
      <c r="C464" s="44" t="n"/>
      <c r="D464" s="44" t="n"/>
      <c r="E464" s="44" t="n"/>
      <c r="F464" s="44" t="n"/>
      <c r="G464" s="44" t="n"/>
      <c r="H464" s="44" t="n"/>
      <c r="I464" s="44" t="n"/>
      <c r="J464" s="44" t="n"/>
      <c r="K464" s="44" t="n"/>
      <c r="L464" s="44" t="n"/>
      <c r="M464" s="44" t="n"/>
      <c r="N464" s="44" t="n"/>
      <c r="O464" s="44" t="n"/>
    </row>
    <row r="465" ht="54" customHeight="1">
      <c r="A465" s="44" t="n"/>
      <c r="B465" s="44" t="n"/>
      <c r="C465" s="44" t="n"/>
      <c r="D465" s="44" t="n"/>
      <c r="E465" s="44" t="n"/>
      <c r="F465" s="44" t="n"/>
      <c r="G465" s="44" t="n"/>
      <c r="H465" s="44" t="n"/>
      <c r="I465" s="44" t="n"/>
      <c r="J465" s="44" t="n"/>
      <c r="K465" s="44" t="n"/>
      <c r="L465" s="44" t="n"/>
      <c r="M465" s="44" t="n"/>
      <c r="N465" s="44" t="n"/>
      <c r="O465" s="44" t="n"/>
    </row>
    <row r="466" ht="54" customHeight="1">
      <c r="A466" s="44" t="n"/>
      <c r="B466" s="44" t="n"/>
      <c r="C466" s="44" t="n"/>
      <c r="D466" s="44" t="n"/>
      <c r="E466" s="44" t="n"/>
      <c r="F466" s="44" t="n"/>
      <c r="G466" s="44" t="n"/>
      <c r="H466" s="44" t="n"/>
      <c r="I466" s="44" t="n"/>
      <c r="J466" s="44" t="n"/>
      <c r="K466" s="44" t="n"/>
      <c r="L466" s="44" t="n"/>
      <c r="M466" s="44" t="n"/>
      <c r="N466" s="44" t="n"/>
      <c r="O466" s="44" t="n"/>
    </row>
    <row r="467" ht="54" customHeight="1">
      <c r="A467" s="44" t="n"/>
      <c r="B467" s="44" t="n"/>
      <c r="C467" s="44" t="n"/>
      <c r="D467" s="44" t="n"/>
      <c r="E467" s="44" t="n"/>
      <c r="F467" s="44" t="n"/>
      <c r="G467" s="44" t="n"/>
      <c r="H467" s="44" t="n"/>
      <c r="I467" s="44" t="n"/>
      <c r="J467" s="44" t="n"/>
      <c r="K467" s="44" t="n"/>
      <c r="L467" s="44" t="n"/>
      <c r="M467" s="44" t="n"/>
      <c r="N467" s="44" t="n"/>
      <c r="O467" s="44" t="n"/>
    </row>
    <row r="468" ht="54" customHeight="1">
      <c r="A468" s="44" t="n"/>
      <c r="B468" s="44" t="n"/>
      <c r="C468" s="44" t="n"/>
      <c r="D468" s="44" t="n"/>
      <c r="E468" s="44" t="n"/>
      <c r="F468" s="44" t="n"/>
      <c r="G468" s="44" t="n"/>
      <c r="H468" s="44" t="n"/>
      <c r="I468" s="44" t="n"/>
      <c r="J468" s="44" t="n"/>
      <c r="K468" s="44" t="n"/>
      <c r="L468" s="44" t="n"/>
      <c r="M468" s="44" t="n"/>
      <c r="N468" s="44" t="n"/>
      <c r="O468" s="44" t="n"/>
    </row>
    <row r="469" ht="54" customHeight="1">
      <c r="A469" s="44" t="n"/>
      <c r="B469" s="44" t="n"/>
      <c r="C469" s="44" t="n"/>
      <c r="D469" s="44" t="n"/>
      <c r="E469" s="44" t="n"/>
      <c r="F469" s="44" t="n"/>
      <c r="G469" s="44" t="n"/>
      <c r="H469" s="44" t="n"/>
      <c r="I469" s="44" t="n"/>
      <c r="J469" s="44" t="n"/>
      <c r="K469" s="44" t="n"/>
      <c r="L469" s="44" t="n"/>
      <c r="M469" s="44" t="n"/>
      <c r="N469" s="44" t="n"/>
      <c r="O469" s="44" t="n"/>
    </row>
    <row r="470" ht="54" customHeight="1">
      <c r="A470" s="44" t="n"/>
      <c r="B470" s="44" t="n"/>
      <c r="C470" s="44" t="n"/>
      <c r="D470" s="44" t="n"/>
      <c r="E470" s="44" t="n"/>
      <c r="F470" s="44" t="n"/>
      <c r="G470" s="44" t="n"/>
      <c r="H470" s="44" t="n"/>
      <c r="I470" s="44" t="n"/>
      <c r="J470" s="44" t="n"/>
      <c r="K470" s="44" t="n"/>
      <c r="L470" s="44" t="n"/>
      <c r="M470" s="44" t="n"/>
      <c r="N470" s="44" t="n"/>
      <c r="O470" s="44" t="n"/>
    </row>
    <row r="471" ht="54" customHeight="1">
      <c r="A471" s="44" t="n"/>
      <c r="B471" s="44" t="n"/>
      <c r="C471" s="44" t="n"/>
      <c r="D471" s="44" t="n"/>
      <c r="E471" s="44" t="n"/>
      <c r="F471" s="44" t="n"/>
      <c r="G471" s="44" t="n"/>
      <c r="H471" s="44" t="n"/>
      <c r="I471" s="44" t="n"/>
      <c r="J471" s="44" t="n"/>
      <c r="K471" s="44" t="n"/>
      <c r="L471" s="44" t="n"/>
      <c r="M471" s="44" t="n"/>
      <c r="N471" s="44" t="n"/>
      <c r="O471" s="44" t="n"/>
    </row>
    <row r="472" ht="54" customHeight="1">
      <c r="A472" s="44" t="n"/>
      <c r="B472" s="44" t="n"/>
      <c r="C472" s="44" t="n"/>
      <c r="D472" s="44" t="n"/>
      <c r="E472" s="44" t="n"/>
      <c r="F472" s="44" t="n"/>
      <c r="G472" s="44" t="n"/>
      <c r="H472" s="44" t="n"/>
      <c r="I472" s="44" t="n"/>
      <c r="J472" s="44" t="n"/>
      <c r="K472" s="44" t="n"/>
      <c r="L472" s="44" t="n"/>
      <c r="M472" s="44" t="n"/>
      <c r="N472" s="44" t="n"/>
      <c r="O472" s="44" t="n"/>
    </row>
    <row r="473" ht="54" customHeight="1">
      <c r="A473" s="44" t="n"/>
      <c r="B473" s="44" t="n"/>
      <c r="C473" s="44" t="n"/>
      <c r="D473" s="44" t="n"/>
      <c r="E473" s="44" t="n"/>
      <c r="F473" s="44" t="n"/>
      <c r="G473" s="44" t="n"/>
      <c r="H473" s="44" t="n"/>
      <c r="I473" s="44" t="n"/>
      <c r="J473" s="44" t="n"/>
      <c r="K473" s="44" t="n"/>
      <c r="L473" s="44" t="n"/>
      <c r="M473" s="44" t="n"/>
      <c r="N473" s="44" t="n"/>
      <c r="O473" s="44" t="n"/>
    </row>
    <row r="474" ht="54" customHeight="1">
      <c r="A474" s="44" t="n"/>
      <c r="B474" s="44" t="n"/>
      <c r="C474" s="44" t="n"/>
      <c r="D474" s="44" t="n"/>
      <c r="E474" s="44" t="n"/>
      <c r="F474" s="44" t="n"/>
      <c r="G474" s="44" t="n"/>
      <c r="H474" s="44" t="n"/>
      <c r="I474" s="44" t="n"/>
      <c r="J474" s="44" t="n"/>
      <c r="K474" s="44" t="n"/>
      <c r="L474" s="44" t="n"/>
      <c r="M474" s="44" t="n"/>
      <c r="N474" s="44" t="n"/>
      <c r="O474" s="44" t="n"/>
    </row>
    <row r="475" ht="54" customHeight="1">
      <c r="A475" s="44" t="n"/>
      <c r="B475" s="44" t="n"/>
      <c r="C475" s="44" t="n"/>
      <c r="D475" s="44" t="n"/>
      <c r="E475" s="44" t="n"/>
      <c r="F475" s="44" t="n"/>
      <c r="G475" s="44" t="n"/>
      <c r="H475" s="44" t="n"/>
      <c r="I475" s="44" t="n"/>
      <c r="J475" s="44" t="n"/>
      <c r="K475" s="44" t="n"/>
      <c r="L475" s="44" t="n"/>
      <c r="M475" s="44" t="n"/>
      <c r="N475" s="44" t="n"/>
      <c r="O475" s="44" t="n"/>
    </row>
    <row r="476" ht="54" customHeight="1">
      <c r="A476" s="44" t="n"/>
      <c r="B476" s="44" t="n"/>
      <c r="C476" s="44" t="n"/>
      <c r="D476" s="44" t="n"/>
      <c r="E476" s="44" t="n"/>
      <c r="F476" s="44" t="n"/>
      <c r="G476" s="44" t="n"/>
      <c r="H476" s="44" t="n"/>
      <c r="I476" s="44" t="n"/>
      <c r="J476" s="44" t="n"/>
      <c r="K476" s="44" t="n"/>
      <c r="L476" s="44" t="n"/>
      <c r="M476" s="44" t="n"/>
      <c r="N476" s="44" t="n"/>
      <c r="O476" s="44" t="n"/>
    </row>
    <row r="477" ht="54" customHeight="1">
      <c r="A477" s="44" t="n"/>
      <c r="B477" s="44" t="n"/>
      <c r="C477" s="44" t="n"/>
      <c r="D477" s="44" t="n"/>
      <c r="E477" s="44" t="n"/>
      <c r="F477" s="44" t="n"/>
      <c r="G477" s="44" t="n"/>
      <c r="H477" s="44" t="n"/>
      <c r="I477" s="44" t="n"/>
      <c r="J477" s="44" t="n"/>
      <c r="K477" s="44" t="n"/>
      <c r="L477" s="44" t="n"/>
      <c r="M477" s="44" t="n"/>
      <c r="N477" s="44" t="n"/>
      <c r="O477" s="44" t="n"/>
    </row>
    <row r="478" ht="54" customHeight="1">
      <c r="A478" s="44" t="n"/>
      <c r="B478" s="44" t="n"/>
      <c r="C478" s="44" t="n"/>
      <c r="D478" s="44" t="n"/>
      <c r="E478" s="44" t="n"/>
      <c r="F478" s="44" t="n"/>
      <c r="G478" s="44" t="n"/>
      <c r="H478" s="44" t="n"/>
      <c r="I478" s="44" t="n"/>
      <c r="J478" s="44" t="n"/>
      <c r="K478" s="44" t="n"/>
      <c r="L478" s="44" t="n"/>
      <c r="M478" s="44" t="n"/>
      <c r="N478" s="44" t="n"/>
      <c r="O478" s="44" t="n"/>
    </row>
    <row r="479" ht="54" customHeight="1">
      <c r="A479" s="44" t="n"/>
      <c r="B479" s="44" t="n"/>
      <c r="C479" s="44" t="n"/>
      <c r="D479" s="44" t="n"/>
      <c r="E479" s="44" t="n"/>
      <c r="F479" s="44" t="n"/>
      <c r="G479" s="44" t="n"/>
      <c r="H479" s="44" t="n"/>
      <c r="I479" s="44" t="n"/>
      <c r="J479" s="44" t="n"/>
      <c r="K479" s="44" t="n"/>
      <c r="L479" s="44" t="n"/>
      <c r="M479" s="44" t="n"/>
      <c r="N479" s="44" t="n"/>
      <c r="O479" s="44" t="n"/>
    </row>
    <row r="480" ht="54" customHeight="1">
      <c r="A480" s="44" t="n"/>
      <c r="B480" s="44" t="n"/>
      <c r="C480" s="44" t="n"/>
      <c r="D480" s="44" t="n"/>
      <c r="E480" s="44" t="n"/>
      <c r="F480" s="44" t="n"/>
      <c r="G480" s="44" t="n"/>
      <c r="H480" s="44" t="n"/>
      <c r="I480" s="44" t="n"/>
      <c r="J480" s="44" t="n"/>
      <c r="K480" s="44" t="n"/>
      <c r="L480" s="44" t="n"/>
      <c r="M480" s="44" t="n"/>
      <c r="N480" s="44" t="n"/>
      <c r="O480" s="44" t="n"/>
    </row>
    <row r="481" ht="54" customHeight="1">
      <c r="A481" s="44" t="n"/>
      <c r="B481" s="44" t="n"/>
      <c r="C481" s="44" t="n"/>
      <c r="D481" s="44" t="n"/>
      <c r="E481" s="44" t="n"/>
      <c r="F481" s="44" t="n"/>
      <c r="G481" s="44" t="n"/>
      <c r="H481" s="44" t="n"/>
      <c r="I481" s="44" t="n"/>
      <c r="J481" s="44" t="n"/>
      <c r="K481" s="44" t="n"/>
      <c r="L481" s="44" t="n"/>
      <c r="M481" s="44" t="n"/>
      <c r="N481" s="44" t="n"/>
      <c r="O481" s="44" t="n"/>
    </row>
    <row r="482" ht="54" customHeight="1">
      <c r="A482" s="44" t="n"/>
      <c r="B482" s="44" t="n"/>
      <c r="C482" s="44" t="n"/>
      <c r="D482" s="44" t="n"/>
      <c r="E482" s="44" t="n"/>
      <c r="F482" s="44" t="n"/>
      <c r="G482" s="44" t="n"/>
      <c r="H482" s="44" t="n"/>
      <c r="I482" s="44" t="n"/>
      <c r="J482" s="44" t="n"/>
      <c r="K482" s="44" t="n"/>
      <c r="L482" s="44" t="n"/>
      <c r="M482" s="44" t="n"/>
      <c r="N482" s="44" t="n"/>
      <c r="O482" s="44" t="n"/>
    </row>
    <row r="483" ht="54" customHeight="1">
      <c r="A483" s="44" t="n"/>
      <c r="B483" s="44" t="n"/>
      <c r="C483" s="44" t="n"/>
      <c r="D483" s="44" t="n"/>
      <c r="E483" s="44" t="n"/>
      <c r="F483" s="44" t="n"/>
      <c r="G483" s="44" t="n"/>
      <c r="H483" s="44" t="n"/>
      <c r="I483" s="44" t="n"/>
      <c r="J483" s="44" t="n"/>
      <c r="K483" s="44" t="n"/>
      <c r="L483" s="44" t="n"/>
      <c r="M483" s="44" t="n"/>
      <c r="N483" s="44" t="n"/>
      <c r="O483" s="44" t="n"/>
    </row>
    <row r="484" ht="54" customHeight="1">
      <c r="A484" s="44" t="n"/>
      <c r="B484" s="44" t="n"/>
      <c r="C484" s="44" t="n"/>
      <c r="D484" s="44" t="n"/>
      <c r="E484" s="44" t="n"/>
      <c r="F484" s="44" t="n"/>
      <c r="G484" s="44" t="n"/>
      <c r="H484" s="44" t="n"/>
      <c r="I484" s="44" t="n"/>
      <c r="J484" s="44" t="n"/>
      <c r="K484" s="44" t="n"/>
      <c r="L484" s="44" t="n"/>
      <c r="M484" s="44" t="n"/>
      <c r="N484" s="44" t="n"/>
      <c r="O484" s="44" t="n"/>
    </row>
    <row r="485" ht="54" customHeight="1">
      <c r="A485" s="44" t="n"/>
      <c r="B485" s="44" t="n"/>
      <c r="C485" s="44" t="n"/>
      <c r="D485" s="44" t="n"/>
      <c r="E485" s="44" t="n"/>
      <c r="F485" s="44" t="n"/>
      <c r="G485" s="44" t="n"/>
      <c r="H485" s="44" t="n"/>
      <c r="I485" s="44" t="n"/>
      <c r="J485" s="44" t="n"/>
      <c r="K485" s="44" t="n"/>
      <c r="L485" s="44" t="n"/>
      <c r="M485" s="44" t="n"/>
      <c r="N485" s="44" t="n"/>
      <c r="O485" s="44" t="n"/>
    </row>
    <row r="486" ht="54" customHeight="1">
      <c r="A486" s="44" t="n"/>
      <c r="B486" s="44" t="n"/>
      <c r="C486" s="44" t="n"/>
      <c r="D486" s="44" t="n"/>
      <c r="E486" s="44" t="n"/>
      <c r="F486" s="44" t="n"/>
      <c r="G486" s="44" t="n"/>
      <c r="H486" s="44" t="n"/>
      <c r="I486" s="44" t="n"/>
      <c r="J486" s="44" t="n"/>
      <c r="K486" s="44" t="n"/>
      <c r="L486" s="44" t="n"/>
      <c r="M486" s="44" t="n"/>
      <c r="N486" s="44" t="n"/>
      <c r="O486" s="44" t="n"/>
    </row>
    <row r="487" ht="54" customHeight="1">
      <c r="A487" s="44" t="n"/>
      <c r="B487" s="44" t="n"/>
      <c r="C487" s="44" t="n"/>
      <c r="D487" s="44" t="n"/>
      <c r="E487" s="44" t="n"/>
      <c r="F487" s="44" t="n"/>
      <c r="G487" s="44" t="n"/>
      <c r="H487" s="44" t="n"/>
      <c r="I487" s="44" t="n"/>
      <c r="J487" s="44" t="n"/>
      <c r="K487" s="44" t="n"/>
      <c r="L487" s="44" t="n"/>
      <c r="M487" s="44" t="n"/>
      <c r="N487" s="44" t="n"/>
      <c r="O487" s="44" t="n"/>
    </row>
    <row r="488" ht="54" customHeight="1">
      <c r="A488" s="44" t="n"/>
      <c r="B488" s="44" t="n"/>
      <c r="C488" s="44" t="n"/>
      <c r="D488" s="44" t="n"/>
      <c r="E488" s="44" t="n"/>
      <c r="F488" s="44" t="n"/>
      <c r="G488" s="44" t="n"/>
      <c r="H488" s="44" t="n"/>
      <c r="I488" s="44" t="n"/>
      <c r="J488" s="44" t="n"/>
      <c r="K488" s="44" t="n"/>
      <c r="L488" s="44" t="n"/>
      <c r="M488" s="44" t="n"/>
      <c r="N488" s="44" t="n"/>
      <c r="O488" s="44" t="n"/>
    </row>
    <row r="489" ht="54" customHeight="1">
      <c r="A489" s="44" t="n"/>
      <c r="B489" s="44" t="n"/>
      <c r="C489" s="44" t="n"/>
      <c r="D489" s="44" t="n"/>
      <c r="E489" s="44" t="n"/>
      <c r="F489" s="44" t="n"/>
      <c r="G489" s="44" t="n"/>
      <c r="H489" s="44" t="n"/>
      <c r="I489" s="44" t="n"/>
      <c r="J489" s="44" t="n"/>
      <c r="K489" s="44" t="n"/>
      <c r="L489" s="44" t="n"/>
      <c r="M489" s="44" t="n"/>
      <c r="N489" s="44" t="n"/>
      <c r="O489" s="44" t="n"/>
    </row>
    <row r="490" ht="54" customHeight="1">
      <c r="A490" s="44" t="n"/>
      <c r="B490" s="44" t="n"/>
      <c r="C490" s="44" t="n"/>
      <c r="D490" s="44" t="n"/>
      <c r="E490" s="44" t="n"/>
      <c r="F490" s="44" t="n"/>
      <c r="G490" s="44" t="n"/>
      <c r="H490" s="44" t="n"/>
      <c r="I490" s="44" t="n"/>
      <c r="J490" s="44" t="n"/>
      <c r="K490" s="44" t="n"/>
      <c r="L490" s="44" t="n"/>
      <c r="M490" s="44" t="n"/>
      <c r="N490" s="44" t="n"/>
      <c r="O490" s="44" t="n"/>
    </row>
    <row r="491" ht="54" customHeight="1">
      <c r="A491" s="44" t="n"/>
      <c r="B491" s="44" t="n"/>
      <c r="C491" s="44" t="n"/>
      <c r="D491" s="44" t="n"/>
      <c r="E491" s="44" t="n"/>
      <c r="F491" s="44" t="n"/>
      <c r="G491" s="44" t="n"/>
      <c r="H491" s="44" t="n"/>
      <c r="I491" s="44" t="n"/>
      <c r="J491" s="44" t="n"/>
      <c r="K491" s="44" t="n"/>
      <c r="L491" s="44" t="n"/>
      <c r="M491" s="44" t="n"/>
      <c r="N491" s="44" t="n"/>
      <c r="O491" s="44" t="n"/>
    </row>
    <row r="492" ht="54" customHeight="1">
      <c r="A492" s="44" t="n"/>
      <c r="B492" s="44" t="n"/>
      <c r="C492" s="44" t="n"/>
      <c r="D492" s="44" t="n"/>
      <c r="E492" s="44" t="n"/>
      <c r="F492" s="44" t="n"/>
      <c r="G492" s="44" t="n"/>
      <c r="H492" s="44" t="n"/>
      <c r="I492" s="44" t="n"/>
      <c r="J492" s="44" t="n"/>
      <c r="K492" s="44" t="n"/>
      <c r="L492" s="44" t="n"/>
      <c r="M492" s="44" t="n"/>
      <c r="N492" s="44" t="n"/>
      <c r="O492" s="44" t="n"/>
    </row>
    <row r="493" ht="54" customHeight="1">
      <c r="A493" s="44" t="n"/>
      <c r="B493" s="44" t="n"/>
      <c r="C493" s="44" t="n"/>
      <c r="D493" s="44" t="n"/>
      <c r="E493" s="44" t="n"/>
      <c r="F493" s="44" t="n"/>
      <c r="G493" s="44" t="n"/>
      <c r="H493" s="44" t="n"/>
      <c r="I493" s="44" t="n"/>
      <c r="J493" s="44" t="n"/>
      <c r="K493" s="44" t="n"/>
      <c r="L493" s="44" t="n"/>
      <c r="M493" s="44" t="n"/>
      <c r="N493" s="44" t="n"/>
      <c r="O493" s="44" t="n"/>
    </row>
    <row r="494" ht="54" customHeight="1">
      <c r="A494" s="44" t="n"/>
      <c r="B494" s="44" t="n"/>
      <c r="C494" s="44" t="n"/>
      <c r="D494" s="44" t="n"/>
      <c r="E494" s="44" t="n"/>
      <c r="F494" s="44" t="n"/>
      <c r="G494" s="44" t="n"/>
      <c r="H494" s="44" t="n"/>
      <c r="I494" s="44" t="n"/>
      <c r="J494" s="44" t="n"/>
      <c r="K494" s="44" t="n"/>
      <c r="L494" s="44" t="n"/>
      <c r="M494" s="44" t="n"/>
      <c r="N494" s="44" t="n"/>
      <c r="O494" s="44" t="n"/>
    </row>
    <row r="495" ht="54" customHeight="1">
      <c r="A495" s="44" t="n"/>
      <c r="B495" s="44" t="n"/>
      <c r="C495" s="44" t="n"/>
      <c r="D495" s="44" t="n"/>
      <c r="E495" s="44" t="n"/>
      <c r="F495" s="44" t="n"/>
      <c r="G495" s="44" t="n"/>
      <c r="H495" s="44" t="n"/>
      <c r="I495" s="44" t="n"/>
      <c r="J495" s="44" t="n"/>
      <c r="K495" s="44" t="n"/>
      <c r="L495" s="44" t="n"/>
      <c r="M495" s="44" t="n"/>
      <c r="N495" s="44" t="n"/>
      <c r="O495" s="44" t="n"/>
    </row>
    <row r="496" ht="54" customHeight="1">
      <c r="A496" s="44" t="n"/>
      <c r="B496" s="44" t="n"/>
      <c r="C496" s="44" t="n"/>
      <c r="D496" s="44" t="n"/>
      <c r="E496" s="44" t="n"/>
      <c r="F496" s="44" t="n"/>
      <c r="G496" s="44" t="n"/>
      <c r="H496" s="44" t="n"/>
      <c r="I496" s="44" t="n"/>
      <c r="J496" s="44" t="n"/>
      <c r="K496" s="44" t="n"/>
      <c r="L496" s="44" t="n"/>
      <c r="M496" s="44" t="n"/>
      <c r="N496" s="44" t="n"/>
      <c r="O496" s="44" t="n"/>
    </row>
    <row r="497" ht="54" customHeight="1">
      <c r="A497" s="44" t="n"/>
      <c r="B497" s="44" t="n"/>
      <c r="C497" s="44" t="n"/>
      <c r="D497" s="44" t="n"/>
      <c r="E497" s="44" t="n"/>
      <c r="F497" s="44" t="n"/>
      <c r="G497" s="44" t="n"/>
      <c r="H497" s="44" t="n"/>
      <c r="I497" s="44" t="n"/>
      <c r="J497" s="44" t="n"/>
      <c r="K497" s="44" t="n"/>
      <c r="L497" s="44" t="n"/>
      <c r="M497" s="44" t="n"/>
      <c r="N497" s="44" t="n"/>
      <c r="O497" s="44" t="n"/>
    </row>
    <row r="498" ht="54" customHeight="1">
      <c r="A498" s="44" t="n"/>
      <c r="B498" s="44" t="n"/>
      <c r="C498" s="44" t="n"/>
      <c r="D498" s="44" t="n"/>
      <c r="E498" s="44" t="n"/>
      <c r="F498" s="44" t="n"/>
      <c r="G498" s="44" t="n"/>
      <c r="H498" s="44" t="n"/>
      <c r="I498" s="44" t="n"/>
      <c r="J498" s="44" t="n"/>
      <c r="K498" s="44" t="n"/>
      <c r="L498" s="44" t="n"/>
      <c r="M498" s="44" t="n"/>
      <c r="N498" s="44" t="n"/>
      <c r="O498" s="44" t="n"/>
    </row>
    <row r="499" ht="54" customHeight="1">
      <c r="A499" s="44" t="n"/>
      <c r="B499" s="44" t="n"/>
      <c r="C499" s="44" t="n"/>
      <c r="D499" s="44" t="n"/>
      <c r="E499" s="44" t="n"/>
      <c r="F499" s="44" t="n"/>
      <c r="G499" s="44" t="n"/>
      <c r="H499" s="44" t="n"/>
      <c r="I499" s="44" t="n"/>
      <c r="J499" s="44" t="n"/>
      <c r="K499" s="44" t="n"/>
      <c r="L499" s="44" t="n"/>
      <c r="M499" s="44" t="n"/>
      <c r="N499" s="44" t="n"/>
      <c r="O499" s="44" t="n"/>
    </row>
    <row r="500" ht="54" customHeight="1">
      <c r="A500" s="44" t="n"/>
      <c r="B500" s="44" t="n"/>
      <c r="C500" s="44" t="n"/>
      <c r="D500" s="44" t="n"/>
      <c r="E500" s="44" t="n"/>
      <c r="F500" s="44" t="n"/>
      <c r="G500" s="44" t="n"/>
      <c r="H500" s="44" t="n"/>
      <c r="I500" s="44" t="n"/>
      <c r="J500" s="44" t="n"/>
      <c r="K500" s="44" t="n"/>
      <c r="L500" s="44" t="n"/>
      <c r="M500" s="44" t="n"/>
      <c r="N500" s="44" t="n"/>
      <c r="O500" s="44" t="n"/>
    </row>
    <row r="501" ht="54" customHeight="1">
      <c r="A501" s="44" t="n"/>
      <c r="B501" s="44" t="n"/>
      <c r="C501" s="44" t="n"/>
      <c r="D501" s="44" t="n"/>
      <c r="E501" s="44" t="n"/>
      <c r="F501" s="44" t="n"/>
      <c r="G501" s="44" t="n"/>
      <c r="H501" s="44" t="n"/>
      <c r="I501" s="44" t="n"/>
      <c r="J501" s="44" t="n"/>
      <c r="K501" s="44" t="n"/>
      <c r="L501" s="44" t="n"/>
      <c r="M501" s="44" t="n"/>
      <c r="N501" s="44" t="n"/>
      <c r="O501" s="44" t="n"/>
    </row>
    <row r="502" ht="54" customHeight="1">
      <c r="A502" s="44" t="n"/>
      <c r="B502" s="44" t="n"/>
      <c r="C502" s="44" t="n"/>
      <c r="D502" s="44" t="n"/>
      <c r="E502" s="44" t="n"/>
      <c r="F502" s="44" t="n"/>
      <c r="G502" s="44" t="n"/>
      <c r="H502" s="44" t="n"/>
      <c r="I502" s="44" t="n"/>
      <c r="J502" s="44" t="n"/>
      <c r="K502" s="44" t="n"/>
      <c r="L502" s="44" t="n"/>
      <c r="M502" s="44" t="n"/>
      <c r="N502" s="44" t="n"/>
      <c r="O502" s="44" t="n"/>
    </row>
    <row r="503" ht="54" customHeight="1">
      <c r="A503" s="44" t="n"/>
      <c r="B503" s="44" t="n"/>
      <c r="C503" s="44" t="n"/>
      <c r="D503" s="44" t="n"/>
      <c r="E503" s="44" t="n"/>
      <c r="F503" s="44" t="n"/>
      <c r="G503" s="44" t="n"/>
      <c r="H503" s="44" t="n"/>
      <c r="I503" s="44" t="n"/>
      <c r="J503" s="44" t="n"/>
      <c r="K503" s="44" t="n"/>
      <c r="L503" s="44" t="n"/>
      <c r="M503" s="44" t="n"/>
      <c r="N503" s="44" t="n"/>
      <c r="O503" s="44" t="n"/>
    </row>
    <row r="504" ht="54" customHeight="1">
      <c r="A504" s="44" t="n"/>
      <c r="B504" s="44" t="n"/>
      <c r="C504" s="44" t="n"/>
      <c r="D504" s="44" t="n"/>
      <c r="E504" s="44" t="n"/>
      <c r="F504" s="44" t="n"/>
      <c r="G504" s="44" t="n"/>
      <c r="H504" s="44" t="n"/>
      <c r="I504" s="44" t="n"/>
      <c r="J504" s="44" t="n"/>
      <c r="K504" s="44" t="n"/>
      <c r="L504" s="44" t="n"/>
      <c r="M504" s="44" t="n"/>
      <c r="N504" s="44" t="n"/>
      <c r="O504" s="44" t="n"/>
    </row>
    <row r="505" ht="54" customHeight="1">
      <c r="A505" s="44" t="n"/>
      <c r="B505" s="44" t="n"/>
      <c r="C505" s="44" t="n"/>
      <c r="D505" s="44" t="n"/>
      <c r="E505" s="44" t="n"/>
      <c r="F505" s="44" t="n"/>
      <c r="G505" s="44" t="n"/>
      <c r="H505" s="44" t="n"/>
      <c r="I505" s="44" t="n"/>
      <c r="J505" s="44" t="n"/>
      <c r="K505" s="44" t="n"/>
      <c r="L505" s="44" t="n"/>
      <c r="M505" s="44" t="n"/>
      <c r="N505" s="44" t="n"/>
      <c r="O505" s="44" t="n"/>
    </row>
    <row r="506" ht="54" customHeight="1">
      <c r="A506" s="44" t="n"/>
      <c r="B506" s="44" t="n"/>
      <c r="C506" s="44" t="n"/>
      <c r="D506" s="44" t="n"/>
      <c r="E506" s="44" t="n"/>
      <c r="F506" s="44" t="n"/>
      <c r="G506" s="44" t="n"/>
      <c r="H506" s="44" t="n"/>
      <c r="I506" s="44" t="n"/>
      <c r="J506" s="44" t="n"/>
      <c r="K506" s="44" t="n"/>
      <c r="L506" s="44" t="n"/>
      <c r="M506" s="44" t="n"/>
      <c r="N506" s="44" t="n"/>
      <c r="O506" s="44" t="n"/>
    </row>
    <row r="507" ht="54" customHeight="1">
      <c r="A507" s="44" t="n"/>
      <c r="B507" s="44" t="n"/>
      <c r="C507" s="44" t="n"/>
      <c r="D507" s="44" t="n"/>
      <c r="E507" s="44" t="n"/>
      <c r="F507" s="44" t="n"/>
      <c r="G507" s="44" t="n"/>
      <c r="H507" s="44" t="n"/>
      <c r="I507" s="44" t="n"/>
      <c r="J507" s="44" t="n"/>
      <c r="K507" s="44" t="n"/>
      <c r="L507" s="44" t="n"/>
      <c r="M507" s="44" t="n"/>
      <c r="N507" s="44" t="n"/>
      <c r="O507" s="44" t="n"/>
    </row>
    <row r="508" ht="54" customHeight="1">
      <c r="A508" s="44" t="n"/>
      <c r="B508" s="44" t="n"/>
      <c r="C508" s="44" t="n"/>
      <c r="D508" s="44" t="n"/>
      <c r="E508" s="44" t="n"/>
      <c r="F508" s="44" t="n"/>
      <c r="G508" s="44" t="n"/>
      <c r="H508" s="44" t="n"/>
      <c r="I508" s="44" t="n"/>
      <c r="J508" s="44" t="n"/>
      <c r="K508" s="44" t="n"/>
      <c r="L508" s="44" t="n"/>
      <c r="M508" s="44" t="n"/>
      <c r="N508" s="44" t="n"/>
      <c r="O508" s="44" t="n"/>
    </row>
    <row r="509" ht="54" customHeight="1">
      <c r="A509" s="44" t="n"/>
      <c r="B509" s="44" t="n"/>
      <c r="C509" s="44" t="n"/>
      <c r="D509" s="44" t="n"/>
      <c r="E509" s="44" t="n"/>
      <c r="F509" s="44" t="n"/>
      <c r="G509" s="44" t="n"/>
      <c r="H509" s="44" t="n"/>
      <c r="I509" s="44" t="n"/>
      <c r="J509" s="44" t="n"/>
      <c r="K509" s="44" t="n"/>
      <c r="L509" s="44" t="n"/>
      <c r="M509" s="44" t="n"/>
      <c r="N509" s="44" t="n"/>
      <c r="O509" s="44" t="n"/>
    </row>
    <row r="510" ht="54" customHeight="1">
      <c r="A510" s="44" t="n"/>
      <c r="B510" s="44" t="n"/>
      <c r="C510" s="44" t="n"/>
      <c r="D510" s="44" t="n"/>
      <c r="E510" s="44" t="n"/>
      <c r="F510" s="44" t="n"/>
      <c r="G510" s="44" t="n"/>
      <c r="H510" s="44" t="n"/>
      <c r="I510" s="44" t="n"/>
      <c r="J510" s="44" t="n"/>
      <c r="K510" s="44" t="n"/>
      <c r="L510" s="44" t="n"/>
      <c r="M510" s="44" t="n"/>
      <c r="N510" s="44" t="n"/>
      <c r="O510" s="44" t="n"/>
    </row>
    <row r="511" ht="54" customHeight="1">
      <c r="A511" s="44" t="n"/>
      <c r="B511" s="44" t="n"/>
      <c r="C511" s="44" t="n"/>
      <c r="D511" s="44" t="n"/>
      <c r="E511" s="44" t="n"/>
      <c r="F511" s="44" t="n"/>
      <c r="G511" s="44" t="n"/>
      <c r="H511" s="44" t="n"/>
      <c r="I511" s="44" t="n"/>
      <c r="J511" s="44" t="n"/>
      <c r="K511" s="44" t="n"/>
      <c r="L511" s="44" t="n"/>
      <c r="M511" s="44" t="n"/>
      <c r="N511" s="44" t="n"/>
      <c r="O511" s="44" t="n"/>
    </row>
    <row r="512" ht="54" customHeight="1">
      <c r="A512" s="44" t="n"/>
      <c r="B512" s="44" t="n"/>
      <c r="C512" s="44" t="n"/>
      <c r="D512" s="44" t="n"/>
      <c r="E512" s="44" t="n"/>
      <c r="F512" s="44" t="n"/>
      <c r="G512" s="44" t="n"/>
      <c r="H512" s="44" t="n"/>
      <c r="I512" s="44" t="n"/>
      <c r="J512" s="44" t="n"/>
      <c r="K512" s="44" t="n"/>
      <c r="L512" s="44" t="n"/>
      <c r="M512" s="44" t="n"/>
      <c r="N512" s="44" t="n"/>
      <c r="O512" s="44" t="n"/>
    </row>
    <row r="513" ht="54" customHeight="1">
      <c r="A513" s="44" t="n"/>
      <c r="B513" s="44" t="n"/>
      <c r="C513" s="44" t="n"/>
      <c r="D513" s="44" t="n"/>
      <c r="E513" s="44" t="n"/>
      <c r="F513" s="44" t="n"/>
      <c r="G513" s="44" t="n"/>
      <c r="H513" s="44" t="n"/>
      <c r="I513" s="44" t="n"/>
      <c r="J513" s="44" t="n"/>
      <c r="K513" s="44" t="n"/>
      <c r="L513" s="44" t="n"/>
      <c r="M513" s="44" t="n"/>
      <c r="N513" s="44" t="n"/>
      <c r="O513" s="44" t="n"/>
    </row>
    <row r="514" ht="54" customHeight="1">
      <c r="A514" s="44" t="n"/>
      <c r="B514" s="44" t="n"/>
      <c r="C514" s="44" t="n"/>
      <c r="D514" s="44" t="n"/>
      <c r="E514" s="44" t="n"/>
      <c r="F514" s="44" t="n"/>
      <c r="G514" s="44" t="n"/>
      <c r="H514" s="44" t="n"/>
      <c r="I514" s="44" t="n"/>
      <c r="J514" s="44" t="n"/>
      <c r="K514" s="44" t="n"/>
      <c r="L514" s="44" t="n"/>
      <c r="M514" s="44" t="n"/>
      <c r="N514" s="44" t="n"/>
      <c r="O514" s="44" t="n"/>
    </row>
    <row r="515" ht="54" customHeight="1">
      <c r="A515" s="44" t="n"/>
      <c r="B515" s="44" t="n"/>
      <c r="C515" s="44" t="n"/>
      <c r="D515" s="44" t="n"/>
      <c r="E515" s="44" t="n"/>
      <c r="F515" s="44" t="n"/>
      <c r="G515" s="44" t="n"/>
      <c r="H515" s="44" t="n"/>
      <c r="I515" s="44" t="n"/>
      <c r="J515" s="44" t="n"/>
      <c r="K515" s="44" t="n"/>
      <c r="L515" s="44" t="n"/>
      <c r="M515" s="44" t="n"/>
      <c r="N515" s="44" t="n"/>
      <c r="O515" s="44" t="n"/>
    </row>
    <row r="516" ht="54" customHeight="1">
      <c r="A516" s="44" t="n"/>
      <c r="B516" s="44" t="n"/>
      <c r="C516" s="44" t="n"/>
      <c r="D516" s="44" t="n"/>
      <c r="E516" s="44" t="n"/>
      <c r="F516" s="44" t="n"/>
      <c r="G516" s="44" t="n"/>
      <c r="H516" s="44" t="n"/>
      <c r="I516" s="44" t="n"/>
      <c r="J516" s="44" t="n"/>
      <c r="K516" s="44" t="n"/>
      <c r="L516" s="44" t="n"/>
      <c r="M516" s="44" t="n"/>
      <c r="N516" s="44" t="n"/>
      <c r="O516" s="44" t="n"/>
    </row>
    <row r="517" ht="54" customHeight="1">
      <c r="A517" s="44" t="n"/>
      <c r="B517" s="44" t="n"/>
      <c r="C517" s="44" t="n"/>
      <c r="D517" s="44" t="n"/>
      <c r="E517" s="44" t="n"/>
      <c r="F517" s="44" t="n"/>
      <c r="G517" s="44" t="n"/>
      <c r="H517" s="44" t="n"/>
      <c r="I517" s="44" t="n"/>
      <c r="J517" s="44" t="n"/>
      <c r="K517" s="44" t="n"/>
      <c r="L517" s="44" t="n"/>
      <c r="M517" s="44" t="n"/>
      <c r="N517" s="44" t="n"/>
      <c r="O517" s="44" t="n"/>
    </row>
    <row r="518" ht="54" customHeight="1">
      <c r="A518" s="44" t="n"/>
      <c r="B518" s="44" t="n"/>
      <c r="C518" s="44" t="n"/>
      <c r="D518" s="44" t="n"/>
      <c r="E518" s="44" t="n"/>
      <c r="F518" s="44" t="n"/>
      <c r="G518" s="44" t="n"/>
      <c r="H518" s="44" t="n"/>
      <c r="I518" s="44" t="n"/>
      <c r="J518" s="44" t="n"/>
      <c r="K518" s="44" t="n"/>
      <c r="L518" s="44" t="n"/>
      <c r="M518" s="44" t="n"/>
      <c r="N518" s="44" t="n"/>
      <c r="O518" s="44" t="n"/>
    </row>
    <row r="519" ht="54" customHeight="1">
      <c r="A519" s="44" t="n"/>
      <c r="B519" s="44" t="n"/>
      <c r="C519" s="44" t="n"/>
      <c r="D519" s="44" t="n"/>
      <c r="E519" s="44" t="n"/>
      <c r="F519" s="44" t="n"/>
      <c r="G519" s="44" t="n"/>
      <c r="H519" s="44" t="n"/>
      <c r="I519" s="44" t="n"/>
      <c r="J519" s="44" t="n"/>
      <c r="K519" s="44" t="n"/>
      <c r="L519" s="44" t="n"/>
      <c r="M519" s="44" t="n"/>
      <c r="N519" s="44" t="n"/>
      <c r="O519" s="44" t="n"/>
    </row>
    <row r="520" ht="54" customHeight="1">
      <c r="A520" s="44" t="n"/>
      <c r="B520" s="44" t="n"/>
      <c r="C520" s="44" t="n"/>
      <c r="D520" s="44" t="n"/>
      <c r="E520" s="44" t="n"/>
      <c r="F520" s="44" t="n"/>
      <c r="G520" s="44" t="n"/>
      <c r="H520" s="44" t="n"/>
      <c r="I520" s="44" t="n"/>
      <c r="J520" s="44" t="n"/>
      <c r="K520" s="44" t="n"/>
      <c r="L520" s="44" t="n"/>
      <c r="M520" s="44" t="n"/>
      <c r="N520" s="44" t="n"/>
      <c r="O520" s="44" t="n"/>
    </row>
    <row r="521" ht="54" customHeight="1">
      <c r="A521" s="44" t="n"/>
      <c r="B521" s="44" t="n"/>
      <c r="C521" s="44" t="n"/>
      <c r="D521" s="44" t="n"/>
      <c r="E521" s="44" t="n"/>
      <c r="F521" s="44" t="n"/>
      <c r="G521" s="44" t="n"/>
      <c r="H521" s="44" t="n"/>
      <c r="I521" s="44" t="n"/>
      <c r="J521" s="44" t="n"/>
      <c r="K521" s="44" t="n"/>
      <c r="L521" s="44" t="n"/>
      <c r="M521" s="44" t="n"/>
      <c r="N521" s="44" t="n"/>
      <c r="O521" s="44" t="n"/>
    </row>
    <row r="522" ht="54" customHeight="1">
      <c r="A522" s="44" t="n"/>
      <c r="B522" s="44" t="n"/>
      <c r="C522" s="44" t="n"/>
      <c r="D522" s="44" t="n"/>
      <c r="E522" s="44" t="n"/>
      <c r="F522" s="44" t="n"/>
      <c r="G522" s="44" t="n"/>
      <c r="H522" s="44" t="n"/>
      <c r="I522" s="44" t="n"/>
      <c r="J522" s="44" t="n"/>
      <c r="K522" s="44" t="n"/>
      <c r="L522" s="44" t="n"/>
      <c r="M522" s="44" t="n"/>
      <c r="N522" s="44" t="n"/>
      <c r="O522" s="44" t="n"/>
    </row>
    <row r="523" ht="54" customHeight="1">
      <c r="A523" s="44" t="n"/>
      <c r="B523" s="44" t="n"/>
      <c r="C523" s="44" t="n"/>
      <c r="D523" s="44" t="n"/>
      <c r="E523" s="44" t="n"/>
      <c r="F523" s="44" t="n"/>
      <c r="G523" s="44" t="n"/>
      <c r="H523" s="44" t="n"/>
      <c r="I523" s="44" t="n"/>
      <c r="J523" s="44" t="n"/>
      <c r="K523" s="44" t="n"/>
      <c r="L523" s="44" t="n"/>
      <c r="M523" s="44" t="n"/>
      <c r="N523" s="44" t="n"/>
      <c r="O523" s="44" t="n"/>
    </row>
    <row r="524" ht="54" customHeight="1">
      <c r="A524" s="44" t="n"/>
      <c r="B524" s="44" t="n"/>
      <c r="C524" s="44" t="n"/>
      <c r="D524" s="44" t="n"/>
      <c r="E524" s="44" t="n"/>
      <c r="F524" s="44" t="n"/>
      <c r="G524" s="44" t="n"/>
      <c r="H524" s="44" t="n"/>
      <c r="I524" s="44" t="n"/>
      <c r="J524" s="44" t="n"/>
      <c r="K524" s="44" t="n"/>
      <c r="L524" s="44" t="n"/>
      <c r="M524" s="44" t="n"/>
      <c r="N524" s="44" t="n"/>
      <c r="O524" s="44" t="n"/>
    </row>
    <row r="525" ht="54" customHeight="1">
      <c r="A525" s="44" t="n"/>
      <c r="B525" s="44" t="n"/>
      <c r="C525" s="44" t="n"/>
      <c r="D525" s="44" t="n"/>
      <c r="E525" s="44" t="n"/>
      <c r="F525" s="44" t="n"/>
      <c r="G525" s="44" t="n"/>
      <c r="H525" s="44" t="n"/>
      <c r="I525" s="44" t="n"/>
      <c r="J525" s="44" t="n"/>
      <c r="K525" s="44" t="n"/>
      <c r="L525" s="44" t="n"/>
      <c r="M525" s="44" t="n"/>
      <c r="N525" s="44" t="n"/>
      <c r="O525" s="44" t="n"/>
    </row>
    <row r="526" ht="54" customHeight="1">
      <c r="A526" s="44" t="n"/>
      <c r="B526" s="44" t="n"/>
      <c r="C526" s="44" t="n"/>
      <c r="D526" s="44" t="n"/>
      <c r="E526" s="44" t="n"/>
      <c r="F526" s="44" t="n"/>
      <c r="G526" s="44" t="n"/>
      <c r="H526" s="44" t="n"/>
      <c r="I526" s="44" t="n"/>
      <c r="J526" s="44" t="n"/>
      <c r="K526" s="44" t="n"/>
      <c r="L526" s="44" t="n"/>
      <c r="M526" s="44" t="n"/>
      <c r="N526" s="44" t="n"/>
      <c r="O526" s="44" t="n"/>
    </row>
    <row r="527" ht="54" customHeight="1">
      <c r="A527" s="44" t="n"/>
      <c r="B527" s="44" t="n"/>
      <c r="C527" s="44" t="n"/>
      <c r="D527" s="44" t="n"/>
      <c r="E527" s="44" t="n"/>
      <c r="F527" s="44" t="n"/>
      <c r="G527" s="44" t="n"/>
      <c r="H527" s="44" t="n"/>
      <c r="I527" s="44" t="n"/>
      <c r="J527" s="44" t="n"/>
      <c r="K527" s="44" t="n"/>
      <c r="L527" s="44" t="n"/>
      <c r="M527" s="44" t="n"/>
      <c r="N527" s="44" t="n"/>
      <c r="O527" s="44" t="n"/>
    </row>
    <row r="528" ht="54" customHeight="1">
      <c r="A528" s="44" t="n"/>
      <c r="B528" s="44" t="n"/>
      <c r="C528" s="44" t="n"/>
      <c r="D528" s="44" t="n"/>
      <c r="E528" s="44" t="n"/>
      <c r="F528" s="44" t="n"/>
      <c r="G528" s="44" t="n"/>
      <c r="H528" s="44" t="n"/>
      <c r="I528" s="44" t="n"/>
      <c r="J528" s="44" t="n"/>
      <c r="K528" s="44" t="n"/>
      <c r="L528" s="44" t="n"/>
      <c r="M528" s="44" t="n"/>
      <c r="N528" s="44" t="n"/>
      <c r="O528" s="44" t="n"/>
    </row>
    <row r="529" ht="54" customHeight="1">
      <c r="A529" s="44" t="n"/>
      <c r="B529" s="44" t="n"/>
      <c r="C529" s="44" t="n"/>
      <c r="D529" s="44" t="n"/>
      <c r="E529" s="44" t="n"/>
      <c r="F529" s="44" t="n"/>
      <c r="G529" s="44" t="n"/>
      <c r="H529" s="44" t="n"/>
      <c r="I529" s="44" t="n"/>
      <c r="J529" s="44" t="n"/>
      <c r="K529" s="44" t="n"/>
      <c r="L529" s="44" t="n"/>
      <c r="M529" s="44" t="n"/>
      <c r="N529" s="44" t="n"/>
      <c r="O529" s="44" t="n"/>
    </row>
    <row r="530" ht="54" customHeight="1">
      <c r="A530" s="44" t="n"/>
      <c r="B530" s="44" t="n"/>
      <c r="C530" s="44" t="n"/>
      <c r="D530" s="44" t="n"/>
      <c r="E530" s="44" t="n"/>
      <c r="F530" s="44" t="n"/>
      <c r="G530" s="44" t="n"/>
      <c r="H530" s="44" t="n"/>
      <c r="I530" s="44" t="n"/>
      <c r="J530" s="44" t="n"/>
      <c r="K530" s="44" t="n"/>
      <c r="L530" s="44" t="n"/>
      <c r="M530" s="44" t="n"/>
      <c r="N530" s="44" t="n"/>
      <c r="O530" s="44" t="n"/>
    </row>
    <row r="531" ht="54" customHeight="1">
      <c r="A531" s="44" t="n"/>
      <c r="B531" s="44" t="n"/>
      <c r="C531" s="44" t="n"/>
      <c r="D531" s="44" t="n"/>
      <c r="E531" s="44" t="n"/>
      <c r="F531" s="44" t="n"/>
      <c r="G531" s="44" t="n"/>
      <c r="H531" s="44" t="n"/>
      <c r="I531" s="44" t="n"/>
      <c r="J531" s="44" t="n"/>
      <c r="K531" s="44" t="n"/>
      <c r="L531" s="44" t="n"/>
      <c r="M531" s="44" t="n"/>
      <c r="N531" s="44" t="n"/>
      <c r="O531" s="44" t="n"/>
    </row>
    <row r="532" ht="54" customHeight="1">
      <c r="A532" s="44" t="n"/>
      <c r="B532" s="44" t="n"/>
      <c r="C532" s="44" t="n"/>
      <c r="D532" s="44" t="n"/>
      <c r="E532" s="44" t="n"/>
      <c r="F532" s="44" t="n"/>
      <c r="G532" s="44" t="n"/>
      <c r="H532" s="44" t="n"/>
      <c r="I532" s="44" t="n"/>
      <c r="J532" s="44" t="n"/>
      <c r="K532" s="44" t="n"/>
      <c r="L532" s="44" t="n"/>
      <c r="M532" s="44" t="n"/>
      <c r="N532" s="44" t="n"/>
      <c r="O532" s="44" t="n"/>
    </row>
    <row r="533" ht="54" customHeight="1">
      <c r="A533" s="44" t="n"/>
      <c r="B533" s="44" t="n"/>
      <c r="C533" s="44" t="n"/>
      <c r="D533" s="44" t="n"/>
      <c r="E533" s="44" t="n"/>
      <c r="F533" s="44" t="n"/>
      <c r="G533" s="44" t="n"/>
      <c r="H533" s="44" t="n"/>
      <c r="I533" s="44" t="n"/>
      <c r="J533" s="44" t="n"/>
      <c r="K533" s="44" t="n"/>
      <c r="L533" s="44" t="n"/>
      <c r="M533" s="44" t="n"/>
      <c r="N533" s="44" t="n"/>
      <c r="O533" s="44" t="n"/>
    </row>
    <row r="534" ht="54" customHeight="1">
      <c r="A534" s="44" t="n"/>
      <c r="B534" s="44" t="n"/>
      <c r="C534" s="44" t="n"/>
      <c r="D534" s="44" t="n"/>
      <c r="E534" s="44" t="n"/>
      <c r="F534" s="44" t="n"/>
      <c r="G534" s="44" t="n"/>
      <c r="H534" s="44" t="n"/>
      <c r="I534" s="44" t="n"/>
      <c r="J534" s="44" t="n"/>
      <c r="K534" s="44" t="n"/>
      <c r="L534" s="44" t="n"/>
      <c r="M534" s="44" t="n"/>
      <c r="N534" s="44" t="n"/>
      <c r="O534" s="44" t="n"/>
    </row>
    <row r="535" ht="54" customHeight="1">
      <c r="A535" s="44" t="n"/>
      <c r="B535" s="44" t="n"/>
      <c r="C535" s="44" t="n"/>
      <c r="D535" s="44" t="n"/>
      <c r="E535" s="44" t="n"/>
      <c r="F535" s="44" t="n"/>
      <c r="G535" s="44" t="n"/>
      <c r="H535" s="44" t="n"/>
      <c r="I535" s="44" t="n"/>
      <c r="J535" s="44" t="n"/>
      <c r="K535" s="44" t="n"/>
      <c r="L535" s="44" t="n"/>
      <c r="M535" s="44" t="n"/>
      <c r="N535" s="44" t="n"/>
      <c r="O535" s="44" t="n"/>
    </row>
    <row r="536" ht="54" customHeight="1">
      <c r="A536" s="44" t="n"/>
      <c r="B536" s="44" t="n"/>
      <c r="C536" s="44" t="n"/>
      <c r="D536" s="44" t="n"/>
      <c r="E536" s="44" t="n"/>
      <c r="F536" s="44" t="n"/>
      <c r="G536" s="44" t="n"/>
      <c r="H536" s="44" t="n"/>
      <c r="I536" s="44" t="n"/>
      <c r="J536" s="44" t="n"/>
      <c r="K536" s="44" t="n"/>
      <c r="L536" s="44" t="n"/>
      <c r="M536" s="44" t="n"/>
      <c r="N536" s="44" t="n"/>
      <c r="O536" s="44" t="n"/>
    </row>
    <row r="537" ht="54" customHeight="1">
      <c r="A537" s="44" t="n"/>
      <c r="B537" s="44" t="n"/>
      <c r="C537" s="44" t="n"/>
      <c r="D537" s="44" t="n"/>
      <c r="E537" s="44" t="n"/>
      <c r="F537" s="44" t="n"/>
      <c r="G537" s="44" t="n"/>
      <c r="H537" s="44" t="n"/>
      <c r="I537" s="44" t="n"/>
      <c r="J537" s="44" t="n"/>
      <c r="K537" s="44" t="n"/>
      <c r="L537" s="44" t="n"/>
      <c r="M537" s="44" t="n"/>
      <c r="N537" s="44" t="n"/>
      <c r="O537" s="44" t="n"/>
    </row>
    <row r="538" ht="54" customHeight="1">
      <c r="A538" s="44" t="n"/>
      <c r="B538" s="44" t="n"/>
      <c r="C538" s="44" t="n"/>
      <c r="D538" s="44" t="n"/>
      <c r="E538" s="44" t="n"/>
      <c r="F538" s="44" t="n"/>
      <c r="G538" s="44" t="n"/>
      <c r="H538" s="44" t="n"/>
      <c r="I538" s="44" t="n"/>
      <c r="J538" s="44" t="n"/>
      <c r="K538" s="44" t="n"/>
      <c r="L538" s="44" t="n"/>
      <c r="M538" s="44" t="n"/>
      <c r="N538" s="44" t="n"/>
      <c r="O538" s="44" t="n"/>
    </row>
    <row r="539" ht="54" customHeight="1">
      <c r="A539" s="44" t="n"/>
      <c r="B539" s="44" t="n"/>
      <c r="C539" s="44" t="n"/>
      <c r="D539" s="44" t="n"/>
      <c r="E539" s="44" t="n"/>
      <c r="F539" s="44" t="n"/>
      <c r="G539" s="44" t="n"/>
      <c r="H539" s="44" t="n"/>
      <c r="I539" s="44" t="n"/>
      <c r="J539" s="44" t="n"/>
      <c r="K539" s="44" t="n"/>
      <c r="L539" s="44" t="n"/>
      <c r="M539" s="44" t="n"/>
      <c r="N539" s="44" t="n"/>
      <c r="O539" s="44" t="n"/>
    </row>
    <row r="540" ht="54" customHeight="1">
      <c r="A540" s="44" t="n"/>
      <c r="B540" s="44" t="n"/>
      <c r="C540" s="44" t="n"/>
      <c r="D540" s="44" t="n"/>
      <c r="E540" s="44" t="n"/>
      <c r="F540" s="44" t="n"/>
      <c r="G540" s="44" t="n"/>
      <c r="H540" s="44" t="n"/>
      <c r="I540" s="44" t="n"/>
      <c r="J540" s="44" t="n"/>
      <c r="K540" s="44" t="n"/>
      <c r="L540" s="44" t="n"/>
      <c r="M540" s="44" t="n"/>
      <c r="N540" s="44" t="n"/>
      <c r="O540" s="44" t="n"/>
    </row>
    <row r="541" ht="54" customHeight="1">
      <c r="A541" s="44" t="n"/>
      <c r="B541" s="44" t="n"/>
      <c r="C541" s="44" t="n"/>
      <c r="D541" s="44" t="n"/>
      <c r="E541" s="44" t="n"/>
      <c r="F541" s="44" t="n"/>
      <c r="G541" s="44" t="n"/>
      <c r="H541" s="44" t="n"/>
      <c r="I541" s="44" t="n"/>
      <c r="J541" s="44" t="n"/>
      <c r="K541" s="44" t="n"/>
      <c r="L541" s="44" t="n"/>
      <c r="M541" s="44" t="n"/>
      <c r="N541" s="44" t="n"/>
      <c r="O541" s="44" t="n"/>
    </row>
    <row r="542" ht="54" customHeight="1">
      <c r="A542" s="44" t="n"/>
      <c r="B542" s="44" t="n"/>
      <c r="C542" s="44" t="n"/>
      <c r="D542" s="44" t="n"/>
      <c r="E542" s="44" t="n"/>
      <c r="F542" s="44" t="n"/>
      <c r="G542" s="44" t="n"/>
      <c r="H542" s="44" t="n"/>
      <c r="I542" s="44" t="n"/>
      <c r="J542" s="44" t="n"/>
      <c r="K542" s="44" t="n"/>
      <c r="L542" s="44" t="n"/>
      <c r="M542" s="44" t="n"/>
      <c r="N542" s="44" t="n"/>
      <c r="O542" s="44" t="n"/>
    </row>
    <row r="543" ht="54" customHeight="1">
      <c r="A543" s="44" t="n"/>
      <c r="B543" s="44" t="n"/>
      <c r="C543" s="44" t="n"/>
      <c r="D543" s="44" t="n"/>
      <c r="E543" s="44" t="n"/>
      <c r="F543" s="44" t="n"/>
      <c r="G543" s="44" t="n"/>
      <c r="H543" s="44" t="n"/>
      <c r="I543" s="44" t="n"/>
      <c r="J543" s="44" t="n"/>
      <c r="K543" s="44" t="n"/>
      <c r="L543" s="44" t="n"/>
      <c r="M543" s="44" t="n"/>
      <c r="N543" s="44" t="n"/>
      <c r="O543" s="44" t="n"/>
    </row>
    <row r="544" ht="54" customHeight="1">
      <c r="A544" s="44" t="n"/>
      <c r="B544" s="44" t="n"/>
      <c r="C544" s="44" t="n"/>
      <c r="D544" s="44" t="n"/>
      <c r="E544" s="44" t="n"/>
      <c r="F544" s="44" t="n"/>
      <c r="G544" s="44" t="n"/>
      <c r="H544" s="44" t="n"/>
      <c r="I544" s="44" t="n"/>
      <c r="J544" s="44" t="n"/>
      <c r="K544" s="44" t="n"/>
      <c r="L544" s="44" t="n"/>
      <c r="M544" s="44" t="n"/>
      <c r="N544" s="44" t="n"/>
      <c r="O544" s="44" t="n"/>
    </row>
    <row r="545" ht="54" customHeight="1">
      <c r="A545" s="44" t="n"/>
      <c r="B545" s="44" t="n"/>
      <c r="C545" s="44" t="n"/>
      <c r="D545" s="44" t="n"/>
      <c r="E545" s="44" t="n"/>
      <c r="F545" s="44" t="n"/>
      <c r="G545" s="44" t="n"/>
      <c r="H545" s="44" t="n"/>
      <c r="I545" s="44" t="n"/>
      <c r="J545" s="44" t="n"/>
      <c r="K545" s="44" t="n"/>
      <c r="L545" s="44" t="n"/>
      <c r="M545" s="44" t="n"/>
      <c r="N545" s="44" t="n"/>
      <c r="O545" s="44" t="n"/>
    </row>
    <row r="546" ht="54" customHeight="1">
      <c r="A546" s="44" t="n"/>
      <c r="B546" s="44" t="n"/>
      <c r="C546" s="44" t="n"/>
      <c r="D546" s="44" t="n"/>
      <c r="E546" s="44" t="n"/>
      <c r="F546" s="44" t="n"/>
      <c r="G546" s="44" t="n"/>
      <c r="H546" s="44" t="n"/>
      <c r="I546" s="44" t="n"/>
      <c r="J546" s="44" t="n"/>
      <c r="K546" s="44" t="n"/>
      <c r="L546" s="44" t="n"/>
      <c r="M546" s="44" t="n"/>
      <c r="N546" s="44" t="n"/>
      <c r="O546" s="44" t="n"/>
    </row>
    <row r="547" ht="54" customHeight="1">
      <c r="A547" s="44" t="n"/>
      <c r="B547" s="44" t="n"/>
      <c r="C547" s="44" t="n"/>
      <c r="D547" s="44" t="n"/>
      <c r="E547" s="44" t="n"/>
      <c r="F547" s="44" t="n"/>
      <c r="G547" s="44" t="n"/>
      <c r="H547" s="44" t="n"/>
      <c r="I547" s="44" t="n"/>
      <c r="J547" s="44" t="n"/>
      <c r="K547" s="44" t="n"/>
      <c r="L547" s="44" t="n"/>
      <c r="M547" s="44" t="n"/>
      <c r="N547" s="44" t="n"/>
      <c r="O547" s="44" t="n"/>
    </row>
    <row r="548" ht="54" customHeight="1">
      <c r="A548" s="44" t="n"/>
      <c r="B548" s="44" t="n"/>
      <c r="C548" s="44" t="n"/>
      <c r="D548" s="44" t="n"/>
      <c r="E548" s="44" t="n"/>
      <c r="F548" s="44" t="n"/>
      <c r="G548" s="44" t="n"/>
      <c r="H548" s="44" t="n"/>
      <c r="I548" s="44" t="n"/>
      <c r="J548" s="44" t="n"/>
      <c r="K548" s="44" t="n"/>
      <c r="L548" s="44" t="n"/>
      <c r="M548" s="44" t="n"/>
      <c r="N548" s="44" t="n"/>
      <c r="O548" s="44" t="n"/>
    </row>
    <row r="549" ht="54" customHeight="1">
      <c r="A549" s="44" t="n"/>
      <c r="B549" s="44" t="n"/>
      <c r="C549" s="44" t="n"/>
      <c r="D549" s="44" t="n"/>
      <c r="E549" s="44" t="n"/>
      <c r="F549" s="44" t="n"/>
      <c r="G549" s="44" t="n"/>
      <c r="H549" s="44" t="n"/>
      <c r="I549" s="44" t="n"/>
      <c r="J549" s="44" t="n"/>
      <c r="K549" s="44" t="n"/>
      <c r="L549" s="44" t="n"/>
      <c r="M549" s="44" t="n"/>
      <c r="N549" s="44" t="n"/>
      <c r="O549" s="44" t="n"/>
    </row>
    <row r="550" ht="54" customHeight="1">
      <c r="A550" s="44" t="n"/>
      <c r="B550" s="44" t="n"/>
      <c r="C550" s="44" t="n"/>
      <c r="D550" s="44" t="n"/>
      <c r="E550" s="44" t="n"/>
      <c r="F550" s="44" t="n"/>
      <c r="G550" s="44" t="n"/>
      <c r="H550" s="44" t="n"/>
      <c r="I550" s="44" t="n"/>
      <c r="J550" s="44" t="n"/>
      <c r="K550" s="44" t="n"/>
      <c r="L550" s="44" t="n"/>
      <c r="M550" s="44" t="n"/>
      <c r="N550" s="44" t="n"/>
      <c r="O550" s="44" t="n"/>
    </row>
    <row r="551" ht="54" customHeight="1">
      <c r="A551" s="44" t="n"/>
      <c r="B551" s="44" t="n"/>
      <c r="C551" s="44" t="n"/>
      <c r="D551" s="44" t="n"/>
      <c r="E551" s="44" t="n"/>
      <c r="F551" s="44" t="n"/>
      <c r="G551" s="44" t="n"/>
      <c r="H551" s="44" t="n"/>
      <c r="I551" s="44" t="n"/>
      <c r="J551" s="44" t="n"/>
      <c r="K551" s="44" t="n"/>
      <c r="L551" s="44" t="n"/>
      <c r="M551" s="44" t="n"/>
      <c r="N551" s="44" t="n"/>
      <c r="O551" s="44" t="n"/>
    </row>
    <row r="552" ht="54" customHeight="1">
      <c r="A552" s="44" t="n"/>
      <c r="B552" s="44" t="n"/>
      <c r="C552" s="44" t="n"/>
      <c r="D552" s="44" t="n"/>
      <c r="E552" s="44" t="n"/>
      <c r="F552" s="44" t="n"/>
      <c r="G552" s="44" t="n"/>
      <c r="H552" s="44" t="n"/>
      <c r="I552" s="44" t="n"/>
      <c r="J552" s="44" t="n"/>
      <c r="K552" s="44" t="n"/>
      <c r="L552" s="44" t="n"/>
      <c r="M552" s="44" t="n"/>
      <c r="N552" s="44" t="n"/>
      <c r="O552" s="44" t="n"/>
    </row>
    <row r="553" ht="54" customHeight="1">
      <c r="A553" s="44" t="n"/>
      <c r="B553" s="44" t="n"/>
      <c r="C553" s="44" t="n"/>
      <c r="D553" s="44" t="n"/>
      <c r="E553" s="44" t="n"/>
      <c r="F553" s="44" t="n"/>
      <c r="G553" s="44" t="n"/>
      <c r="H553" s="44" t="n"/>
      <c r="I553" s="44" t="n"/>
      <c r="J553" s="44" t="n"/>
      <c r="K553" s="44" t="n"/>
      <c r="L553" s="44" t="n"/>
      <c r="M553" s="44" t="n"/>
      <c r="N553" s="44" t="n"/>
      <c r="O553" s="44" t="n"/>
    </row>
    <row r="554" ht="54" customHeight="1">
      <c r="A554" s="44" t="n"/>
      <c r="B554" s="44" t="n"/>
      <c r="C554" s="44" t="n"/>
      <c r="D554" s="44" t="n"/>
      <c r="E554" s="44" t="n"/>
      <c r="F554" s="44" t="n"/>
      <c r="G554" s="44" t="n"/>
      <c r="H554" s="44" t="n"/>
      <c r="I554" s="44" t="n"/>
      <c r="J554" s="44" t="n"/>
      <c r="K554" s="44" t="n"/>
      <c r="L554" s="44" t="n"/>
      <c r="M554" s="44" t="n"/>
      <c r="N554" s="44" t="n"/>
      <c r="O554" s="44" t="n"/>
    </row>
    <row r="555" ht="54" customHeight="1">
      <c r="A555" s="44" t="n"/>
      <c r="B555" s="44" t="n"/>
      <c r="C555" s="44" t="n"/>
      <c r="D555" s="44" t="n"/>
      <c r="E555" s="44" t="n"/>
      <c r="F555" s="44" t="n"/>
      <c r="G555" s="44" t="n"/>
      <c r="H555" s="44" t="n"/>
      <c r="I555" s="44" t="n"/>
      <c r="J555" s="44" t="n"/>
      <c r="K555" s="44" t="n"/>
      <c r="L555" s="44" t="n"/>
      <c r="M555" s="44" t="n"/>
      <c r="N555" s="44" t="n"/>
      <c r="O555" s="44" t="n"/>
    </row>
    <row r="556" ht="54" customHeight="1">
      <c r="A556" s="44" t="n"/>
      <c r="B556" s="44" t="n"/>
      <c r="C556" s="44" t="n"/>
      <c r="D556" s="44" t="n"/>
      <c r="E556" s="44" t="n"/>
      <c r="F556" s="44" t="n"/>
      <c r="G556" s="44" t="n"/>
      <c r="H556" s="44" t="n"/>
      <c r="I556" s="44" t="n"/>
      <c r="J556" s="44" t="n"/>
      <c r="K556" s="44" t="n"/>
      <c r="L556" s="44" t="n"/>
      <c r="M556" s="44" t="n"/>
      <c r="N556" s="44" t="n"/>
      <c r="O556" s="44" t="n"/>
    </row>
    <row r="557" ht="54" customHeight="1">
      <c r="A557" s="44" t="n"/>
      <c r="B557" s="44" t="n"/>
      <c r="C557" s="44" t="n"/>
      <c r="D557" s="44" t="n"/>
      <c r="E557" s="44" t="n"/>
      <c r="F557" s="44" t="n"/>
      <c r="G557" s="44" t="n"/>
      <c r="H557" s="44" t="n"/>
      <c r="I557" s="44" t="n"/>
      <c r="J557" s="44" t="n"/>
      <c r="K557" s="44" t="n"/>
      <c r="L557" s="44" t="n"/>
      <c r="M557" s="44" t="n"/>
      <c r="N557" s="44" t="n"/>
      <c r="O557" s="44" t="n"/>
    </row>
    <row r="558" ht="54" customHeight="1">
      <c r="A558" s="44" t="n"/>
      <c r="B558" s="44" t="n"/>
      <c r="C558" s="44" t="n"/>
      <c r="D558" s="44" t="n"/>
      <c r="E558" s="44" t="n"/>
      <c r="F558" s="44" t="n"/>
      <c r="G558" s="44" t="n"/>
      <c r="H558" s="44" t="n"/>
      <c r="I558" s="44" t="n"/>
      <c r="J558" s="44" t="n"/>
      <c r="K558" s="44" t="n"/>
      <c r="L558" s="44" t="n"/>
      <c r="M558" s="44" t="n"/>
      <c r="N558" s="44" t="n"/>
      <c r="O558" s="44" t="n"/>
    </row>
    <row r="559" ht="54" customHeight="1">
      <c r="A559" s="44" t="n"/>
      <c r="B559" s="44" t="n"/>
      <c r="C559" s="44" t="n"/>
      <c r="D559" s="44" t="n"/>
      <c r="E559" s="44" t="n"/>
      <c r="F559" s="44" t="n"/>
      <c r="G559" s="44" t="n"/>
      <c r="H559" s="44" t="n"/>
      <c r="I559" s="44" t="n"/>
      <c r="J559" s="44" t="n"/>
      <c r="K559" s="44" t="n"/>
      <c r="L559" s="44" t="n"/>
      <c r="M559" s="44" t="n"/>
      <c r="N559" s="44" t="n"/>
      <c r="O559" s="44" t="n"/>
    </row>
    <row r="560" ht="54" customHeight="1">
      <c r="A560" s="44" t="n"/>
      <c r="B560" s="44" t="n"/>
      <c r="C560" s="44" t="n"/>
      <c r="D560" s="44" t="n"/>
      <c r="E560" s="44" t="n"/>
      <c r="F560" s="44" t="n"/>
      <c r="G560" s="44" t="n"/>
      <c r="H560" s="44" t="n"/>
      <c r="I560" s="44" t="n"/>
      <c r="J560" s="44" t="n"/>
      <c r="K560" s="44" t="n"/>
      <c r="L560" s="44" t="n"/>
      <c r="M560" s="44" t="n"/>
      <c r="N560" s="44" t="n"/>
      <c r="O560" s="44" t="n"/>
    </row>
    <row r="561" ht="54" customHeight="1">
      <c r="A561" s="44" t="n"/>
      <c r="B561" s="44" t="n"/>
      <c r="C561" s="44" t="n"/>
      <c r="D561" s="44" t="n"/>
      <c r="E561" s="44" t="n"/>
      <c r="F561" s="44" t="n"/>
      <c r="G561" s="44" t="n"/>
      <c r="H561" s="44" t="n"/>
      <c r="I561" s="44" t="n"/>
      <c r="J561" s="44" t="n"/>
      <c r="K561" s="44" t="n"/>
      <c r="L561" s="44" t="n"/>
      <c r="M561" s="44" t="n"/>
      <c r="N561" s="44" t="n"/>
      <c r="O561" s="44" t="n"/>
    </row>
    <row r="562" ht="54" customHeight="1">
      <c r="A562" s="44" t="n"/>
      <c r="B562" s="44" t="n"/>
      <c r="C562" s="44" t="n"/>
      <c r="D562" s="44" t="n"/>
      <c r="E562" s="44" t="n"/>
      <c r="F562" s="44" t="n"/>
      <c r="G562" s="44" t="n"/>
      <c r="H562" s="44" t="n"/>
      <c r="I562" s="44" t="n"/>
      <c r="J562" s="44" t="n"/>
      <c r="K562" s="44" t="n"/>
      <c r="L562" s="44" t="n"/>
      <c r="M562" s="44" t="n"/>
      <c r="N562" s="44" t="n"/>
      <c r="O562" s="44" t="n"/>
    </row>
    <row r="563" ht="54" customHeight="1">
      <c r="A563" s="44" t="n"/>
      <c r="B563" s="44" t="n"/>
      <c r="C563" s="44" t="n"/>
      <c r="D563" s="44" t="n"/>
      <c r="E563" s="44" t="n"/>
      <c r="F563" s="44" t="n"/>
      <c r="G563" s="44" t="n"/>
      <c r="H563" s="44" t="n"/>
      <c r="I563" s="44" t="n"/>
      <c r="J563" s="44" t="n"/>
      <c r="K563" s="44" t="n"/>
      <c r="L563" s="44" t="n"/>
      <c r="M563" s="44" t="n"/>
      <c r="N563" s="44" t="n"/>
      <c r="O563" s="44" t="n"/>
    </row>
    <row r="564" ht="54" customHeight="1">
      <c r="A564" s="44" t="n"/>
      <c r="B564" s="44" t="n"/>
      <c r="C564" s="44" t="n"/>
      <c r="D564" s="44" t="n"/>
      <c r="E564" s="44" t="n"/>
      <c r="F564" s="44" t="n"/>
      <c r="G564" s="44" t="n"/>
      <c r="H564" s="44" t="n"/>
      <c r="I564" s="44" t="n"/>
      <c r="J564" s="44" t="n"/>
      <c r="K564" s="44" t="n"/>
      <c r="L564" s="44" t="n"/>
      <c r="M564" s="44" t="n"/>
      <c r="N564" s="44" t="n"/>
      <c r="O564" s="44" t="n"/>
    </row>
    <row r="565" ht="54" customHeight="1">
      <c r="A565" s="44" t="n"/>
      <c r="B565" s="44" t="n"/>
      <c r="C565" s="44" t="n"/>
      <c r="D565" s="44" t="n"/>
      <c r="E565" s="44" t="n"/>
      <c r="F565" s="44" t="n"/>
      <c r="G565" s="44" t="n"/>
      <c r="H565" s="44" t="n"/>
      <c r="I565" s="44" t="n"/>
      <c r="J565" s="44" t="n"/>
      <c r="K565" s="44" t="n"/>
      <c r="L565" s="44" t="n"/>
      <c r="M565" s="44" t="n"/>
      <c r="N565" s="44" t="n"/>
      <c r="O565" s="44" t="n"/>
    </row>
    <row r="566" ht="54" customHeight="1">
      <c r="A566" s="44" t="n"/>
      <c r="B566" s="44" t="n"/>
      <c r="C566" s="44" t="n"/>
      <c r="D566" s="44" t="n"/>
      <c r="E566" s="44" t="n"/>
      <c r="F566" s="44" t="n"/>
      <c r="G566" s="44" t="n"/>
      <c r="H566" s="44" t="n"/>
      <c r="I566" s="44" t="n"/>
      <c r="J566" s="44" t="n"/>
      <c r="K566" s="44" t="n"/>
      <c r="L566" s="44" t="n"/>
      <c r="M566" s="44" t="n"/>
      <c r="N566" s="44" t="n"/>
      <c r="O566" s="44" t="n"/>
    </row>
    <row r="567" ht="54" customHeight="1">
      <c r="A567" s="44" t="n"/>
      <c r="B567" s="44" t="n"/>
      <c r="C567" s="44" t="n"/>
      <c r="D567" s="44" t="n"/>
      <c r="E567" s="44" t="n"/>
      <c r="F567" s="44" t="n"/>
      <c r="G567" s="44" t="n"/>
      <c r="H567" s="44" t="n"/>
      <c r="I567" s="44" t="n"/>
      <c r="J567" s="44" t="n"/>
      <c r="K567" s="44" t="n"/>
      <c r="L567" s="44" t="n"/>
      <c r="M567" s="44" t="n"/>
      <c r="N567" s="44" t="n"/>
      <c r="O567" s="44" t="n"/>
    </row>
    <row r="568" ht="54" customHeight="1">
      <c r="A568" s="44" t="n"/>
      <c r="B568" s="44" t="n"/>
      <c r="C568" s="44" t="n"/>
      <c r="D568" s="44" t="n"/>
      <c r="E568" s="44" t="n"/>
      <c r="F568" s="44" t="n"/>
      <c r="G568" s="44" t="n"/>
      <c r="H568" s="44" t="n"/>
      <c r="I568" s="44" t="n"/>
      <c r="J568" s="44" t="n"/>
      <c r="K568" s="44" t="n"/>
      <c r="L568" s="44" t="n"/>
      <c r="M568" s="44" t="n"/>
      <c r="N568" s="44" t="n"/>
      <c r="O568" s="44" t="n"/>
    </row>
    <row r="569" ht="54" customHeight="1">
      <c r="A569" s="44" t="n"/>
      <c r="B569" s="44" t="n"/>
      <c r="C569" s="44" t="n"/>
      <c r="D569" s="44" t="n"/>
      <c r="E569" s="44" t="n"/>
      <c r="F569" s="44" t="n"/>
      <c r="G569" s="44" t="n"/>
      <c r="H569" s="44" t="n"/>
      <c r="I569" s="44" t="n"/>
      <c r="J569" s="44" t="n"/>
      <c r="K569" s="44" t="n"/>
      <c r="L569" s="44" t="n"/>
      <c r="M569" s="44" t="n"/>
      <c r="N569" s="44" t="n"/>
      <c r="O569" s="44" t="n"/>
    </row>
    <row r="570" ht="54" customHeight="1">
      <c r="A570" s="44" t="n"/>
      <c r="B570" s="44" t="n"/>
      <c r="C570" s="44" t="n"/>
      <c r="D570" s="44" t="n"/>
      <c r="E570" s="44" t="n"/>
      <c r="F570" s="44" t="n"/>
      <c r="G570" s="44" t="n"/>
      <c r="H570" s="44" t="n"/>
      <c r="I570" s="44" t="n"/>
      <c r="J570" s="44" t="n"/>
      <c r="K570" s="44" t="n"/>
      <c r="L570" s="44" t="n"/>
      <c r="M570" s="44" t="n"/>
      <c r="N570" s="44" t="n"/>
      <c r="O570" s="44" t="n"/>
    </row>
    <row r="571" ht="54" customHeight="1">
      <c r="A571" s="44" t="n"/>
      <c r="B571" s="44" t="n"/>
      <c r="C571" s="44" t="n"/>
      <c r="D571" s="44" t="n"/>
      <c r="E571" s="44" t="n"/>
      <c r="F571" s="44" t="n"/>
      <c r="G571" s="44" t="n"/>
      <c r="H571" s="44" t="n"/>
      <c r="I571" s="44" t="n"/>
      <c r="J571" s="44" t="n"/>
      <c r="K571" s="44" t="n"/>
      <c r="L571" s="44" t="n"/>
      <c r="M571" s="44" t="n"/>
      <c r="N571" s="44" t="n"/>
      <c r="O571" s="44" t="n"/>
    </row>
    <row r="572" ht="54" customHeight="1">
      <c r="A572" s="44" t="n"/>
      <c r="B572" s="44" t="n"/>
      <c r="C572" s="44" t="n"/>
      <c r="D572" s="44" t="n"/>
      <c r="E572" s="44" t="n"/>
      <c r="F572" s="44" t="n"/>
      <c r="G572" s="44" t="n"/>
      <c r="H572" s="44" t="n"/>
      <c r="I572" s="44" t="n"/>
      <c r="J572" s="44" t="n"/>
      <c r="K572" s="44" t="n"/>
      <c r="L572" s="44" t="n"/>
      <c r="M572" s="44" t="n"/>
      <c r="N572" s="44" t="n"/>
      <c r="O572" s="44" t="n"/>
    </row>
    <row r="573" ht="54" customHeight="1">
      <c r="A573" s="44" t="n"/>
      <c r="B573" s="44" t="n"/>
      <c r="C573" s="44" t="n"/>
      <c r="D573" s="44" t="n"/>
      <c r="E573" s="44" t="n"/>
      <c r="F573" s="44" t="n"/>
      <c r="G573" s="44" t="n"/>
      <c r="H573" s="44" t="n"/>
      <c r="I573" s="44" t="n"/>
      <c r="J573" s="44" t="n"/>
      <c r="K573" s="44" t="n"/>
      <c r="L573" s="44" t="n"/>
      <c r="M573" s="44" t="n"/>
      <c r="N573" s="44" t="n"/>
      <c r="O573" s="44" t="n"/>
    </row>
    <row r="574" ht="54" customHeight="1">
      <c r="A574" s="44" t="n"/>
      <c r="B574" s="44" t="n"/>
      <c r="C574" s="44" t="n"/>
      <c r="D574" s="44" t="n"/>
      <c r="E574" s="44" t="n"/>
      <c r="F574" s="44" t="n"/>
      <c r="G574" s="44" t="n"/>
      <c r="H574" s="44" t="n"/>
      <c r="I574" s="44" t="n"/>
      <c r="J574" s="44" t="n"/>
      <c r="K574" s="44" t="n"/>
      <c r="L574" s="44" t="n"/>
      <c r="M574" s="44" t="n"/>
      <c r="N574" s="44" t="n"/>
      <c r="O574" s="44" t="n"/>
    </row>
    <row r="575" ht="54" customHeight="1">
      <c r="A575" s="44" t="n"/>
      <c r="B575" s="44" t="n"/>
      <c r="C575" s="44" t="n"/>
      <c r="D575" s="44" t="n"/>
      <c r="E575" s="44" t="n"/>
      <c r="F575" s="44" t="n"/>
      <c r="G575" s="44" t="n"/>
      <c r="H575" s="44" t="n"/>
      <c r="I575" s="44" t="n"/>
      <c r="J575" s="44" t="n"/>
      <c r="K575" s="44" t="n"/>
      <c r="L575" s="44" t="n"/>
      <c r="M575" s="44" t="n"/>
      <c r="N575" s="44" t="n"/>
      <c r="O575" s="44" t="n"/>
    </row>
    <row r="576" ht="54" customHeight="1">
      <c r="A576" s="44" t="n"/>
      <c r="B576" s="44" t="n"/>
      <c r="C576" s="44" t="n"/>
      <c r="D576" s="44" t="n"/>
      <c r="E576" s="44" t="n"/>
      <c r="F576" s="44" t="n"/>
      <c r="G576" s="44" t="n"/>
      <c r="H576" s="44" t="n"/>
      <c r="I576" s="44" t="n"/>
      <c r="J576" s="44" t="n"/>
      <c r="K576" s="44" t="n"/>
      <c r="L576" s="44" t="n"/>
      <c r="M576" s="44" t="n"/>
      <c r="N576" s="44" t="n"/>
      <c r="O576" s="44" t="n"/>
    </row>
    <row r="577" ht="54" customHeight="1">
      <c r="A577" s="44" t="n"/>
      <c r="B577" s="44" t="n"/>
      <c r="C577" s="44" t="n"/>
      <c r="D577" s="44" t="n"/>
      <c r="E577" s="44" t="n"/>
      <c r="F577" s="44" t="n"/>
      <c r="G577" s="44" t="n"/>
      <c r="H577" s="44" t="n"/>
      <c r="I577" s="44" t="n"/>
      <c r="J577" s="44" t="n"/>
      <c r="K577" s="44" t="n"/>
      <c r="L577" s="44" t="n"/>
      <c r="M577" s="44" t="n"/>
      <c r="N577" s="44" t="n"/>
      <c r="O577" s="44" t="n"/>
    </row>
    <row r="578" ht="54" customHeight="1">
      <c r="A578" s="44" t="n"/>
      <c r="B578" s="44" t="n"/>
      <c r="C578" s="44" t="n"/>
      <c r="D578" s="44" t="n"/>
      <c r="E578" s="44" t="n"/>
      <c r="F578" s="44" t="n"/>
      <c r="G578" s="44" t="n"/>
      <c r="H578" s="44" t="n"/>
      <c r="I578" s="44" t="n"/>
      <c r="J578" s="44" t="n"/>
      <c r="K578" s="44" t="n"/>
      <c r="L578" s="44" t="n"/>
      <c r="M578" s="44" t="n"/>
      <c r="N578" s="44" t="n"/>
      <c r="O578" s="44" t="n"/>
    </row>
    <row r="579" ht="54" customHeight="1">
      <c r="A579" s="44" t="n"/>
      <c r="B579" s="44" t="n"/>
      <c r="C579" s="44" t="n"/>
      <c r="D579" s="44" t="n"/>
      <c r="E579" s="44" t="n"/>
      <c r="F579" s="44" t="n"/>
      <c r="G579" s="44" t="n"/>
      <c r="H579" s="44" t="n"/>
      <c r="I579" s="44" t="n"/>
      <c r="J579" s="44" t="n"/>
      <c r="K579" s="44" t="n"/>
      <c r="L579" s="44" t="n"/>
      <c r="M579" s="44" t="n"/>
      <c r="N579" s="44" t="n"/>
      <c r="O579" s="44" t="n"/>
    </row>
    <row r="580" ht="54" customHeight="1">
      <c r="A580" s="44" t="n"/>
      <c r="B580" s="44" t="n"/>
      <c r="C580" s="44" t="n"/>
      <c r="D580" s="44" t="n"/>
      <c r="E580" s="44" t="n"/>
      <c r="F580" s="44" t="n"/>
      <c r="G580" s="44" t="n"/>
      <c r="H580" s="44" t="n"/>
      <c r="I580" s="44" t="n"/>
      <c r="J580" s="44" t="n"/>
      <c r="K580" s="44" t="n"/>
      <c r="L580" s="44" t="n"/>
      <c r="M580" s="44" t="n"/>
      <c r="N580" s="44" t="n"/>
      <c r="O580" s="44" t="n"/>
    </row>
    <row r="581" ht="54" customHeight="1">
      <c r="A581" s="44" t="n"/>
      <c r="B581" s="44" t="n"/>
      <c r="C581" s="44" t="n"/>
      <c r="D581" s="44" t="n"/>
      <c r="E581" s="44" t="n"/>
      <c r="F581" s="44" t="n"/>
      <c r="G581" s="44" t="n"/>
      <c r="H581" s="44" t="n"/>
      <c r="I581" s="44" t="n"/>
      <c r="J581" s="44" t="n"/>
      <c r="K581" s="44" t="n"/>
      <c r="L581" s="44" t="n"/>
      <c r="M581" s="44" t="n"/>
      <c r="N581" s="44" t="n"/>
      <c r="O581" s="44" t="n"/>
    </row>
    <row r="582" ht="54" customHeight="1">
      <c r="A582" s="44" t="n"/>
      <c r="B582" s="44" t="n"/>
      <c r="C582" s="44" t="n"/>
      <c r="D582" s="44" t="n"/>
      <c r="E582" s="44" t="n"/>
      <c r="F582" s="44" t="n"/>
      <c r="G582" s="44" t="n"/>
      <c r="H582" s="44" t="n"/>
      <c r="I582" s="44" t="n"/>
      <c r="J582" s="44" t="n"/>
      <c r="K582" s="44" t="n"/>
      <c r="L582" s="44" t="n"/>
      <c r="M582" s="44" t="n"/>
      <c r="N582" s="44" t="n"/>
      <c r="O582" s="44" t="n"/>
    </row>
    <row r="583" ht="54" customHeight="1">
      <c r="A583" s="44" t="n"/>
      <c r="B583" s="44" t="n"/>
      <c r="C583" s="44" t="n"/>
      <c r="D583" s="44" t="n"/>
      <c r="E583" s="44" t="n"/>
      <c r="F583" s="44" t="n"/>
      <c r="G583" s="44" t="n"/>
      <c r="H583" s="44" t="n"/>
      <c r="I583" s="44" t="n"/>
      <c r="J583" s="44" t="n"/>
      <c r="K583" s="44" t="n"/>
      <c r="L583" s="44" t="n"/>
      <c r="M583" s="44" t="n"/>
      <c r="N583" s="44" t="n"/>
      <c r="O583" s="44" t="n"/>
    </row>
    <row r="584" ht="54" customHeight="1">
      <c r="A584" s="44" t="n"/>
      <c r="B584" s="44" t="n"/>
      <c r="C584" s="44" t="n"/>
      <c r="D584" s="44" t="n"/>
      <c r="E584" s="44" t="n"/>
      <c r="F584" s="44" t="n"/>
      <c r="G584" s="44" t="n"/>
      <c r="H584" s="44" t="n"/>
      <c r="I584" s="44" t="n"/>
      <c r="J584" s="44" t="n"/>
      <c r="K584" s="44" t="n"/>
      <c r="L584" s="44" t="n"/>
      <c r="M584" s="44" t="n"/>
      <c r="N584" s="44" t="n"/>
      <c r="O584" s="44" t="n"/>
    </row>
    <row r="585" ht="54" customHeight="1">
      <c r="A585" s="44" t="n"/>
      <c r="B585" s="44" t="n"/>
      <c r="C585" s="44" t="n"/>
      <c r="D585" s="44" t="n"/>
      <c r="E585" s="44" t="n"/>
      <c r="F585" s="44" t="n"/>
      <c r="G585" s="44" t="n"/>
      <c r="H585" s="44" t="n"/>
      <c r="I585" s="44" t="n"/>
      <c r="J585" s="44" t="n"/>
      <c r="K585" s="44" t="n"/>
      <c r="L585" s="44" t="n"/>
      <c r="M585" s="44" t="n"/>
      <c r="N585" s="44" t="n"/>
      <c r="O585" s="44" t="n"/>
    </row>
    <row r="586" ht="54" customHeight="1">
      <c r="A586" s="44" t="n"/>
      <c r="B586" s="44" t="n"/>
      <c r="C586" s="44" t="n"/>
      <c r="D586" s="44" t="n"/>
      <c r="E586" s="44" t="n"/>
      <c r="F586" s="44" t="n"/>
      <c r="G586" s="44" t="n"/>
      <c r="H586" s="44" t="n"/>
      <c r="I586" s="44" t="n"/>
      <c r="J586" s="44" t="n"/>
      <c r="K586" s="44" t="n"/>
      <c r="L586" s="44" t="n"/>
      <c r="M586" s="44" t="n"/>
      <c r="N586" s="44" t="n"/>
      <c r="O586" s="44" t="n"/>
    </row>
    <row r="587" ht="54" customHeight="1">
      <c r="A587" s="44" t="n"/>
      <c r="B587" s="44" t="n"/>
      <c r="C587" s="44" t="n"/>
      <c r="D587" s="44" t="n"/>
      <c r="E587" s="44" t="n"/>
      <c r="F587" s="44" t="n"/>
      <c r="G587" s="44" t="n"/>
      <c r="H587" s="44" t="n"/>
      <c r="I587" s="44" t="n"/>
      <c r="J587" s="44" t="n"/>
      <c r="K587" s="44" t="n"/>
      <c r="L587" s="44" t="n"/>
      <c r="M587" s="44" t="n"/>
      <c r="N587" s="44" t="n"/>
      <c r="O587" s="44" t="n"/>
    </row>
    <row r="588" ht="54" customHeight="1">
      <c r="A588" s="44" t="n"/>
      <c r="B588" s="44" t="n"/>
      <c r="C588" s="44" t="n"/>
      <c r="D588" s="44" t="n"/>
      <c r="E588" s="44" t="n"/>
      <c r="F588" s="44" t="n"/>
      <c r="G588" s="44" t="n"/>
      <c r="H588" s="44" t="n"/>
      <c r="I588" s="44" t="n"/>
      <c r="J588" s="44" t="n"/>
      <c r="K588" s="44" t="n"/>
      <c r="L588" s="44" t="n"/>
      <c r="M588" s="44" t="n"/>
      <c r="N588" s="44" t="n"/>
      <c r="O588" s="44" t="n"/>
    </row>
    <row r="589" ht="54" customHeight="1">
      <c r="A589" s="44" t="n"/>
      <c r="B589" s="44" t="n"/>
      <c r="C589" s="44" t="n"/>
      <c r="D589" s="44" t="n"/>
      <c r="E589" s="44" t="n"/>
      <c r="F589" s="44" t="n"/>
      <c r="G589" s="44" t="n"/>
      <c r="H589" s="44" t="n"/>
      <c r="I589" s="44" t="n"/>
      <c r="J589" s="44" t="n"/>
      <c r="K589" s="44" t="n"/>
      <c r="L589" s="44" t="n"/>
      <c r="M589" s="44" t="n"/>
      <c r="N589" s="44" t="n"/>
      <c r="O589" s="44" t="n"/>
    </row>
    <row r="590" ht="54" customHeight="1">
      <c r="A590" s="44" t="n"/>
      <c r="B590" s="44" t="n"/>
      <c r="C590" s="44" t="n"/>
      <c r="D590" s="44" t="n"/>
      <c r="E590" s="44" t="n"/>
      <c r="F590" s="44" t="n"/>
      <c r="G590" s="44" t="n"/>
      <c r="H590" s="44" t="n"/>
      <c r="I590" s="44" t="n"/>
      <c r="J590" s="44" t="n"/>
      <c r="K590" s="44" t="n"/>
      <c r="L590" s="44" t="n"/>
      <c r="M590" s="44" t="n"/>
      <c r="N590" s="44" t="n"/>
      <c r="O590" s="44" t="n"/>
    </row>
    <row r="591" ht="54" customHeight="1">
      <c r="A591" s="44" t="n"/>
      <c r="B591" s="44" t="n"/>
      <c r="C591" s="44" t="n"/>
      <c r="D591" s="44" t="n"/>
      <c r="E591" s="44" t="n"/>
      <c r="F591" s="44" t="n"/>
      <c r="G591" s="44" t="n"/>
      <c r="H591" s="44" t="n"/>
      <c r="I591" s="44" t="n"/>
      <c r="J591" s="44" t="n"/>
      <c r="K591" s="44" t="n"/>
      <c r="L591" s="44" t="n"/>
      <c r="M591" s="44" t="n"/>
      <c r="N591" s="44" t="n"/>
      <c r="O591" s="44" t="n"/>
    </row>
    <row r="592" ht="54" customHeight="1">
      <c r="A592" s="44" t="n"/>
      <c r="B592" s="44" t="n"/>
      <c r="C592" s="44" t="n"/>
      <c r="D592" s="44" t="n"/>
      <c r="E592" s="44" t="n"/>
      <c r="F592" s="44" t="n"/>
      <c r="G592" s="44" t="n"/>
      <c r="H592" s="44" t="n"/>
      <c r="I592" s="44" t="n"/>
      <c r="J592" s="44" t="n"/>
      <c r="K592" s="44" t="n"/>
      <c r="L592" s="44" t="n"/>
      <c r="M592" s="44" t="n"/>
      <c r="N592" s="44" t="n"/>
      <c r="O592" s="44" t="n"/>
    </row>
    <row r="593" ht="54" customHeight="1">
      <c r="A593" s="44" t="n"/>
      <c r="B593" s="44" t="n"/>
      <c r="C593" s="44" t="n"/>
      <c r="D593" s="44" t="n"/>
      <c r="E593" s="44" t="n"/>
      <c r="F593" s="44" t="n"/>
      <c r="G593" s="44" t="n"/>
      <c r="H593" s="44" t="n"/>
      <c r="I593" s="44" t="n"/>
      <c r="J593" s="44" t="n"/>
      <c r="K593" s="44" t="n"/>
      <c r="L593" s="44" t="n"/>
      <c r="M593" s="44" t="n"/>
      <c r="N593" s="44" t="n"/>
      <c r="O593" s="44" t="n"/>
    </row>
    <row r="594" ht="54" customHeight="1">
      <c r="A594" s="44" t="n"/>
      <c r="B594" s="44" t="n"/>
      <c r="C594" s="44" t="n"/>
      <c r="D594" s="44" t="n"/>
      <c r="E594" s="44" t="n"/>
      <c r="F594" s="44" t="n"/>
      <c r="G594" s="44" t="n"/>
      <c r="H594" s="44" t="n"/>
      <c r="I594" s="44" t="n"/>
      <c r="J594" s="44" t="n"/>
      <c r="K594" s="44" t="n"/>
      <c r="L594" s="44" t="n"/>
      <c r="M594" s="44" t="n"/>
      <c r="N594" s="44" t="n"/>
      <c r="O594" s="44" t="n"/>
    </row>
    <row r="595" ht="54" customHeight="1">
      <c r="A595" s="44" t="n"/>
      <c r="B595" s="44" t="n"/>
      <c r="C595" s="44" t="n"/>
      <c r="D595" s="44" t="n"/>
      <c r="E595" s="44" t="n"/>
      <c r="F595" s="44" t="n"/>
      <c r="G595" s="44" t="n"/>
      <c r="H595" s="44" t="n"/>
      <c r="I595" s="44" t="n"/>
      <c r="J595" s="44" t="n"/>
      <c r="K595" s="44" t="n"/>
      <c r="L595" s="44" t="n"/>
      <c r="M595" s="44" t="n"/>
      <c r="N595" s="44" t="n"/>
      <c r="O595" s="44" t="n"/>
    </row>
    <row r="596" ht="54" customHeight="1">
      <c r="A596" s="44" t="n"/>
      <c r="B596" s="44" t="n"/>
      <c r="C596" s="44" t="n"/>
      <c r="D596" s="44" t="n"/>
      <c r="E596" s="44" t="n"/>
      <c r="F596" s="44" t="n"/>
      <c r="G596" s="44" t="n"/>
      <c r="H596" s="44" t="n"/>
      <c r="I596" s="44" t="n"/>
      <c r="J596" s="44" t="n"/>
      <c r="K596" s="44" t="n"/>
      <c r="L596" s="44" t="n"/>
      <c r="M596" s="44" t="n"/>
      <c r="N596" s="44" t="n"/>
      <c r="O596" s="44" t="n"/>
    </row>
    <row r="597" ht="54" customHeight="1">
      <c r="A597" s="44" t="n"/>
      <c r="B597" s="44" t="n"/>
      <c r="C597" s="44" t="n"/>
      <c r="D597" s="44" t="n"/>
      <c r="E597" s="44" t="n"/>
      <c r="F597" s="44" t="n"/>
      <c r="G597" s="44" t="n"/>
      <c r="H597" s="44" t="n"/>
      <c r="I597" s="44" t="n"/>
      <c r="J597" s="44" t="n"/>
      <c r="K597" s="44" t="n"/>
      <c r="L597" s="44" t="n"/>
      <c r="M597" s="44" t="n"/>
      <c r="N597" s="44" t="n"/>
      <c r="O597" s="44" t="n"/>
    </row>
    <row r="598" ht="54" customHeight="1">
      <c r="A598" s="44" t="n"/>
      <c r="B598" s="44" t="n"/>
      <c r="C598" s="44" t="n"/>
      <c r="D598" s="44" t="n"/>
      <c r="E598" s="44" t="n"/>
      <c r="F598" s="44" t="n"/>
      <c r="G598" s="44" t="n"/>
      <c r="H598" s="44" t="n"/>
      <c r="I598" s="44" t="n"/>
      <c r="J598" s="44" t="n"/>
      <c r="K598" s="44" t="n"/>
      <c r="L598" s="44" t="n"/>
      <c r="M598" s="44" t="n"/>
      <c r="N598" s="44" t="n"/>
      <c r="O598" s="44" t="n"/>
    </row>
    <row r="599" ht="54" customHeight="1">
      <c r="A599" s="44" t="n"/>
      <c r="B599" s="44" t="n"/>
      <c r="C599" s="44" t="n"/>
      <c r="D599" s="44" t="n"/>
      <c r="E599" s="44" t="n"/>
      <c r="F599" s="44" t="n"/>
      <c r="G599" s="44" t="n"/>
      <c r="H599" s="44" t="n"/>
      <c r="I599" s="44" t="n"/>
      <c r="J599" s="44" t="n"/>
      <c r="K599" s="44" t="n"/>
      <c r="L599" s="44" t="n"/>
      <c r="M599" s="44" t="n"/>
      <c r="N599" s="44" t="n"/>
      <c r="O599" s="44" t="n"/>
    </row>
    <row r="600" ht="54" customHeight="1">
      <c r="A600" s="44" t="n"/>
      <c r="B600" s="44" t="n"/>
      <c r="C600" s="44" t="n"/>
      <c r="D600" s="44" t="n"/>
      <c r="E600" s="44" t="n"/>
      <c r="F600" s="44" t="n"/>
      <c r="G600" s="44" t="n"/>
      <c r="H600" s="44" t="n"/>
      <c r="I600" s="44" t="n"/>
      <c r="J600" s="44" t="n"/>
      <c r="K600" s="44" t="n"/>
      <c r="L600" s="44" t="n"/>
      <c r="M600" s="44" t="n"/>
      <c r="N600" s="44" t="n"/>
      <c r="O600" s="44" t="n"/>
    </row>
    <row r="601" ht="54" customHeight="1">
      <c r="A601" s="44" t="n"/>
      <c r="B601" s="44" t="n"/>
      <c r="C601" s="44" t="n"/>
      <c r="D601" s="44" t="n"/>
      <c r="E601" s="44" t="n"/>
      <c r="F601" s="44" t="n"/>
      <c r="G601" s="44" t="n"/>
      <c r="H601" s="44" t="n"/>
      <c r="I601" s="44" t="n"/>
      <c r="J601" s="44" t="n"/>
      <c r="K601" s="44" t="n"/>
      <c r="L601" s="44" t="n"/>
      <c r="M601" s="44" t="n"/>
      <c r="N601" s="44" t="n"/>
      <c r="O601" s="44" t="n"/>
    </row>
    <row r="602" ht="54" customHeight="1">
      <c r="A602" s="44" t="n"/>
      <c r="B602" s="44" t="n"/>
      <c r="C602" s="44" t="n"/>
      <c r="D602" s="44" t="n"/>
      <c r="E602" s="44" t="n"/>
      <c r="F602" s="44" t="n"/>
      <c r="G602" s="44" t="n"/>
      <c r="H602" s="44" t="n"/>
      <c r="I602" s="44" t="n"/>
      <c r="J602" s="44" t="n"/>
      <c r="K602" s="44" t="n"/>
      <c r="L602" s="44" t="n"/>
      <c r="M602" s="44" t="n"/>
      <c r="N602" s="44" t="n"/>
      <c r="O602" s="44" t="n"/>
    </row>
    <row r="603" ht="54" customHeight="1">
      <c r="A603" s="44" t="n"/>
      <c r="B603" s="44" t="n"/>
      <c r="C603" s="44" t="n"/>
      <c r="D603" s="44" t="n"/>
      <c r="E603" s="44" t="n"/>
      <c r="F603" s="44" t="n"/>
      <c r="G603" s="44" t="n"/>
      <c r="H603" s="44" t="n"/>
      <c r="I603" s="44" t="n"/>
      <c r="J603" s="44" t="n"/>
      <c r="K603" s="44" t="n"/>
      <c r="L603" s="44" t="n"/>
      <c r="M603" s="44" t="n"/>
      <c r="N603" s="44" t="n"/>
      <c r="O603" s="44" t="n"/>
    </row>
    <row r="604" ht="54" customHeight="1">
      <c r="A604" s="44" t="n"/>
      <c r="B604" s="44" t="n"/>
      <c r="C604" s="44" t="n"/>
      <c r="D604" s="44" t="n"/>
      <c r="E604" s="44" t="n"/>
      <c r="F604" s="44" t="n"/>
      <c r="G604" s="44" t="n"/>
      <c r="H604" s="44" t="n"/>
      <c r="I604" s="44" t="n"/>
      <c r="J604" s="44" t="n"/>
      <c r="K604" s="44" t="n"/>
      <c r="L604" s="44" t="n"/>
      <c r="M604" s="44" t="n"/>
      <c r="N604" s="44" t="n"/>
      <c r="O604" s="44" t="n"/>
    </row>
    <row r="605" ht="54" customHeight="1">
      <c r="A605" s="44" t="n"/>
      <c r="B605" s="44" t="n"/>
      <c r="C605" s="44" t="n"/>
      <c r="D605" s="44" t="n"/>
      <c r="E605" s="44" t="n"/>
      <c r="F605" s="44" t="n"/>
      <c r="G605" s="44" t="n"/>
      <c r="H605" s="44" t="n"/>
      <c r="I605" s="44" t="n"/>
      <c r="J605" s="44" t="n"/>
      <c r="K605" s="44" t="n"/>
      <c r="L605" s="44" t="n"/>
      <c r="M605" s="44" t="n"/>
      <c r="N605" s="44" t="n"/>
      <c r="O605" s="44" t="n"/>
    </row>
    <row r="606" ht="54" customHeight="1">
      <c r="A606" s="44" t="n"/>
      <c r="B606" s="44" t="n"/>
      <c r="C606" s="44" t="n"/>
      <c r="D606" s="44" t="n"/>
      <c r="E606" s="44" t="n"/>
      <c r="F606" s="44" t="n"/>
      <c r="G606" s="44" t="n"/>
      <c r="H606" s="44" t="n"/>
      <c r="I606" s="44" t="n"/>
      <c r="J606" s="44" t="n"/>
      <c r="K606" s="44" t="n"/>
      <c r="L606" s="44" t="n"/>
      <c r="M606" s="44" t="n"/>
      <c r="N606" s="44" t="n"/>
      <c r="O606" s="44" t="n"/>
    </row>
    <row r="607" ht="54" customHeight="1">
      <c r="A607" s="44" t="n"/>
      <c r="B607" s="44" t="n"/>
      <c r="C607" s="44" t="n"/>
      <c r="D607" s="44" t="n"/>
      <c r="E607" s="44" t="n"/>
      <c r="F607" s="44" t="n"/>
      <c r="G607" s="44" t="n"/>
      <c r="H607" s="44" t="n"/>
      <c r="I607" s="44" t="n"/>
      <c r="J607" s="44" t="n"/>
      <c r="K607" s="44" t="n"/>
      <c r="L607" s="44" t="n"/>
      <c r="M607" s="44" t="n"/>
      <c r="N607" s="44" t="n"/>
      <c r="O607" s="44" t="n"/>
    </row>
  </sheetData>
  <mergeCells count="1">
    <mergeCell ref="A3:F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2026-10-23T02:56:50Z</dcterms:created>
  <dcterms:modified xsi:type="dcterms:W3CDTF">2026-10-23T02:56:50Z</dcterms:modified>
</cp:coreProperties>
</file>